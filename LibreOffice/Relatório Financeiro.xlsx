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ase de Dados Original" sheetId="1" state="visible" r:id="rId3"/>
    <sheet name="Base de Dados" sheetId="2" state="visible" r:id="rId4"/>
    <sheet name="Analise de Dados" sheetId="3" state="visible" r:id="rId5"/>
    <sheet name="Dashboard" sheetId="4" state="visible" r:id="rId6"/>
  </sheets>
  <definedNames>
    <definedName function="false" hidden="true" localSheetId="1" name="_xlnm._FilterDatabase" vbProcedure="false">'Base de Dados'!$A$1:$I$2726</definedName>
    <definedName function="false" hidden="true" localSheetId="0" name="_xlnm._FilterDatabase" vbProcedure="false">'Base de Dados Original'!$A$1:$H$2726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<sst xmlns="http://schemas.openxmlformats.org/spreadsheetml/2006/main" count="32768" uniqueCount="324">
  <si>
    <t xml:space="preserve">Numero Movimentacao</t>
  </si>
  <si>
    <t xml:space="preserve">Nome</t>
  </si>
  <si>
    <t xml:space="preserve">Município</t>
  </si>
  <si>
    <t xml:space="preserve">Data da Movimentacao</t>
  </si>
  <si>
    <t xml:space="preserve">Valor da Movimentação</t>
  </si>
  <si>
    <t xml:space="preserve">Tipo</t>
  </si>
  <si>
    <t xml:space="preserve">Banco</t>
  </si>
  <si>
    <t xml:space="preserve">Imagem</t>
  </si>
  <si>
    <t xml:space="preserve">Forma Pagamento</t>
  </si>
  <si>
    <t xml:space="preserve">Caramuru Pie I</t>
  </si>
  <si>
    <t xml:space="preserve">São Paulo</t>
  </si>
  <si>
    <t xml:space="preserve">Recebimento</t>
  </si>
  <si>
    <t xml:space="preserve">Itaú</t>
  </si>
  <si>
    <t xml:space="preserve">https://i.ibb.co/DznB5q4/Itau.png</t>
  </si>
  <si>
    <t xml:space="preserve">Pix</t>
  </si>
  <si>
    <t xml:space="preserve">Indaia</t>
  </si>
  <si>
    <t xml:space="preserve">Belo Horizonte</t>
  </si>
  <si>
    <t xml:space="preserve">Nubank</t>
  </si>
  <si>
    <t xml:space="preserve">https://i.ibb.co/LpJM38D/Nubank.png</t>
  </si>
  <si>
    <t xml:space="preserve">Boleto</t>
  </si>
  <si>
    <t xml:space="preserve">Diamante Iii</t>
  </si>
  <si>
    <t xml:space="preserve">Vitória</t>
  </si>
  <si>
    <t xml:space="preserve">Bradesco</t>
  </si>
  <si>
    <t xml:space="preserve">https://i.ibb.co/68RXB19/Bradesco.png</t>
  </si>
  <si>
    <t xml:space="preserve">MercadoPago</t>
  </si>
  <si>
    <t xml:space="preserve">Canuelas</t>
  </si>
  <si>
    <t xml:space="preserve">Cartão</t>
  </si>
  <si>
    <t xml:space="preserve">Libra Energia</t>
  </si>
  <si>
    <t xml:space="preserve">Rio De Janeiro</t>
  </si>
  <si>
    <t xml:space="preserve">Diamante Ii</t>
  </si>
  <si>
    <t xml:space="preserve">Safra</t>
  </si>
  <si>
    <t xml:space="preserve">https://i.ibb.co/FhY6B5f/Safra.png</t>
  </si>
  <si>
    <t xml:space="preserve">Elkem Carboderivados</t>
  </si>
  <si>
    <t xml:space="preserve">Tempo Energia</t>
  </si>
  <si>
    <t xml:space="preserve">Pagamento</t>
  </si>
  <si>
    <t xml:space="preserve">Tenneco</t>
  </si>
  <si>
    <t xml:space="preserve">Santander</t>
  </si>
  <si>
    <t xml:space="preserve">https://i.ibb.co/zX8KX6R/Santander.png</t>
  </si>
  <si>
    <t xml:space="preserve">Yabora</t>
  </si>
  <si>
    <t xml:space="preserve">Ind De Moveis Thb</t>
  </si>
  <si>
    <t xml:space="preserve">Canoas Shopping</t>
  </si>
  <si>
    <t xml:space="preserve">Agropalma</t>
  </si>
  <si>
    <t xml:space="preserve">Yara Brasil</t>
  </si>
  <si>
    <t xml:space="preserve">Xcmg</t>
  </si>
  <si>
    <t xml:space="preserve">Xavantina</t>
  </si>
  <si>
    <t xml:space="preserve">Zaccaria</t>
  </si>
  <si>
    <t xml:space="preserve">Yamada Matriz</t>
  </si>
  <si>
    <t xml:space="preserve">Ykk Do Brasil</t>
  </si>
  <si>
    <t xml:space="preserve">Xingu Fruit</t>
  </si>
  <si>
    <t xml:space="preserve">Ind Plasticas Conquista</t>
  </si>
  <si>
    <t xml:space="preserve">Hosp Sao Francisco Saude</t>
  </si>
  <si>
    <t xml:space="preserve">Unimin</t>
  </si>
  <si>
    <t xml:space="preserve">Terphane Ne</t>
  </si>
  <si>
    <t xml:space="preserve">Agreste</t>
  </si>
  <si>
    <t xml:space="preserve">Bella Arte</t>
  </si>
  <si>
    <t xml:space="preserve">Unimed Sjrp</t>
  </si>
  <si>
    <t xml:space="preserve">Sao Bartolomeu</t>
  </si>
  <si>
    <t xml:space="preserve">Wasser Kraft</t>
  </si>
  <si>
    <t xml:space="preserve">Hospital Evangelico</t>
  </si>
  <si>
    <t xml:space="preserve">V S B Granitos</t>
  </si>
  <si>
    <t xml:space="preserve">Libraga Brandao Pi</t>
  </si>
  <si>
    <t xml:space="preserve">Rer Plasticos</t>
  </si>
  <si>
    <t xml:space="preserve">Resende Shop</t>
  </si>
  <si>
    <t xml:space="preserve">Tera Papeis</t>
  </si>
  <si>
    <t xml:space="preserve">Agro Latina</t>
  </si>
  <si>
    <t xml:space="preserve">Fiacao Alliance</t>
  </si>
  <si>
    <t xml:space="preserve">Nova Olinda B</t>
  </si>
  <si>
    <t xml:space="preserve">Bemil</t>
  </si>
  <si>
    <t xml:space="preserve">Eletronorte</t>
  </si>
  <si>
    <t xml:space="preserve">Maristela Telhas</t>
  </si>
  <si>
    <t xml:space="preserve">Uniipojuca</t>
  </si>
  <si>
    <t xml:space="preserve">Tempersinos</t>
  </si>
  <si>
    <t xml:space="preserve">Weg Amazonia</t>
  </si>
  <si>
    <t xml:space="preserve">Gnu Pet</t>
  </si>
  <si>
    <t xml:space="preserve">Bello Racao</t>
  </si>
  <si>
    <t xml:space="preserve">Fersul- Cl</t>
  </si>
  <si>
    <t xml:space="preserve">Termopot</t>
  </si>
  <si>
    <t xml:space="preserve">Depinus</t>
  </si>
  <si>
    <t xml:space="preserve">Maringa Soldas</t>
  </si>
  <si>
    <t xml:space="preserve">Yorg</t>
  </si>
  <si>
    <t xml:space="preserve">Agua Mineral Villa</t>
  </si>
  <si>
    <t xml:space="preserve">Elian</t>
  </si>
  <si>
    <t xml:space="preserve">Teslacom</t>
  </si>
  <si>
    <t xml:space="preserve">Unimed Bh</t>
  </si>
  <si>
    <t xml:space="preserve">Candengo</t>
  </si>
  <si>
    <t xml:space="preserve">Bela Vista Tijolos</t>
  </si>
  <si>
    <t xml:space="preserve">Candura</t>
  </si>
  <si>
    <t xml:space="preserve">Hospital Adventista Silvestre</t>
  </si>
  <si>
    <t xml:space="preserve">Vetore</t>
  </si>
  <si>
    <t xml:space="preserve">Gold Energia</t>
  </si>
  <si>
    <t xml:space="preserve">Ype - Quimica</t>
  </si>
  <si>
    <t xml:space="preserve">Agroaves Ltda</t>
  </si>
  <si>
    <t xml:space="preserve">Diamante Geracao</t>
  </si>
  <si>
    <t xml:space="preserve">Eliza Plasticos</t>
  </si>
  <si>
    <t xml:space="preserve">Fiacao S Bento</t>
  </si>
  <si>
    <t xml:space="preserve">Fiatece Sg</t>
  </si>
  <si>
    <t xml:space="preserve">Hosp Stapaula</t>
  </si>
  <si>
    <t xml:space="preserve">Libnet Comunicacao</t>
  </si>
  <si>
    <t xml:space="preserve">Nova Olinda Norte</t>
  </si>
  <si>
    <t xml:space="preserve">Unimed Ara</t>
  </si>
  <si>
    <t xml:space="preserve">Renova</t>
  </si>
  <si>
    <t xml:space="preserve">Unimed Poa</t>
  </si>
  <si>
    <t xml:space="preserve">Capricho</t>
  </si>
  <si>
    <t xml:space="preserve">Eletrosul</t>
  </si>
  <si>
    <t xml:space="preserve">Goiasfiller</t>
  </si>
  <si>
    <t xml:space="preserve">Unilever Igarassu</t>
  </si>
  <si>
    <t xml:space="preserve">Elizabeth Cimentos</t>
  </si>
  <si>
    <t xml:space="preserve">Dg Marel</t>
  </si>
  <si>
    <t xml:space="preserve">Diana</t>
  </si>
  <si>
    <t xml:space="preserve">Vicunha Servicos</t>
  </si>
  <si>
    <t xml:space="preserve">Eletron</t>
  </si>
  <si>
    <t xml:space="preserve">Sao Clemente Vi</t>
  </si>
  <si>
    <t xml:space="preserve">Vibeoli Ceramica</t>
  </si>
  <si>
    <t xml:space="preserve">Nova Embalagens</t>
  </si>
  <si>
    <t xml:space="preserve">Eletroligas</t>
  </si>
  <si>
    <t xml:space="preserve">Fiabesa</t>
  </si>
  <si>
    <t xml:space="preserve">Globo Part</t>
  </si>
  <si>
    <t xml:space="preserve">Ind Rio Deserto</t>
  </si>
  <si>
    <t xml:space="preserve">Libra Campinas</t>
  </si>
  <si>
    <t xml:space="preserve">Vidraria Anchieta</t>
  </si>
  <si>
    <t xml:space="preserve">Lider Canudos</t>
  </si>
  <si>
    <t xml:space="preserve">Sao Joao</t>
  </si>
  <si>
    <t xml:space="preserve">Capul</t>
  </si>
  <si>
    <t xml:space="preserve">Godiva</t>
  </si>
  <si>
    <t xml:space="preserve">Goiascal</t>
  </si>
  <si>
    <t xml:space="preserve">Incopisos</t>
  </si>
  <si>
    <t xml:space="preserve">Ind Sao Luis</t>
  </si>
  <si>
    <t xml:space="preserve">Unimed Joinville</t>
  </si>
  <si>
    <t xml:space="preserve">Elfsm</t>
  </si>
  <si>
    <t xml:space="preserve">Unilever Cd Pouso</t>
  </si>
  <si>
    <t xml:space="preserve">Desa Uriel</t>
  </si>
  <si>
    <t xml:space="preserve">Diamond Comercializadora</t>
  </si>
  <si>
    <t xml:space="preserve">Diamondmall</t>
  </si>
  <si>
    <t xml:space="preserve">Elizabethrev</t>
  </si>
  <si>
    <t xml:space="preserve">Gm Scs</t>
  </si>
  <si>
    <t xml:space="preserve">Liberty Energy</t>
  </si>
  <si>
    <t xml:space="preserve">Sao Domingos Geracao</t>
  </si>
  <si>
    <t xml:space="preserve">Tes</t>
  </si>
  <si>
    <t xml:space="preserve">Gold Meat</t>
  </si>
  <si>
    <t xml:space="preserve">Beloaco</t>
  </si>
  <si>
    <t xml:space="preserve">Fiama</t>
  </si>
  <si>
    <t xml:space="preserve">Hospital Da Bahia</t>
  </si>
  <si>
    <t xml:space="preserve">Canoinhas</t>
  </si>
  <si>
    <t xml:space="preserve">Carbonifera Catarinense</t>
  </si>
  <si>
    <t xml:space="preserve">Cantu2</t>
  </si>
  <si>
    <t xml:space="preserve">Capital Reciclaveis</t>
  </si>
  <si>
    <t xml:space="preserve">Agroindustrial</t>
  </si>
  <si>
    <t xml:space="preserve">Tera</t>
  </si>
  <si>
    <t xml:space="preserve">Tereftalicos</t>
  </si>
  <si>
    <t xml:space="preserve">Tenda</t>
  </si>
  <si>
    <t xml:space="preserve">Term Maringa</t>
  </si>
  <si>
    <t xml:space="preserve">Belem Hoteis</t>
  </si>
  <si>
    <t xml:space="preserve">Terracotagres</t>
  </si>
  <si>
    <t xml:space="preserve">Termag</t>
  </si>
  <si>
    <t xml:space="preserve">Terminal Tiete</t>
  </si>
  <si>
    <t xml:space="preserve">Termo Aco</t>
  </si>
  <si>
    <t xml:space="preserve">Termo Interlagos</t>
  </si>
  <si>
    <t xml:space="preserve">Reiter Log</t>
  </si>
  <si>
    <t xml:space="preserve">Termope</t>
  </si>
  <si>
    <t xml:space="preserve">Ferrari Termo</t>
  </si>
  <si>
    <t xml:space="preserve">Termonorte</t>
  </si>
  <si>
    <t xml:space="preserve">Relipel</t>
  </si>
  <si>
    <t xml:space="preserve">Renaissance</t>
  </si>
  <si>
    <t xml:space="preserve">Renault</t>
  </si>
  <si>
    <t xml:space="preserve">Renner Matriz</t>
  </si>
  <si>
    <t xml:space="preserve">Reiter Brasil</t>
  </si>
  <si>
    <t xml:space="preserve">Renner Mcfil</t>
  </si>
  <si>
    <t xml:space="preserve">Renome</t>
  </si>
  <si>
    <t xml:space="preserve">Renault Energia</t>
  </si>
  <si>
    <t xml:space="preserve">Relix</t>
  </si>
  <si>
    <t xml:space="preserve">Renuka</t>
  </si>
  <si>
    <t xml:space="preserve">Renner Herrmann</t>
  </si>
  <si>
    <t xml:space="preserve">Renova Com</t>
  </si>
  <si>
    <t xml:space="preserve">Nova Era</t>
  </si>
  <si>
    <t xml:space="preserve">Renault Comercio</t>
  </si>
  <si>
    <t xml:space="preserve">Renuka Gera</t>
  </si>
  <si>
    <t xml:space="preserve">Termomecanica</t>
  </si>
  <si>
    <t xml:space="preserve">Renavi</t>
  </si>
  <si>
    <t xml:space="preserve">Renar</t>
  </si>
  <si>
    <t xml:space="preserve">Remo Polimeros</t>
  </si>
  <si>
    <t xml:space="preserve">Renovaplastic</t>
  </si>
  <si>
    <t xml:space="preserve">Marilan</t>
  </si>
  <si>
    <t xml:space="preserve">Nova Galia Bioenergia</t>
  </si>
  <si>
    <t xml:space="preserve">Viavarejo</t>
  </si>
  <si>
    <t xml:space="preserve">Nortesulshop</t>
  </si>
  <si>
    <t xml:space="preserve">Nova Era Alimentos</t>
  </si>
  <si>
    <t xml:space="preserve">Unimed Sorocaba</t>
  </si>
  <si>
    <t xml:space="preserve">North Shop</t>
  </si>
  <si>
    <t xml:space="preserve">Pch Barra Das Aguas</t>
  </si>
  <si>
    <t xml:space="preserve">Beltrame</t>
  </si>
  <si>
    <t xml:space="preserve">Nortex Sa</t>
  </si>
  <si>
    <t xml:space="preserve">Vhm Vidros</t>
  </si>
  <si>
    <t xml:space="preserve">North Shopping</t>
  </si>
  <si>
    <t xml:space="preserve">North Shopping Sobral</t>
  </si>
  <si>
    <t xml:space="preserve">Nossaplast</t>
  </si>
  <si>
    <t xml:space="preserve">Notaro Garan</t>
  </si>
  <si>
    <t xml:space="preserve">Notaro Paulista</t>
  </si>
  <si>
    <t xml:space="preserve">Notaro-Ma Matrizeiro</t>
  </si>
  <si>
    <t xml:space="preserve">Notaro-Ma Racao</t>
  </si>
  <si>
    <t xml:space="preserve">Eletronuclear</t>
  </si>
  <si>
    <t xml:space="preserve">Termolar</t>
  </si>
  <si>
    <t xml:space="preserve">Notaro</t>
  </si>
  <si>
    <t xml:space="preserve">Notre Dame</t>
  </si>
  <si>
    <t xml:space="preserve">Notus</t>
  </si>
  <si>
    <t xml:space="preserve">Nov Flexibles</t>
  </si>
  <si>
    <t xml:space="preserve">Notaro Matrizeiro Bj</t>
  </si>
  <si>
    <t xml:space="preserve">Notavel</t>
  </si>
  <si>
    <t xml:space="preserve">Destro Brasil Curitiba</t>
  </si>
  <si>
    <t xml:space="preserve">Nova Alianca</t>
  </si>
  <si>
    <t xml:space="preserve">Nova Asa B I</t>
  </si>
  <si>
    <t xml:space="preserve">Agromaggi</t>
  </si>
  <si>
    <t xml:space="preserve">Nova Asa B Ii</t>
  </si>
  <si>
    <t xml:space="preserve">Incatex</t>
  </si>
  <si>
    <t xml:space="preserve">Incargel</t>
  </si>
  <si>
    <t xml:space="preserve">Incofios</t>
  </si>
  <si>
    <t xml:space="preserve">Incom</t>
  </si>
  <si>
    <t xml:space="preserve">Unimed Vr</t>
  </si>
  <si>
    <t xml:space="preserve">Incefra</t>
  </si>
  <si>
    <t xml:space="preserve">Incenor</t>
  </si>
  <si>
    <t xml:space="preserve">Incepa</t>
  </si>
  <si>
    <t xml:space="preserve">Incobio</t>
  </si>
  <si>
    <t xml:space="preserve">Incomfio</t>
  </si>
  <si>
    <t xml:space="preserve">Incasa</t>
  </si>
  <si>
    <t xml:space="preserve">Inbraglass</t>
  </si>
  <si>
    <t xml:space="preserve">Inbrape</t>
  </si>
  <si>
    <t xml:space="preserve">Inbrasp Filia</t>
  </si>
  <si>
    <t xml:space="preserve">Inc</t>
  </si>
  <si>
    <t xml:space="preserve">Nova Buriti</t>
  </si>
  <si>
    <t xml:space="preserve">Inapel</t>
  </si>
  <si>
    <t xml:space="preserve">Inbracell</t>
  </si>
  <si>
    <t xml:space="preserve">Inbrafiltro</t>
  </si>
  <si>
    <t xml:space="preserve">Inbrasp</t>
  </si>
  <si>
    <t xml:space="preserve">Incabras</t>
  </si>
  <si>
    <t xml:space="preserve">Inbrasil</t>
  </si>
  <si>
    <t xml:space="preserve">Belagua</t>
  </si>
  <si>
    <t xml:space="preserve">Incomfral</t>
  </si>
  <si>
    <t xml:space="preserve">Nova Asa B Iii</t>
  </si>
  <si>
    <t xml:space="preserve">Honda Amazonia</t>
  </si>
  <si>
    <t xml:space="preserve">Honda Energy</t>
  </si>
  <si>
    <t xml:space="preserve">Honda Lock</t>
  </si>
  <si>
    <t xml:space="preserve">Honda Lock Sp</t>
  </si>
  <si>
    <t xml:space="preserve">Honpar</t>
  </si>
  <si>
    <t xml:space="preserve">Horizon1</t>
  </si>
  <si>
    <t xml:space="preserve">Horizonte Mp</t>
  </si>
  <si>
    <t xml:space="preserve">Verdebrita</t>
  </si>
  <si>
    <t xml:space="preserve">Hortifruti</t>
  </si>
  <si>
    <t xml:space="preserve">Horizontes</t>
  </si>
  <si>
    <t xml:space="preserve">Hosp Alianca</t>
  </si>
  <si>
    <t xml:space="preserve">Hosp Alvorada</t>
  </si>
  <si>
    <t xml:space="preserve">Bells</t>
  </si>
  <si>
    <t xml:space="preserve">Independ Shop</t>
  </si>
  <si>
    <t xml:space="preserve">Termocolor</t>
  </si>
  <si>
    <t xml:space="preserve">Elfer</t>
  </si>
  <si>
    <t xml:space="preserve">Hospital Balbino</t>
  </si>
  <si>
    <t xml:space="preserve">Unimed Jp</t>
  </si>
  <si>
    <t xml:space="preserve">Verde 4</t>
  </si>
  <si>
    <t xml:space="preserve">Verde 4A</t>
  </si>
  <si>
    <t xml:space="preserve">Hosp Benf Port Sjrp</t>
  </si>
  <si>
    <t xml:space="preserve">Hosp D Helena</t>
  </si>
  <si>
    <t xml:space="preserve">Hosp Jaragua Do Sul</t>
  </si>
  <si>
    <t xml:space="preserve">Hosp Jorge Valente</t>
  </si>
  <si>
    <t xml:space="preserve">Hosp Min Costa Cavalcanti</t>
  </si>
  <si>
    <t xml:space="preserve">Hosp Oswaldo Cruz</t>
  </si>
  <si>
    <t xml:space="preserve">Hosp Santa Catarina</t>
  </si>
  <si>
    <t xml:space="preserve">Hosp Santa Clara Uberlandia</t>
  </si>
  <si>
    <t xml:space="preserve">Fermag</t>
  </si>
  <si>
    <t xml:space="preserve">Fermavi</t>
  </si>
  <si>
    <t xml:space="preserve">Fernandez S A</t>
  </si>
  <si>
    <t xml:space="preserve">Fernanplas</t>
  </si>
  <si>
    <t xml:space="preserve">Ferragens 3F Do Brasil Eireli</t>
  </si>
  <si>
    <t xml:space="preserve">Ferrari Diamond</t>
  </si>
  <si>
    <t xml:space="preserve">Hosp Alb Einst</t>
  </si>
  <si>
    <t xml:space="preserve">Ferrari Metalurgica</t>
  </si>
  <si>
    <t xml:space="preserve">Pch Cabixi</t>
  </si>
  <si>
    <t xml:space="preserve">Ferreira Costa</t>
  </si>
  <si>
    <t xml:space="preserve">Ferreira Gomes</t>
  </si>
  <si>
    <t xml:space="preserve">Hospital Jayme Da Fonte</t>
  </si>
  <si>
    <t xml:space="preserve">Ferreira International</t>
  </si>
  <si>
    <t xml:space="preserve">Bella Citta</t>
  </si>
  <si>
    <t xml:space="preserve">Sao Clemente Iii</t>
  </si>
  <si>
    <t xml:space="preserve">Ferrero</t>
  </si>
  <si>
    <t xml:space="preserve">Ferro Enamel</t>
  </si>
  <si>
    <t xml:space="preserve">Ferro Ligas</t>
  </si>
  <si>
    <t xml:space="preserve">Unil</t>
  </si>
  <si>
    <t xml:space="preserve">Ferrolene</t>
  </si>
  <si>
    <t xml:space="preserve">Diana B</t>
  </si>
  <si>
    <t xml:space="preserve">Ferrous Viga</t>
  </si>
  <si>
    <t xml:space="preserve">Nova Olinda Sul</t>
  </si>
  <si>
    <t xml:space="preserve">Ferromais</t>
  </si>
  <si>
    <t xml:space="preserve">Ferrominas Perfilados</t>
  </si>
  <si>
    <t xml:space="preserve">Ferroport</t>
  </si>
  <si>
    <t xml:space="preserve">Ferrosider Componentes</t>
  </si>
  <si>
    <t xml:space="preserve">Ferronorte Cl</t>
  </si>
  <si>
    <t xml:space="preserve">Mês</t>
  </si>
  <si>
    <t xml:space="preserve">Soma - Valor da Movimentação</t>
  </si>
  <si>
    <t xml:space="preserve">Margem de Lucro</t>
  </si>
  <si>
    <t xml:space="preserve">Complemento de Marge de Lucro</t>
  </si>
  <si>
    <t xml:space="preserve">Total Resultado</t>
  </si>
  <si>
    <t xml:space="preserve">Impostos</t>
  </si>
  <si>
    <t xml:space="preserve">Lucro</t>
  </si>
  <si>
    <t xml:space="preserve">(vazio)</t>
  </si>
  <si>
    <t xml:space="preserve">Imposto</t>
  </si>
  <si>
    <t xml:space="preserve">Lucro por 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</si>
  <si>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</si>
  <si>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</si>
  <si>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</si>
  <si>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</si>
  <si>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</si>
  <si>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</si>
  <si>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Qtd Movimentações</t>
  </si>
  <si>
    <t xml:space="preserve">jul</t>
  </si>
  <si>
    <t xml:space="preserve">ago</t>
  </si>
  <si>
    <t xml:space="preserve">set</t>
  </si>
  <si>
    <t xml:space="preserve">Movimentações PIX</t>
  </si>
  <si>
    <t xml:space="preserve">out</t>
  </si>
  <si>
    <t xml:space="preserve">nov</t>
  </si>
  <si>
    <t xml:space="preserve">dez</t>
  </si>
  <si>
    <t xml:space="preserve">% PIX</t>
  </si>
  <si>
    <t xml:space="preserve">Recebimentos</t>
  </si>
  <si>
    <t xml:space="preserve">Pagamentos</t>
  </si>
  <si>
    <t xml:space="preserve">Movimentações</t>
  </si>
  <si>
    <t xml:space="preserve">Por PIX</t>
  </si>
  <si>
    <t xml:space="preserve">%</t>
  </si>
  <si>
    <t xml:space="preserve">Marge Lucro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</si>
</sst>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&quot;R$ &quot;#,##0.00;[RED]&quot;-R$ &quot;#,##0.00"/>
    <numFmt numFmtId="167" formatCode="d/m/yyyy"/>
    <numFmt numFmtId="168" formatCode="0.00%"/>
    <numFmt numFmtId="169" formatCode="[$R$-416]\ #,##0.00;[RED]\-[$R$-416]\ 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4"/>
      <color rgb="FFFFFFFF"/>
      <name val="DIN"/>
      <family val="2"/>
      <charset val="1"/>
    </font>
    <font>
      <sz val="20"/>
      <color rgb="FFFFFFFF"/>
      <name val="DIN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FFFFFF"/>
      <name val="DIN"/>
      <family val="2"/>
      <charset val="1"/>
    </font>
    <font>
      <sz val="20"/>
      <color rgb="FFFFFFFF"/>
      <name val="Calibri"/>
      <family val="2"/>
      <charset val="1"/>
    </font>
    <font>
      <sz val="10"/>
      <color rgb="FFFFFFFF"/>
      <name val="DIM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7" tint="0.7999"/>
        <bgColor rgb="FFEEEEEE"/>
      </patternFill>
    </fill>
    <fill>
      <patternFill patternType="solid">
        <fgColor rgb="FF362413"/>
        <bgColor rgb="FF333333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3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4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4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2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1"/>
    <cellStyle name="Canto da tabela dinâmica" xfId="22"/>
    <cellStyle name="Categoria da tabela dinâmica" xfId="23"/>
    <cellStyle name="Resultado da tabela dinâmica" xfId="24"/>
    <cellStyle name="Título da tabela dinâmica" xfId="25"/>
    <cellStyle name="Valor da tabela dinâmica" xfId="26"/>
    <cellStyle name="*unknown*" xfId="20" builtinId="8"/>
  </cellStyles>
  <dxfs count="6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EEEEEE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420E"/>
      <rgbColor rgb="FF4E626E"/>
      <rgbColor rgb="FF969696"/>
      <rgbColor rgb="FF004586"/>
      <rgbColor rgb="FF3BA69E"/>
      <rgbColor rgb="FF003300"/>
      <rgbColor rgb="FF3624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EEEE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4E626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'Analise de Dados'!$G$1:$I$1</c:f>
              <c:strCache>
                <c:ptCount val="3"/>
                <c:pt idx="0">
                  <c:v>Margem de Lucro</c:v>
                </c:pt>
                <c:pt idx="1">
                  <c:v/>
                </c:pt>
                <c:pt idx="2">
                  <c:v>Complemento de Marge de Lucro</c:v>
                </c:pt>
              </c:strCache>
            </c:strRef>
          </c:cat>
          <c:val>
            <c:numRef>
              <c:f>'Analise de Dados'!$G$2:$I$2</c:f>
              <c:numCache>
                <c:formatCode>0.00%</c:formatCode>
                <c:ptCount val="3"/>
                <c:pt idx="0">
                  <c:v>0.375766582227852</c:v>
                </c:pt>
                <c:pt idx="2">
                  <c:v>0.624233417772148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solidFill>
            <a:srgbClr val="B3B3B3"/>
          </a:solidFill>
        </a:ln>
      </c:spPr>
    </c:plotArea>
    <c:plotVisOnly val="1"/>
    <c:dispBlanksAs val="zero"/>
  </c:chart>
  <c:spPr>
    <a:noFill/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'Analise de Dados'!$E$9</c:f>
              <c:strCache>
                <c:ptCount val="1"/>
                <c:pt idx="0">
                  <c:v>Lucro por Mês</c:v>
                </c:pt>
              </c:strCache>
            </c:strRef>
          </c:tx>
          <c:spPr>
            <a:solidFill>
              <a:srgbClr val="4E626E"/>
            </a:solidFill>
            <a:ln w="0">
              <a:noFill/>
            </a:ln>
          </c:spPr>
          <c:invertIfNegative val="0"/>
          <c:dPt>
            <c:idx val="3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FF0000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3BA69E"/>
              </a:solidFill>
              <a:ln w="0">
                <a:noFill/>
              </a:ln>
            </c:spPr>
          </c:dPt>
          <c:dLbls>
            <c:dLbl>
              <c:idx val="3"/>
              <c:numFmt formatCode="[$R$-416]\ #,##0.00;[RED]\-[$R$-416]\ #,##0.00" sourceLinked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FFFFFF"/>
                      </a:solidFill>
                      <a:uFillTx/>
                      <a:latin typeface="DIM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[$R$-416]\ #,##0.00;[RED]\-[$R$-416]\ #,##0.00" sourceLinked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FFFFFF"/>
                      </a:solidFill>
                      <a:uFillTx/>
                      <a:latin typeface="DIM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7"/>
              <c:numFmt formatCode="[$R$-416]\ #,##0.00;[RED]\-[$R$-416]\ #,##0.00" sourceLinked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FFFFFF"/>
                      </a:solidFill>
                      <a:uFillTx/>
                      <a:latin typeface="DIM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numFmt formatCode="[$R$-416]\ #,##0.00;[RED]\-[$R$-416]\ #,##0.00" sourceLinked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FFFFFF"/>
                      </a:solidFill>
                      <a:uFillTx/>
                      <a:latin typeface="DIM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R$-416]\ #,##0.00;[RED]\-[$R$-416]\ #,##0.00" sourceLinked="0"/>
            <c:txPr>
              <a:bodyPr wrap="none"/>
              <a:lstStyle/>
              <a:p>
                <a:pPr>
                  <a:defRPr sz="1000" b="0" u="none" strike="noStrike">
                    <a:solidFill>
                      <a:srgbClr val="FFFFFF"/>
                    </a:solidFill>
                    <a:uFillTx/>
                    <a:latin typeface="DIM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'Analise de Dados'!$A$10:$A$22</c:f>
              <c:strCache>
                <c:ptCount val="1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Total Resultado</c:v>
                </c:pt>
              </c:strCache>
            </c:strRef>
          </c:cat>
          <c:val>
            <c:numRef>
              <c:f>'Analise de Dados'!$E$10:$E$22</c:f>
              <c:numCache>
                <c:formatCode>[$R$-416]\ #,##0.00;[RED]\-[$R$-416]\ #,##0.00</c:formatCode>
                <c:ptCount val="13"/>
                <c:pt idx="0">
                  <c:v>4703648.5775</c:v>
                </c:pt>
                <c:pt idx="1">
                  <c:v>6491892.19250001</c:v>
                </c:pt>
                <c:pt idx="2">
                  <c:v>9767143.56650001</c:v>
                </c:pt>
                <c:pt idx="3">
                  <c:v>-3000708.55749999</c:v>
                </c:pt>
                <c:pt idx="4">
                  <c:v>4723627.7215</c:v>
                </c:pt>
                <c:pt idx="5">
                  <c:v>-5119340.065</c:v>
                </c:pt>
                <c:pt idx="6">
                  <c:v>923833.077999998</c:v>
                </c:pt>
                <c:pt idx="7">
                  <c:v>-3484540.045</c:v>
                </c:pt>
                <c:pt idx="8">
                  <c:v>12526344.4505</c:v>
                </c:pt>
                <c:pt idx="9">
                  <c:v>2978619.198</c:v>
                </c:pt>
                <c:pt idx="10">
                  <c:v>3391982.7885</c:v>
                </c:pt>
                <c:pt idx="11">
                  <c:v>1646093.0735</c:v>
                </c:pt>
                <c:pt idx="12">
                  <c:v>35548595.979</c:v>
                </c:pt>
              </c:numCache>
            </c:numRef>
          </c:val>
        </c:ser>
        <c:gapWidth val="100"/>
        <c:overlap val="0"/>
        <c:axId val="9093690"/>
        <c:axId val="28410807"/>
      </c:barChart>
      <c:catAx>
        <c:axId val="90936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FFFFFF"/>
                </a:solidFill>
                <a:uFillTx/>
                <a:latin typeface="Arial"/>
              </a:defRPr>
            </a:pPr>
          </a:p>
        </c:txPr>
        <c:crossAx val="28410807"/>
        <c:crossesAt val="0"/>
        <c:auto val="1"/>
        <c:lblAlgn val="ctr"/>
        <c:lblOffset val="100"/>
        <c:noMultiLvlLbl val="0"/>
      </c:catAx>
      <c:valAx>
        <c:axId val="28410807"/>
        <c:scaling>
          <c:orientation val="minMax"/>
        </c:scaling>
        <c:delete val="1"/>
        <c:axPos val="l"/>
        <c:numFmt formatCode="[$R$-416]\ #,##0.00;[RED]\-[$R$-416]\ 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09369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5.png"/><Relationship Id="rId8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690120</xdr:colOff>
      <xdr:row>4</xdr:row>
      <xdr:rowOff>93240</xdr:rowOff>
    </xdr:from>
    <xdr:to>
      <xdr:col>6</xdr:col>
      <xdr:colOff>1643760</xdr:colOff>
      <xdr:row>16</xdr:row>
      <xdr:rowOff>111240</xdr:rowOff>
    </xdr:to>
    <xdr:graphicFrame>
      <xdr:nvGraphicFramePr>
        <xdr:cNvPr id="1" name=""/>
        <xdr:cNvGraphicFramePr/>
      </xdr:nvGraphicFramePr>
      <xdr:xfrm>
        <a:off x="4691880" y="839520"/>
        <a:ext cx="4232160" cy="225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8</xdr:row>
      <xdr:rowOff>142920</xdr:rowOff>
    </xdr:from>
    <xdr:to>
      <xdr:col>9</xdr:col>
      <xdr:colOff>182520</xdr:colOff>
      <xdr:row>26</xdr:row>
      <xdr:rowOff>111240</xdr:rowOff>
    </xdr:to>
    <xdr:graphicFrame>
      <xdr:nvGraphicFramePr>
        <xdr:cNvPr id="2" name=""/>
        <xdr:cNvGraphicFramePr/>
      </xdr:nvGraphicFramePr>
      <xdr:xfrm>
        <a:off x="0" y="1590120"/>
        <a:ext cx="12631680" cy="325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150120</xdr:colOff>
      <xdr:row>0</xdr:row>
      <xdr:rowOff>72360</xdr:rowOff>
    </xdr:from>
    <xdr:to>
      <xdr:col>1</xdr:col>
      <xdr:colOff>850320</xdr:colOff>
      <xdr:row>3</xdr:row>
      <xdr:rowOff>163440</xdr:rowOff>
    </xdr:to>
    <xdr:pic>
      <xdr:nvPicPr>
        <xdr:cNvPr id="3" name="Figura 1"/>
        <xdr:cNvPicPr/>
      </xdr:nvPicPr>
      <xdr:blipFill>
        <a:blip r:embed="rId3"/>
        <a:stretch/>
      </xdr:blipFill>
      <xdr:spPr>
        <a:xfrm>
          <a:off x="340560" y="72360"/>
          <a:ext cx="700200" cy="662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3</xdr:col>
      <xdr:colOff>92520</xdr:colOff>
      <xdr:row>0</xdr:row>
      <xdr:rowOff>61200</xdr:rowOff>
    </xdr:from>
    <xdr:to>
      <xdr:col>4</xdr:col>
      <xdr:colOff>42120</xdr:colOff>
      <xdr:row>3</xdr:row>
      <xdr:rowOff>131400</xdr:rowOff>
    </xdr:to>
    <xdr:pic>
      <xdr:nvPicPr>
        <xdr:cNvPr id="4" name="Figura 2"/>
        <xdr:cNvPicPr/>
      </xdr:nvPicPr>
      <xdr:blipFill>
        <a:blip r:embed="rId4"/>
        <a:stretch/>
      </xdr:blipFill>
      <xdr:spPr>
        <a:xfrm>
          <a:off x="3281400" y="61200"/>
          <a:ext cx="762480" cy="64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5</xdr:col>
      <xdr:colOff>214920</xdr:colOff>
      <xdr:row>0</xdr:row>
      <xdr:rowOff>159480</xdr:rowOff>
    </xdr:from>
    <xdr:to>
      <xdr:col>5</xdr:col>
      <xdr:colOff>897480</xdr:colOff>
      <xdr:row>4</xdr:row>
      <xdr:rowOff>11160</xdr:rowOff>
    </xdr:to>
    <xdr:pic>
      <xdr:nvPicPr>
        <xdr:cNvPr id="5" name="Figura 3"/>
        <xdr:cNvPicPr/>
      </xdr:nvPicPr>
      <xdr:blipFill>
        <a:blip r:embed="rId5"/>
        <a:stretch/>
      </xdr:blipFill>
      <xdr:spPr>
        <a:xfrm>
          <a:off x="6570720" y="159480"/>
          <a:ext cx="682560" cy="59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7</xdr:col>
      <xdr:colOff>171720</xdr:colOff>
      <xdr:row>0</xdr:row>
      <xdr:rowOff>154800</xdr:rowOff>
    </xdr:from>
    <xdr:to>
      <xdr:col>7</xdr:col>
      <xdr:colOff>810000</xdr:colOff>
      <xdr:row>4</xdr:row>
      <xdr:rowOff>11880</xdr:rowOff>
    </xdr:to>
    <xdr:pic>
      <xdr:nvPicPr>
        <xdr:cNvPr id="6" name="Figura 4"/>
        <xdr:cNvPicPr/>
      </xdr:nvPicPr>
      <xdr:blipFill>
        <a:blip r:embed="rId6"/>
        <a:stretch/>
      </xdr:blipFill>
      <xdr:spPr>
        <a:xfrm>
          <a:off x="9525960" y="154800"/>
          <a:ext cx="638280" cy="603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6</xdr:col>
      <xdr:colOff>1495440</xdr:colOff>
      <xdr:row>8</xdr:row>
      <xdr:rowOff>43920</xdr:rowOff>
    </xdr:from>
    <xdr:to>
      <xdr:col>8</xdr:col>
      <xdr:colOff>884520</xdr:colOff>
      <xdr:row>16</xdr:row>
      <xdr:rowOff>2520</xdr:rowOff>
    </xdr:to>
    <xdr:pic>
      <xdr:nvPicPr>
        <xdr:cNvPr id="7" name="Figura 5"/>
        <xdr:cNvPicPr/>
      </xdr:nvPicPr>
      <xdr:blipFill>
        <a:blip r:embed="rId7"/>
        <a:stretch/>
      </xdr:blipFill>
      <xdr:spPr>
        <a:xfrm>
          <a:off x="8775720" y="1491120"/>
          <a:ext cx="2334240" cy="1495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483480</xdr:colOff>
      <xdr:row>5</xdr:row>
      <xdr:rowOff>38160</xdr:rowOff>
    </xdr:from>
    <xdr:to>
      <xdr:col>4</xdr:col>
      <xdr:colOff>751680</xdr:colOff>
      <xdr:row>16</xdr:row>
      <xdr:rowOff>35640</xdr:rowOff>
    </xdr:to>
    <xdr:pic>
      <xdr:nvPicPr>
        <xdr:cNvPr id="8" name="Figura 6"/>
        <xdr:cNvPicPr/>
      </xdr:nvPicPr>
      <xdr:blipFill>
        <a:blip r:embed="rId8"/>
        <a:stretch/>
      </xdr:blipFill>
      <xdr:spPr>
        <a:xfrm>
          <a:off x="673920" y="959400"/>
          <a:ext cx="4079520" cy="2060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725" createdVersion="3">
  <cacheSource type="worksheet">
    <worksheetSource ref="A1:J2726" sheet="Base de Dados"/>
  </cacheSource>
  <cacheFields count="10">
    <cacheField name="Numero Movimentacao" numFmtId="0">
      <sharedItems containsSemiMixedTypes="0" containsString="0" containsNumber="1" containsInteger="1" minValue="1" maxValue="2725" count="27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</sharedItems>
    </cacheField>
    <cacheField name="Nome" numFmtId="0">
      <sharedItems count="264">
        <s v="Agreste"/>
        <s v="Agro Latina"/>
        <s v="Agroaves Ltda"/>
        <s v="Agroindustrial"/>
        <s v="Agromaggi"/>
        <s v="Agropalma"/>
        <s v="Agua Mineral Villa"/>
        <s v="Bela Vista Tijolos"/>
        <s v="Belagua"/>
        <s v="Belem Hoteis"/>
        <s v="Bella Arte"/>
        <s v="Bella Citta"/>
        <s v="Bello Racao"/>
        <s v="Bells"/>
        <s v="Beloaco"/>
        <s v="Beltrame"/>
        <s v="Bemil"/>
        <s v="Candengo"/>
        <s v="Candura"/>
        <s v="Canoas Shopping"/>
        <s v="Canoinhas"/>
        <s v="Cantu2"/>
        <s v="Canuelas"/>
        <s v="Capital Reciclaveis"/>
        <s v="Capricho"/>
        <s v="Capul"/>
        <s v="Caramuru Pie I"/>
        <s v="Carbonifera Catarinense"/>
        <s v="Depinus"/>
        <s v="Desa Uriel"/>
        <s v="Destro Brasil Curitiba"/>
        <s v="Dg Marel"/>
        <s v="Diamante Geracao"/>
        <s v="Diamante Ii"/>
        <s v="Diamante Iii"/>
        <s v="Diamond Comercializadora"/>
        <s v="Diamondmall"/>
        <s v="Diana"/>
        <s v="Diana B"/>
        <s v="Eletroligas"/>
        <s v="Eletron"/>
        <s v="Eletronorte"/>
        <s v="Eletronuclear"/>
        <s v="Eletrosul"/>
        <s v="Elfer"/>
        <s v="Elfsm"/>
        <s v="Elian"/>
        <s v="Eliza Plasticos"/>
        <s v="Elizabeth Cimentos"/>
        <s v="Elizabethrev"/>
        <s v="Elkem Carboderivados"/>
        <s v="Fermag"/>
        <s v="Fermavi"/>
        <s v="Fernandez S A"/>
        <s v="Fernanplas"/>
        <s v="Ferragens 3F Do Brasil Eireli"/>
        <s v="Ferrari Diamond"/>
        <s v="Ferrari Metalurgica"/>
        <s v="Ferrari Termo"/>
        <s v="Ferreira Costa"/>
        <s v="Ferreira Gomes"/>
        <s v="Ferreira International"/>
        <s v="Ferrero"/>
        <s v="Ferro Enamel"/>
        <s v="Ferro Ligas"/>
        <s v="Ferrolene"/>
        <s v="Ferromais"/>
        <s v="Ferrominas Perfilados"/>
        <s v="Ferronorte Cl"/>
        <s v="Ferroport"/>
        <s v="Ferrosider Componentes"/>
        <s v="Ferrous Viga"/>
        <s v="Fersul- Cl"/>
        <s v="Fiabesa"/>
        <s v="Fiacao Alliance"/>
        <s v="Fiacao S Bento"/>
        <s v="Fiama"/>
        <s v="Fiatece Sg"/>
        <s v="Globo Part"/>
        <s v="Gm Scs"/>
        <s v="Gnu Pet"/>
        <s v="Godiva"/>
        <s v="Goiascal"/>
        <s v="Goiasfiller"/>
        <s v="Gold Energia"/>
        <s v="Gold Meat"/>
        <s v="Honda Amazonia"/>
        <s v="Honda Energy"/>
        <s v="Honda Lock"/>
        <s v="Honda Lock Sp"/>
        <s v="Honpar"/>
        <s v="Horizon1"/>
        <s v="Horizonte Mp"/>
        <s v="Horizontes"/>
        <s v="Hortifruti"/>
        <s v="Hosp Alb Einst"/>
        <s v="Hosp Alianca"/>
        <s v="Hosp Alvorada"/>
        <s v="Hosp Benf Port Sjrp"/>
        <s v="Hosp D Helena"/>
        <s v="Hosp Jaragua Do Sul"/>
        <s v="Hosp Jorge Valente"/>
        <s v="Hosp Min Costa Cavalcanti"/>
        <s v="Hosp Oswaldo Cruz"/>
        <s v="Hosp Santa Catarina"/>
        <s v="Hosp Santa Clara Uberlandia"/>
        <s v="Hosp Sao Francisco Saude"/>
        <s v="Hosp Stapaula"/>
        <s v="Hospital Adventista Silvestre"/>
        <s v="Hospital Balbino"/>
        <s v="Hospital Da Bahia"/>
        <s v="Hospital Evangelico"/>
        <s v="Hospital Jayme Da Fonte"/>
        <s v="Inapel"/>
        <s v="Inbracell"/>
        <s v="Inbrafiltro"/>
        <s v="Inbraglass"/>
        <s v="Inbrape"/>
        <s v="Inbrasil"/>
        <s v="Inbrasp"/>
        <s v="Inbrasp Filia"/>
        <s v="Inc"/>
        <s v="Incabras"/>
        <s v="Incargel"/>
        <s v="Incasa"/>
        <s v="Incatex"/>
        <s v="Incefra"/>
        <s v="Incenor"/>
        <s v="Incepa"/>
        <s v="Incobio"/>
        <s v="Incofios"/>
        <s v="Incom"/>
        <s v="Incomfio"/>
        <s v="Incomfral"/>
        <s v="Incopisos"/>
        <s v="Ind De Moveis Thb"/>
        <s v="Ind Plasticas Conquista"/>
        <s v="Ind Rio Deserto"/>
        <s v="Ind Sao Luis"/>
        <s v="Indaia"/>
        <s v="Independ Shop"/>
        <s v="Liberty Energy"/>
        <s v="Libnet Comunicacao"/>
        <s v="Libra Campinas"/>
        <s v="Libra Energia"/>
        <s v="Libraga Brandao Pi"/>
        <s v="Lider Canudos"/>
        <s v="Marilan"/>
        <s v="Maringa Soldas"/>
        <s v="Maristela Telhas"/>
        <s v="Nortesulshop"/>
        <s v="Nortex Sa"/>
        <s v="North Shop"/>
        <s v="North Shopping"/>
        <s v="North Shopping Sobral"/>
        <s v="Nossaplast"/>
        <s v="Notaro"/>
        <s v="Notaro Garan"/>
        <s v="Notaro Matrizeiro Bj"/>
        <s v="Notaro Paulista"/>
        <s v="Notaro-Ma Matrizeiro"/>
        <s v="Notaro-Ma Racao"/>
        <s v="Notavel"/>
        <s v="Notre Dame"/>
        <s v="Notus"/>
        <s v="Nov Flexibles"/>
        <s v="Nova Alianca"/>
        <s v="Nova Asa B I"/>
        <s v="Nova Asa B Ii"/>
        <s v="Nova Asa B Iii"/>
        <s v="Nova Buriti"/>
        <s v="Nova Embalagens"/>
        <s v="Nova Era"/>
        <s v="Nova Era Alimentos"/>
        <s v="Nova Galia Bioenergia"/>
        <s v="Nova Olinda B"/>
        <s v="Nova Olinda Norte"/>
        <s v="Nova Olinda Sul"/>
        <s v="Pch Barra Das Aguas"/>
        <s v="Pch Cabixi"/>
        <s v="Reiter Brasil"/>
        <s v="Reiter Log"/>
        <s v="Relipel"/>
        <s v="Relix"/>
        <s v="Remo Polimeros"/>
        <s v="Renaissance"/>
        <s v="Renar"/>
        <s v="Renault"/>
        <s v="Renault Comercio"/>
        <s v="Renault Energia"/>
        <s v="Renavi"/>
        <s v="Renner Herrmann"/>
        <s v="Renner Matriz"/>
        <s v="Renner Mcfil"/>
        <s v="Renome"/>
        <s v="Renova"/>
        <s v="Renova Com"/>
        <s v="Renovaplastic"/>
        <s v="Renuka"/>
        <s v="Renuka Gera"/>
        <s v="Rer Plasticos"/>
        <s v="Resende Shop"/>
        <s v="Sao Bartolomeu"/>
        <s v="Sao Clemente Iii"/>
        <s v="Sao Clemente Vi"/>
        <s v="Sao Domingos Geracao"/>
        <s v="Sao Joao"/>
        <s v="Tempersinos"/>
        <s v="Tempo Energia"/>
        <s v="Tenda"/>
        <s v="Tenneco"/>
        <s v="Tera"/>
        <s v="Tera Papeis"/>
        <s v="Tereftalicos"/>
        <s v="Term Maringa"/>
        <s v="Termag"/>
        <s v="Terminal Tiete"/>
        <s v="Termo Aco"/>
        <s v="Termo Interlagos"/>
        <s v="Termocolor"/>
        <s v="Termolar"/>
        <s v="Termomecanica"/>
        <s v="Termonorte"/>
        <s v="Termope"/>
        <s v="Termopot"/>
        <s v="Terphane Ne"/>
        <s v="Terracotagres"/>
        <s v="Tes"/>
        <s v="Teslacom"/>
        <s v="Uniipojuca"/>
        <s v="Unil"/>
        <s v="Unilever Cd Pouso"/>
        <s v="Unilever Igarassu"/>
        <s v="Unimed Ara"/>
        <s v="Unimed Bh"/>
        <s v="Unimed Joinville"/>
        <s v="Unimed Jp"/>
        <s v="Unimed Poa"/>
        <s v="Unimed Sjrp"/>
        <s v="Unimed Sorocaba"/>
        <s v="Unimed Vr"/>
        <s v="Unimin"/>
        <s v="V S B Granitos"/>
        <s v="Verde 4"/>
        <s v="Verde 4A"/>
        <s v="Verdebrita"/>
        <s v="Vetore"/>
        <s v="Vhm Vidros"/>
        <s v="Viavarejo"/>
        <s v="Vibeoli Ceramica"/>
        <s v="Vicunha Servicos"/>
        <s v="Vidraria Anchieta"/>
        <s v="Wasser Kraft"/>
        <s v="Weg Amazonia"/>
        <s v="Xavantina"/>
        <s v="Xcmg"/>
        <s v="Xingu Fruit"/>
        <s v="Yabora"/>
        <s v="Yamada Matriz"/>
        <s v="Yara Brasil"/>
        <s v="Ykk Do Brasil"/>
        <s v="Yorg"/>
        <s v="Ype - Quimica"/>
        <s v="Zaccaria"/>
      </sharedItems>
    </cacheField>
    <cacheField name="Município" numFmtId="0">
      <sharedItems count="4">
        <s v="Belo Horizonte"/>
        <s v="Rio De Janeiro"/>
        <s v="São Paulo"/>
        <s v="Vitória"/>
      </sharedItems>
    </cacheField>
    <cacheField name="Data da Movimentacao" numFmtId="0">
      <sharedItems containsSemiMixedTypes="0" containsNonDate="0" containsDate="1" containsString="0" minDate="2020-01-02T00:00:00" maxDate="2021-12-28T00:00:00" count="476">
        <d v="2020-01-02T00:00:00"/>
        <d v="2020-01-04T00:00:00"/>
        <d v="2020-01-05T00:00:00"/>
        <d v="2020-01-06T00:00:00"/>
        <d v="2020-01-09T00:00:00"/>
        <d v="2020-01-10T00:00:00"/>
        <d v="2020-01-11T00:00:00"/>
        <d v="2020-01-12T00:00:00"/>
        <d v="2020-01-13T00:00:00"/>
        <d v="2020-01-14T00:00:00"/>
        <d v="2020-01-16T00:00:00"/>
        <d v="2020-01-18T00:00:00"/>
        <d v="2020-01-19T00:00:00"/>
        <d v="2020-01-20T00:00:00"/>
        <d v="2020-01-24T00:00:00"/>
        <d v="2020-01-25T00:00:00"/>
        <d v="2020-01-26T00:00:00"/>
        <d v="2020-01-27T00:00:00"/>
        <d v="2020-01-30T00:00:00"/>
        <d v="2020-01-31T00:00:00"/>
        <d v="2020-02-01T00:00:00"/>
        <d v="2020-02-02T00:00:00"/>
        <d v="2020-02-03T00:00:00"/>
        <d v="2020-02-06T00:00:00"/>
        <d v="2020-02-07T00:00:00"/>
        <d v="2020-02-08T00:00:00"/>
        <d v="2020-02-09T00:00:00"/>
        <d v="2020-02-10T00:00:00"/>
        <d v="2020-02-13T00:00:00"/>
        <d v="2020-02-14T00:00:00"/>
        <d v="2020-02-15T00:00:00"/>
        <d v="2020-02-16T00:00:00"/>
        <d v="2020-02-17T00:00:00"/>
        <d v="2020-02-20T00:00:00"/>
        <d v="2020-02-22T00:00:00"/>
        <d v="2020-02-23T00:00:00"/>
        <d v="2020-02-24T00:00:00"/>
        <d v="2020-02-25T00:00:00"/>
        <d v="2020-02-28T00:00:00"/>
        <d v="2020-03-01T00:00:00"/>
        <d v="2020-03-02T00:00:00"/>
        <d v="2020-03-03T00:00:00"/>
        <d v="2020-03-06T00:00:00"/>
        <d v="2020-03-07T00:00:00"/>
        <d v="2020-03-08T00:00:00"/>
        <d v="2020-03-09T00:00:00"/>
        <d v="2020-03-10T00:00:00"/>
        <d v="2020-03-13T00:00:00"/>
        <d v="2020-03-15T00:00:00"/>
        <d v="2020-03-16T00:00:00"/>
        <d v="2020-03-17T00:00:00"/>
        <d v="2020-03-20T00:00:00"/>
        <d v="2020-03-21T00:00:00"/>
        <d v="2020-03-22T00:00:00"/>
        <d v="2020-03-23T00:00:00"/>
        <d v="2020-03-24T00:00:00"/>
        <d v="2020-03-25T00:00:00"/>
        <d v="2020-03-28T00:00:00"/>
        <d v="2020-03-29T00:00:00"/>
        <d v="2020-03-30T00:00:00"/>
        <d v="2020-03-31T00:00:00"/>
        <d v="2020-04-04T00:00:00"/>
        <d v="2020-04-05T00:00:00"/>
        <d v="2020-04-06T00:00:00"/>
        <d v="2020-04-07T00:00:00"/>
        <d v="2020-04-11T00:00:00"/>
        <d v="2020-04-12T00:00:00"/>
        <d v="2020-04-13T00:00:00"/>
        <d v="2020-04-18T00:00:00"/>
        <d v="2020-04-19T00:00:00"/>
        <d v="2020-04-20T00:00:00"/>
        <d v="2020-04-24T00:00:00"/>
        <d v="2020-04-25T00:00:00"/>
        <d v="2020-04-26T00:00:00"/>
        <d v="2020-04-27T00:00:00"/>
        <d v="2020-04-28T00:00:00"/>
        <d v="2020-04-30T00:00:00"/>
        <d v="2020-05-02T00:00:00"/>
        <d v="2020-05-03T00:00:00"/>
        <d v="2020-05-04T00:00:00"/>
        <d v="2020-05-05T00:00:00"/>
        <d v="2020-05-08T00:00:00"/>
        <d v="2020-05-10T00:00:00"/>
        <d v="2020-05-11T00:00:00"/>
        <d v="2020-05-12T00:00:00"/>
        <d v="2020-05-15T00:00:00"/>
        <d v="2020-05-17T00:00:00"/>
        <d v="2020-05-18T00:00:00"/>
        <d v="2020-05-19T00:00:00"/>
        <d v="2020-05-23T00:00:00"/>
        <d v="2020-05-25T00:00:00"/>
        <d v="2020-05-26T00:00:00"/>
        <d v="2020-05-29T00:00:00"/>
        <d v="2020-05-30T00:00:00"/>
        <d v="2020-05-31T00:00:00"/>
        <d v="2020-06-01T00:00:00"/>
        <d v="2020-06-02T00:00:00"/>
        <d v="2020-06-05T00:00:00"/>
        <d v="2020-06-08T00:00:00"/>
        <d v="2020-06-09T00:00:00"/>
        <d v="2020-06-13T00:00:00"/>
        <d v="2020-06-14T00:00:00"/>
        <d v="2020-06-16T00:00:00"/>
        <d v="2020-06-21T00:00:00"/>
        <d v="2020-06-23T00:00:00"/>
        <d v="2020-06-26T00:00:00"/>
        <d v="2020-06-27T00:00:00"/>
        <d v="2020-06-28T00:00:00"/>
        <d v="2020-06-29T00:00:00"/>
        <d v="2020-06-30T00:00:00"/>
        <d v="2020-07-05T00:00:00"/>
        <d v="2020-07-07T00:00:00"/>
        <d v="2020-07-10T00:00:00"/>
        <d v="2020-07-11T00:00:00"/>
        <d v="2020-07-14T00:00:00"/>
        <d v="2020-07-18T00:00:00"/>
        <d v="2020-07-20T00:00:00"/>
        <d v="2020-07-21T00:00:00"/>
        <d v="2020-07-25T00:00:00"/>
        <d v="2020-07-26T00:00:00"/>
        <d v="2020-07-28T00:00:00"/>
        <d v="2020-07-31T00:00:00"/>
        <d v="2020-08-01T00:00:00"/>
        <d v="2020-08-02T00:00:00"/>
        <d v="2020-08-04T00:00:00"/>
        <d v="2020-08-07T00:00:00"/>
        <d v="2020-08-09T00:00:00"/>
        <d v="2020-08-10T00:00:00"/>
        <d v="2020-08-11T00:00:00"/>
        <d v="2020-08-14T00:00:00"/>
        <d v="2020-08-15T00:00:00"/>
        <d v="2020-08-16T00:00:00"/>
        <d v="2020-08-17T00:00:00"/>
        <d v="2020-08-18T00:00:00"/>
        <d v="2020-08-21T00:00:00"/>
        <d v="2020-08-22T00:00:00"/>
        <d v="2020-08-24T00:00:00"/>
        <d v="2020-08-28T00:00:00"/>
        <d v="2020-08-29T00:00:00"/>
        <d v="2020-08-30T00:00:00"/>
        <d v="2020-08-31T00:00:00"/>
        <d v="2020-09-01T00:00:00"/>
        <d v="2020-09-04T00:00:00"/>
        <d v="2020-09-05T00:00:00"/>
        <d v="2020-09-06T00:00:00"/>
        <d v="2020-09-08T00:00:00"/>
        <d v="2020-09-09T00:00:00"/>
        <d v="2020-09-11T00:00:00"/>
        <d v="2020-09-15T00:00:00"/>
        <d v="2020-09-16T00:00:00"/>
        <d v="2020-09-18T00:00:00"/>
        <d v="2020-09-19T00:00:00"/>
        <d v="2020-09-20T00:00:00"/>
        <d v="2020-09-21T00:00:00"/>
        <d v="2020-09-22T00:00:00"/>
        <d v="2020-09-23T00:00:00"/>
        <d v="2020-09-25T00:00:00"/>
        <d v="2020-09-26T00:00:00"/>
        <d v="2020-09-27T00:00:00"/>
        <d v="2020-09-28T00:00:00"/>
        <d v="2020-09-29T00:00:00"/>
        <d v="2020-09-30T00:00:00"/>
        <d v="2020-10-02T00:00:00"/>
        <d v="2020-10-03T00:00:00"/>
        <d v="2020-10-05T00:00:00"/>
        <d v="2020-10-06T00:00:00"/>
        <d v="2020-10-09T00:00:00"/>
        <d v="2020-10-10T00:00:00"/>
        <d v="2020-10-12T00:00:00"/>
        <d v="2020-10-13T00:00:00"/>
        <d v="2020-10-16T00:00:00"/>
        <d v="2020-10-17T00:00:00"/>
        <d v="2020-10-18T00:00:00"/>
        <d v="2020-10-19T00:00:00"/>
        <d v="2020-10-20T00:00:00"/>
        <d v="2020-10-21T00:00:00"/>
        <d v="2020-10-23T00:00:00"/>
        <d v="2020-10-24T00:00:00"/>
        <d v="2020-10-25T00:00:00"/>
        <d v="2020-10-26T00:00:00"/>
        <d v="2020-10-27T00:00:00"/>
        <d v="2020-10-28T00:00:00"/>
        <d v="2020-10-30T00:00:00"/>
        <d v="2020-10-31T00:00:00"/>
        <d v="2020-11-06T00:00:00"/>
        <d v="2020-11-07T00:00:00"/>
        <d v="2020-11-08T00:00:00"/>
        <d v="2020-11-09T00:00:00"/>
        <d v="2020-11-10T00:00:00"/>
        <d v="2020-11-11T00:00:00"/>
        <d v="2020-11-13T00:00:00"/>
        <d v="2020-11-14T00:00:00"/>
        <d v="2020-11-16T00:00:00"/>
        <d v="2020-11-17T00:00:00"/>
        <d v="2020-11-18T00:00:00"/>
        <d v="2020-11-20T00:00:00"/>
        <d v="2020-11-21T00:00:00"/>
        <d v="2020-11-23T00:00:00"/>
        <d v="2020-11-24T00:00:00"/>
        <d v="2020-11-27T00:00:00"/>
        <d v="2020-11-28T00:00:00"/>
        <d v="2020-11-29T00:00:00"/>
        <d v="2020-11-30T00:00:00"/>
        <d v="2020-12-01T00:00:00"/>
        <d v="2020-12-05T00:00:00"/>
        <d v="2020-12-06T00:00:00"/>
        <d v="2020-12-07T00:00:00"/>
        <d v="2020-12-08T00:00:00"/>
        <d v="2020-12-09T00:00:00"/>
        <d v="2020-12-11T00:00:00"/>
        <d v="2020-12-12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6T00:00:00"/>
        <d v="2020-12-27T00:00:00"/>
        <d v="2020-12-28T00:00:00"/>
        <d v="2020-12-29T00:00:00"/>
        <d v="2020-12-30T00:00:00"/>
        <d v="2020-12-31T00:00:00"/>
        <d v="2021-01-02T00:00:00"/>
        <d v="2021-01-03T00:00:00"/>
        <d v="2021-01-04T00:00:00"/>
        <d v="2021-01-06T00:00:00"/>
        <d v="2021-01-08T00:00:00"/>
        <d v="2021-01-09T00:00:00"/>
        <d v="2021-01-10T00:00:00"/>
        <d v="2021-01-11T00:00:00"/>
        <d v="2021-01-12T00:00:00"/>
        <d v="2021-01-13T00:00:00"/>
        <d v="2021-01-15T00:00:00"/>
        <d v="2021-01-16T00:00:00"/>
        <d v="2021-01-17T00:00:00"/>
        <d v="2021-01-19T00:00:00"/>
        <d v="2021-01-20T00:00:00"/>
        <d v="2021-01-22T00:00:00"/>
        <d v="2021-01-23T00:00:00"/>
        <d v="2021-01-24T00:00:00"/>
        <d v="2021-01-25T00:00:00"/>
        <d v="2021-01-26T00:00:00"/>
        <d v="2021-01-29T00:00:00"/>
        <d v="2021-01-30T00:00:00"/>
        <d v="2021-01-31T00:00:00"/>
        <d v="2021-02-01T00:00:00"/>
        <d v="2021-02-03T00:00:00"/>
        <d v="2021-02-06T00:00:00"/>
        <d v="2021-02-07T00:00:00"/>
        <d v="2021-02-08T00:00:00"/>
        <d v="2021-02-09T00:00:00"/>
        <d v="2021-02-14T00:00:00"/>
        <d v="2021-02-15T00:00:00"/>
        <d v="2021-02-16T00:00:00"/>
        <d v="2021-02-17T00:00:00"/>
        <d v="2021-02-19T00:00:00"/>
        <d v="2021-02-20T00:00:00"/>
        <d v="2021-02-21T00:00:00"/>
        <d v="2021-02-22T00:00:00"/>
        <d v="2021-02-23T00:00:00"/>
        <d v="2021-02-24T00:00:00"/>
        <d v="2021-02-28T00:00:00"/>
        <d v="2021-03-02T00:00:00"/>
        <d v="2021-03-05T00:00:00"/>
        <d v="2021-03-06T00:00:00"/>
        <d v="2021-03-07T00:00:00"/>
        <d v="2021-03-08T00:00:00"/>
        <d v="2021-03-09T00:00:00"/>
        <d v="2021-03-10T00:00:00"/>
        <d v="2021-03-12T00:00:00"/>
        <d v="2021-03-13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6T00:00:00"/>
        <d v="2021-03-27T00:00:00"/>
        <d v="2021-03-28T00:00:00"/>
        <d v="2021-03-29T00:00:00"/>
        <d v="2021-03-31T00:00:00"/>
        <d v="2021-04-02T00:00:00"/>
        <d v="2021-04-03T00:00:00"/>
        <d v="2021-04-04T00:00:00"/>
        <d v="2021-04-06T00:00:00"/>
        <d v="2021-04-09T00:00:00"/>
        <d v="2021-04-10T00:00:00"/>
        <d v="2021-04-12T00:00:00"/>
        <d v="2021-04-13T00:00:00"/>
        <d v="2021-04-16T00:00:00"/>
        <d v="2021-04-17T00:00:00"/>
        <d v="2021-04-18T00:00:00"/>
        <d v="2021-04-19T00:00:00"/>
        <d v="2021-04-20T00:00:00"/>
        <d v="2021-04-23T00:00:00"/>
        <d v="2021-04-24T00:00:00"/>
        <d v="2021-04-25T00:00:00"/>
        <d v="2021-04-26T00:00:00"/>
        <d v="2021-04-27T00:00:00"/>
        <d v="2021-04-28T00:00:00"/>
        <d v="2021-04-30T00:00:00"/>
        <d v="2021-05-02T00:00:00"/>
        <d v="2021-05-03T00:00:00"/>
        <d v="2021-05-04T00:00:00"/>
        <d v="2021-05-07T00:00:00"/>
        <d v="2021-05-09T00:00:00"/>
        <d v="2021-05-10T00:00:00"/>
        <d v="2021-05-11T00:00:00"/>
        <d v="2021-05-14T00:00:00"/>
        <d v="2021-05-15T00:00:00"/>
        <d v="2021-05-16T00:00:00"/>
        <d v="2021-05-17T00:00:00"/>
        <d v="2021-05-18T00:00:00"/>
        <d v="2021-05-19T00:00:00"/>
        <d v="2021-05-21T00:00:00"/>
        <d v="2021-05-22T00:00:00"/>
        <d v="2021-05-23T00:00:00"/>
        <d v="2021-05-24T00:00:00"/>
        <d v="2021-05-25T00:00:00"/>
        <d v="2021-05-28T00:00:00"/>
        <d v="2021-05-29T00:00:00"/>
        <d v="2021-05-31T00:00:00"/>
        <d v="2021-06-01T00:00:00"/>
        <d v="2021-06-04T00:00:00"/>
        <d v="2021-06-05T00:00:00"/>
        <d v="2021-06-06T00:00:00"/>
        <d v="2021-06-07T00:00:00"/>
        <d v="2021-06-08T00:00:00"/>
        <d v="2021-06-11T00:00:00"/>
        <d v="2021-06-12T00:00:00"/>
        <d v="2021-06-13T00:00:00"/>
        <d v="2021-06-14T00:00:00"/>
        <d v="2021-06-15T00:00:00"/>
        <d v="2021-06-18T00:00:00"/>
        <d v="2021-06-19T00:00:00"/>
        <d v="2021-06-20T00:00:00"/>
        <d v="2021-06-21T00:00:00"/>
        <d v="2021-06-22T00:00:00"/>
        <d v="2021-06-25T00:00:00"/>
        <d v="2021-06-26T00:00:00"/>
        <d v="2021-06-27T00:00:00"/>
        <d v="2021-06-28T00:00:00"/>
        <d v="2021-06-29T00:00:00"/>
        <d v="2021-06-30T00:00:00"/>
        <d v="2021-07-02T00:00:00"/>
        <d v="2021-07-03T00:00:00"/>
        <d v="2021-07-04T00:00:00"/>
        <d v="2021-07-06T00:00:00"/>
        <d v="2021-07-09T00:00:00"/>
        <d v="2021-07-10T00:00:00"/>
        <d v="2021-07-11T00:00:00"/>
        <d v="2021-07-12T00:00:00"/>
        <d v="2021-07-13T00:00:00"/>
        <d v="2021-07-16T00:00:00"/>
        <d v="2021-07-18T00:00:00"/>
        <d v="2021-07-19T00:00:00"/>
        <d v="2021-07-20T00:00:00"/>
        <d v="2021-07-23T00:00:00"/>
        <d v="2021-07-24T00:00:00"/>
        <d v="2021-07-25T00:00:00"/>
        <d v="2021-07-26T00:00:00"/>
        <d v="2021-07-27T00:00:00"/>
        <d v="2021-07-30T00:00:00"/>
        <d v="2021-07-31T00:00:00"/>
        <d v="2021-08-01T00:00:00"/>
        <d v="2021-08-02T00:00:00"/>
        <d v="2021-08-03T00:00:00"/>
        <d v="2021-08-04T00:00:00"/>
        <d v="2021-08-06T00:00:00"/>
        <d v="2021-08-07T00:00:00"/>
        <d v="2021-08-08T00:00:00"/>
        <d v="2021-08-09T00:00:00"/>
        <d v="2021-08-10T00:00:00"/>
        <d v="2021-08-11T00:00:00"/>
        <d v="2021-08-13T00:00:00"/>
        <d v="2021-08-14T00:00:00"/>
        <d v="2021-08-15T00:00:00"/>
        <d v="2021-08-16T00:00:00"/>
        <d v="2021-08-17T00:00:00"/>
        <d v="2021-08-20T00:00:00"/>
        <d v="2021-08-21T00:00:00"/>
        <d v="2021-08-22T00:00:00"/>
        <d v="2021-08-23T00:00:00"/>
        <d v="2021-08-25T00:00:00"/>
        <d v="2021-08-27T00:00:00"/>
        <d v="2021-08-28T00:00:00"/>
        <d v="2021-08-29T00:00:00"/>
        <d v="2021-08-30T00:00:00"/>
        <d v="2021-08-31T00:00:00"/>
        <d v="2021-09-04T00:00:00"/>
        <d v="2021-09-05T00:00:00"/>
        <d v="2021-09-06T00:00:00"/>
        <d v="2021-09-07T00:00:00"/>
        <d v="2021-09-10T00:00:00"/>
        <d v="2021-09-11T00:00:00"/>
        <d v="2021-09-12T00:00:00"/>
        <d v="2021-09-13T00:00:00"/>
        <d v="2021-09-14T00:00:00"/>
        <d v="2021-09-17T00:00:00"/>
        <d v="2021-09-18T00:00:00"/>
        <d v="2021-09-20T00:00:00"/>
        <d v="2021-09-21T00:00:00"/>
        <d v="2021-09-24T00:00:00"/>
        <d v="2021-09-25T00:00:00"/>
        <d v="2021-09-26T00:00:00"/>
        <d v="2021-09-27T00:00:00"/>
        <d v="2021-09-28T00:00:00"/>
        <d v="2021-09-29T00:00:00"/>
        <d v="2021-10-01T00:00:00"/>
        <d v="2021-10-02T00:00:00"/>
        <d v="2021-10-03T00:00:00"/>
        <d v="2021-10-04T00:00:00"/>
        <d v="2021-10-05T00:00:00"/>
        <d v="2021-10-08T00:00:00"/>
        <d v="2021-10-09T00:00:00"/>
        <d v="2021-10-10T00:00:00"/>
        <d v="2021-10-11T00:00:00"/>
        <d v="2021-10-15T00:00:00"/>
        <d v="2021-10-16T00:00:00"/>
        <d v="2021-10-17T00:00:00"/>
        <d v="2021-10-18T00:00:00"/>
        <d v="2021-10-19T00:00:00"/>
        <d v="2021-10-22T00:00:00"/>
        <d v="2021-10-23T00:00:00"/>
        <d v="2021-10-24T00:00:00"/>
        <d v="2021-10-25T00:00:00"/>
        <d v="2021-10-26T00:00:00"/>
        <d v="2021-10-29T00:00:00"/>
        <d v="2021-10-30T00:00:00"/>
        <d v="2021-10-31T00:00:00"/>
        <d v="2021-11-05T00:00:00"/>
        <d v="2021-11-06T00:00:00"/>
        <d v="2021-11-07T00:00:00"/>
        <d v="2021-11-08T00:00:00"/>
        <d v="2021-11-09T00:00:00"/>
        <d v="2021-11-12T00:00:00"/>
        <d v="2021-11-13T00:00:00"/>
        <d v="2021-11-14T00:00:00"/>
        <d v="2021-11-19T00:00:00"/>
        <d v="2021-11-20T00:00:00"/>
        <d v="2021-11-21T00:00:00"/>
        <d v="2021-11-22T00:00:00"/>
        <d v="2021-11-23T00:00:00"/>
        <d v="2021-11-26T00:00:00"/>
        <d v="2021-11-27T00:00:00"/>
        <d v="2021-11-28T00:00:00"/>
        <d v="2021-11-29T00:00:00"/>
        <d v="2021-11-30T00:00:00"/>
        <d v="2021-12-03T00:00:00"/>
        <d v="2021-12-04T00:00:00"/>
        <d v="2021-12-05T00:00:00"/>
        <d v="2021-12-07T00:00:00"/>
        <d v="2021-12-08T00:00:00"/>
        <d v="2021-12-10T00:00:00"/>
        <d v="2021-12-11T00:00:00"/>
        <d v="2021-12-12T00:00:00"/>
        <d v="2021-12-13T00:00:00"/>
        <d v="2021-12-14T00:00:00"/>
        <d v="2021-12-15T00:00:00"/>
        <d v="2021-12-17T00:00:00"/>
        <d v="2021-12-18T00:00:00"/>
        <d v="2021-12-19T00:00:00"/>
        <d v="2021-12-20T00:00:00"/>
        <d v="2021-12-21T00:00:00"/>
        <d v="2021-12-26T00:00:00"/>
        <d v="2021-12-27T00:00:00"/>
        <d v="2021-12-28T00:00:00"/>
      </sharedItems>
    </cacheField>
    <cacheField name="Mês" numFmtId="0">
      <sharedItems count="12">
        <s v="abr"/>
        <s v="ago"/>
        <s v="dez"/>
        <s v="fev"/>
        <s v="jan"/>
        <s v="jul"/>
        <s v="jun"/>
        <s v="mai"/>
        <s v="mar"/>
        <s v="nov"/>
        <s v="out"/>
        <s v="set"/>
      </sharedItems>
    </cacheField>
    <cacheField name="Valor da Movimentação" numFmtId="0">
      <sharedItems containsSemiMixedTypes="0" containsString="0" containsNumber="1" minValue="-8667090.74" maxValue="5880630.74" count="2286">
        <n v="-8667090.74"/>
        <n v="-2860580.67"/>
        <n v="-1727170.95"/>
        <n v="-1668520.41"/>
        <n v="-1554300.18"/>
        <n v="-1077900.9"/>
        <n v="-1075800.83"/>
        <n v="-902585.45"/>
        <n v="-812239.96"/>
        <n v="-775500.39"/>
        <n v="-700406.25"/>
        <n v="-665839.55"/>
        <n v="-638780.52"/>
        <n v="-610251.5"/>
        <n v="-601700.34"/>
        <n v="-521179.89"/>
        <n v="-484174.57"/>
        <n v="-459519.24"/>
        <n v="-409102.96"/>
        <n v="-401900.1"/>
        <n v="-364602.46"/>
        <n v="-346054.56"/>
        <n v="-344551.62"/>
        <n v="-341987.52"/>
        <n v="-328975.5"/>
        <n v="-325989.02"/>
        <n v="-320000.47"/>
        <n v="-314443.15"/>
        <n v="-308503.69"/>
        <n v="-300118"/>
        <n v="-252399"/>
        <n v="-249995.2"/>
        <n v="-221420.05"/>
        <n v="-219340.8"/>
        <n v="-202576.36"/>
        <n v="-200492.74"/>
        <n v="-190408.86"/>
        <n v="-178472.98"/>
        <n v="-168527.94"/>
        <n v="-148038.97"/>
        <n v="-147313.34"/>
        <n v="-138939.75"/>
        <n v="-125585.46"/>
        <n v="-124783.4"/>
        <n v="-116606.84"/>
        <n v="-115920.56"/>
        <n v="-115453.8"/>
        <n v="-108749.49"/>
        <n v="-98349.41"/>
        <n v="-96427.91"/>
        <n v="-96356.19"/>
        <n v="-94487.65"/>
        <n v="-91697.94"/>
        <n v="-91488.46"/>
        <n v="-87633.56"/>
        <n v="-86426.2"/>
        <n v="-85596.63"/>
        <n v="-72793.81"/>
        <n v="-72160.62"/>
        <n v="-70156.7"/>
        <n v="-69192.69"/>
        <n v="-68761.25"/>
        <n v="-68445.65"/>
        <n v="-67964.58"/>
        <n v="-66647.46"/>
        <n v="-65839.9"/>
        <n v="-64376.96"/>
        <n v="-62689.41"/>
        <n v="-60985.84"/>
        <n v="-58333.24"/>
        <n v="-56543.41"/>
        <n v="-55308.61"/>
        <n v="-55102.95"/>
        <n v="-55054.72"/>
        <n v="-54835.27"/>
        <n v="-54723.38"/>
        <n v="-54346.18"/>
        <n v="-54094.78"/>
        <n v="-53845.89"/>
        <n v="-52582.64"/>
        <n v="-52571.37"/>
        <n v="-52492.86"/>
        <n v="-52366.58"/>
        <n v="-50829.66"/>
        <n v="-50196.58"/>
        <n v="-50054.38"/>
        <n v="-48696.69"/>
        <n v="-47653.24"/>
        <n v="-47621.81"/>
        <n v="-47473.16"/>
        <n v="-47338.2"/>
        <n v="-46308.26"/>
        <n v="-46305.94"/>
        <n v="-45870.58"/>
        <n v="-45217.55"/>
        <n v="-44458.43"/>
        <n v="-43794.8"/>
        <n v="-43456.63"/>
        <n v="-42971.46"/>
        <n v="-42054.04"/>
        <n v="-41889.75"/>
        <n v="-41650.98"/>
        <n v="-41110.58"/>
        <n v="-40775.42"/>
        <n v="-40383.35"/>
        <n v="-39599.21"/>
        <n v="-38837.72"/>
        <n v="-38441.87"/>
        <n v="-38396.61"/>
        <n v="-38148.18"/>
        <n v="-38140.48"/>
        <n v="-38105.9"/>
        <n v="-37859.85"/>
        <n v="-37748.62"/>
        <n v="-37314.66"/>
        <n v="-37299.57"/>
        <n v="-37276.96"/>
        <n v="-37149.7"/>
        <n v="-36989.86"/>
        <n v="-36921.54"/>
        <n v="-36915.03"/>
        <n v="-36773.14"/>
        <n v="-36762.99"/>
        <n v="-36258.22"/>
        <n v="-36172.36"/>
        <n v="-35065.8"/>
        <n v="-35008.09"/>
        <n v="-34827.87"/>
        <n v="-34746.95"/>
        <n v="-34603.59"/>
        <n v="-34553.61"/>
        <n v="-34449.35"/>
        <n v="-34023.5"/>
        <n v="-33452.27"/>
        <n v="-32881"/>
        <n v="-32501"/>
        <n v="-32327.09"/>
        <n v="-32210.13"/>
        <n v="-32026.82"/>
        <n v="-31745.07"/>
        <n v="-31673.08"/>
        <n v="-31334.03"/>
        <n v="-31277.4"/>
        <n v="-31200.61"/>
        <n v="-30993.52"/>
        <n v="-30972.9"/>
        <n v="-30904.58"/>
        <n v="-30790.31"/>
        <n v="-30602.85"/>
        <n v="-30563.75"/>
        <n v="-30403.17"/>
        <n v="-30235.56"/>
        <n v="-30080.82"/>
        <n v="-30050.97"/>
        <n v="-29824.55"/>
        <n v="-29796.59"/>
        <n v="-29546.44"/>
        <n v="-29448.34"/>
        <n v="-29194.41"/>
        <n v="-29054.87"/>
        <n v="-29011.47"/>
        <n v="-28993.69"/>
        <n v="-28782.67"/>
        <n v="-28703.61"/>
        <n v="-28487.94"/>
        <n v="-28426.16"/>
        <n v="-28192.61"/>
        <n v="-28095.34"/>
        <n v="-27944.63"/>
        <n v="-27883.03"/>
        <n v="-27764.73"/>
        <n v="-27710.87"/>
        <n v="-27596.8"/>
        <n v="-27375.08"/>
        <n v="-27220.9"/>
        <n v="-27154.12"/>
        <n v="-27058.57"/>
        <n v="-26854.87"/>
        <n v="-26740.25"/>
        <n v="-26497.84"/>
        <n v="-26404.91"/>
        <n v="-26040.46"/>
        <n v="-25991.07"/>
        <n v="-25981.66"/>
        <n v="-25890.03"/>
        <n v="-25871.48"/>
        <n v="-25832.59"/>
        <n v="-25809.56"/>
        <n v="-25319.95"/>
        <n v="-25191.39"/>
        <n v="-24883.92"/>
        <n v="-24697.4"/>
        <n v="-24120.57"/>
        <n v="-24038.91"/>
        <n v="-23800.67"/>
        <n v="-23560.92"/>
        <n v="-23471.6"/>
        <n v="-23455.36"/>
        <n v="-23386.48"/>
        <n v="-23383.82"/>
        <n v="-23317.14"/>
        <n v="-23201.05"/>
        <n v="-23064.9"/>
        <n v="-23030.18"/>
        <n v="-23009.74"/>
        <n v="-22964.55"/>
        <n v="-22931.02"/>
        <n v="-22847.58"/>
        <n v="-22648.78"/>
        <n v="-22555.79"/>
        <n v="-22498.56"/>
        <n v="-22411.24"/>
        <n v="-22255.66"/>
        <n v="-21575.3"/>
        <n v="-21533.93"/>
        <n v="-21333.41"/>
        <n v="-21327.99"/>
        <n v="-21279.62"/>
        <n v="-21190.16"/>
        <n v="-21119.11"/>
        <n v="-21087.85"/>
        <n v="-20997.76"/>
        <n v="-20959.47"/>
        <n v="-20882.58"/>
        <n v="-20864.41"/>
        <n v="-20577.87"/>
        <n v="-20571.6"/>
        <n v="-20457.82"/>
        <n v="-20446.37"/>
        <n v="-20228.53"/>
        <n v="-20126.82"/>
        <n v="-20083.11"/>
        <n v="-19964.28"/>
        <n v="-19869.92"/>
        <n v="-19747.88"/>
        <n v="-19634.27"/>
        <n v="-19623.73"/>
        <n v="-19540.71"/>
        <n v="-19487.55"/>
        <n v="-19385.21"/>
        <n v="-19297.81"/>
        <n v="-18974.69"/>
        <n v="-18918.13"/>
        <n v="-18793.32"/>
        <n v="-18780.93"/>
        <n v="-18547.27"/>
        <n v="-18327.12"/>
        <n v="-18300.38"/>
        <n v="-18167.21"/>
        <n v="-18161.47"/>
        <n v="-18159.23"/>
        <n v="-18157.62"/>
        <n v="-18144"/>
        <n v="-18103.75"/>
        <n v="-18095.11"/>
        <n v="-18065.32"/>
        <n v="-17997.84"/>
        <n v="-17940.2"/>
        <n v="-17876.53"/>
        <n v="-17741.08"/>
        <n v="-17656.24"/>
        <n v="-17556.95"/>
        <n v="-17480.44"/>
        <n v="-17412.01"/>
        <n v="-17342.12"/>
        <n v="-17336.2"/>
        <n v="-17322.55"/>
        <n v="-17101.14"/>
        <n v="-17051.06"/>
        <n v="-16937.9"/>
        <n v="-16889.18"/>
        <n v="-16841.37"/>
        <n v="-16700.08"/>
        <n v="-16526.41"/>
        <n v="-16507.58"/>
        <n v="-16479.02"/>
        <n v="-16438.87"/>
        <n v="-16246.2"/>
        <n v="-16125.94"/>
        <n v="-16124.01"/>
        <n v="-16096.68"/>
        <n v="-16072.04"/>
        <n v="-15987.41"/>
        <n v="-15964.69"/>
        <n v="-15943.55"/>
        <n v="-15811.74"/>
        <n v="-15626.8"/>
        <n v="-15272.11"/>
        <n v="-15228.12"/>
        <n v="-15170.33"/>
        <n v="-15160.6"/>
        <n v="-15146.99"/>
        <n v="-15106.46"/>
        <n v="-15080.49"/>
        <n v="-15057.53"/>
        <n v="-15033.97"/>
        <n v="-14987.63"/>
        <n v="-14931"/>
        <n v="-14836.64"/>
        <n v="-14813.19"/>
        <n v="-14786"/>
        <n v="-14709.84"/>
        <n v="-14655.52"/>
        <n v="-14566.2"/>
        <n v="-14372.75"/>
        <n v="-14244.3"/>
        <n v="-14236.5"/>
        <n v="-14227.54"/>
        <n v="-14189.63"/>
        <n v="-14145.29"/>
        <n v="-14137.2"/>
        <n v="-14103.67"/>
        <n v="-14034.2"/>
        <n v="-14026.88"/>
        <n v="-14021.98"/>
        <n v="-13990.1"/>
        <n v="-13976.34"/>
        <n v="-13968.54"/>
        <n v="-13908.79"/>
        <n v="-13813.73"/>
        <n v="-13801.27"/>
        <n v="-13794.48"/>
        <n v="-13777.51"/>
        <n v="-13708.8"/>
        <n v="-13635.23"/>
        <n v="-13584.17"/>
        <n v="-13543.88"/>
        <n v="-13513.96"/>
        <n v="-13512.1"/>
        <n v="-13481.83"/>
        <n v="-13455.09"/>
        <n v="-13450.43"/>
        <n v="-13427.61"/>
        <n v="-13397.48"/>
        <n v="-13372.98"/>
        <n v="-13318.62"/>
        <n v="-13287.51"/>
        <n v="-13267.24"/>
        <n v="-13182.4"/>
        <n v="-13149.08"/>
        <n v="-13096.27"/>
        <n v="-13088.81"/>
        <n v="-12996.24"/>
        <n v="-12993.12"/>
        <n v="-12987.03"/>
        <n v="-12986.65"/>
        <n v="-12956.93"/>
        <n v="-12924.28"/>
        <n v="-12901.35"/>
        <n v="-12884.1"/>
        <n v="-12854.87"/>
        <n v="-12823.09"/>
        <n v="-12812.87"/>
        <n v="-12705.14"/>
        <n v="-12701.43"/>
        <n v="-12666.15"/>
        <n v="-12497.28"/>
        <n v="-12399.1"/>
        <n v="-12386.68"/>
        <n v="-12335.96"/>
        <n v="-12322.35"/>
        <n v="-12298.02"/>
        <n v="-12260.4"/>
        <n v="-12252.8"/>
        <n v="-12216.37"/>
        <n v="-12209.12"/>
        <n v="-11954.88"/>
        <n v="-11882.92"/>
        <n v="-11858.88"/>
        <n v="-11795.25"/>
        <n v="-11749.78"/>
        <n v="-11749.22"/>
        <n v="-11705.3"/>
        <n v="-11694.38"/>
        <n v="-11682.09"/>
        <n v="-11647.9"/>
        <n v="-11634.53"/>
        <n v="-11606.49"/>
        <n v="-11567.19"/>
        <n v="-11557.14"/>
        <n v="-11510.38"/>
        <n v="-11502.44"/>
        <n v="-11502.23"/>
        <n v="-11464.57"/>
        <n v="-11458.72"/>
        <n v="-11424.84"/>
        <n v="-11416.34"/>
        <n v="-11414.06"/>
        <n v="-11393.73"/>
        <n v="-11377.94"/>
        <n v="-11322.82"/>
        <n v="-11298.77"/>
        <n v="-11286.59"/>
        <n v="-11231.68"/>
        <n v="-11227.72"/>
        <n v="-11190.27"/>
        <n v="-11143.27"/>
        <n v="-11134.97"/>
        <n v="-11123.53"/>
        <n v="-10955.21"/>
        <n v="-10901.1"/>
        <n v="-10855.71"/>
        <n v="-10848.43"/>
        <n v="-10752.63"/>
        <n v="-10634.51"/>
        <n v="-10599.3"/>
        <n v="-10510.85"/>
        <n v="-10500"/>
        <n v="-10421.36"/>
        <n v="-10352.55"/>
        <n v="-10322.2"/>
        <n v="-10314.4"/>
        <n v="-10305.61"/>
        <n v="-10292.59"/>
        <n v="-10209.96"/>
        <n v="-10201.98"/>
        <n v="-10194.77"/>
        <n v="-10147.34"/>
        <n v="-10132.01"/>
        <n v="-10066.74"/>
        <n v="-10058.79"/>
        <n v="-10052.7"/>
        <n v="-10015.95"/>
        <n v="-9910.92"/>
        <n v="-9879.21"/>
        <n v="-9770.81"/>
        <n v="-9658.11"/>
        <n v="-9593.85"/>
        <n v="-9425.36"/>
        <n v="-9415.88"/>
        <n v="-9351.93"/>
        <n v="-9328.38"/>
        <n v="-9299.75"/>
        <n v="-9288.44"/>
        <n v="-9237.83"/>
        <n v="-9158.66"/>
        <n v="-9150.37"/>
        <n v="-9112.18"/>
        <n v="-9067.98"/>
        <n v="-9051.91"/>
        <n v="-9011.52"/>
        <n v="-8958.81"/>
        <n v="-8955.38"/>
        <n v="-8880.87"/>
        <n v="-8845.83"/>
        <n v="-8818.04"/>
        <n v="-8806.49"/>
        <n v="-8806.28"/>
        <n v="-8781.54"/>
        <n v="-8756.41"/>
        <n v="-8720.81"/>
        <n v="-8711.01"/>
        <n v="-8699.53"/>
        <n v="-8697.05"/>
        <n v="-8496.29"/>
        <n v="-8445.92"/>
        <n v="-8443.65"/>
        <n v="-8434.06"/>
        <n v="-8413.86"/>
        <n v="-8378.79"/>
        <n v="-8377.08"/>
        <n v="-8377.01"/>
        <n v="-8329.37"/>
        <n v="-8309.39"/>
        <n v="-8275.61"/>
        <n v="-8254.19"/>
        <n v="-8228.26"/>
        <n v="-8197.63"/>
        <n v="-8187.8"/>
        <n v="-8117.27"/>
        <n v="-8056.65"/>
        <n v="-8019.62"/>
        <n v="-8011.78"/>
        <n v="-7937.86"/>
        <n v="-7889.7"/>
        <n v="-7858.55"/>
        <n v="-7855.86"/>
        <n v="-7831.85"/>
        <n v="-7817.36"/>
        <n v="-7796.88"/>
        <n v="-7781.31"/>
        <n v="-7733.22"/>
        <n v="-7721.91"/>
        <n v="-7715.4"/>
        <n v="-7708.82"/>
        <n v="-7707.18"/>
        <n v="-7692.16"/>
        <n v="-7646.94"/>
        <n v="-7615.27"/>
        <n v="-7609.35"/>
        <n v="-7596.82"/>
        <n v="-7582.51"/>
        <n v="-7508.1"/>
        <n v="-7501.27"/>
        <n v="-7500.26"/>
        <n v="-7499.84"/>
        <n v="-7493.78"/>
        <n v="-7479.33"/>
        <n v="-7454.9"/>
        <n v="-7443.87"/>
        <n v="-7422.03"/>
        <n v="-7375.55"/>
        <n v="-7374.12"/>
        <n v="-7365"/>
        <n v="-7277.06"/>
        <n v="-7271.46"/>
        <n v="-7271.08"/>
        <n v="-7242.62"/>
        <n v="-7227.36"/>
        <n v="-7207.1"/>
        <n v="-7183.44"/>
        <n v="-7146.9"/>
        <n v="-7137.13"/>
        <n v="-7122.15"/>
        <n v="-7111.41"/>
        <n v="-7082.71"/>
        <n v="-7068.6"/>
        <n v="-7067.17"/>
        <n v="-7064.3"/>
        <n v="-7028.42"/>
        <n v="-6997.2"/>
        <n v="-6995.03"/>
        <n v="-6991.46"/>
        <n v="-6968.68"/>
        <n v="-6940.36"/>
        <n v="-6932.45"/>
        <n v="-6927.2"/>
        <n v="-6872.39"/>
        <n v="-6865.78"/>
        <n v="-6856.54"/>
        <n v="-6850.83"/>
        <n v="-6848.21"/>
        <n v="-6785.84"/>
        <n v="-6728.86"/>
        <n v="-6725.43"/>
        <n v="-6720.46"/>
        <n v="-6717.31"/>
        <n v="-6715.17"/>
        <n v="-6711.34"/>
        <n v="-6662.71"/>
        <n v="-6610.1"/>
        <n v="-6599.15"/>
        <n v="-6505.56"/>
        <n v="-6453.16"/>
        <n v="-6443.85"/>
        <n v="-6437.1"/>
        <n v="-6435.52"/>
        <n v="-6434.93"/>
        <n v="-6372.45"/>
        <n v="-6360.59"/>
        <n v="-6310.5"/>
        <n v="-6303.36"/>
        <n v="-6251.07"/>
        <n v="-6247.5"/>
        <n v="-6219.5"/>
        <n v="-6212.05"/>
        <n v="-6204.8"/>
        <n v="-6197.52"/>
        <n v="-6154.72"/>
        <n v="-6144.29"/>
        <n v="-6129.69"/>
        <n v="-6126.12"/>
        <n v="-6122.55"/>
        <n v="-6108.66"/>
        <n v="-6096.37"/>
        <n v="-6071.03"/>
        <n v="-6069"/>
        <n v="-6067.22"/>
        <n v="-6065.26"/>
        <n v="-6060.08"/>
        <n v="-6052.9"/>
        <n v="-6022.66"/>
        <n v="-6005.93"/>
        <n v="-5989.13"/>
        <n v="-5973.21"/>
        <n v="-5949.41"/>
        <n v="-5947.62"/>
        <n v="-5944.65"/>
        <n v="-5935.13"/>
        <n v="-5899.71"/>
        <n v="-5894.49"/>
        <n v="-5889.31"/>
        <n v="-5886.93"/>
        <n v="-5845.6"/>
        <n v="-5826.24"/>
        <n v="-5822.08"/>
        <n v="-5797.19"/>
        <n v="-5772.69"/>
        <n v="-5771.5"/>
        <n v="-5770.17"/>
        <n v="-5769.19"/>
        <n v="-5769.12"/>
        <n v="-5731.08"/>
        <n v="-5726.28"/>
        <n v="-5714.38"/>
        <n v="-5713.79"/>
        <n v="-5709.03"/>
        <n v="-5700.31"/>
        <n v="-5656.07"/>
        <n v="-5652.5"/>
        <n v="-5650.51"/>
        <n v="-5618.03"/>
        <n v="-5616.94"/>
        <n v="-5540.64"/>
        <n v="-5539.45"/>
        <n v="-5502.04"/>
        <n v="-5426.4"/>
        <n v="-5416.22"/>
        <n v="-5386.05"/>
        <n v="-5366.8"/>
        <n v="-5294.98"/>
        <n v="-5157.85"/>
        <n v="-5126.1"/>
        <n v="-5072.34"/>
        <n v="-5023.27"/>
        <n v="-4875.75"/>
        <n v="-4869.66"/>
        <n v="-4856.22"/>
        <n v="-4853.77"/>
        <n v="-4807.92"/>
        <n v="-4807.39"/>
        <n v="-4800.15"/>
        <n v="-4756.57"/>
        <n v="-4747.61"/>
        <n v="-4711.63"/>
        <n v="-4711.42"/>
        <n v="-4663.33"/>
        <n v="-4633.76"/>
        <n v="-4607.16"/>
        <n v="-4581.89"/>
        <n v="-4492.18"/>
        <n v="-4485.57"/>
        <n v="-4480.46"/>
        <n v="-4412.94"/>
        <n v="-4335.94"/>
        <n v="-4257.19"/>
        <n v="-4239.97"/>
        <n v="-4217.57"/>
        <n v="-4146.84"/>
        <n v="-4080.79"/>
        <n v="-3995.67"/>
        <n v="-3881.89"/>
        <n v="-3869.71"/>
        <n v="-3845.31"/>
        <n v="-3831.52"/>
        <n v="-3823.82"/>
        <n v="-3797.08"/>
        <n v="-3695.23"/>
        <n v="-3691.31"/>
        <n v="-3681.02"/>
        <n v="-3615.15"/>
        <n v="-3562.97"/>
        <n v="-3556.46"/>
        <n v="-3545.05"/>
        <n v="-3507.77"/>
        <n v="-3499.51"/>
        <n v="-3395.39"/>
        <n v="-3382.33"/>
        <n v="-3342.26"/>
        <n v="-3329.48"/>
        <n v="-3318.67"/>
        <n v="-3300.68"/>
        <n v="-3288.88"/>
        <n v="-3279.92"/>
        <n v="-3254.2"/>
        <n v="-3205.27"/>
        <n v="-3189.76"/>
        <n v="-3184.55"/>
        <n v="-3179.4"/>
        <n v="-3171.32"/>
        <n v="-3166.24"/>
        <n v="-3146.08"/>
        <n v="-3139.26"/>
        <n v="-3105.48"/>
        <n v="-3087.6"/>
        <n v="-3077.66"/>
        <n v="-3056.76"/>
        <n v="-3047.21"/>
        <n v="-3045.63"/>
        <n v="-3044.93"/>
        <n v="-3030.02"/>
        <n v="-3020.85"/>
        <n v="-3017.35"/>
        <n v="-2997.86"/>
        <n v="-2981.06"/>
        <n v="-2967.65"/>
        <n v="-2924.99"/>
        <n v="-2915.75"/>
        <n v="-2907.31"/>
        <n v="-2904.41"/>
        <n v="-2891.49"/>
        <n v="-2860.31"/>
        <n v="-2856.63"/>
        <n v="-2843.96"/>
        <n v="-2841.93"/>
        <n v="-2833.67"/>
        <n v="-2769.66"/>
        <n v="-2758.25"/>
        <n v="-2741.97"/>
        <n v="-2729.09"/>
        <n v="-2720.83"/>
        <n v="-2708.9"/>
        <n v="-2681.21"/>
        <n v="-2624.16"/>
        <n v="-2616.15"/>
        <n v="-2581.78"/>
        <n v="-2565.22"/>
        <n v="-2522.98"/>
        <n v="-2512.51"/>
        <n v="-2500.12"/>
        <n v="-2431.38"/>
        <n v="-2422"/>
        <n v="-2417.94"/>
        <n v="-2382.28"/>
        <n v="-2380.07"/>
        <n v="-2340.7"/>
        <n v="-2302.83"/>
        <n v="-2299.96"/>
        <n v="-2288.27"/>
        <n v="-2264.64"/>
        <n v="-2264.47"/>
        <n v="-2249"/>
        <n v="-2242.98"/>
        <n v="-2234.86"/>
        <n v="-2222.19"/>
        <n v="-2219.56"/>
        <n v="-2217.15"/>
        <n v="-2215.78"/>
        <n v="-2199.75"/>
        <n v="-2188.41"/>
        <n v="-2180.71"/>
        <n v="-2155.65"/>
        <n v="-2144.31"/>
        <n v="-2132.76"/>
        <n v="-2131.43"/>
        <n v="-2131.01"/>
        <n v="-2130.1"/>
        <n v="-2110.54"/>
        <n v="-2100.95"/>
        <n v="-2079.14"/>
        <n v="-2074.87"/>
        <n v="-2071.44"/>
        <n v="-2062.97"/>
        <n v="-2060.77"/>
        <n v="-2049.04"/>
        <n v="-2033.64"/>
        <n v="-2033.12"/>
        <n v="-2022.06"/>
        <n v="-2004"/>
        <n v="-1993.99"/>
        <n v="-1972.78"/>
        <n v="-1972.01"/>
        <n v="-1968.82"/>
        <n v="-1945.23"/>
        <n v="-1923.11"/>
        <n v="-1915.87"/>
        <n v="-1903.9"/>
        <n v="-1895.39"/>
        <n v="-1893.68"/>
        <n v="-1892.14"/>
        <n v="-1885.52"/>
        <n v="-1875.3"/>
        <n v="-1874.25"/>
        <n v="-1825.04"/>
        <n v="-1823.64"/>
        <n v="-1812.51"/>
        <n v="-1799.28"/>
        <n v="-1771.14"/>
        <n v="-1771.04"/>
        <n v="-1768.41"/>
        <n v="-1767.43"/>
        <n v="-1767.15"/>
        <n v="-1758.02"/>
        <n v="-1754.73"/>
        <n v="-1749.27"/>
        <n v="-1748.74"/>
        <n v="-1747.87"/>
        <n v="-1744.65"/>
        <n v="-1731.8"/>
        <n v="-1731.45"/>
        <n v="-1725.33"/>
        <n v="-1715.98"/>
        <n v="-1707.3"/>
        <n v="-1696.45"/>
        <n v="-1695.75"/>
        <n v="-1692.67"/>
        <n v="-1690.05"/>
        <n v="-1682.14"/>
        <n v="-1679.48"/>
        <n v="-1679.3"/>
        <n v="-1678.43"/>
        <n v="-1672.76"/>
        <n v="-1662.19"/>
        <n v="-1644.97"/>
        <n v="-1644.86"/>
        <n v="-1637.65"/>
        <n v="-1627.47"/>
        <n v="-1607.8"/>
        <n v="-1600.34"/>
        <n v="-1590.09"/>
        <n v="-1584.35"/>
        <n v="-1577.63"/>
        <n v="-1572.17"/>
        <n v="-1544.48"/>
        <n v="-1524.18"/>
        <n v="-1519.77"/>
        <n v="-1483.48"/>
        <n v="-1476.55"/>
        <n v="-1462.16"/>
        <n v="-1455.3"/>
        <n v="-1431.08"/>
        <n v="-1426.6"/>
        <n v="-1423.24"/>
        <n v="-1416.77"/>
        <n v="-1403.19"/>
        <n v="-1398.99"/>
        <n v="-1393.21"/>
        <n v="-1386.63"/>
        <n v="-1371.44"/>
        <n v="-1364.79"/>
        <n v="-1364.44"/>
        <n v="-1351.32"/>
        <n v="-1344.77"/>
        <n v="-1324.61"/>
        <n v="-1313.8"/>
        <n v="-1299.1"/>
        <n v="-1286.22"/>
        <n v="-1269.91"/>
        <n v="-1256.43"/>
        <n v="-1242.82"/>
        <n v="-1235.05"/>
        <n v="-1186.54"/>
        <n v="-1179.92"/>
        <n v="-1178.35"/>
        <n v="-1165.19"/>
        <n v="-1163.26"/>
        <n v="-1148.35"/>
        <n v="-1146.08"/>
        <n v="-1143.38"/>
        <n v="-1139.88"/>
        <n v="-1139.15"/>
        <n v="-1114.72"/>
        <n v="-1090.25"/>
        <n v="-1088.4"/>
        <n v="-1080.45"/>
        <n v="-1059"/>
        <n v="-1041.85"/>
        <n v="-1035.69"/>
        <n v="-1023.65"/>
        <n v="-978.99"/>
        <n v="-965.97"/>
        <n v="-961.42"/>
        <n v="-954.25"/>
        <n v="-915.36"/>
        <n v="-910.42"/>
        <n v="-883.19"/>
        <n v="-856.38"/>
        <n v="-838.85"/>
        <n v="-818.3"/>
        <n v="-814.1"/>
        <n v="-803.36"/>
        <n v="-788.03"/>
        <n v="-785.02"/>
        <n v="-784.49"/>
        <n v="-781.24"/>
        <n v="-770.84"/>
        <n v="-768.43"/>
        <n v="-767.59"/>
        <n v="-764.51"/>
        <n v="-761.46"/>
        <n v="-749.21"/>
        <n v="-737.14"/>
        <n v="-735.7"/>
        <n v="-720.83"/>
        <n v="-717.61"/>
        <n v="-709.14"/>
        <n v="-708.16"/>
        <n v="-700.18"/>
        <n v="-695.98"/>
        <n v="-691.15"/>
        <n v="-680.47"/>
        <n v="-674.31"/>
        <n v="-641.2"/>
        <n v="-613.34"/>
        <n v="-608.34"/>
        <n v="-593.6"/>
        <n v="-592.66"/>
        <n v="-592.38"/>
        <n v="-591.85"/>
        <n v="-587.13"/>
        <n v="-575.75"/>
        <n v="-563.26"/>
        <n v="-543.8"/>
        <n v="-542.47"/>
        <n v="-539.56"/>
        <n v="-532.35"/>
        <n v="-517.55"/>
        <n v="-515.69"/>
        <n v="-508.1"/>
        <n v="-504.39"/>
        <n v="-493.99"/>
        <n v="-487.31"/>
        <n v="-480.59"/>
        <n v="-473.31"/>
        <n v="-461.51"/>
        <n v="-459.87"/>
        <n v="-459.17"/>
        <n v="-458.08"/>
        <n v="-457.1"/>
        <n v="-444.22"/>
        <n v="-433.23"/>
        <n v="-428.09"/>
        <n v="-416.12"/>
        <n v="-415.45"/>
        <n v="-413.63"/>
        <n v="-412.69"/>
        <n v="-409.15"/>
        <n v="-402.96"/>
        <n v="-402.85"/>
        <n v="-402.7"/>
        <n v="-401.98"/>
        <n v="-401.21"/>
        <n v="-389.38"/>
        <n v="-372.09"/>
        <n v="-370.09"/>
        <n v="-369.36"/>
        <n v="-362.81"/>
        <n v="-339.99"/>
        <n v="-335.55"/>
        <n v="-334.39"/>
        <n v="-331.45"/>
        <n v="-329.07"/>
        <n v="-326.73"/>
        <n v="-323.89"/>
        <n v="-323.3"/>
        <n v="-313.12"/>
        <n v="-304.01"/>
        <n v="-301.39"/>
        <n v="-299.57"/>
        <n v="-291.87"/>
        <n v="-287.91"/>
        <n v="-286.72"/>
        <n v="-282.8"/>
        <n v="-279.41"/>
        <n v="-268.56"/>
        <n v="-268.47"/>
        <n v="-261.7"/>
        <n v="-261.35"/>
        <n v="-258.27"/>
        <n v="-244.27"/>
        <n v="-236.71"/>
        <n v="-235.06"/>
        <n v="-233.14"/>
        <n v="-232.3"/>
        <n v="-230.86"/>
        <n v="-228.34"/>
        <n v="-226.52"/>
        <n v="-224.39"/>
        <n v="-211.98"/>
        <n v="-209.76"/>
        <n v="-205.98"/>
        <n v="-204.51"/>
        <n v="-197.26"/>
        <n v="-183.44"/>
        <n v="-182.84"/>
        <n v="-182.07"/>
        <n v="-173.6"/>
        <n v="-166.01"/>
        <n v="-159.36"/>
        <n v="-157.56"/>
        <n v="-156.96"/>
        <n v="-155.32"/>
        <n v="-153.06"/>
        <n v="-152.15"/>
        <n v="-151.73"/>
        <n v="-150.4"/>
        <n v="-150.36"/>
        <n v="-140.18"/>
        <n v="-138.71"/>
        <n v="-134.51"/>
        <n v="-129.99"/>
        <n v="-121.31"/>
        <n v="-121"/>
        <n v="-107.21"/>
        <n v="-98.77"/>
        <n v="-94.64"/>
        <n v="-66.89"/>
        <n v="-60.87"/>
        <n v="-54.22"/>
        <n v="-41.51"/>
        <n v="0"/>
        <n v="83.23"/>
        <n v="163.64"/>
        <n v="183.56"/>
        <n v="308.9"/>
        <n v="357.34"/>
        <n v="397.56"/>
        <n v="490.63"/>
        <n v="675.87"/>
        <n v="704.59"/>
        <n v="742.48"/>
        <n v="744.11"/>
        <n v="816"/>
        <n v="824.32"/>
        <n v="840.03"/>
        <n v="898.15"/>
        <n v="962.1"/>
        <n v="1034.03"/>
        <n v="1081.2"/>
        <n v="1137.01"/>
        <n v="1141.37"/>
        <n v="1142.71"/>
        <n v="1152.45"/>
        <n v="1165.46"/>
        <n v="1212.47"/>
        <n v="1274.97"/>
        <n v="1397.77"/>
        <n v="1401.93"/>
        <n v="1426.81"/>
        <n v="1519.71"/>
        <n v="1585.72"/>
        <n v="1634.76"/>
        <n v="1707.18"/>
        <n v="1723.91"/>
        <n v="1735.85"/>
        <n v="1774.17"/>
        <n v="1821.74"/>
        <n v="1829.81"/>
        <n v="1836.89"/>
        <n v="1862.08"/>
        <n v="1905.44"/>
        <n v="1909.44"/>
        <n v="2096.66"/>
        <n v="2102.93"/>
        <n v="2110.13"/>
        <n v="2152.44"/>
        <n v="2192.66"/>
        <n v="2256.2"/>
        <n v="2280.92"/>
        <n v="2355.05"/>
        <n v="2424.03"/>
        <n v="2426.62"/>
        <n v="2439.5"/>
        <n v="2452.43"/>
        <n v="2486.04"/>
        <n v="2490.74"/>
        <n v="2498.08"/>
        <n v="2505.43"/>
        <n v="2509.2"/>
        <n v="2522.56"/>
        <n v="2550"/>
        <n v="2564.45"/>
        <n v="2578.9"/>
        <n v="2585.89"/>
        <n v="2632.08"/>
        <n v="2633.06"/>
        <n v="2634.98"/>
        <n v="2648.6"/>
        <n v="2658.93"/>
        <n v="2714.23"/>
        <n v="2718.3"/>
        <n v="2762.32"/>
        <n v="2784.26"/>
        <n v="2788"/>
        <n v="2793.4"/>
        <n v="2795.37"/>
        <n v="2828.48"/>
        <n v="2850.83"/>
        <n v="2854.91"/>
        <n v="2857.7"/>
        <n v="2863.28"/>
        <n v="2864.5"/>
        <n v="2866.06"/>
        <n v="2872.26"/>
        <n v="2877.22"/>
        <n v="2883.03"/>
        <n v="2884.59"/>
        <n v="2902.31"/>
        <n v="2904.46"/>
        <n v="2927.4"/>
        <n v="2941.95"/>
        <n v="2962.97"/>
        <n v="2970.95"/>
        <n v="2997.1"/>
        <n v="3064.46"/>
        <n v="3064.77"/>
        <n v="3119.73"/>
        <n v="3121.28"/>
        <n v="3130.05"/>
        <n v="3136.5"/>
        <n v="3182.12"/>
        <n v="3189.86"/>
        <n v="3205.49"/>
        <n v="3213"/>
        <n v="3214.87"/>
        <n v="3218"/>
        <n v="3224.25"/>
        <n v="3239.89"/>
        <n v="3242.95"/>
        <n v="3252.41"/>
        <n v="3258.66"/>
        <n v="3262.13"/>
        <n v="3275.9"/>
        <n v="3309.87"/>
        <n v="3330.51"/>
        <n v="3407.8"/>
        <n v="3431.82"/>
        <n v="3441.44"/>
        <n v="3458.53"/>
        <n v="3480.44"/>
        <n v="3485"/>
        <n v="3494.38"/>
        <n v="3494.45"/>
        <n v="3539.76"/>
        <n v="3545.37"/>
        <n v="3546"/>
        <n v="3554.7"/>
        <n v="3560.63"/>
        <n v="3561.67"/>
        <n v="3565.16"/>
        <n v="3568.64"/>
        <n v="3575.61"/>
        <n v="3579.1"/>
        <n v="3582.47"/>
        <n v="3582.58"/>
        <n v="3586.39"/>
        <n v="3589.55"/>
        <n v="3606.94"/>
        <n v="3619.65"/>
        <n v="3632.9"/>
        <n v="3643.91"/>
        <n v="3645.31"/>
        <n v="3654.5"/>
        <n v="3663.5"/>
        <n v="3673.19"/>
        <n v="3673.24"/>
        <n v="3687.21"/>
        <n v="3694.1"/>
        <n v="3706"/>
        <n v="3708.78"/>
        <n v="3714.44"/>
        <n v="3715.14"/>
        <n v="3725.2"/>
        <n v="3736.77"/>
        <n v="3737.76"/>
        <n v="3756.99"/>
        <n v="3761.99"/>
        <n v="3781.48"/>
        <n v="3784.2"/>
        <n v="3833.5"/>
        <n v="3845.4"/>
        <n v="3888.04"/>
        <n v="3933.22"/>
        <n v="3937.06"/>
        <n v="3944.68"/>
        <n v="3948.51"/>
        <n v="3948.59"/>
        <n v="3950.53"/>
        <n v="3952.43"/>
        <n v="3964.27"/>
        <n v="3972.9"/>
        <n v="4004.79"/>
        <n v="4023.48"/>
        <n v="4029.85"/>
        <n v="4105.76"/>
        <n v="4136.98"/>
        <n v="4164.66"/>
        <n v="4165.17"/>
        <n v="4182"/>
        <n v="4214.72"/>
        <n v="4272.81"/>
        <n v="4286.55"/>
        <n v="4293.91"/>
        <n v="4299.1"/>
        <n v="4303.28"/>
        <n v="4315.82"/>
        <n v="4321.4"/>
        <n v="4332.02"/>
        <n v="4379.79"/>
        <n v="4465.05"/>
        <n v="4475.04"/>
        <n v="4516.97"/>
        <n v="4530.5"/>
        <n v="4603.87"/>
        <n v="4652.76"/>
        <n v="4684.62"/>
        <n v="4701.45"/>
        <n v="4710.36"/>
        <n v="4752.25"/>
        <n v="4761.83"/>
        <n v="4842.69"/>
        <n v="4879"/>
        <n v="4906.48"/>
        <n v="4921.42"/>
        <n v="4937.31"/>
        <n v="4970.12"/>
        <n v="4998"/>
        <n v="4998.68"/>
        <n v="5006.68"/>
        <n v="5047.69"/>
        <n v="5054.92"/>
        <n v="5063.57"/>
        <n v="5121.86"/>
        <n v="5128.9"/>
        <n v="5157.8"/>
        <n v="5227.5"/>
        <n v="5370.97"/>
        <n v="5378.09"/>
        <n v="5379.39"/>
        <n v="5400.64"/>
        <n v="5441.24"/>
        <n v="5449.39"/>
        <n v="5484.04"/>
        <n v="5495.17"/>
        <n v="5576"/>
        <n v="5581.66"/>
        <n v="5601.94"/>
        <n v="5602.92"/>
        <n v="5611.12"/>
        <n v="5691.6"/>
        <n v="5700.38"/>
        <n v="5737.7"/>
        <n v="5766.81"/>
        <n v="5769.85"/>
        <n v="5775.6"/>
        <n v="5825.05"/>
        <n v="5845.44"/>
        <n v="5861.6"/>
        <n v="5882.06"/>
        <n v="5893.98"/>
        <n v="5924.5"/>
        <n v="6015.55"/>
        <n v="6063.9"/>
        <n v="6067.69"/>
        <n v="6077.58"/>
        <n v="6081.9"/>
        <n v="6118.25"/>
        <n v="6123.04"/>
        <n v="6127.84"/>
        <n v="6131.71"/>
        <n v="6175.35"/>
        <n v="6200.91"/>
        <n v="6226.79"/>
        <n v="6231.4"/>
        <n v="6249.79"/>
        <n v="6259.85"/>
        <n v="6273"/>
        <n v="6283.31"/>
        <n v="6302.78"/>
        <n v="6320.38"/>
        <n v="6324"/>
        <n v="6361.74"/>
        <n v="6426.09"/>
        <n v="6426.12"/>
        <n v="6434.06"/>
        <n v="6444.59"/>
        <n v="6451.93"/>
        <n v="6454.18"/>
        <n v="6510.7"/>
        <n v="6511.68"/>
        <n v="6515.79"/>
        <n v="6569.3"/>
        <n v="6576.79"/>
        <n v="6583.79"/>
        <n v="6588.93"/>
        <n v="6621.5"/>
        <n v="6642.6"/>
        <n v="6655.91"/>
        <n v="6665.02"/>
        <n v="6686.85"/>
        <n v="6703.73"/>
        <n v="6712.31"/>
        <n v="6716.79"/>
        <n v="6720.16"/>
        <n v="6720.29"/>
        <n v="6732"/>
        <n v="6776.09"/>
        <n v="6785.95"/>
        <n v="6833.68"/>
        <n v="6836.33"/>
        <n v="6889.97"/>
        <n v="6891.35"/>
        <n v="6892.72"/>
        <n v="6905.48"/>
        <n v="6909.96"/>
        <n v="6916.24"/>
        <n v="6961.74"/>
        <n v="6970"/>
        <n v="7007.32"/>
        <n v="7009.77"/>
        <n v="7031.3"/>
        <n v="7066.01"/>
        <n v="7067.39"/>
        <n v="7068.27"/>
        <n v="7072.15"/>
        <n v="7081.23"/>
        <n v="7111.09"/>
        <n v="7121.83"/>
        <n v="7128.57"/>
        <n v="7138"/>
        <n v="7140.34"/>
        <n v="7140.37"/>
        <n v="7162.05"/>
        <n v="7177.81"/>
        <n v="7199.86"/>
        <n v="7200.63"/>
        <n v="7204.06"/>
        <n v="7250.96"/>
        <n v="7253.34"/>
        <n v="7253.42"/>
        <n v="7253.66"/>
        <n v="7253.71"/>
        <n v="7254.69"/>
        <n v="7261.48"/>
        <n v="7266.86"/>
        <n v="7271.19"/>
        <n v="7289.15"/>
        <n v="7318.5"/>
        <n v="7321.25"/>
        <n v="7330.71"/>
        <n v="7391.72"/>
        <n v="7412"/>
        <n v="7413"/>
        <n v="7431.74"/>
        <n v="7434.51"/>
        <n v="7451.64"/>
        <n v="7467.7"/>
        <n v="7476.89"/>
        <n v="7490.11"/>
        <n v="7513.07"/>
        <n v="7538.71"/>
        <n v="7552.45"/>
        <n v="7552.76"/>
        <n v="7554.46"/>
        <n v="7563.99"/>
        <n v="7633.59"/>
        <n v="7637.76"/>
        <n v="7667"/>
        <n v="7706.07"/>
        <n v="7725.59"/>
        <n v="7738.77"/>
        <n v="7767.7"/>
        <n v="7789.11"/>
        <n v="7853.16"/>
        <n v="7861.36"/>
        <n v="7868.59"/>
        <n v="7883.84"/>
        <n v="7904.52"/>
        <n v="7916.23"/>
        <n v="7946.53"/>
        <n v="7956.3"/>
        <n v="7956.47"/>
        <n v="7967.77"/>
        <n v="7969.59"/>
        <n v="7970.02"/>
        <n v="7980.53"/>
        <n v="7990.16"/>
        <n v="8014.1"/>
        <n v="8029.89"/>
        <n v="8052.94"/>
        <n v="8066.67"/>
        <n v="8084.43"/>
        <n v="8094.2"/>
        <n v="8171.21"/>
        <n v="8185.84"/>
        <n v="8194.89"/>
        <n v="8259.2"/>
        <n v="8281.87"/>
        <n v="8285.14"/>
        <n v="8286.06"/>
        <n v="8299.09"/>
        <n v="8304.83"/>
        <n v="8306.88"/>
        <n v="8330"/>
        <n v="8337.13"/>
        <n v="8347.84"/>
        <n v="8364"/>
        <n v="8367.99"/>
        <n v="8371.56"/>
        <n v="8375.32"/>
        <n v="8375.34"/>
        <n v="8388.66"/>
        <n v="8399.87"/>
        <n v="8415.62"/>
        <n v="8438.04"/>
        <n v="8449.95"/>
        <n v="8463.32"/>
        <n v="8500"/>
        <n v="8508.92"/>
        <n v="8514.86"/>
        <n v="8516.45"/>
        <n v="8521.79"/>
        <n v="8557.74"/>
        <n v="8563.24"/>
        <n v="8573.1"/>
        <n v="8580.77"/>
        <n v="8598.76"/>
        <n v="8648.87"/>
        <n v="8662.37"/>
        <n v="8676.23"/>
        <n v="8680.12"/>
        <n v="8707.21"/>
        <n v="8718.31"/>
        <n v="8765.35"/>
        <n v="8776.27"/>
        <n v="8803.68"/>
        <n v="8806.51"/>
        <n v="8806.67"/>
        <n v="8817.74"/>
        <n v="8831.52"/>
        <n v="8850.73"/>
        <n v="8852.86"/>
        <n v="8862.54"/>
        <n v="8872.93"/>
        <n v="8897.11"/>
        <n v="8903.59"/>
        <n v="8949.97"/>
        <n v="8961.75"/>
        <n v="8968.58"/>
        <n v="8986.59"/>
        <n v="8992.32"/>
        <n v="9002.42"/>
        <n v="9027.05"/>
        <n v="9028.47"/>
        <n v="9037.01"/>
        <n v="9050.02"/>
        <n v="9056.7"/>
        <n v="9064.4"/>
        <n v="9065.47"/>
        <n v="9073.24"/>
        <n v="9116.05"/>
        <n v="9121.73"/>
        <n v="9163.85"/>
        <n v="9166.39"/>
        <n v="9171.23"/>
        <n v="9172.94"/>
        <n v="9177.22"/>
        <n v="9203.62"/>
        <n v="9260.78"/>
        <n v="9287.47"/>
        <n v="9311.54"/>
        <n v="9314.56"/>
        <n v="9354.02"/>
        <n v="9395.65"/>
        <n v="9443.32"/>
        <n v="9492.3"/>
        <n v="9500.02"/>
        <n v="9513.83"/>
        <n v="9551.8"/>
        <n v="9554.34"/>
        <n v="9579.05"/>
        <n v="9623.57"/>
        <n v="9627.83"/>
        <n v="9640.94"/>
        <n v="9661.85"/>
        <n v="9679.04"/>
        <n v="9682.66"/>
        <n v="9723.46"/>
        <n v="9729.77"/>
        <n v="9790.9"/>
        <n v="9805.01"/>
        <n v="9822.6"/>
        <n v="9830.69"/>
        <n v="9847.06"/>
        <n v="9910.15"/>
        <n v="9946.9"/>
        <n v="9966.34"/>
        <n v="10022.91"/>
        <n v="10063.75"/>
        <n v="10118.26"/>
        <n v="10126.17"/>
        <n v="10290.44"/>
        <n v="10354.89"/>
        <n v="10388.56"/>
        <n v="10391.57"/>
        <n v="10398.83"/>
        <n v="10414.51"/>
        <n v="10419.06"/>
        <n v="10420.1"/>
        <n v="10443.75"/>
        <n v="10460.91"/>
        <n v="10490.32"/>
        <n v="10494.56"/>
        <n v="10501.2"/>
        <n v="10551.23"/>
        <n v="10561.98"/>
        <n v="10622.06"/>
        <n v="10624.17"/>
        <n v="10659.44"/>
        <n v="10665.14"/>
        <n v="10676.39"/>
        <n v="10693.19"/>
        <n v="10693.2"/>
        <n v="10729.87"/>
        <n v="10750.15"/>
        <n v="10752.19"/>
        <n v="10772.11"/>
        <n v="10806.03"/>
        <n v="10810.67"/>
        <n v="10849"/>
        <n v="10879.9"/>
        <n v="10914.08"/>
        <n v="10925.14"/>
        <n v="10932.74"/>
        <n v="10939.37"/>
        <n v="10955.76"/>
        <n v="10962.27"/>
        <n v="11007.65"/>
        <n v="11007.69"/>
        <n v="11024.32"/>
        <n v="11028.96"/>
        <n v="11033.52"/>
        <n v="11060.34"/>
        <n v="11084.74"/>
        <n v="11115.17"/>
        <n v="11130.79"/>
        <n v="11133.04"/>
        <n v="11146.98"/>
        <n v="11158.8"/>
        <n v="11159.92"/>
        <n v="11166.26"/>
        <n v="11205.94"/>
        <n v="11245.35"/>
        <n v="11247.48"/>
        <n v="11296.39"/>
        <n v="11303.66"/>
        <n v="11342.96"/>
        <n v="11347.25"/>
        <n v="11365.56"/>
        <n v="11451.98"/>
        <n v="11456.64"/>
        <n v="11473.79"/>
        <n v="11474.57"/>
        <n v="11477.74"/>
        <n v="11500.12"/>
        <n v="11568.04"/>
        <n v="11656.12"/>
        <n v="11681.45"/>
        <n v="11700.69"/>
        <n v="11706.24"/>
        <n v="11714.62"/>
        <n v="11776.47"/>
        <n v="11787.36"/>
        <n v="11787.39"/>
        <n v="11822.36"/>
        <n v="11822.4"/>
        <n v="11835.65"/>
        <n v="11862.27"/>
        <n v="11865.55"/>
        <n v="11868.47"/>
        <n v="11872.8"/>
        <n v="11966.91"/>
        <n v="11976.84"/>
        <n v="11979.13"/>
        <n v="11984.4"/>
        <n v="11999.76"/>
        <n v="12013.16"/>
        <n v="12024.23"/>
        <n v="12034.07"/>
        <n v="12067.34"/>
        <n v="12079.26"/>
        <n v="12086.88"/>
        <n v="12100.75"/>
        <n v="12102.91"/>
        <n v="12103.48"/>
        <n v="12143.42"/>
        <n v="12148.43"/>
        <n v="12178.7"/>
        <n v="12216.9"/>
        <n v="12261.57"/>
        <n v="12338.74"/>
        <n v="12354.38"/>
        <n v="12365.96"/>
        <n v="12398.36"/>
        <n v="12424.62"/>
        <n v="12444.73"/>
        <n v="12454.02"/>
        <n v="12464.82"/>
        <n v="12477.92"/>
        <n v="12503.92"/>
        <n v="12528.5"/>
        <n v="12585.09"/>
        <n v="12651.44"/>
        <n v="12706.76"/>
        <n v="12753.84"/>
        <n v="12762.7"/>
        <n v="12769.64"/>
        <n v="12779.75"/>
        <n v="12865.26"/>
        <n v="12881.81"/>
        <n v="12937.19"/>
        <n v="12972.8"/>
        <n v="13037.72"/>
        <n v="13051.1"/>
        <n v="13064.16"/>
        <n v="13120.2"/>
        <n v="13122.43"/>
        <n v="13127.19"/>
        <n v="13152.64"/>
        <n v="13179.98"/>
        <n v="13194.71"/>
        <n v="13200.67"/>
        <n v="13228.75"/>
        <n v="13237.83"/>
        <n v="13243.77"/>
        <n v="13260"/>
        <n v="13273.4"/>
        <n v="13294.77"/>
        <n v="13298.84"/>
        <n v="13313.33"/>
        <n v="13323.91"/>
        <n v="13411.49"/>
        <n v="13451.88"/>
        <n v="13465.48"/>
        <n v="13521.8"/>
        <n v="13544.81"/>
        <n v="13552.14"/>
        <n v="13555.12"/>
        <n v="13579.56"/>
        <n v="13636.41"/>
        <n v="13702.9"/>
        <n v="13726.31"/>
        <n v="13764.49"/>
        <n v="13780.12"/>
        <n v="13784.21"/>
        <n v="13790.4"/>
        <n v="13808.25"/>
        <n v="13845.39"/>
        <n v="13850.97"/>
        <n v="13862.06"/>
        <n v="13882.39"/>
        <n v="13900.55"/>
        <n v="13901.04"/>
        <n v="13908.98"/>
        <n v="13993.22"/>
        <n v="14099.35"/>
        <n v="14104.88"/>
        <n v="14162.95"/>
        <n v="14229.71"/>
        <n v="14244.3"/>
        <n v="14315.69"/>
        <n v="14324.56"/>
        <n v="14345.21"/>
        <n v="14398.73"/>
        <n v="14417.98"/>
        <n v="14431.38"/>
        <n v="14515.93"/>
        <n v="14519.36"/>
        <n v="14590.2"/>
        <n v="14612.2"/>
        <n v="14615.67"/>
        <n v="14635.32"/>
        <n v="14641.42"/>
        <n v="14717.48"/>
        <n v="14734.93"/>
        <n v="14789.49"/>
        <n v="14789.51"/>
        <n v="14790"/>
        <n v="14791.51"/>
        <n v="14795"/>
        <n v="14844.06"/>
        <n v="14870.56"/>
        <n v="14912.55"/>
        <n v="14931.12"/>
        <n v="14960"/>
        <n v="14981.76"/>
        <n v="15078.71"/>
        <n v="15079.72"/>
        <n v="15098.48"/>
        <n v="15106.45"/>
        <n v="15114.57"/>
        <n v="15131.57"/>
        <n v="15135.12"/>
        <n v="15151.98"/>
        <n v="15186.66"/>
        <n v="15186.68"/>
        <n v="15195.91"/>
        <n v="15202.6"/>
        <n v="15213.99"/>
        <n v="15241.78"/>
        <n v="15275.52"/>
        <n v="15279.54"/>
        <n v="15339.38"/>
        <n v="15346.59"/>
        <n v="15431.16"/>
        <n v="15509.01"/>
        <n v="15515.26"/>
        <n v="15527.92"/>
        <n v="15569.66"/>
        <n v="15695.47"/>
        <n v="15696.91"/>
        <n v="15725.24"/>
        <n v="15736.84"/>
        <n v="15794.69"/>
        <n v="15810.16"/>
        <n v="15842.71"/>
        <n v="15876.76"/>
        <n v="15905.63"/>
        <n v="15909.89"/>
        <n v="15980.3"/>
        <n v="16004.76"/>
        <n v="16048.64"/>
        <n v="16050.54"/>
        <n v="16059.48"/>
        <n v="16068.9"/>
        <n v="16091.45"/>
        <n v="16114.67"/>
        <n v="16187.82"/>
        <n v="16199.38"/>
        <n v="16223.23"/>
        <n v="16228.27"/>
        <n v="16348.31"/>
        <n v="16361.62"/>
        <n v="16382.33"/>
        <n v="16392.99"/>
        <n v="16481.62"/>
        <n v="16482.1"/>
        <n v="16502.82"/>
        <n v="16513.81"/>
        <n v="16530.51"/>
        <n v="16565.59"/>
        <n v="16574.32"/>
        <n v="16585.97"/>
        <n v="16632.96"/>
        <n v="16642.84"/>
        <n v="16667.85"/>
        <n v="16734.62"/>
        <n v="16863.98"/>
        <n v="16893.06"/>
        <n v="16917.94"/>
        <n v="16991.5"/>
        <n v="17000"/>
        <n v="17004.11"/>
        <n v="17122.84"/>
        <n v="17134.86"/>
        <n v="17146.6"/>
        <n v="17159.73"/>
        <n v="17159.86"/>
        <n v="17170"/>
        <n v="17172.93"/>
        <n v="17205.61"/>
        <n v="17258.54"/>
        <n v="17395.68"/>
        <n v="17445.81"/>
        <n v="17492.21"/>
        <n v="17496.19"/>
        <n v="17580.31"/>
        <n v="17634.19"/>
        <n v="17733.73"/>
        <n v="17891.3"/>
        <n v="17897.63"/>
        <n v="17897.69"/>
        <n v="17945.91"/>
        <n v="17957.02"/>
        <n v="18169.12"/>
        <n v="18172.72"/>
        <n v="18325.45"/>
        <n v="18443.49"/>
        <n v="18451.73"/>
        <n v="18488.69"/>
        <n v="18713.37"/>
        <n v="18778.9"/>
        <n v="18979.42"/>
        <n v="19194.43"/>
        <n v="19280.69"/>
        <n v="19306.02"/>
        <n v="19435.42"/>
        <n v="19441.39"/>
        <n v="19441.4"/>
        <n v="19550"/>
        <n v="19671.05"/>
        <n v="19730.22"/>
        <n v="19778.37"/>
        <n v="19825.57"/>
        <n v="19909.09"/>
        <n v="19935.13"/>
        <n v="19969.7"/>
        <n v="19985.77"/>
        <n v="19990"/>
        <n v="20029.82"/>
        <n v="20066.57"/>
        <n v="20088.43"/>
        <n v="20129.92"/>
        <n v="20182.18"/>
        <n v="20212.66"/>
        <n v="20237.57"/>
        <n v="20266.5"/>
        <n v="20369.6"/>
        <n v="20394.98"/>
        <n v="20418.37"/>
        <n v="20530.29"/>
        <n v="20557.53"/>
        <n v="20680.85"/>
        <n v="20685.13"/>
        <n v="20848.56"/>
        <n v="20867.31"/>
        <n v="21016.66"/>
        <n v="21016.83"/>
        <n v="21039.6"/>
        <n v="21040.24"/>
        <n v="21052.64"/>
        <n v="21086.08"/>
        <n v="21191.17"/>
        <n v="21250"/>
        <n v="21306.93"/>
        <n v="21306.95"/>
        <n v="21447.84"/>
        <n v="21452.97"/>
        <n v="21501.28"/>
        <n v="21749.12"/>
        <n v="21760"/>
        <n v="21767.71"/>
        <n v="21777.41"/>
        <n v="21853.64"/>
        <n v="21862"/>
        <n v="21899.03"/>
        <n v="21901.75"/>
        <n v="21907.49"/>
        <n v="21914.43"/>
        <n v="21931.3"/>
        <n v="21933.78"/>
        <n v="22005.79"/>
        <n v="22028.43"/>
        <n v="22142.09"/>
        <n v="22169.61"/>
        <n v="22187.11"/>
        <n v="22198.77"/>
        <n v="22212.69"/>
        <n v="22212.71"/>
        <n v="22257.05"/>
        <n v="22270"/>
        <n v="22291.73"/>
        <n v="22400.42"/>
        <n v="22439.71"/>
        <n v="22558.97"/>
        <n v="22579.01"/>
        <n v="22606.83"/>
        <n v="22655.41"/>
        <n v="22795.77"/>
        <n v="22808.55"/>
        <n v="22837.46"/>
        <n v="23012.32"/>
        <n v="23029.31"/>
        <n v="23029.34"/>
        <n v="23064.44"/>
        <n v="23258.42"/>
        <n v="23343.56"/>
        <n v="23474.04"/>
        <n v="23480.29"/>
        <n v="23511.04"/>
        <n v="23719.25"/>
        <n v="24086.49"/>
        <n v="24381.58"/>
        <n v="24473.54"/>
        <n v="24922.59"/>
        <n v="24967.63"/>
        <n v="25057.32"/>
        <n v="25124.57"/>
        <n v="25150.01"/>
        <n v="25174.05"/>
        <n v="25444.35"/>
        <n v="25456.65"/>
        <n v="25495.43"/>
        <n v="25568"/>
        <n v="25683.28"/>
        <n v="25752.96"/>
        <n v="25889.23"/>
        <n v="26160.38"/>
        <n v="26409.16"/>
        <n v="26456.98"/>
        <n v="26464.83"/>
        <n v="26489.33"/>
        <n v="26632.88"/>
        <n v="26646.75"/>
        <n v="26690.35"/>
        <n v="26959.23"/>
        <n v="27209.43"/>
        <n v="27280.56"/>
        <n v="27529.6"/>
        <n v="27543.76"/>
        <n v="27617.04"/>
        <n v="27689.42"/>
        <n v="27820.37"/>
        <n v="28020.38"/>
        <n v="28023.1"/>
        <n v="28136.57"/>
        <n v="28176.22"/>
        <n v="28333.22"/>
        <n v="28333.34"/>
        <n v="28661.28"/>
        <n v="28701.84"/>
        <n v="28835.76"/>
        <n v="28844.42"/>
        <n v="29222.45"/>
        <n v="29272.89"/>
        <n v="29336.04"/>
        <n v="29522.28"/>
        <n v="29823.06"/>
        <n v="29846.86"/>
        <n v="30338.94"/>
        <n v="30689.51"/>
        <n v="30737.65"/>
        <n v="31018.71"/>
        <n v="31085.64"/>
        <n v="31229.13"/>
        <n v="31493.7"/>
        <n v="31757.44"/>
        <n v="31847.52"/>
        <n v="31901.22"/>
        <n v="32102.08"/>
        <n v="32545.27"/>
        <n v="33295.03"/>
        <n v="33445.86"/>
        <n v="33631.54"/>
        <n v="34000"/>
        <n v="34397.94"/>
        <n v="34782.89"/>
        <n v="34797.21"/>
        <n v="34877.89"/>
        <n v="35087.92"/>
        <n v="35244.33"/>
        <n v="35406.61"/>
        <n v="35586.66"/>
        <n v="35586.68"/>
        <n v="35956.33"/>
        <n v="36046.82"/>
        <n v="36273.02"/>
        <n v="36468.8"/>
        <n v="36573.5"/>
        <n v="37049.79"/>
        <n v="37443.87"/>
        <n v="37552.47"/>
        <n v="37824.02"/>
        <n v="37938.72"/>
        <n v="38593.9"/>
        <n v="39898.4"/>
        <n v="40027.59"/>
        <n v="40415.69"/>
        <n v="40552.67"/>
        <n v="40631.74"/>
        <n v="41016.7"/>
        <n v="41916.71"/>
        <n v="42279.35"/>
        <n v="42301.72"/>
        <n v="43077.48"/>
        <n v="43144.62"/>
        <n v="45088.74"/>
        <n v="45437.88"/>
        <n v="45512.4"/>
        <n v="46328.66"/>
        <n v="46354.78"/>
        <n v="46483.35"/>
        <n v="47466.89"/>
        <n v="47788.02"/>
        <n v="47841.3"/>
        <n v="48208.98"/>
        <n v="48298.19"/>
        <n v="48301.46"/>
        <n v="48497.91"/>
        <n v="49758.09"/>
        <n v="49777.39"/>
        <n v="50343.85"/>
        <n v="50512.14"/>
        <n v="50662.17"/>
        <n v="51670.45"/>
        <n v="51878.81"/>
        <n v="52449.43"/>
        <n v="53163.76"/>
        <n v="53223.99"/>
        <n v="53909.85"/>
        <n v="53951.01"/>
        <n v="54509.33"/>
        <n v="56502.7"/>
        <n v="57697.6"/>
        <n v="57804.8"/>
        <n v="58046.97"/>
        <n v="58483.34"/>
        <n v="59370.45"/>
        <n v="59446.56"/>
        <n v="59738"/>
        <n v="60753.3"/>
        <n v="60772.69"/>
        <n v="61361.5"/>
        <n v="61392.81"/>
        <n v="62652.25"/>
        <n v="63163.03"/>
        <n v="64248.76"/>
        <n v="64435.32"/>
        <n v="64557.4"/>
        <n v="64570.97"/>
        <n v="64939.68"/>
        <n v="66367.47"/>
        <n v="66547.64"/>
        <n v="66633.33"/>
        <n v="67220.64"/>
        <n v="67233.29"/>
        <n v="67243.43"/>
        <n v="68110.5"/>
        <n v="68377.58"/>
        <n v="69191.51"/>
        <n v="69633.97"/>
        <n v="69749.57"/>
        <n v="69972"/>
        <n v="70176.95"/>
        <n v="71550.96"/>
        <n v="72056.49"/>
        <n v="72147.34"/>
        <n v="72269.33"/>
        <n v="72686.4"/>
        <n v="72778.3"/>
        <n v="73907.5"/>
        <n v="73915.15"/>
        <n v="74090.45"/>
        <n v="74189.65"/>
        <n v="74903"/>
        <n v="76997.82"/>
        <n v="77544.48"/>
        <n v="77606.14"/>
        <n v="78508.58"/>
        <n v="83109.6"/>
        <n v="84835.95"/>
        <n v="87480.99"/>
        <n v="87877.38"/>
        <n v="92126.63"/>
        <n v="95943.76"/>
        <n v="98900.42"/>
        <n v="100399.54"/>
        <n v="102514.26"/>
        <n v="102786.45"/>
        <n v="103392.18"/>
        <n v="105266.45"/>
        <n v="106399.17"/>
        <n v="114177.68"/>
        <n v="117829.67"/>
        <n v="120230.46"/>
        <n v="120597.88"/>
        <n v="122498.41"/>
        <n v="123816.68"/>
        <n v="123966.1"/>
        <n v="124426.74"/>
        <n v="125331.6"/>
        <n v="126426.83"/>
        <n v="127153.8"/>
        <n v="127578.32"/>
        <n v="127663.49"/>
        <n v="127935.53"/>
        <n v="128001.02"/>
        <n v="128274.9"/>
        <n v="129240.42"/>
        <n v="129254.79"/>
        <n v="129821.78"/>
        <n v="129940.27"/>
        <n v="130337.35"/>
        <n v="130419.67"/>
        <n v="130560"/>
        <n v="130577.3"/>
        <n v="130600.8"/>
        <n v="131033.88"/>
        <n v="131037.96"/>
        <n v="131071.51"/>
        <n v="131307.27"/>
        <n v="131668.57"/>
        <n v="131764.21"/>
        <n v="131988.43"/>
        <n v="132369.43"/>
        <n v="132518.4"/>
        <n v="132642.92"/>
        <n v="132714.24"/>
        <n v="132820.96"/>
        <n v="132927.84"/>
        <n v="133024.72"/>
        <n v="133415.02"/>
        <n v="133796.95"/>
        <n v="134424.98"/>
        <n v="134480.85"/>
        <n v="134654.46"/>
        <n v="135651.86"/>
        <n v="136001.72"/>
        <n v="136379.44"/>
        <n v="136861.56"/>
        <n v="136977.28"/>
        <n v="137204.02"/>
        <n v="138142.4"/>
        <n v="138144.45"/>
        <n v="138158.59"/>
        <n v="138319.62"/>
        <n v="138399.04"/>
        <n v="138511.1"/>
        <n v="139598.79"/>
        <n v="139711.6"/>
        <n v="139720.52"/>
        <n v="140153.93"/>
        <n v="140374.66"/>
        <n v="140608.28"/>
        <n v="140765.74"/>
        <n v="141063.96"/>
        <n v="141167.45"/>
        <n v="141182.83"/>
        <n v="141213.69"/>
        <n v="141257.82"/>
        <n v="141318.44"/>
        <n v="141523.61"/>
        <n v="141727.44"/>
        <n v="141827.32"/>
        <n v="142245.06"/>
        <n v="142330.24"/>
        <n v="142537.57"/>
        <n v="142597.75"/>
        <n v="142784.7"/>
        <n v="142797.7"/>
        <n v="143834.29"/>
        <n v="143942.4"/>
        <n v="144053.22"/>
        <n v="144086.34"/>
        <n v="144106.09"/>
        <n v="144188.92"/>
        <n v="144197.67"/>
        <n v="144254.37"/>
        <n v="144504.54"/>
        <n v="144576.27"/>
        <n v="144778.8"/>
        <n v="144796.25"/>
        <n v="144801.1"/>
        <n v="145049.7"/>
        <n v="145097.48"/>
        <n v="145306.73"/>
        <n v="145318.99"/>
        <n v="145490.38"/>
        <n v="145627.07"/>
        <n v="145647.67"/>
        <n v="145669.08"/>
        <n v="145938.09"/>
        <n v="146032.56"/>
        <n v="146192.53"/>
        <n v="146416.19"/>
        <n v="146677.28"/>
        <n v="146710.54"/>
        <n v="146873.63"/>
        <n v="147254.08"/>
        <n v="147365.97"/>
        <n v="147584.21"/>
        <n v="147700.6"/>
        <n v="147903.54"/>
        <n v="147956.52"/>
        <n v="148192.91"/>
        <n v="148257.06"/>
        <n v="148265.85"/>
        <n v="148274.38"/>
        <n v="148378.79"/>
        <n v="148512"/>
        <n v="148557.15"/>
        <n v="148809.22"/>
        <n v="148913.55"/>
        <n v="148973.76"/>
        <n v="149093.41"/>
        <n v="149098.62"/>
        <n v="149525.59"/>
        <n v="149607.16"/>
        <n v="149700.09"/>
        <n v="149818.9"/>
        <n v="150976.66"/>
        <n v="151207.6"/>
        <n v="151353.79"/>
        <n v="151597.63"/>
        <n v="151660.17"/>
        <n v="152034.29"/>
        <n v="152517.24"/>
        <n v="152527.76"/>
        <n v="152755.48"/>
        <n v="152806.49"/>
        <n v="153192.1"/>
        <n v="153367.76"/>
        <n v="154075.94"/>
        <n v="154120.72"/>
        <n v="154382.75"/>
        <n v="154511.88"/>
        <n v="154555.3"/>
        <n v="154791.99"/>
        <n v="154820.51"/>
        <n v="154860.88"/>
        <n v="154888.02"/>
        <n v="155169.9"/>
        <n v="155690"/>
        <n v="155713.93"/>
        <n v="155831.14"/>
        <n v="155997.48"/>
        <n v="156513.42"/>
        <n v="157047.46"/>
        <n v="157456.95"/>
        <n v="157740.36"/>
        <n v="158313.86"/>
        <n v="158404.21"/>
        <n v="158494.97"/>
        <n v="158546.55"/>
        <n v="158679.55"/>
        <n v="159952.32"/>
        <n v="160132.02"/>
        <n v="160309.42"/>
        <n v="160361.7"/>
        <n v="160711.2"/>
        <n v="160739.54"/>
        <n v="160866.81"/>
        <n v="161241.6"/>
        <n v="161483.85"/>
        <n v="161544.82"/>
        <n v="161683.03"/>
        <n v="161996.88"/>
        <n v="161998.95"/>
        <n v="162474.76"/>
        <n v="163268.75"/>
        <n v="163523.64"/>
        <n v="163864.42"/>
        <n v="164492.44"/>
        <n v="164576.51"/>
        <n v="164699.71"/>
        <n v="165124.92"/>
        <n v="165375.39"/>
        <n v="165678.3"/>
        <n v="165831.18"/>
        <n v="166763.62"/>
        <n v="167606.07"/>
        <n v="167782.29"/>
        <n v="168414.75"/>
        <n v="168997.37"/>
        <n v="169963.07"/>
        <n v="170134.18"/>
        <n v="170292.67"/>
        <n v="170777.37"/>
        <n v="171262.08"/>
        <n v="171401.89"/>
        <n v="172049.74"/>
        <n v="172297.12"/>
        <n v="172797.91"/>
        <n v="173313.98"/>
        <n v="173417"/>
        <n v="173444.25"/>
        <n v="173499.58"/>
        <n v="173967.88"/>
        <n v="174171.11"/>
        <n v="176497.37"/>
        <n v="176702.09"/>
        <n v="176835.48"/>
        <n v="177207.58"/>
        <n v="177358.2"/>
        <n v="178214.4"/>
        <n v="178242.55"/>
        <n v="178364.87"/>
        <n v="179293.43"/>
        <n v="179343.19"/>
        <n v="179878.68"/>
        <n v="180181.98"/>
        <n v="180355.32"/>
        <n v="180570.43"/>
        <n v="181633.05"/>
        <n v="182281.2"/>
        <n v="182626.3"/>
        <n v="183676.5"/>
        <n v="184376.22"/>
        <n v="184784.57"/>
        <n v="185531.75"/>
        <n v="186446.2"/>
        <n v="188667.22"/>
        <n v="190063.39"/>
        <n v="193156.56"/>
        <n v="193419.24"/>
        <n v="197783.04"/>
        <n v="205854.56"/>
        <n v="256906.12"/>
        <n v="453183.64"/>
        <n v="500861.6"/>
        <n v="621303.05"/>
        <n v="709840.33"/>
        <n v="725090.46"/>
        <n v="1053538.56"/>
        <n v="1362370.5"/>
        <n v="1562555.94"/>
        <n v="1576760.85"/>
        <n v="1652040.74"/>
        <n v="1730526.51"/>
        <n v="2426840.67"/>
        <n v="2605830.56"/>
        <n v="3161180.92"/>
        <n v="4000511.36"/>
        <n v="4000865.03"/>
        <n v="4350702.2"/>
        <n v="5880630.74"/>
      </sharedItems>
    </cacheField>
    <cacheField name="Tipo" numFmtId="0">
      <sharedItems count="2">
        <s v="Pagamento"/>
        <s v="Recebimento"/>
      </sharedItems>
    </cacheField>
    <cacheField name="Banco" numFmtId="0">
      <sharedItems count="5">
        <s v="Bradesco"/>
        <s v="Itaú"/>
        <s v="Nubank"/>
        <s v="Safra"/>
        <s v="Santander"/>
      </sharedItems>
    </cacheField>
    <cacheField name="Imagem" numFmtId="0">
      <sharedItems count="5">
        <s v="https://i.ibb.co/68RXB19/Bradesco.png"/>
        <s v="https://i.ibb.co/DznB5q4/Itau.png"/>
        <s v="https://i.ibb.co/FhY6B5f/Safra.png"/>
        <s v="https://i.ibb.co/LpJM38D/Nubank.png"/>
        <s v="https://i.ibb.co/zX8KX6R/Santander.png"/>
      </sharedItems>
    </cacheField>
    <cacheField name="Forma Pagamento" numFmtId="0">
      <sharedItems count="4">
        <s v="Boleto"/>
        <s v="Cartão"/>
        <s v="MercadoPago"/>
        <s v="Pi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25">
  <r>
    <x v="0"/>
    <x v="26"/>
    <x v="2"/>
    <x v="0"/>
    <x v="4"/>
    <x v="998"/>
    <x v="1"/>
    <x v="1"/>
    <x v="1"/>
    <x v="3"/>
  </r>
  <r>
    <x v="1"/>
    <x v="139"/>
    <x v="0"/>
    <x v="1"/>
    <x v="4"/>
    <x v="2275"/>
    <x v="1"/>
    <x v="2"/>
    <x v="3"/>
    <x v="0"/>
  </r>
  <r>
    <x v="2"/>
    <x v="34"/>
    <x v="2"/>
    <x v="1"/>
    <x v="4"/>
    <x v="1195"/>
    <x v="1"/>
    <x v="2"/>
    <x v="3"/>
    <x v="0"/>
  </r>
  <r>
    <x v="3"/>
    <x v="34"/>
    <x v="2"/>
    <x v="1"/>
    <x v="4"/>
    <x v="1272"/>
    <x v="1"/>
    <x v="2"/>
    <x v="3"/>
    <x v="3"/>
  </r>
  <r>
    <x v="4"/>
    <x v="34"/>
    <x v="3"/>
    <x v="1"/>
    <x v="4"/>
    <x v="1294"/>
    <x v="1"/>
    <x v="0"/>
    <x v="0"/>
    <x v="2"/>
  </r>
  <r>
    <x v="5"/>
    <x v="22"/>
    <x v="2"/>
    <x v="2"/>
    <x v="4"/>
    <x v="1245"/>
    <x v="1"/>
    <x v="1"/>
    <x v="1"/>
    <x v="1"/>
  </r>
  <r>
    <x v="6"/>
    <x v="139"/>
    <x v="2"/>
    <x v="2"/>
    <x v="4"/>
    <x v="1274"/>
    <x v="1"/>
    <x v="0"/>
    <x v="0"/>
    <x v="3"/>
  </r>
  <r>
    <x v="7"/>
    <x v="144"/>
    <x v="1"/>
    <x v="2"/>
    <x v="4"/>
    <x v="1258"/>
    <x v="1"/>
    <x v="0"/>
    <x v="0"/>
    <x v="2"/>
  </r>
  <r>
    <x v="8"/>
    <x v="144"/>
    <x v="3"/>
    <x v="2"/>
    <x v="4"/>
    <x v="1228"/>
    <x v="1"/>
    <x v="1"/>
    <x v="1"/>
    <x v="3"/>
  </r>
  <r>
    <x v="9"/>
    <x v="144"/>
    <x v="1"/>
    <x v="2"/>
    <x v="4"/>
    <x v="1271"/>
    <x v="1"/>
    <x v="1"/>
    <x v="1"/>
    <x v="2"/>
  </r>
  <r>
    <x v="10"/>
    <x v="144"/>
    <x v="0"/>
    <x v="2"/>
    <x v="4"/>
    <x v="1263"/>
    <x v="1"/>
    <x v="1"/>
    <x v="1"/>
    <x v="3"/>
  </r>
  <r>
    <x v="11"/>
    <x v="144"/>
    <x v="1"/>
    <x v="2"/>
    <x v="4"/>
    <x v="1291"/>
    <x v="1"/>
    <x v="2"/>
    <x v="3"/>
    <x v="3"/>
  </r>
  <r>
    <x v="12"/>
    <x v="33"/>
    <x v="0"/>
    <x v="3"/>
    <x v="4"/>
    <x v="2273"/>
    <x v="1"/>
    <x v="3"/>
    <x v="2"/>
    <x v="1"/>
  </r>
  <r>
    <x v="13"/>
    <x v="139"/>
    <x v="1"/>
    <x v="3"/>
    <x v="4"/>
    <x v="1569"/>
    <x v="1"/>
    <x v="1"/>
    <x v="1"/>
    <x v="3"/>
  </r>
  <r>
    <x v="14"/>
    <x v="139"/>
    <x v="0"/>
    <x v="3"/>
    <x v="4"/>
    <x v="1586"/>
    <x v="1"/>
    <x v="3"/>
    <x v="2"/>
    <x v="3"/>
  </r>
  <r>
    <x v="15"/>
    <x v="50"/>
    <x v="0"/>
    <x v="3"/>
    <x v="4"/>
    <x v="1615"/>
    <x v="1"/>
    <x v="1"/>
    <x v="1"/>
    <x v="0"/>
  </r>
  <r>
    <x v="16"/>
    <x v="50"/>
    <x v="0"/>
    <x v="3"/>
    <x v="4"/>
    <x v="2268"/>
    <x v="1"/>
    <x v="2"/>
    <x v="3"/>
    <x v="3"/>
  </r>
  <r>
    <x v="17"/>
    <x v="208"/>
    <x v="3"/>
    <x v="3"/>
    <x v="4"/>
    <x v="800"/>
    <x v="0"/>
    <x v="1"/>
    <x v="1"/>
    <x v="3"/>
  </r>
  <r>
    <x v="18"/>
    <x v="210"/>
    <x v="0"/>
    <x v="3"/>
    <x v="4"/>
    <x v="1897"/>
    <x v="1"/>
    <x v="1"/>
    <x v="1"/>
    <x v="3"/>
  </r>
  <r>
    <x v="19"/>
    <x v="208"/>
    <x v="1"/>
    <x v="3"/>
    <x v="4"/>
    <x v="1855"/>
    <x v="1"/>
    <x v="0"/>
    <x v="0"/>
    <x v="1"/>
  </r>
  <r>
    <x v="20"/>
    <x v="210"/>
    <x v="2"/>
    <x v="3"/>
    <x v="4"/>
    <x v="1880"/>
    <x v="1"/>
    <x v="2"/>
    <x v="3"/>
    <x v="3"/>
  </r>
  <r>
    <x v="21"/>
    <x v="208"/>
    <x v="0"/>
    <x v="3"/>
    <x v="4"/>
    <x v="1885"/>
    <x v="1"/>
    <x v="4"/>
    <x v="4"/>
    <x v="3"/>
  </r>
  <r>
    <x v="22"/>
    <x v="210"/>
    <x v="3"/>
    <x v="3"/>
    <x v="4"/>
    <x v="1850"/>
    <x v="1"/>
    <x v="4"/>
    <x v="4"/>
    <x v="2"/>
  </r>
  <r>
    <x v="23"/>
    <x v="208"/>
    <x v="2"/>
    <x v="3"/>
    <x v="4"/>
    <x v="1853"/>
    <x v="1"/>
    <x v="2"/>
    <x v="3"/>
    <x v="3"/>
  </r>
  <r>
    <x v="24"/>
    <x v="210"/>
    <x v="0"/>
    <x v="3"/>
    <x v="4"/>
    <x v="944"/>
    <x v="0"/>
    <x v="1"/>
    <x v="1"/>
    <x v="1"/>
  </r>
  <r>
    <x v="25"/>
    <x v="208"/>
    <x v="0"/>
    <x v="3"/>
    <x v="4"/>
    <x v="81"/>
    <x v="0"/>
    <x v="1"/>
    <x v="1"/>
    <x v="3"/>
  </r>
  <r>
    <x v="26"/>
    <x v="210"/>
    <x v="0"/>
    <x v="3"/>
    <x v="4"/>
    <x v="1895"/>
    <x v="1"/>
    <x v="2"/>
    <x v="3"/>
    <x v="1"/>
  </r>
  <r>
    <x v="27"/>
    <x v="139"/>
    <x v="2"/>
    <x v="4"/>
    <x v="4"/>
    <x v="2065"/>
    <x v="1"/>
    <x v="1"/>
    <x v="1"/>
    <x v="1"/>
  </r>
  <r>
    <x v="28"/>
    <x v="257"/>
    <x v="2"/>
    <x v="4"/>
    <x v="4"/>
    <x v="1335"/>
    <x v="1"/>
    <x v="2"/>
    <x v="3"/>
    <x v="2"/>
  </r>
  <r>
    <x v="29"/>
    <x v="135"/>
    <x v="0"/>
    <x v="4"/>
    <x v="4"/>
    <x v="1321"/>
    <x v="1"/>
    <x v="1"/>
    <x v="1"/>
    <x v="3"/>
  </r>
  <r>
    <x v="30"/>
    <x v="19"/>
    <x v="1"/>
    <x v="5"/>
    <x v="4"/>
    <x v="1138"/>
    <x v="1"/>
    <x v="1"/>
    <x v="1"/>
    <x v="3"/>
  </r>
  <r>
    <x v="31"/>
    <x v="5"/>
    <x v="2"/>
    <x v="6"/>
    <x v="4"/>
    <x v="1321"/>
    <x v="1"/>
    <x v="2"/>
    <x v="3"/>
    <x v="1"/>
  </r>
  <r>
    <x v="32"/>
    <x v="139"/>
    <x v="0"/>
    <x v="6"/>
    <x v="4"/>
    <x v="1138"/>
    <x v="1"/>
    <x v="1"/>
    <x v="1"/>
    <x v="1"/>
  </r>
  <r>
    <x v="33"/>
    <x v="259"/>
    <x v="0"/>
    <x v="6"/>
    <x v="4"/>
    <x v="1321"/>
    <x v="1"/>
    <x v="2"/>
    <x v="3"/>
    <x v="3"/>
  </r>
  <r>
    <x v="34"/>
    <x v="255"/>
    <x v="1"/>
    <x v="6"/>
    <x v="4"/>
    <x v="1138"/>
    <x v="1"/>
    <x v="1"/>
    <x v="1"/>
    <x v="3"/>
  </r>
  <r>
    <x v="35"/>
    <x v="254"/>
    <x v="2"/>
    <x v="6"/>
    <x v="4"/>
    <x v="1321"/>
    <x v="1"/>
    <x v="2"/>
    <x v="3"/>
    <x v="3"/>
  </r>
  <r>
    <x v="36"/>
    <x v="263"/>
    <x v="1"/>
    <x v="6"/>
    <x v="4"/>
    <x v="1138"/>
    <x v="1"/>
    <x v="0"/>
    <x v="0"/>
    <x v="2"/>
  </r>
  <r>
    <x v="37"/>
    <x v="254"/>
    <x v="2"/>
    <x v="6"/>
    <x v="4"/>
    <x v="1321"/>
    <x v="1"/>
    <x v="2"/>
    <x v="3"/>
    <x v="3"/>
  </r>
  <r>
    <x v="38"/>
    <x v="255"/>
    <x v="1"/>
    <x v="6"/>
    <x v="4"/>
    <x v="1138"/>
    <x v="1"/>
    <x v="1"/>
    <x v="1"/>
    <x v="1"/>
  </r>
  <r>
    <x v="39"/>
    <x v="258"/>
    <x v="1"/>
    <x v="6"/>
    <x v="4"/>
    <x v="453"/>
    <x v="0"/>
    <x v="4"/>
    <x v="4"/>
    <x v="2"/>
  </r>
  <r>
    <x v="40"/>
    <x v="259"/>
    <x v="2"/>
    <x v="6"/>
    <x v="4"/>
    <x v="1941"/>
    <x v="1"/>
    <x v="1"/>
    <x v="1"/>
    <x v="3"/>
  </r>
  <r>
    <x v="41"/>
    <x v="260"/>
    <x v="3"/>
    <x v="6"/>
    <x v="4"/>
    <x v="1969"/>
    <x v="1"/>
    <x v="0"/>
    <x v="0"/>
    <x v="2"/>
  </r>
  <r>
    <x v="42"/>
    <x v="263"/>
    <x v="1"/>
    <x v="6"/>
    <x v="4"/>
    <x v="641"/>
    <x v="0"/>
    <x v="1"/>
    <x v="1"/>
    <x v="3"/>
  </r>
  <r>
    <x v="43"/>
    <x v="258"/>
    <x v="2"/>
    <x v="6"/>
    <x v="4"/>
    <x v="564"/>
    <x v="0"/>
    <x v="4"/>
    <x v="4"/>
    <x v="3"/>
  </r>
  <r>
    <x v="44"/>
    <x v="260"/>
    <x v="1"/>
    <x v="6"/>
    <x v="4"/>
    <x v="632"/>
    <x v="0"/>
    <x v="1"/>
    <x v="1"/>
    <x v="3"/>
  </r>
  <r>
    <x v="45"/>
    <x v="19"/>
    <x v="0"/>
    <x v="7"/>
    <x v="4"/>
    <x v="2006"/>
    <x v="1"/>
    <x v="0"/>
    <x v="0"/>
    <x v="3"/>
  </r>
  <r>
    <x v="46"/>
    <x v="139"/>
    <x v="0"/>
    <x v="7"/>
    <x v="4"/>
    <x v="1214"/>
    <x v="1"/>
    <x v="1"/>
    <x v="1"/>
    <x v="3"/>
  </r>
  <r>
    <x v="47"/>
    <x v="139"/>
    <x v="2"/>
    <x v="7"/>
    <x v="4"/>
    <x v="2022"/>
    <x v="1"/>
    <x v="1"/>
    <x v="1"/>
    <x v="3"/>
  </r>
  <r>
    <x v="48"/>
    <x v="256"/>
    <x v="1"/>
    <x v="7"/>
    <x v="4"/>
    <x v="172"/>
    <x v="0"/>
    <x v="1"/>
    <x v="1"/>
    <x v="3"/>
  </r>
  <r>
    <x v="49"/>
    <x v="256"/>
    <x v="0"/>
    <x v="7"/>
    <x v="4"/>
    <x v="1168"/>
    <x v="1"/>
    <x v="4"/>
    <x v="4"/>
    <x v="3"/>
  </r>
  <r>
    <x v="50"/>
    <x v="135"/>
    <x v="0"/>
    <x v="7"/>
    <x v="4"/>
    <x v="1191"/>
    <x v="1"/>
    <x v="1"/>
    <x v="1"/>
    <x v="3"/>
  </r>
  <r>
    <x v="51"/>
    <x v="135"/>
    <x v="3"/>
    <x v="7"/>
    <x v="4"/>
    <x v="1191"/>
    <x v="1"/>
    <x v="1"/>
    <x v="1"/>
    <x v="0"/>
  </r>
  <r>
    <x v="52"/>
    <x v="136"/>
    <x v="2"/>
    <x v="7"/>
    <x v="4"/>
    <x v="1168"/>
    <x v="1"/>
    <x v="3"/>
    <x v="2"/>
    <x v="1"/>
  </r>
  <r>
    <x v="53"/>
    <x v="106"/>
    <x v="0"/>
    <x v="8"/>
    <x v="4"/>
    <x v="1101"/>
    <x v="1"/>
    <x v="1"/>
    <x v="1"/>
    <x v="3"/>
  </r>
  <r>
    <x v="54"/>
    <x v="106"/>
    <x v="2"/>
    <x v="8"/>
    <x v="4"/>
    <x v="1101"/>
    <x v="1"/>
    <x v="2"/>
    <x v="3"/>
    <x v="1"/>
  </r>
  <r>
    <x v="55"/>
    <x v="34"/>
    <x v="2"/>
    <x v="8"/>
    <x v="4"/>
    <x v="543"/>
    <x v="0"/>
    <x v="1"/>
    <x v="1"/>
    <x v="1"/>
  </r>
  <r>
    <x v="56"/>
    <x v="139"/>
    <x v="3"/>
    <x v="8"/>
    <x v="4"/>
    <x v="933"/>
    <x v="0"/>
    <x v="2"/>
    <x v="3"/>
    <x v="1"/>
  </r>
  <r>
    <x v="57"/>
    <x v="139"/>
    <x v="2"/>
    <x v="8"/>
    <x v="4"/>
    <x v="1042"/>
    <x v="1"/>
    <x v="1"/>
    <x v="1"/>
    <x v="3"/>
  </r>
  <r>
    <x v="58"/>
    <x v="34"/>
    <x v="3"/>
    <x v="8"/>
    <x v="4"/>
    <x v="1246"/>
    <x v="1"/>
    <x v="1"/>
    <x v="1"/>
    <x v="3"/>
  </r>
  <r>
    <x v="59"/>
    <x v="34"/>
    <x v="0"/>
    <x v="8"/>
    <x v="4"/>
    <x v="1042"/>
    <x v="1"/>
    <x v="1"/>
    <x v="1"/>
    <x v="3"/>
  </r>
  <r>
    <x v="60"/>
    <x v="34"/>
    <x v="1"/>
    <x v="8"/>
    <x v="4"/>
    <x v="1246"/>
    <x v="1"/>
    <x v="1"/>
    <x v="1"/>
    <x v="1"/>
  </r>
  <r>
    <x v="61"/>
    <x v="241"/>
    <x v="1"/>
    <x v="9"/>
    <x v="4"/>
    <x v="1042"/>
    <x v="1"/>
    <x v="1"/>
    <x v="1"/>
    <x v="1"/>
  </r>
  <r>
    <x v="62"/>
    <x v="139"/>
    <x v="2"/>
    <x v="10"/>
    <x v="4"/>
    <x v="1042"/>
    <x v="1"/>
    <x v="1"/>
    <x v="1"/>
    <x v="1"/>
  </r>
  <r>
    <x v="63"/>
    <x v="225"/>
    <x v="1"/>
    <x v="10"/>
    <x v="4"/>
    <x v="237"/>
    <x v="0"/>
    <x v="1"/>
    <x v="1"/>
    <x v="2"/>
  </r>
  <r>
    <x v="64"/>
    <x v="225"/>
    <x v="1"/>
    <x v="10"/>
    <x v="4"/>
    <x v="1943"/>
    <x v="1"/>
    <x v="2"/>
    <x v="3"/>
    <x v="0"/>
  </r>
  <r>
    <x v="65"/>
    <x v="225"/>
    <x v="0"/>
    <x v="10"/>
    <x v="4"/>
    <x v="145"/>
    <x v="0"/>
    <x v="3"/>
    <x v="2"/>
    <x v="3"/>
  </r>
  <r>
    <x v="66"/>
    <x v="0"/>
    <x v="3"/>
    <x v="11"/>
    <x v="4"/>
    <x v="1287"/>
    <x v="1"/>
    <x v="0"/>
    <x v="0"/>
    <x v="0"/>
  </r>
  <r>
    <x v="67"/>
    <x v="10"/>
    <x v="2"/>
    <x v="11"/>
    <x v="4"/>
    <x v="1182"/>
    <x v="1"/>
    <x v="1"/>
    <x v="1"/>
    <x v="3"/>
  </r>
  <r>
    <x v="68"/>
    <x v="5"/>
    <x v="1"/>
    <x v="11"/>
    <x v="4"/>
    <x v="1089"/>
    <x v="1"/>
    <x v="1"/>
    <x v="1"/>
    <x v="3"/>
  </r>
  <r>
    <x v="69"/>
    <x v="139"/>
    <x v="0"/>
    <x v="11"/>
    <x v="4"/>
    <x v="1182"/>
    <x v="1"/>
    <x v="1"/>
    <x v="1"/>
    <x v="3"/>
  </r>
  <r>
    <x v="70"/>
    <x v="144"/>
    <x v="2"/>
    <x v="11"/>
    <x v="4"/>
    <x v="1287"/>
    <x v="1"/>
    <x v="2"/>
    <x v="3"/>
    <x v="2"/>
  </r>
  <r>
    <x v="71"/>
    <x v="238"/>
    <x v="2"/>
    <x v="11"/>
    <x v="4"/>
    <x v="1214"/>
    <x v="1"/>
    <x v="2"/>
    <x v="3"/>
    <x v="0"/>
  </r>
  <r>
    <x v="72"/>
    <x v="144"/>
    <x v="2"/>
    <x v="11"/>
    <x v="4"/>
    <x v="1160"/>
    <x v="1"/>
    <x v="4"/>
    <x v="4"/>
    <x v="3"/>
  </r>
  <r>
    <x v="73"/>
    <x v="238"/>
    <x v="0"/>
    <x v="11"/>
    <x v="4"/>
    <x v="137"/>
    <x v="0"/>
    <x v="1"/>
    <x v="1"/>
    <x v="1"/>
  </r>
  <r>
    <x v="74"/>
    <x v="144"/>
    <x v="0"/>
    <x v="11"/>
    <x v="4"/>
    <x v="1089"/>
    <x v="1"/>
    <x v="1"/>
    <x v="1"/>
    <x v="1"/>
  </r>
  <r>
    <x v="75"/>
    <x v="238"/>
    <x v="3"/>
    <x v="11"/>
    <x v="4"/>
    <x v="1221"/>
    <x v="1"/>
    <x v="1"/>
    <x v="1"/>
    <x v="1"/>
  </r>
  <r>
    <x v="76"/>
    <x v="238"/>
    <x v="2"/>
    <x v="11"/>
    <x v="4"/>
    <x v="1094"/>
    <x v="1"/>
    <x v="0"/>
    <x v="0"/>
    <x v="1"/>
  </r>
  <r>
    <x v="77"/>
    <x v="144"/>
    <x v="0"/>
    <x v="11"/>
    <x v="4"/>
    <x v="2057"/>
    <x v="1"/>
    <x v="0"/>
    <x v="0"/>
    <x v="2"/>
  </r>
  <r>
    <x v="78"/>
    <x v="144"/>
    <x v="1"/>
    <x v="11"/>
    <x v="4"/>
    <x v="622"/>
    <x v="0"/>
    <x v="1"/>
    <x v="1"/>
    <x v="2"/>
  </r>
  <r>
    <x v="79"/>
    <x v="106"/>
    <x v="2"/>
    <x v="12"/>
    <x v="4"/>
    <x v="1019"/>
    <x v="1"/>
    <x v="1"/>
    <x v="1"/>
    <x v="3"/>
  </r>
  <r>
    <x v="80"/>
    <x v="22"/>
    <x v="2"/>
    <x v="12"/>
    <x v="4"/>
    <x v="2234"/>
    <x v="1"/>
    <x v="1"/>
    <x v="1"/>
    <x v="3"/>
  </r>
  <r>
    <x v="81"/>
    <x v="139"/>
    <x v="1"/>
    <x v="12"/>
    <x v="4"/>
    <x v="1214"/>
    <x v="1"/>
    <x v="1"/>
    <x v="1"/>
    <x v="3"/>
  </r>
  <r>
    <x v="82"/>
    <x v="202"/>
    <x v="0"/>
    <x v="13"/>
    <x v="4"/>
    <x v="1214"/>
    <x v="1"/>
    <x v="1"/>
    <x v="1"/>
    <x v="1"/>
  </r>
  <r>
    <x v="83"/>
    <x v="202"/>
    <x v="2"/>
    <x v="13"/>
    <x v="4"/>
    <x v="1006"/>
    <x v="1"/>
    <x v="4"/>
    <x v="4"/>
    <x v="1"/>
  </r>
  <r>
    <x v="84"/>
    <x v="202"/>
    <x v="3"/>
    <x v="13"/>
    <x v="4"/>
    <x v="56"/>
    <x v="0"/>
    <x v="2"/>
    <x v="3"/>
    <x v="2"/>
  </r>
  <r>
    <x v="85"/>
    <x v="50"/>
    <x v="2"/>
    <x v="14"/>
    <x v="4"/>
    <x v="2254"/>
    <x v="1"/>
    <x v="2"/>
    <x v="3"/>
    <x v="1"/>
  </r>
  <r>
    <x v="86"/>
    <x v="50"/>
    <x v="0"/>
    <x v="14"/>
    <x v="4"/>
    <x v="1253"/>
    <x v="1"/>
    <x v="1"/>
    <x v="1"/>
    <x v="3"/>
  </r>
  <r>
    <x v="87"/>
    <x v="50"/>
    <x v="0"/>
    <x v="14"/>
    <x v="4"/>
    <x v="1253"/>
    <x v="1"/>
    <x v="1"/>
    <x v="1"/>
    <x v="3"/>
  </r>
  <r>
    <x v="88"/>
    <x v="252"/>
    <x v="3"/>
    <x v="15"/>
    <x v="4"/>
    <x v="1253"/>
    <x v="1"/>
    <x v="2"/>
    <x v="3"/>
    <x v="3"/>
  </r>
  <r>
    <x v="89"/>
    <x v="254"/>
    <x v="2"/>
    <x v="15"/>
    <x v="4"/>
    <x v="1253"/>
    <x v="1"/>
    <x v="2"/>
    <x v="3"/>
    <x v="3"/>
  </r>
  <r>
    <x v="90"/>
    <x v="255"/>
    <x v="1"/>
    <x v="15"/>
    <x v="4"/>
    <x v="1252"/>
    <x v="1"/>
    <x v="2"/>
    <x v="3"/>
    <x v="0"/>
  </r>
  <r>
    <x v="91"/>
    <x v="263"/>
    <x v="2"/>
    <x v="15"/>
    <x v="4"/>
    <x v="801"/>
    <x v="0"/>
    <x v="3"/>
    <x v="2"/>
    <x v="3"/>
  </r>
  <r>
    <x v="92"/>
    <x v="255"/>
    <x v="2"/>
    <x v="15"/>
    <x v="4"/>
    <x v="810"/>
    <x v="0"/>
    <x v="4"/>
    <x v="4"/>
    <x v="2"/>
  </r>
  <r>
    <x v="93"/>
    <x v="260"/>
    <x v="2"/>
    <x v="15"/>
    <x v="4"/>
    <x v="990"/>
    <x v="0"/>
    <x v="1"/>
    <x v="1"/>
    <x v="3"/>
  </r>
  <r>
    <x v="94"/>
    <x v="252"/>
    <x v="0"/>
    <x v="15"/>
    <x v="4"/>
    <x v="1935"/>
    <x v="1"/>
    <x v="4"/>
    <x v="4"/>
    <x v="1"/>
  </r>
  <r>
    <x v="95"/>
    <x v="254"/>
    <x v="0"/>
    <x v="15"/>
    <x v="4"/>
    <x v="2256"/>
    <x v="1"/>
    <x v="4"/>
    <x v="4"/>
    <x v="3"/>
  </r>
  <r>
    <x v="96"/>
    <x v="263"/>
    <x v="1"/>
    <x v="15"/>
    <x v="4"/>
    <x v="1760"/>
    <x v="1"/>
    <x v="1"/>
    <x v="1"/>
    <x v="1"/>
  </r>
  <r>
    <x v="97"/>
    <x v="260"/>
    <x v="1"/>
    <x v="15"/>
    <x v="4"/>
    <x v="1781"/>
    <x v="1"/>
    <x v="1"/>
    <x v="1"/>
    <x v="3"/>
  </r>
  <r>
    <x v="98"/>
    <x v="139"/>
    <x v="1"/>
    <x v="16"/>
    <x v="4"/>
    <x v="1764"/>
    <x v="1"/>
    <x v="4"/>
    <x v="4"/>
    <x v="1"/>
  </r>
  <r>
    <x v="99"/>
    <x v="139"/>
    <x v="1"/>
    <x v="16"/>
    <x v="4"/>
    <x v="1996"/>
    <x v="1"/>
    <x v="1"/>
    <x v="1"/>
    <x v="3"/>
  </r>
  <r>
    <x v="100"/>
    <x v="136"/>
    <x v="0"/>
    <x v="16"/>
    <x v="4"/>
    <x v="66"/>
    <x v="0"/>
    <x v="1"/>
    <x v="1"/>
    <x v="1"/>
  </r>
  <r>
    <x v="101"/>
    <x v="111"/>
    <x v="2"/>
    <x v="17"/>
    <x v="4"/>
    <x v="1566"/>
    <x v="1"/>
    <x v="1"/>
    <x v="1"/>
    <x v="1"/>
  </r>
  <r>
    <x v="102"/>
    <x v="242"/>
    <x v="0"/>
    <x v="17"/>
    <x v="4"/>
    <x v="1635"/>
    <x v="1"/>
    <x v="0"/>
    <x v="0"/>
    <x v="3"/>
  </r>
  <r>
    <x v="103"/>
    <x v="111"/>
    <x v="0"/>
    <x v="17"/>
    <x v="4"/>
    <x v="1669"/>
    <x v="1"/>
    <x v="1"/>
    <x v="1"/>
    <x v="1"/>
  </r>
  <r>
    <x v="104"/>
    <x v="242"/>
    <x v="0"/>
    <x v="17"/>
    <x v="4"/>
    <x v="1587"/>
    <x v="1"/>
    <x v="1"/>
    <x v="1"/>
    <x v="0"/>
  </r>
  <r>
    <x v="105"/>
    <x v="242"/>
    <x v="1"/>
    <x v="17"/>
    <x v="4"/>
    <x v="2155"/>
    <x v="1"/>
    <x v="3"/>
    <x v="2"/>
    <x v="1"/>
  </r>
  <r>
    <x v="106"/>
    <x v="111"/>
    <x v="3"/>
    <x v="17"/>
    <x v="4"/>
    <x v="1608"/>
    <x v="1"/>
    <x v="1"/>
    <x v="1"/>
    <x v="3"/>
  </r>
  <r>
    <x v="107"/>
    <x v="111"/>
    <x v="1"/>
    <x v="17"/>
    <x v="4"/>
    <x v="1607"/>
    <x v="1"/>
    <x v="4"/>
    <x v="4"/>
    <x v="3"/>
  </r>
  <r>
    <x v="108"/>
    <x v="242"/>
    <x v="0"/>
    <x v="17"/>
    <x v="4"/>
    <x v="68"/>
    <x v="0"/>
    <x v="1"/>
    <x v="1"/>
    <x v="2"/>
  </r>
  <r>
    <x v="109"/>
    <x v="242"/>
    <x v="1"/>
    <x v="17"/>
    <x v="4"/>
    <x v="1922"/>
    <x v="1"/>
    <x v="1"/>
    <x v="1"/>
    <x v="1"/>
  </r>
  <r>
    <x v="110"/>
    <x v="111"/>
    <x v="3"/>
    <x v="17"/>
    <x v="4"/>
    <x v="1922"/>
    <x v="1"/>
    <x v="4"/>
    <x v="4"/>
    <x v="1"/>
  </r>
  <r>
    <x v="111"/>
    <x v="242"/>
    <x v="3"/>
    <x v="17"/>
    <x v="4"/>
    <x v="1923"/>
    <x v="1"/>
    <x v="1"/>
    <x v="1"/>
    <x v="2"/>
  </r>
  <r>
    <x v="112"/>
    <x v="145"/>
    <x v="3"/>
    <x v="18"/>
    <x v="4"/>
    <x v="843"/>
    <x v="0"/>
    <x v="1"/>
    <x v="1"/>
    <x v="1"/>
  </r>
  <r>
    <x v="113"/>
    <x v="139"/>
    <x v="3"/>
    <x v="18"/>
    <x v="4"/>
    <x v="1114"/>
    <x v="1"/>
    <x v="1"/>
    <x v="1"/>
    <x v="3"/>
  </r>
  <r>
    <x v="114"/>
    <x v="135"/>
    <x v="0"/>
    <x v="18"/>
    <x v="4"/>
    <x v="1841"/>
    <x v="1"/>
    <x v="2"/>
    <x v="3"/>
    <x v="2"/>
  </r>
  <r>
    <x v="115"/>
    <x v="34"/>
    <x v="1"/>
    <x v="19"/>
    <x v="4"/>
    <x v="1142"/>
    <x v="1"/>
    <x v="1"/>
    <x v="1"/>
    <x v="3"/>
  </r>
  <r>
    <x v="116"/>
    <x v="34"/>
    <x v="2"/>
    <x v="19"/>
    <x v="4"/>
    <x v="1788"/>
    <x v="1"/>
    <x v="3"/>
    <x v="2"/>
    <x v="1"/>
  </r>
  <r>
    <x v="117"/>
    <x v="200"/>
    <x v="0"/>
    <x v="19"/>
    <x v="4"/>
    <x v="2218"/>
    <x v="1"/>
    <x v="1"/>
    <x v="1"/>
    <x v="1"/>
  </r>
  <r>
    <x v="118"/>
    <x v="201"/>
    <x v="2"/>
    <x v="19"/>
    <x v="4"/>
    <x v="1136"/>
    <x v="1"/>
    <x v="4"/>
    <x v="4"/>
    <x v="3"/>
  </r>
  <r>
    <x v="119"/>
    <x v="208"/>
    <x v="3"/>
    <x v="19"/>
    <x v="4"/>
    <x v="1807"/>
    <x v="1"/>
    <x v="2"/>
    <x v="3"/>
    <x v="2"/>
  </r>
  <r>
    <x v="120"/>
    <x v="34"/>
    <x v="1"/>
    <x v="19"/>
    <x v="4"/>
    <x v="2007"/>
    <x v="1"/>
    <x v="1"/>
    <x v="1"/>
    <x v="1"/>
  </r>
  <r>
    <x v="121"/>
    <x v="200"/>
    <x v="1"/>
    <x v="19"/>
    <x v="4"/>
    <x v="2200"/>
    <x v="1"/>
    <x v="1"/>
    <x v="1"/>
    <x v="3"/>
  </r>
  <r>
    <x v="122"/>
    <x v="201"/>
    <x v="2"/>
    <x v="19"/>
    <x v="4"/>
    <x v="1350"/>
    <x v="1"/>
    <x v="1"/>
    <x v="1"/>
    <x v="3"/>
  </r>
  <r>
    <x v="123"/>
    <x v="208"/>
    <x v="1"/>
    <x v="19"/>
    <x v="4"/>
    <x v="1289"/>
    <x v="1"/>
    <x v="1"/>
    <x v="1"/>
    <x v="3"/>
  </r>
  <r>
    <x v="124"/>
    <x v="212"/>
    <x v="1"/>
    <x v="19"/>
    <x v="4"/>
    <x v="1341"/>
    <x v="1"/>
    <x v="3"/>
    <x v="2"/>
    <x v="0"/>
  </r>
  <r>
    <x v="125"/>
    <x v="200"/>
    <x v="0"/>
    <x v="19"/>
    <x v="4"/>
    <x v="1326"/>
    <x v="1"/>
    <x v="0"/>
    <x v="0"/>
    <x v="0"/>
  </r>
  <r>
    <x v="126"/>
    <x v="201"/>
    <x v="2"/>
    <x v="19"/>
    <x v="4"/>
    <x v="1323"/>
    <x v="1"/>
    <x v="1"/>
    <x v="1"/>
    <x v="0"/>
  </r>
  <r>
    <x v="127"/>
    <x v="208"/>
    <x v="0"/>
    <x v="19"/>
    <x v="4"/>
    <x v="831"/>
    <x v="0"/>
    <x v="0"/>
    <x v="0"/>
    <x v="1"/>
  </r>
  <r>
    <x v="128"/>
    <x v="208"/>
    <x v="0"/>
    <x v="19"/>
    <x v="4"/>
    <x v="685"/>
    <x v="0"/>
    <x v="2"/>
    <x v="3"/>
    <x v="0"/>
  </r>
  <r>
    <x v="129"/>
    <x v="208"/>
    <x v="0"/>
    <x v="19"/>
    <x v="4"/>
    <x v="448"/>
    <x v="0"/>
    <x v="0"/>
    <x v="0"/>
    <x v="3"/>
  </r>
  <r>
    <x v="130"/>
    <x v="212"/>
    <x v="1"/>
    <x v="19"/>
    <x v="4"/>
    <x v="1909"/>
    <x v="1"/>
    <x v="1"/>
    <x v="1"/>
    <x v="0"/>
  </r>
  <r>
    <x v="131"/>
    <x v="26"/>
    <x v="0"/>
    <x v="20"/>
    <x v="3"/>
    <x v="1869"/>
    <x v="1"/>
    <x v="1"/>
    <x v="1"/>
    <x v="0"/>
  </r>
  <r>
    <x v="132"/>
    <x v="139"/>
    <x v="3"/>
    <x v="20"/>
    <x v="3"/>
    <x v="1738"/>
    <x v="1"/>
    <x v="2"/>
    <x v="3"/>
    <x v="1"/>
  </r>
  <r>
    <x v="133"/>
    <x v="1"/>
    <x v="1"/>
    <x v="21"/>
    <x v="3"/>
    <x v="1878"/>
    <x v="1"/>
    <x v="4"/>
    <x v="4"/>
    <x v="3"/>
  </r>
  <r>
    <x v="134"/>
    <x v="1"/>
    <x v="3"/>
    <x v="21"/>
    <x v="3"/>
    <x v="1738"/>
    <x v="1"/>
    <x v="2"/>
    <x v="3"/>
    <x v="2"/>
  </r>
  <r>
    <x v="135"/>
    <x v="139"/>
    <x v="2"/>
    <x v="21"/>
    <x v="3"/>
    <x v="1871"/>
    <x v="1"/>
    <x v="1"/>
    <x v="1"/>
    <x v="1"/>
  </r>
  <r>
    <x v="136"/>
    <x v="139"/>
    <x v="2"/>
    <x v="21"/>
    <x v="3"/>
    <x v="1738"/>
    <x v="1"/>
    <x v="1"/>
    <x v="1"/>
    <x v="1"/>
  </r>
  <r>
    <x v="137"/>
    <x v="74"/>
    <x v="1"/>
    <x v="22"/>
    <x v="3"/>
    <x v="1738"/>
    <x v="1"/>
    <x v="1"/>
    <x v="1"/>
    <x v="0"/>
  </r>
  <r>
    <x v="138"/>
    <x v="19"/>
    <x v="2"/>
    <x v="22"/>
    <x v="3"/>
    <x v="1857"/>
    <x v="1"/>
    <x v="1"/>
    <x v="1"/>
    <x v="2"/>
  </r>
  <r>
    <x v="139"/>
    <x v="175"/>
    <x v="3"/>
    <x v="22"/>
    <x v="3"/>
    <x v="1879"/>
    <x v="1"/>
    <x v="4"/>
    <x v="4"/>
    <x v="3"/>
  </r>
  <r>
    <x v="140"/>
    <x v="175"/>
    <x v="3"/>
    <x v="22"/>
    <x v="3"/>
    <x v="743"/>
    <x v="0"/>
    <x v="2"/>
    <x v="3"/>
    <x v="0"/>
  </r>
  <r>
    <x v="141"/>
    <x v="175"/>
    <x v="1"/>
    <x v="22"/>
    <x v="3"/>
    <x v="797"/>
    <x v="0"/>
    <x v="1"/>
    <x v="1"/>
    <x v="0"/>
  </r>
  <r>
    <x v="142"/>
    <x v="175"/>
    <x v="0"/>
    <x v="22"/>
    <x v="3"/>
    <x v="1179"/>
    <x v="1"/>
    <x v="1"/>
    <x v="1"/>
    <x v="3"/>
  </r>
  <r>
    <x v="143"/>
    <x v="175"/>
    <x v="1"/>
    <x v="22"/>
    <x v="3"/>
    <x v="660"/>
    <x v="0"/>
    <x v="1"/>
    <x v="1"/>
    <x v="1"/>
  </r>
  <r>
    <x v="144"/>
    <x v="175"/>
    <x v="3"/>
    <x v="22"/>
    <x v="3"/>
    <x v="940"/>
    <x v="0"/>
    <x v="4"/>
    <x v="4"/>
    <x v="1"/>
  </r>
  <r>
    <x v="145"/>
    <x v="175"/>
    <x v="2"/>
    <x v="22"/>
    <x v="3"/>
    <x v="49"/>
    <x v="0"/>
    <x v="1"/>
    <x v="1"/>
    <x v="3"/>
  </r>
  <r>
    <x v="146"/>
    <x v="175"/>
    <x v="1"/>
    <x v="22"/>
    <x v="3"/>
    <x v="2276"/>
    <x v="1"/>
    <x v="2"/>
    <x v="3"/>
    <x v="3"/>
  </r>
  <r>
    <x v="147"/>
    <x v="175"/>
    <x v="2"/>
    <x v="22"/>
    <x v="3"/>
    <x v="1774"/>
    <x v="1"/>
    <x v="2"/>
    <x v="3"/>
    <x v="0"/>
  </r>
  <r>
    <x v="148"/>
    <x v="16"/>
    <x v="1"/>
    <x v="23"/>
    <x v="3"/>
    <x v="1775"/>
    <x v="1"/>
    <x v="1"/>
    <x v="1"/>
    <x v="3"/>
  </r>
  <r>
    <x v="149"/>
    <x v="41"/>
    <x v="2"/>
    <x v="23"/>
    <x v="3"/>
    <x v="1769"/>
    <x v="1"/>
    <x v="0"/>
    <x v="0"/>
    <x v="3"/>
  </r>
  <r>
    <x v="150"/>
    <x v="149"/>
    <x v="2"/>
    <x v="23"/>
    <x v="3"/>
    <x v="2093"/>
    <x v="1"/>
    <x v="1"/>
    <x v="1"/>
    <x v="3"/>
  </r>
  <r>
    <x v="151"/>
    <x v="229"/>
    <x v="1"/>
    <x v="23"/>
    <x v="3"/>
    <x v="108"/>
    <x v="0"/>
    <x v="1"/>
    <x v="1"/>
    <x v="1"/>
  </r>
  <r>
    <x v="152"/>
    <x v="207"/>
    <x v="2"/>
    <x v="23"/>
    <x v="3"/>
    <x v="597"/>
    <x v="0"/>
    <x v="2"/>
    <x v="3"/>
    <x v="0"/>
  </r>
  <r>
    <x v="153"/>
    <x v="139"/>
    <x v="2"/>
    <x v="23"/>
    <x v="3"/>
    <x v="628"/>
    <x v="0"/>
    <x v="1"/>
    <x v="1"/>
    <x v="3"/>
  </r>
  <r>
    <x v="154"/>
    <x v="50"/>
    <x v="0"/>
    <x v="23"/>
    <x v="3"/>
    <x v="1777"/>
    <x v="1"/>
    <x v="1"/>
    <x v="1"/>
    <x v="1"/>
  </r>
  <r>
    <x v="155"/>
    <x v="144"/>
    <x v="2"/>
    <x v="24"/>
    <x v="3"/>
    <x v="1772"/>
    <x v="1"/>
    <x v="1"/>
    <x v="1"/>
    <x v="3"/>
  </r>
  <r>
    <x v="156"/>
    <x v="144"/>
    <x v="2"/>
    <x v="24"/>
    <x v="3"/>
    <x v="1748"/>
    <x v="1"/>
    <x v="2"/>
    <x v="3"/>
    <x v="1"/>
  </r>
  <r>
    <x v="157"/>
    <x v="144"/>
    <x v="2"/>
    <x v="24"/>
    <x v="3"/>
    <x v="2278"/>
    <x v="1"/>
    <x v="1"/>
    <x v="1"/>
    <x v="1"/>
  </r>
  <r>
    <x v="158"/>
    <x v="144"/>
    <x v="0"/>
    <x v="24"/>
    <x v="3"/>
    <x v="1180"/>
    <x v="1"/>
    <x v="0"/>
    <x v="0"/>
    <x v="1"/>
  </r>
  <r>
    <x v="159"/>
    <x v="144"/>
    <x v="0"/>
    <x v="24"/>
    <x v="3"/>
    <x v="2036"/>
    <x v="1"/>
    <x v="1"/>
    <x v="1"/>
    <x v="1"/>
  </r>
  <r>
    <x v="160"/>
    <x v="139"/>
    <x v="2"/>
    <x v="25"/>
    <x v="3"/>
    <x v="1614"/>
    <x v="1"/>
    <x v="2"/>
    <x v="3"/>
    <x v="1"/>
  </r>
  <r>
    <x v="161"/>
    <x v="106"/>
    <x v="1"/>
    <x v="26"/>
    <x v="3"/>
    <x v="222"/>
    <x v="0"/>
    <x v="0"/>
    <x v="0"/>
    <x v="3"/>
  </r>
  <r>
    <x v="162"/>
    <x v="26"/>
    <x v="2"/>
    <x v="26"/>
    <x v="3"/>
    <x v="2171"/>
    <x v="1"/>
    <x v="0"/>
    <x v="0"/>
    <x v="3"/>
  </r>
  <r>
    <x v="163"/>
    <x v="254"/>
    <x v="3"/>
    <x v="26"/>
    <x v="3"/>
    <x v="1052"/>
    <x v="1"/>
    <x v="4"/>
    <x v="4"/>
    <x v="3"/>
  </r>
  <r>
    <x v="164"/>
    <x v="253"/>
    <x v="0"/>
    <x v="26"/>
    <x v="3"/>
    <x v="1214"/>
    <x v="1"/>
    <x v="2"/>
    <x v="3"/>
    <x v="1"/>
  </r>
  <r>
    <x v="165"/>
    <x v="258"/>
    <x v="2"/>
    <x v="26"/>
    <x v="3"/>
    <x v="1042"/>
    <x v="1"/>
    <x v="1"/>
    <x v="1"/>
    <x v="1"/>
  </r>
  <r>
    <x v="166"/>
    <x v="263"/>
    <x v="1"/>
    <x v="26"/>
    <x v="3"/>
    <x v="2280"/>
    <x v="1"/>
    <x v="4"/>
    <x v="4"/>
    <x v="3"/>
  </r>
  <r>
    <x v="167"/>
    <x v="254"/>
    <x v="3"/>
    <x v="26"/>
    <x v="3"/>
    <x v="1214"/>
    <x v="1"/>
    <x v="0"/>
    <x v="0"/>
    <x v="0"/>
  </r>
  <r>
    <x v="168"/>
    <x v="258"/>
    <x v="0"/>
    <x v="26"/>
    <x v="3"/>
    <x v="1042"/>
    <x v="1"/>
    <x v="0"/>
    <x v="0"/>
    <x v="1"/>
  </r>
  <r>
    <x v="169"/>
    <x v="253"/>
    <x v="0"/>
    <x v="26"/>
    <x v="3"/>
    <x v="1055"/>
    <x v="1"/>
    <x v="2"/>
    <x v="3"/>
    <x v="3"/>
  </r>
  <r>
    <x v="170"/>
    <x v="263"/>
    <x v="2"/>
    <x v="26"/>
    <x v="3"/>
    <x v="1110"/>
    <x v="1"/>
    <x v="2"/>
    <x v="3"/>
    <x v="2"/>
  </r>
  <r>
    <x v="171"/>
    <x v="5"/>
    <x v="1"/>
    <x v="27"/>
    <x v="3"/>
    <x v="1168"/>
    <x v="1"/>
    <x v="2"/>
    <x v="3"/>
    <x v="1"/>
  </r>
  <r>
    <x v="172"/>
    <x v="253"/>
    <x v="0"/>
    <x v="27"/>
    <x v="3"/>
    <x v="1230"/>
    <x v="1"/>
    <x v="1"/>
    <x v="1"/>
    <x v="0"/>
  </r>
  <r>
    <x v="173"/>
    <x v="257"/>
    <x v="2"/>
    <x v="27"/>
    <x v="3"/>
    <x v="1168"/>
    <x v="1"/>
    <x v="2"/>
    <x v="3"/>
    <x v="3"/>
  </r>
  <r>
    <x v="174"/>
    <x v="257"/>
    <x v="2"/>
    <x v="27"/>
    <x v="3"/>
    <x v="1230"/>
    <x v="1"/>
    <x v="1"/>
    <x v="1"/>
    <x v="3"/>
  </r>
  <r>
    <x v="175"/>
    <x v="253"/>
    <x v="3"/>
    <x v="27"/>
    <x v="3"/>
    <x v="1092"/>
    <x v="1"/>
    <x v="1"/>
    <x v="1"/>
    <x v="3"/>
  </r>
  <r>
    <x v="176"/>
    <x v="139"/>
    <x v="3"/>
    <x v="28"/>
    <x v="3"/>
    <x v="1110"/>
    <x v="1"/>
    <x v="4"/>
    <x v="4"/>
    <x v="0"/>
  </r>
  <r>
    <x v="177"/>
    <x v="80"/>
    <x v="3"/>
    <x v="28"/>
    <x v="3"/>
    <x v="1168"/>
    <x v="1"/>
    <x v="2"/>
    <x v="3"/>
    <x v="3"/>
  </r>
  <r>
    <x v="178"/>
    <x v="80"/>
    <x v="0"/>
    <x v="28"/>
    <x v="3"/>
    <x v="1168"/>
    <x v="1"/>
    <x v="2"/>
    <x v="3"/>
    <x v="3"/>
  </r>
  <r>
    <x v="179"/>
    <x v="80"/>
    <x v="2"/>
    <x v="28"/>
    <x v="3"/>
    <x v="1092"/>
    <x v="1"/>
    <x v="2"/>
    <x v="3"/>
    <x v="1"/>
  </r>
  <r>
    <x v="180"/>
    <x v="139"/>
    <x v="0"/>
    <x v="29"/>
    <x v="3"/>
    <x v="62"/>
    <x v="0"/>
    <x v="1"/>
    <x v="1"/>
    <x v="3"/>
  </r>
  <r>
    <x v="181"/>
    <x v="12"/>
    <x v="0"/>
    <x v="30"/>
    <x v="3"/>
    <x v="2195"/>
    <x v="1"/>
    <x v="2"/>
    <x v="3"/>
    <x v="1"/>
  </r>
  <r>
    <x v="182"/>
    <x v="139"/>
    <x v="2"/>
    <x v="30"/>
    <x v="3"/>
    <x v="1937"/>
    <x v="1"/>
    <x v="1"/>
    <x v="1"/>
    <x v="3"/>
  </r>
  <r>
    <x v="183"/>
    <x v="139"/>
    <x v="1"/>
    <x v="30"/>
    <x v="3"/>
    <x v="2182"/>
    <x v="1"/>
    <x v="1"/>
    <x v="1"/>
    <x v="0"/>
  </r>
  <r>
    <x v="184"/>
    <x v="241"/>
    <x v="1"/>
    <x v="30"/>
    <x v="3"/>
    <x v="326"/>
    <x v="0"/>
    <x v="2"/>
    <x v="3"/>
    <x v="0"/>
  </r>
  <r>
    <x v="185"/>
    <x v="242"/>
    <x v="0"/>
    <x v="31"/>
    <x v="3"/>
    <x v="380"/>
    <x v="0"/>
    <x v="1"/>
    <x v="1"/>
    <x v="3"/>
  </r>
  <r>
    <x v="186"/>
    <x v="72"/>
    <x v="1"/>
    <x v="31"/>
    <x v="3"/>
    <x v="2078"/>
    <x v="1"/>
    <x v="4"/>
    <x v="4"/>
    <x v="1"/>
  </r>
  <r>
    <x v="187"/>
    <x v="72"/>
    <x v="2"/>
    <x v="31"/>
    <x v="3"/>
    <x v="2164"/>
    <x v="1"/>
    <x v="4"/>
    <x v="4"/>
    <x v="1"/>
  </r>
  <r>
    <x v="188"/>
    <x v="242"/>
    <x v="3"/>
    <x v="31"/>
    <x v="3"/>
    <x v="1630"/>
    <x v="1"/>
    <x v="1"/>
    <x v="1"/>
    <x v="3"/>
  </r>
  <r>
    <x v="189"/>
    <x v="72"/>
    <x v="2"/>
    <x v="31"/>
    <x v="3"/>
    <x v="1544"/>
    <x v="1"/>
    <x v="4"/>
    <x v="4"/>
    <x v="3"/>
  </r>
  <r>
    <x v="190"/>
    <x v="242"/>
    <x v="2"/>
    <x v="31"/>
    <x v="3"/>
    <x v="1631"/>
    <x v="1"/>
    <x v="1"/>
    <x v="1"/>
    <x v="3"/>
  </r>
  <r>
    <x v="191"/>
    <x v="242"/>
    <x v="3"/>
    <x v="31"/>
    <x v="3"/>
    <x v="1544"/>
    <x v="1"/>
    <x v="1"/>
    <x v="1"/>
    <x v="1"/>
  </r>
  <r>
    <x v="192"/>
    <x v="242"/>
    <x v="1"/>
    <x v="31"/>
    <x v="3"/>
    <x v="1544"/>
    <x v="1"/>
    <x v="2"/>
    <x v="3"/>
    <x v="0"/>
  </r>
  <r>
    <x v="193"/>
    <x v="139"/>
    <x v="2"/>
    <x v="32"/>
    <x v="3"/>
    <x v="1676"/>
    <x v="1"/>
    <x v="1"/>
    <x v="1"/>
    <x v="1"/>
  </r>
  <r>
    <x v="194"/>
    <x v="135"/>
    <x v="0"/>
    <x v="32"/>
    <x v="3"/>
    <x v="1641"/>
    <x v="1"/>
    <x v="2"/>
    <x v="3"/>
    <x v="1"/>
  </r>
  <r>
    <x v="195"/>
    <x v="257"/>
    <x v="1"/>
    <x v="32"/>
    <x v="3"/>
    <x v="1544"/>
    <x v="1"/>
    <x v="4"/>
    <x v="4"/>
    <x v="0"/>
  </r>
  <r>
    <x v="196"/>
    <x v="135"/>
    <x v="2"/>
    <x v="32"/>
    <x v="3"/>
    <x v="1544"/>
    <x v="1"/>
    <x v="0"/>
    <x v="0"/>
    <x v="3"/>
  </r>
  <r>
    <x v="197"/>
    <x v="136"/>
    <x v="1"/>
    <x v="32"/>
    <x v="3"/>
    <x v="1640"/>
    <x v="1"/>
    <x v="3"/>
    <x v="2"/>
    <x v="2"/>
  </r>
  <r>
    <x v="198"/>
    <x v="224"/>
    <x v="2"/>
    <x v="33"/>
    <x v="3"/>
    <x v="1545"/>
    <x v="1"/>
    <x v="2"/>
    <x v="3"/>
    <x v="3"/>
  </r>
  <r>
    <x v="199"/>
    <x v="224"/>
    <x v="3"/>
    <x v="33"/>
    <x v="3"/>
    <x v="306"/>
    <x v="0"/>
    <x v="2"/>
    <x v="3"/>
    <x v="3"/>
  </r>
  <r>
    <x v="200"/>
    <x v="28"/>
    <x v="2"/>
    <x v="33"/>
    <x v="3"/>
    <x v="321"/>
    <x v="0"/>
    <x v="2"/>
    <x v="3"/>
    <x v="3"/>
  </r>
  <r>
    <x v="201"/>
    <x v="260"/>
    <x v="1"/>
    <x v="33"/>
    <x v="3"/>
    <x v="2140"/>
    <x v="1"/>
    <x v="0"/>
    <x v="0"/>
    <x v="3"/>
  </r>
  <r>
    <x v="202"/>
    <x v="148"/>
    <x v="3"/>
    <x v="34"/>
    <x v="3"/>
    <x v="2232"/>
    <x v="1"/>
    <x v="1"/>
    <x v="1"/>
    <x v="3"/>
  </r>
  <r>
    <x v="203"/>
    <x v="139"/>
    <x v="3"/>
    <x v="34"/>
    <x v="3"/>
    <x v="338"/>
    <x v="0"/>
    <x v="2"/>
    <x v="3"/>
    <x v="1"/>
  </r>
  <r>
    <x v="204"/>
    <x v="255"/>
    <x v="1"/>
    <x v="34"/>
    <x v="3"/>
    <x v="1934"/>
    <x v="1"/>
    <x v="0"/>
    <x v="0"/>
    <x v="3"/>
  </r>
  <r>
    <x v="205"/>
    <x v="254"/>
    <x v="3"/>
    <x v="34"/>
    <x v="3"/>
    <x v="2015"/>
    <x v="1"/>
    <x v="0"/>
    <x v="0"/>
    <x v="3"/>
  </r>
  <r>
    <x v="206"/>
    <x v="254"/>
    <x v="2"/>
    <x v="34"/>
    <x v="3"/>
    <x v="645"/>
    <x v="0"/>
    <x v="1"/>
    <x v="1"/>
    <x v="1"/>
  </r>
  <r>
    <x v="207"/>
    <x v="261"/>
    <x v="2"/>
    <x v="34"/>
    <x v="3"/>
    <x v="1824"/>
    <x v="1"/>
    <x v="4"/>
    <x v="4"/>
    <x v="0"/>
  </r>
  <r>
    <x v="208"/>
    <x v="263"/>
    <x v="2"/>
    <x v="34"/>
    <x v="3"/>
    <x v="1794"/>
    <x v="1"/>
    <x v="2"/>
    <x v="3"/>
    <x v="3"/>
  </r>
  <r>
    <x v="209"/>
    <x v="257"/>
    <x v="1"/>
    <x v="34"/>
    <x v="3"/>
    <x v="1212"/>
    <x v="1"/>
    <x v="1"/>
    <x v="1"/>
    <x v="2"/>
  </r>
  <r>
    <x v="210"/>
    <x v="253"/>
    <x v="3"/>
    <x v="34"/>
    <x v="3"/>
    <x v="1761"/>
    <x v="1"/>
    <x v="4"/>
    <x v="4"/>
    <x v="1"/>
  </r>
  <r>
    <x v="211"/>
    <x v="255"/>
    <x v="0"/>
    <x v="34"/>
    <x v="3"/>
    <x v="1196"/>
    <x v="1"/>
    <x v="1"/>
    <x v="1"/>
    <x v="0"/>
  </r>
  <r>
    <x v="212"/>
    <x v="253"/>
    <x v="1"/>
    <x v="34"/>
    <x v="3"/>
    <x v="1785"/>
    <x v="1"/>
    <x v="1"/>
    <x v="1"/>
    <x v="3"/>
  </r>
  <r>
    <x v="213"/>
    <x v="261"/>
    <x v="0"/>
    <x v="34"/>
    <x v="3"/>
    <x v="1233"/>
    <x v="1"/>
    <x v="4"/>
    <x v="4"/>
    <x v="1"/>
  </r>
  <r>
    <x v="214"/>
    <x v="263"/>
    <x v="1"/>
    <x v="34"/>
    <x v="3"/>
    <x v="1762"/>
    <x v="1"/>
    <x v="2"/>
    <x v="3"/>
    <x v="3"/>
  </r>
  <r>
    <x v="215"/>
    <x v="257"/>
    <x v="3"/>
    <x v="34"/>
    <x v="3"/>
    <x v="1196"/>
    <x v="1"/>
    <x v="1"/>
    <x v="1"/>
    <x v="1"/>
  </r>
  <r>
    <x v="216"/>
    <x v="208"/>
    <x v="2"/>
    <x v="35"/>
    <x v="3"/>
    <x v="1518"/>
    <x v="1"/>
    <x v="2"/>
    <x v="3"/>
    <x v="0"/>
  </r>
  <r>
    <x v="217"/>
    <x v="208"/>
    <x v="3"/>
    <x v="35"/>
    <x v="3"/>
    <x v="1207"/>
    <x v="1"/>
    <x v="0"/>
    <x v="0"/>
    <x v="1"/>
  </r>
  <r>
    <x v="218"/>
    <x v="6"/>
    <x v="2"/>
    <x v="36"/>
    <x v="3"/>
    <x v="1735"/>
    <x v="1"/>
    <x v="2"/>
    <x v="3"/>
    <x v="1"/>
  </r>
  <r>
    <x v="219"/>
    <x v="139"/>
    <x v="3"/>
    <x v="36"/>
    <x v="3"/>
    <x v="1196"/>
    <x v="1"/>
    <x v="2"/>
    <x v="3"/>
    <x v="0"/>
  </r>
  <r>
    <x v="220"/>
    <x v="139"/>
    <x v="2"/>
    <x v="36"/>
    <x v="3"/>
    <x v="1196"/>
    <x v="1"/>
    <x v="1"/>
    <x v="1"/>
    <x v="2"/>
  </r>
  <r>
    <x v="221"/>
    <x v="139"/>
    <x v="0"/>
    <x v="36"/>
    <x v="3"/>
    <x v="1196"/>
    <x v="1"/>
    <x v="1"/>
    <x v="1"/>
    <x v="3"/>
  </r>
  <r>
    <x v="222"/>
    <x v="50"/>
    <x v="3"/>
    <x v="37"/>
    <x v="3"/>
    <x v="1465"/>
    <x v="1"/>
    <x v="3"/>
    <x v="2"/>
    <x v="1"/>
  </r>
  <r>
    <x v="223"/>
    <x v="46"/>
    <x v="3"/>
    <x v="38"/>
    <x v="3"/>
    <x v="859"/>
    <x v="0"/>
    <x v="2"/>
    <x v="3"/>
    <x v="1"/>
  </r>
  <r>
    <x v="224"/>
    <x v="46"/>
    <x v="2"/>
    <x v="38"/>
    <x v="3"/>
    <x v="723"/>
    <x v="0"/>
    <x v="2"/>
    <x v="3"/>
    <x v="3"/>
  </r>
  <r>
    <x v="225"/>
    <x v="80"/>
    <x v="1"/>
    <x v="38"/>
    <x v="3"/>
    <x v="782"/>
    <x v="0"/>
    <x v="2"/>
    <x v="3"/>
    <x v="3"/>
  </r>
  <r>
    <x v="226"/>
    <x v="225"/>
    <x v="0"/>
    <x v="38"/>
    <x v="3"/>
    <x v="2186"/>
    <x v="1"/>
    <x v="4"/>
    <x v="4"/>
    <x v="0"/>
  </r>
  <r>
    <x v="227"/>
    <x v="46"/>
    <x v="3"/>
    <x v="38"/>
    <x v="3"/>
    <x v="1827"/>
    <x v="1"/>
    <x v="1"/>
    <x v="1"/>
    <x v="3"/>
  </r>
  <r>
    <x v="228"/>
    <x v="80"/>
    <x v="3"/>
    <x v="38"/>
    <x v="3"/>
    <x v="1827"/>
    <x v="1"/>
    <x v="1"/>
    <x v="1"/>
    <x v="3"/>
  </r>
  <r>
    <x v="229"/>
    <x v="136"/>
    <x v="3"/>
    <x v="38"/>
    <x v="3"/>
    <x v="1828"/>
    <x v="1"/>
    <x v="1"/>
    <x v="1"/>
    <x v="2"/>
  </r>
  <r>
    <x v="230"/>
    <x v="225"/>
    <x v="3"/>
    <x v="38"/>
    <x v="3"/>
    <x v="1003"/>
    <x v="1"/>
    <x v="2"/>
    <x v="3"/>
    <x v="3"/>
  </r>
  <r>
    <x v="231"/>
    <x v="46"/>
    <x v="0"/>
    <x v="38"/>
    <x v="3"/>
    <x v="1928"/>
    <x v="1"/>
    <x v="0"/>
    <x v="0"/>
    <x v="1"/>
  </r>
  <r>
    <x v="232"/>
    <x v="80"/>
    <x v="3"/>
    <x v="38"/>
    <x v="3"/>
    <x v="409"/>
    <x v="0"/>
    <x v="1"/>
    <x v="1"/>
    <x v="3"/>
  </r>
  <r>
    <x v="233"/>
    <x v="225"/>
    <x v="2"/>
    <x v="38"/>
    <x v="3"/>
    <x v="1833"/>
    <x v="1"/>
    <x v="0"/>
    <x v="0"/>
    <x v="3"/>
  </r>
  <r>
    <x v="234"/>
    <x v="19"/>
    <x v="0"/>
    <x v="39"/>
    <x v="8"/>
    <x v="1893"/>
    <x v="1"/>
    <x v="1"/>
    <x v="1"/>
    <x v="0"/>
  </r>
  <r>
    <x v="235"/>
    <x v="228"/>
    <x v="3"/>
    <x v="40"/>
    <x v="8"/>
    <x v="2282"/>
    <x v="1"/>
    <x v="3"/>
    <x v="2"/>
    <x v="3"/>
  </r>
  <r>
    <x v="236"/>
    <x v="234"/>
    <x v="2"/>
    <x v="40"/>
    <x v="8"/>
    <x v="1526"/>
    <x v="1"/>
    <x v="2"/>
    <x v="3"/>
    <x v="2"/>
  </r>
  <r>
    <x v="237"/>
    <x v="17"/>
    <x v="3"/>
    <x v="41"/>
    <x v="8"/>
    <x v="2279"/>
    <x v="1"/>
    <x v="1"/>
    <x v="1"/>
    <x v="3"/>
  </r>
  <r>
    <x v="238"/>
    <x v="17"/>
    <x v="0"/>
    <x v="41"/>
    <x v="8"/>
    <x v="907"/>
    <x v="0"/>
    <x v="1"/>
    <x v="1"/>
    <x v="1"/>
  </r>
  <r>
    <x v="239"/>
    <x v="17"/>
    <x v="1"/>
    <x v="41"/>
    <x v="8"/>
    <x v="837"/>
    <x v="0"/>
    <x v="1"/>
    <x v="1"/>
    <x v="1"/>
  </r>
  <r>
    <x v="240"/>
    <x v="17"/>
    <x v="2"/>
    <x v="41"/>
    <x v="8"/>
    <x v="1293"/>
    <x v="1"/>
    <x v="0"/>
    <x v="0"/>
    <x v="3"/>
  </r>
  <r>
    <x v="241"/>
    <x v="17"/>
    <x v="3"/>
    <x v="41"/>
    <x v="8"/>
    <x v="1429"/>
    <x v="1"/>
    <x v="2"/>
    <x v="3"/>
    <x v="3"/>
  </r>
  <r>
    <x v="242"/>
    <x v="139"/>
    <x v="2"/>
    <x v="41"/>
    <x v="8"/>
    <x v="1329"/>
    <x v="1"/>
    <x v="2"/>
    <x v="3"/>
    <x v="3"/>
  </r>
  <r>
    <x v="243"/>
    <x v="7"/>
    <x v="0"/>
    <x v="42"/>
    <x v="8"/>
    <x v="1386"/>
    <x v="1"/>
    <x v="2"/>
    <x v="3"/>
    <x v="0"/>
  </r>
  <r>
    <x v="244"/>
    <x v="7"/>
    <x v="1"/>
    <x v="42"/>
    <x v="8"/>
    <x v="1316"/>
    <x v="1"/>
    <x v="1"/>
    <x v="1"/>
    <x v="3"/>
  </r>
  <r>
    <x v="245"/>
    <x v="18"/>
    <x v="0"/>
    <x v="43"/>
    <x v="8"/>
    <x v="1355"/>
    <x v="1"/>
    <x v="1"/>
    <x v="1"/>
    <x v="3"/>
  </r>
  <r>
    <x v="246"/>
    <x v="135"/>
    <x v="3"/>
    <x v="43"/>
    <x v="8"/>
    <x v="1354"/>
    <x v="1"/>
    <x v="0"/>
    <x v="0"/>
    <x v="1"/>
  </r>
  <r>
    <x v="247"/>
    <x v="136"/>
    <x v="2"/>
    <x v="43"/>
    <x v="8"/>
    <x v="1381"/>
    <x v="1"/>
    <x v="1"/>
    <x v="1"/>
    <x v="1"/>
  </r>
  <r>
    <x v="248"/>
    <x v="175"/>
    <x v="3"/>
    <x v="44"/>
    <x v="8"/>
    <x v="1360"/>
    <x v="1"/>
    <x v="1"/>
    <x v="1"/>
    <x v="3"/>
  </r>
  <r>
    <x v="249"/>
    <x v="50"/>
    <x v="1"/>
    <x v="44"/>
    <x v="8"/>
    <x v="2274"/>
    <x v="1"/>
    <x v="4"/>
    <x v="4"/>
    <x v="2"/>
  </r>
  <r>
    <x v="250"/>
    <x v="175"/>
    <x v="0"/>
    <x v="44"/>
    <x v="8"/>
    <x v="341"/>
    <x v="0"/>
    <x v="2"/>
    <x v="3"/>
    <x v="2"/>
  </r>
  <r>
    <x v="251"/>
    <x v="175"/>
    <x v="1"/>
    <x v="44"/>
    <x v="8"/>
    <x v="204"/>
    <x v="0"/>
    <x v="1"/>
    <x v="1"/>
    <x v="3"/>
  </r>
  <r>
    <x v="252"/>
    <x v="175"/>
    <x v="2"/>
    <x v="44"/>
    <x v="8"/>
    <x v="345"/>
    <x v="0"/>
    <x v="1"/>
    <x v="1"/>
    <x v="3"/>
  </r>
  <r>
    <x v="253"/>
    <x v="175"/>
    <x v="2"/>
    <x v="44"/>
    <x v="8"/>
    <x v="372"/>
    <x v="0"/>
    <x v="1"/>
    <x v="1"/>
    <x v="3"/>
  </r>
  <r>
    <x v="254"/>
    <x v="175"/>
    <x v="1"/>
    <x v="44"/>
    <x v="8"/>
    <x v="144"/>
    <x v="0"/>
    <x v="2"/>
    <x v="3"/>
    <x v="0"/>
  </r>
  <r>
    <x v="255"/>
    <x v="175"/>
    <x v="3"/>
    <x v="44"/>
    <x v="8"/>
    <x v="1906"/>
    <x v="1"/>
    <x v="4"/>
    <x v="4"/>
    <x v="2"/>
  </r>
  <r>
    <x v="256"/>
    <x v="175"/>
    <x v="3"/>
    <x v="44"/>
    <x v="8"/>
    <x v="1995"/>
    <x v="1"/>
    <x v="1"/>
    <x v="1"/>
    <x v="3"/>
  </r>
  <r>
    <x v="257"/>
    <x v="175"/>
    <x v="3"/>
    <x v="44"/>
    <x v="8"/>
    <x v="402"/>
    <x v="0"/>
    <x v="0"/>
    <x v="0"/>
    <x v="3"/>
  </r>
  <r>
    <x v="258"/>
    <x v="106"/>
    <x v="1"/>
    <x v="45"/>
    <x v="8"/>
    <x v="1318"/>
    <x v="1"/>
    <x v="1"/>
    <x v="1"/>
    <x v="3"/>
  </r>
  <r>
    <x v="259"/>
    <x v="257"/>
    <x v="1"/>
    <x v="45"/>
    <x v="8"/>
    <x v="1327"/>
    <x v="1"/>
    <x v="2"/>
    <x v="3"/>
    <x v="3"/>
  </r>
  <r>
    <x v="260"/>
    <x v="257"/>
    <x v="0"/>
    <x v="45"/>
    <x v="8"/>
    <x v="1330"/>
    <x v="1"/>
    <x v="1"/>
    <x v="1"/>
    <x v="1"/>
  </r>
  <r>
    <x v="261"/>
    <x v="255"/>
    <x v="3"/>
    <x v="45"/>
    <x v="8"/>
    <x v="1331"/>
    <x v="1"/>
    <x v="1"/>
    <x v="1"/>
    <x v="3"/>
  </r>
  <r>
    <x v="262"/>
    <x v="258"/>
    <x v="1"/>
    <x v="45"/>
    <x v="8"/>
    <x v="1308"/>
    <x v="1"/>
    <x v="2"/>
    <x v="3"/>
    <x v="3"/>
  </r>
  <r>
    <x v="263"/>
    <x v="259"/>
    <x v="3"/>
    <x v="45"/>
    <x v="8"/>
    <x v="1303"/>
    <x v="1"/>
    <x v="1"/>
    <x v="1"/>
    <x v="1"/>
  </r>
  <r>
    <x v="264"/>
    <x v="263"/>
    <x v="1"/>
    <x v="45"/>
    <x v="8"/>
    <x v="1362"/>
    <x v="1"/>
    <x v="2"/>
    <x v="3"/>
    <x v="1"/>
  </r>
  <r>
    <x v="265"/>
    <x v="260"/>
    <x v="3"/>
    <x v="45"/>
    <x v="8"/>
    <x v="1290"/>
    <x v="1"/>
    <x v="1"/>
    <x v="1"/>
    <x v="1"/>
  </r>
  <r>
    <x v="266"/>
    <x v="255"/>
    <x v="1"/>
    <x v="45"/>
    <x v="8"/>
    <x v="1369"/>
    <x v="1"/>
    <x v="1"/>
    <x v="1"/>
    <x v="1"/>
  </r>
  <r>
    <x v="267"/>
    <x v="258"/>
    <x v="3"/>
    <x v="45"/>
    <x v="8"/>
    <x v="1344"/>
    <x v="1"/>
    <x v="2"/>
    <x v="3"/>
    <x v="1"/>
  </r>
  <r>
    <x v="268"/>
    <x v="135"/>
    <x v="1"/>
    <x v="45"/>
    <x v="8"/>
    <x v="1899"/>
    <x v="1"/>
    <x v="1"/>
    <x v="1"/>
    <x v="1"/>
  </r>
  <r>
    <x v="269"/>
    <x v="259"/>
    <x v="0"/>
    <x v="45"/>
    <x v="8"/>
    <x v="1868"/>
    <x v="1"/>
    <x v="3"/>
    <x v="2"/>
    <x v="0"/>
  </r>
  <r>
    <x v="270"/>
    <x v="263"/>
    <x v="3"/>
    <x v="45"/>
    <x v="8"/>
    <x v="1883"/>
    <x v="1"/>
    <x v="2"/>
    <x v="3"/>
    <x v="0"/>
  </r>
  <r>
    <x v="271"/>
    <x v="260"/>
    <x v="3"/>
    <x v="45"/>
    <x v="8"/>
    <x v="1866"/>
    <x v="1"/>
    <x v="0"/>
    <x v="0"/>
    <x v="3"/>
  </r>
  <r>
    <x v="272"/>
    <x v="108"/>
    <x v="2"/>
    <x v="46"/>
    <x v="8"/>
    <x v="1876"/>
    <x v="1"/>
    <x v="2"/>
    <x v="3"/>
    <x v="3"/>
  </r>
  <r>
    <x v="273"/>
    <x v="145"/>
    <x v="0"/>
    <x v="46"/>
    <x v="8"/>
    <x v="855"/>
    <x v="0"/>
    <x v="3"/>
    <x v="2"/>
    <x v="3"/>
  </r>
  <r>
    <x v="274"/>
    <x v="246"/>
    <x v="1"/>
    <x v="46"/>
    <x v="8"/>
    <x v="792"/>
    <x v="0"/>
    <x v="1"/>
    <x v="1"/>
    <x v="3"/>
  </r>
  <r>
    <x v="275"/>
    <x v="175"/>
    <x v="1"/>
    <x v="46"/>
    <x v="8"/>
    <x v="483"/>
    <x v="0"/>
    <x v="2"/>
    <x v="3"/>
    <x v="2"/>
  </r>
  <r>
    <x v="276"/>
    <x v="175"/>
    <x v="1"/>
    <x v="46"/>
    <x v="8"/>
    <x v="152"/>
    <x v="0"/>
    <x v="1"/>
    <x v="1"/>
    <x v="1"/>
  </r>
  <r>
    <x v="277"/>
    <x v="175"/>
    <x v="0"/>
    <x v="46"/>
    <x v="8"/>
    <x v="2208"/>
    <x v="1"/>
    <x v="2"/>
    <x v="3"/>
    <x v="2"/>
  </r>
  <r>
    <x v="278"/>
    <x v="175"/>
    <x v="3"/>
    <x v="46"/>
    <x v="8"/>
    <x v="1191"/>
    <x v="1"/>
    <x v="2"/>
    <x v="3"/>
    <x v="3"/>
  </r>
  <r>
    <x v="279"/>
    <x v="175"/>
    <x v="2"/>
    <x v="46"/>
    <x v="8"/>
    <x v="1214"/>
    <x v="1"/>
    <x v="2"/>
    <x v="3"/>
    <x v="0"/>
  </r>
  <r>
    <x v="280"/>
    <x v="175"/>
    <x v="1"/>
    <x v="46"/>
    <x v="8"/>
    <x v="1063"/>
    <x v="1"/>
    <x v="1"/>
    <x v="1"/>
    <x v="2"/>
  </r>
  <r>
    <x v="281"/>
    <x v="175"/>
    <x v="3"/>
    <x v="46"/>
    <x v="8"/>
    <x v="1191"/>
    <x v="1"/>
    <x v="1"/>
    <x v="1"/>
    <x v="0"/>
  </r>
  <r>
    <x v="282"/>
    <x v="175"/>
    <x v="3"/>
    <x v="46"/>
    <x v="8"/>
    <x v="1214"/>
    <x v="1"/>
    <x v="3"/>
    <x v="2"/>
    <x v="2"/>
  </r>
  <r>
    <x v="283"/>
    <x v="175"/>
    <x v="0"/>
    <x v="46"/>
    <x v="8"/>
    <x v="1063"/>
    <x v="1"/>
    <x v="2"/>
    <x v="3"/>
    <x v="3"/>
  </r>
  <r>
    <x v="284"/>
    <x v="175"/>
    <x v="0"/>
    <x v="46"/>
    <x v="8"/>
    <x v="1131"/>
    <x v="1"/>
    <x v="0"/>
    <x v="0"/>
    <x v="2"/>
  </r>
  <r>
    <x v="285"/>
    <x v="106"/>
    <x v="0"/>
    <x v="47"/>
    <x v="8"/>
    <x v="1134"/>
    <x v="1"/>
    <x v="3"/>
    <x v="2"/>
    <x v="1"/>
  </r>
  <r>
    <x v="286"/>
    <x v="7"/>
    <x v="0"/>
    <x v="47"/>
    <x v="8"/>
    <x v="2272"/>
    <x v="1"/>
    <x v="0"/>
    <x v="0"/>
    <x v="0"/>
  </r>
  <r>
    <x v="287"/>
    <x v="50"/>
    <x v="1"/>
    <x v="47"/>
    <x v="8"/>
    <x v="653"/>
    <x v="0"/>
    <x v="2"/>
    <x v="3"/>
    <x v="2"/>
  </r>
  <r>
    <x v="288"/>
    <x v="200"/>
    <x v="0"/>
    <x v="47"/>
    <x v="8"/>
    <x v="395"/>
    <x v="0"/>
    <x v="4"/>
    <x v="4"/>
    <x v="3"/>
  </r>
  <r>
    <x v="289"/>
    <x v="201"/>
    <x v="0"/>
    <x v="47"/>
    <x v="8"/>
    <x v="239"/>
    <x v="0"/>
    <x v="1"/>
    <x v="1"/>
    <x v="3"/>
  </r>
  <r>
    <x v="290"/>
    <x v="200"/>
    <x v="2"/>
    <x v="47"/>
    <x v="8"/>
    <x v="1137"/>
    <x v="1"/>
    <x v="1"/>
    <x v="1"/>
    <x v="3"/>
  </r>
  <r>
    <x v="291"/>
    <x v="201"/>
    <x v="3"/>
    <x v="47"/>
    <x v="8"/>
    <x v="2220"/>
    <x v="1"/>
    <x v="1"/>
    <x v="1"/>
    <x v="3"/>
  </r>
  <r>
    <x v="292"/>
    <x v="200"/>
    <x v="1"/>
    <x v="47"/>
    <x v="8"/>
    <x v="1137"/>
    <x v="1"/>
    <x v="4"/>
    <x v="4"/>
    <x v="3"/>
  </r>
  <r>
    <x v="293"/>
    <x v="201"/>
    <x v="0"/>
    <x v="47"/>
    <x v="8"/>
    <x v="601"/>
    <x v="0"/>
    <x v="1"/>
    <x v="1"/>
    <x v="3"/>
  </r>
  <r>
    <x v="294"/>
    <x v="84"/>
    <x v="0"/>
    <x v="48"/>
    <x v="8"/>
    <x v="993"/>
    <x v="1"/>
    <x v="0"/>
    <x v="0"/>
    <x v="1"/>
  </r>
  <r>
    <x v="295"/>
    <x v="34"/>
    <x v="3"/>
    <x v="49"/>
    <x v="8"/>
    <x v="1042"/>
    <x v="1"/>
    <x v="1"/>
    <x v="1"/>
    <x v="3"/>
  </r>
  <r>
    <x v="296"/>
    <x v="50"/>
    <x v="2"/>
    <x v="49"/>
    <x v="8"/>
    <x v="1063"/>
    <x v="1"/>
    <x v="3"/>
    <x v="2"/>
    <x v="3"/>
  </r>
  <r>
    <x v="297"/>
    <x v="238"/>
    <x v="2"/>
    <x v="49"/>
    <x v="8"/>
    <x v="1176"/>
    <x v="1"/>
    <x v="1"/>
    <x v="1"/>
    <x v="2"/>
  </r>
  <r>
    <x v="298"/>
    <x v="34"/>
    <x v="1"/>
    <x v="49"/>
    <x v="8"/>
    <x v="1042"/>
    <x v="1"/>
    <x v="1"/>
    <x v="1"/>
    <x v="3"/>
  </r>
  <r>
    <x v="299"/>
    <x v="238"/>
    <x v="2"/>
    <x v="49"/>
    <x v="8"/>
    <x v="1042"/>
    <x v="1"/>
    <x v="1"/>
    <x v="1"/>
    <x v="1"/>
  </r>
  <r>
    <x v="300"/>
    <x v="34"/>
    <x v="3"/>
    <x v="49"/>
    <x v="8"/>
    <x v="1176"/>
    <x v="1"/>
    <x v="2"/>
    <x v="3"/>
    <x v="0"/>
  </r>
  <r>
    <x v="301"/>
    <x v="238"/>
    <x v="2"/>
    <x v="49"/>
    <x v="8"/>
    <x v="1063"/>
    <x v="1"/>
    <x v="1"/>
    <x v="1"/>
    <x v="3"/>
  </r>
  <r>
    <x v="302"/>
    <x v="238"/>
    <x v="2"/>
    <x v="49"/>
    <x v="8"/>
    <x v="1042"/>
    <x v="1"/>
    <x v="0"/>
    <x v="0"/>
    <x v="3"/>
  </r>
  <r>
    <x v="303"/>
    <x v="144"/>
    <x v="3"/>
    <x v="50"/>
    <x v="8"/>
    <x v="106"/>
    <x v="0"/>
    <x v="2"/>
    <x v="3"/>
    <x v="3"/>
  </r>
  <r>
    <x v="304"/>
    <x v="144"/>
    <x v="0"/>
    <x v="50"/>
    <x v="8"/>
    <x v="473"/>
    <x v="0"/>
    <x v="0"/>
    <x v="0"/>
    <x v="1"/>
  </r>
  <r>
    <x v="305"/>
    <x v="144"/>
    <x v="2"/>
    <x v="50"/>
    <x v="8"/>
    <x v="1182"/>
    <x v="1"/>
    <x v="1"/>
    <x v="1"/>
    <x v="2"/>
  </r>
  <r>
    <x v="306"/>
    <x v="144"/>
    <x v="1"/>
    <x v="50"/>
    <x v="8"/>
    <x v="1232"/>
    <x v="1"/>
    <x v="0"/>
    <x v="0"/>
    <x v="1"/>
  </r>
  <r>
    <x v="307"/>
    <x v="144"/>
    <x v="2"/>
    <x v="50"/>
    <x v="8"/>
    <x v="1232"/>
    <x v="1"/>
    <x v="1"/>
    <x v="1"/>
    <x v="2"/>
  </r>
  <r>
    <x v="308"/>
    <x v="5"/>
    <x v="2"/>
    <x v="51"/>
    <x v="8"/>
    <x v="1184"/>
    <x v="1"/>
    <x v="1"/>
    <x v="1"/>
    <x v="0"/>
  </r>
  <r>
    <x v="309"/>
    <x v="7"/>
    <x v="1"/>
    <x v="51"/>
    <x v="8"/>
    <x v="2271"/>
    <x v="1"/>
    <x v="4"/>
    <x v="4"/>
    <x v="3"/>
  </r>
  <r>
    <x v="310"/>
    <x v="19"/>
    <x v="2"/>
    <x v="51"/>
    <x v="8"/>
    <x v="1627"/>
    <x v="1"/>
    <x v="2"/>
    <x v="3"/>
    <x v="1"/>
  </r>
  <r>
    <x v="311"/>
    <x v="111"/>
    <x v="2"/>
    <x v="51"/>
    <x v="8"/>
    <x v="1616"/>
    <x v="1"/>
    <x v="2"/>
    <x v="3"/>
    <x v="1"/>
  </r>
  <r>
    <x v="312"/>
    <x v="111"/>
    <x v="2"/>
    <x v="51"/>
    <x v="8"/>
    <x v="1585"/>
    <x v="1"/>
    <x v="2"/>
    <x v="3"/>
    <x v="2"/>
  </r>
  <r>
    <x v="313"/>
    <x v="111"/>
    <x v="0"/>
    <x v="51"/>
    <x v="8"/>
    <x v="2203"/>
    <x v="1"/>
    <x v="1"/>
    <x v="1"/>
    <x v="1"/>
  </r>
  <r>
    <x v="314"/>
    <x v="111"/>
    <x v="2"/>
    <x v="51"/>
    <x v="8"/>
    <x v="960"/>
    <x v="0"/>
    <x v="2"/>
    <x v="3"/>
    <x v="3"/>
  </r>
  <r>
    <x v="315"/>
    <x v="5"/>
    <x v="2"/>
    <x v="52"/>
    <x v="8"/>
    <x v="469"/>
    <x v="0"/>
    <x v="0"/>
    <x v="0"/>
    <x v="1"/>
  </r>
  <r>
    <x v="316"/>
    <x v="135"/>
    <x v="2"/>
    <x v="53"/>
    <x v="8"/>
    <x v="2045"/>
    <x v="1"/>
    <x v="0"/>
    <x v="0"/>
    <x v="2"/>
  </r>
  <r>
    <x v="317"/>
    <x v="19"/>
    <x v="2"/>
    <x v="54"/>
    <x v="8"/>
    <x v="333"/>
    <x v="0"/>
    <x v="3"/>
    <x v="2"/>
    <x v="0"/>
  </r>
  <r>
    <x v="318"/>
    <x v="135"/>
    <x v="3"/>
    <x v="54"/>
    <x v="8"/>
    <x v="2086"/>
    <x v="1"/>
    <x v="1"/>
    <x v="1"/>
    <x v="0"/>
  </r>
  <r>
    <x v="319"/>
    <x v="254"/>
    <x v="1"/>
    <x v="55"/>
    <x v="8"/>
    <x v="2029"/>
    <x v="1"/>
    <x v="1"/>
    <x v="1"/>
    <x v="1"/>
  </r>
  <r>
    <x v="320"/>
    <x v="254"/>
    <x v="1"/>
    <x v="55"/>
    <x v="8"/>
    <x v="2011"/>
    <x v="1"/>
    <x v="2"/>
    <x v="3"/>
    <x v="0"/>
  </r>
  <r>
    <x v="321"/>
    <x v="253"/>
    <x v="2"/>
    <x v="55"/>
    <x v="8"/>
    <x v="1305"/>
    <x v="1"/>
    <x v="4"/>
    <x v="4"/>
    <x v="2"/>
  </r>
  <r>
    <x v="322"/>
    <x v="263"/>
    <x v="1"/>
    <x v="55"/>
    <x v="8"/>
    <x v="1108"/>
    <x v="1"/>
    <x v="1"/>
    <x v="1"/>
    <x v="3"/>
  </r>
  <r>
    <x v="323"/>
    <x v="111"/>
    <x v="2"/>
    <x v="55"/>
    <x v="8"/>
    <x v="1151"/>
    <x v="1"/>
    <x v="1"/>
    <x v="1"/>
    <x v="1"/>
  </r>
  <r>
    <x v="324"/>
    <x v="111"/>
    <x v="2"/>
    <x v="55"/>
    <x v="8"/>
    <x v="1319"/>
    <x v="1"/>
    <x v="1"/>
    <x v="1"/>
    <x v="3"/>
  </r>
  <r>
    <x v="325"/>
    <x v="111"/>
    <x v="0"/>
    <x v="55"/>
    <x v="8"/>
    <x v="1125"/>
    <x v="1"/>
    <x v="4"/>
    <x v="4"/>
    <x v="0"/>
  </r>
  <r>
    <x v="326"/>
    <x v="263"/>
    <x v="2"/>
    <x v="55"/>
    <x v="8"/>
    <x v="1863"/>
    <x v="1"/>
    <x v="1"/>
    <x v="1"/>
    <x v="2"/>
  </r>
  <r>
    <x v="327"/>
    <x v="262"/>
    <x v="0"/>
    <x v="55"/>
    <x v="8"/>
    <x v="1164"/>
    <x v="1"/>
    <x v="2"/>
    <x v="3"/>
    <x v="0"/>
  </r>
  <r>
    <x v="328"/>
    <x v="253"/>
    <x v="3"/>
    <x v="55"/>
    <x v="8"/>
    <x v="1139"/>
    <x v="1"/>
    <x v="2"/>
    <x v="3"/>
    <x v="1"/>
  </r>
  <r>
    <x v="329"/>
    <x v="262"/>
    <x v="1"/>
    <x v="55"/>
    <x v="8"/>
    <x v="1863"/>
    <x v="1"/>
    <x v="1"/>
    <x v="1"/>
    <x v="3"/>
  </r>
  <r>
    <x v="330"/>
    <x v="111"/>
    <x v="3"/>
    <x v="55"/>
    <x v="8"/>
    <x v="1162"/>
    <x v="1"/>
    <x v="2"/>
    <x v="3"/>
    <x v="0"/>
  </r>
  <r>
    <x v="331"/>
    <x v="111"/>
    <x v="0"/>
    <x v="55"/>
    <x v="8"/>
    <x v="1863"/>
    <x v="1"/>
    <x v="1"/>
    <x v="1"/>
    <x v="0"/>
  </r>
  <r>
    <x v="332"/>
    <x v="261"/>
    <x v="2"/>
    <x v="56"/>
    <x v="8"/>
    <x v="1863"/>
    <x v="1"/>
    <x v="2"/>
    <x v="3"/>
    <x v="0"/>
  </r>
  <r>
    <x v="333"/>
    <x v="261"/>
    <x v="1"/>
    <x v="56"/>
    <x v="8"/>
    <x v="1863"/>
    <x v="1"/>
    <x v="1"/>
    <x v="1"/>
    <x v="1"/>
  </r>
  <r>
    <x v="334"/>
    <x v="50"/>
    <x v="2"/>
    <x v="57"/>
    <x v="8"/>
    <x v="1418"/>
    <x v="1"/>
    <x v="0"/>
    <x v="0"/>
    <x v="3"/>
  </r>
  <r>
    <x v="335"/>
    <x v="2"/>
    <x v="2"/>
    <x v="58"/>
    <x v="8"/>
    <x v="1771"/>
    <x v="1"/>
    <x v="4"/>
    <x v="4"/>
    <x v="1"/>
  </r>
  <r>
    <x v="336"/>
    <x v="7"/>
    <x v="3"/>
    <x v="59"/>
    <x v="8"/>
    <x v="39"/>
    <x v="0"/>
    <x v="2"/>
    <x v="3"/>
    <x v="3"/>
  </r>
  <r>
    <x v="337"/>
    <x v="135"/>
    <x v="2"/>
    <x v="59"/>
    <x v="8"/>
    <x v="1387"/>
    <x v="1"/>
    <x v="2"/>
    <x v="3"/>
    <x v="3"/>
  </r>
  <r>
    <x v="338"/>
    <x v="32"/>
    <x v="3"/>
    <x v="60"/>
    <x v="8"/>
    <x v="2169"/>
    <x v="1"/>
    <x v="2"/>
    <x v="3"/>
    <x v="1"/>
  </r>
  <r>
    <x v="339"/>
    <x v="47"/>
    <x v="3"/>
    <x v="60"/>
    <x v="8"/>
    <x v="2255"/>
    <x v="1"/>
    <x v="4"/>
    <x v="4"/>
    <x v="3"/>
  </r>
  <r>
    <x v="340"/>
    <x v="75"/>
    <x v="2"/>
    <x v="60"/>
    <x v="8"/>
    <x v="2150"/>
    <x v="1"/>
    <x v="1"/>
    <x v="1"/>
    <x v="1"/>
  </r>
  <r>
    <x v="341"/>
    <x v="77"/>
    <x v="2"/>
    <x v="60"/>
    <x v="8"/>
    <x v="1076"/>
    <x v="1"/>
    <x v="0"/>
    <x v="0"/>
    <x v="3"/>
  </r>
  <r>
    <x v="342"/>
    <x v="107"/>
    <x v="0"/>
    <x v="60"/>
    <x v="8"/>
    <x v="1058"/>
    <x v="1"/>
    <x v="2"/>
    <x v="3"/>
    <x v="1"/>
  </r>
  <r>
    <x v="343"/>
    <x v="142"/>
    <x v="3"/>
    <x v="60"/>
    <x v="8"/>
    <x v="2216"/>
    <x v="1"/>
    <x v="4"/>
    <x v="4"/>
    <x v="3"/>
  </r>
  <r>
    <x v="344"/>
    <x v="176"/>
    <x v="0"/>
    <x v="60"/>
    <x v="8"/>
    <x v="129"/>
    <x v="0"/>
    <x v="2"/>
    <x v="3"/>
    <x v="3"/>
  </r>
  <r>
    <x v="345"/>
    <x v="238"/>
    <x v="1"/>
    <x v="60"/>
    <x v="8"/>
    <x v="2122"/>
    <x v="1"/>
    <x v="0"/>
    <x v="0"/>
    <x v="1"/>
  </r>
  <r>
    <x v="346"/>
    <x v="233"/>
    <x v="1"/>
    <x v="60"/>
    <x v="8"/>
    <x v="533"/>
    <x v="0"/>
    <x v="2"/>
    <x v="3"/>
    <x v="1"/>
  </r>
  <r>
    <x v="347"/>
    <x v="195"/>
    <x v="0"/>
    <x v="60"/>
    <x v="8"/>
    <x v="98"/>
    <x v="0"/>
    <x v="2"/>
    <x v="3"/>
    <x v="3"/>
  </r>
  <r>
    <x v="348"/>
    <x v="144"/>
    <x v="1"/>
    <x v="60"/>
    <x v="8"/>
    <x v="20"/>
    <x v="0"/>
    <x v="1"/>
    <x v="1"/>
    <x v="3"/>
  </r>
  <r>
    <x v="349"/>
    <x v="195"/>
    <x v="2"/>
    <x v="60"/>
    <x v="8"/>
    <x v="1337"/>
    <x v="1"/>
    <x v="2"/>
    <x v="3"/>
    <x v="1"/>
  </r>
  <r>
    <x v="350"/>
    <x v="195"/>
    <x v="3"/>
    <x v="60"/>
    <x v="8"/>
    <x v="382"/>
    <x v="0"/>
    <x v="1"/>
    <x v="1"/>
    <x v="1"/>
  </r>
  <r>
    <x v="351"/>
    <x v="195"/>
    <x v="2"/>
    <x v="60"/>
    <x v="8"/>
    <x v="1846"/>
    <x v="1"/>
    <x v="2"/>
    <x v="3"/>
    <x v="2"/>
  </r>
  <r>
    <x v="352"/>
    <x v="195"/>
    <x v="0"/>
    <x v="60"/>
    <x v="8"/>
    <x v="1836"/>
    <x v="1"/>
    <x v="1"/>
    <x v="1"/>
    <x v="2"/>
  </r>
  <r>
    <x v="353"/>
    <x v="144"/>
    <x v="3"/>
    <x v="60"/>
    <x v="8"/>
    <x v="1844"/>
    <x v="1"/>
    <x v="1"/>
    <x v="1"/>
    <x v="3"/>
  </r>
  <r>
    <x v="354"/>
    <x v="144"/>
    <x v="0"/>
    <x v="60"/>
    <x v="8"/>
    <x v="1485"/>
    <x v="1"/>
    <x v="2"/>
    <x v="3"/>
    <x v="1"/>
  </r>
  <r>
    <x v="355"/>
    <x v="144"/>
    <x v="2"/>
    <x v="60"/>
    <x v="8"/>
    <x v="1025"/>
    <x v="1"/>
    <x v="1"/>
    <x v="1"/>
    <x v="3"/>
  </r>
  <r>
    <x v="356"/>
    <x v="144"/>
    <x v="0"/>
    <x v="60"/>
    <x v="8"/>
    <x v="1466"/>
    <x v="1"/>
    <x v="1"/>
    <x v="1"/>
    <x v="3"/>
  </r>
  <r>
    <x v="357"/>
    <x v="144"/>
    <x v="0"/>
    <x v="60"/>
    <x v="8"/>
    <x v="1513"/>
    <x v="1"/>
    <x v="2"/>
    <x v="3"/>
    <x v="1"/>
  </r>
  <r>
    <x v="358"/>
    <x v="144"/>
    <x v="0"/>
    <x v="60"/>
    <x v="8"/>
    <x v="989"/>
    <x v="0"/>
    <x v="1"/>
    <x v="1"/>
    <x v="3"/>
  </r>
  <r>
    <x v="359"/>
    <x v="237"/>
    <x v="3"/>
    <x v="61"/>
    <x v="0"/>
    <x v="1"/>
    <x v="0"/>
    <x v="2"/>
    <x v="3"/>
    <x v="3"/>
  </r>
  <r>
    <x v="360"/>
    <x v="24"/>
    <x v="0"/>
    <x v="62"/>
    <x v="0"/>
    <x v="1967"/>
    <x v="1"/>
    <x v="1"/>
    <x v="1"/>
    <x v="1"/>
  </r>
  <r>
    <x v="361"/>
    <x v="135"/>
    <x v="0"/>
    <x v="62"/>
    <x v="0"/>
    <x v="1376"/>
    <x v="1"/>
    <x v="1"/>
    <x v="1"/>
    <x v="1"/>
  </r>
  <r>
    <x v="362"/>
    <x v="135"/>
    <x v="3"/>
    <x v="62"/>
    <x v="0"/>
    <x v="1042"/>
    <x v="1"/>
    <x v="0"/>
    <x v="0"/>
    <x v="3"/>
  </r>
  <r>
    <x v="363"/>
    <x v="43"/>
    <x v="3"/>
    <x v="63"/>
    <x v="0"/>
    <x v="1042"/>
    <x v="1"/>
    <x v="1"/>
    <x v="1"/>
    <x v="3"/>
  </r>
  <r>
    <x v="364"/>
    <x v="83"/>
    <x v="3"/>
    <x v="63"/>
    <x v="0"/>
    <x v="1110"/>
    <x v="1"/>
    <x v="1"/>
    <x v="1"/>
    <x v="3"/>
  </r>
  <r>
    <x v="365"/>
    <x v="232"/>
    <x v="2"/>
    <x v="63"/>
    <x v="0"/>
    <x v="1079"/>
    <x v="1"/>
    <x v="4"/>
    <x v="4"/>
    <x v="2"/>
  </r>
  <r>
    <x v="366"/>
    <x v="50"/>
    <x v="0"/>
    <x v="64"/>
    <x v="0"/>
    <x v="1045"/>
    <x v="1"/>
    <x v="2"/>
    <x v="3"/>
    <x v="3"/>
  </r>
  <r>
    <x v="367"/>
    <x v="253"/>
    <x v="1"/>
    <x v="64"/>
    <x v="0"/>
    <x v="1068"/>
    <x v="1"/>
    <x v="1"/>
    <x v="1"/>
    <x v="3"/>
  </r>
  <r>
    <x v="368"/>
    <x v="257"/>
    <x v="3"/>
    <x v="64"/>
    <x v="0"/>
    <x v="1376"/>
    <x v="1"/>
    <x v="0"/>
    <x v="0"/>
    <x v="3"/>
  </r>
  <r>
    <x v="369"/>
    <x v="259"/>
    <x v="2"/>
    <x v="64"/>
    <x v="0"/>
    <x v="1063"/>
    <x v="1"/>
    <x v="2"/>
    <x v="3"/>
    <x v="1"/>
  </r>
  <r>
    <x v="370"/>
    <x v="263"/>
    <x v="2"/>
    <x v="64"/>
    <x v="0"/>
    <x v="1110"/>
    <x v="1"/>
    <x v="2"/>
    <x v="3"/>
    <x v="3"/>
  </r>
  <r>
    <x v="371"/>
    <x v="258"/>
    <x v="1"/>
    <x v="64"/>
    <x v="0"/>
    <x v="1079"/>
    <x v="1"/>
    <x v="1"/>
    <x v="1"/>
    <x v="1"/>
  </r>
  <r>
    <x v="372"/>
    <x v="257"/>
    <x v="2"/>
    <x v="64"/>
    <x v="0"/>
    <x v="1046"/>
    <x v="1"/>
    <x v="0"/>
    <x v="0"/>
    <x v="3"/>
  </r>
  <r>
    <x v="373"/>
    <x v="258"/>
    <x v="1"/>
    <x v="64"/>
    <x v="0"/>
    <x v="2"/>
    <x v="0"/>
    <x v="1"/>
    <x v="1"/>
    <x v="3"/>
  </r>
  <r>
    <x v="374"/>
    <x v="259"/>
    <x v="3"/>
    <x v="64"/>
    <x v="0"/>
    <x v="32"/>
    <x v="0"/>
    <x v="2"/>
    <x v="3"/>
    <x v="1"/>
  </r>
  <r>
    <x v="375"/>
    <x v="263"/>
    <x v="1"/>
    <x v="64"/>
    <x v="0"/>
    <x v="19"/>
    <x v="0"/>
    <x v="4"/>
    <x v="4"/>
    <x v="1"/>
  </r>
  <r>
    <x v="376"/>
    <x v="260"/>
    <x v="2"/>
    <x v="64"/>
    <x v="0"/>
    <x v="1063"/>
    <x v="1"/>
    <x v="4"/>
    <x v="4"/>
    <x v="3"/>
  </r>
  <r>
    <x v="377"/>
    <x v="260"/>
    <x v="1"/>
    <x v="64"/>
    <x v="0"/>
    <x v="1149"/>
    <x v="1"/>
    <x v="1"/>
    <x v="1"/>
    <x v="3"/>
  </r>
  <r>
    <x v="378"/>
    <x v="252"/>
    <x v="2"/>
    <x v="64"/>
    <x v="0"/>
    <x v="1063"/>
    <x v="1"/>
    <x v="1"/>
    <x v="1"/>
    <x v="3"/>
  </r>
  <r>
    <x v="379"/>
    <x v="253"/>
    <x v="0"/>
    <x v="64"/>
    <x v="0"/>
    <x v="1149"/>
    <x v="1"/>
    <x v="2"/>
    <x v="3"/>
    <x v="0"/>
  </r>
  <r>
    <x v="380"/>
    <x v="252"/>
    <x v="3"/>
    <x v="64"/>
    <x v="0"/>
    <x v="1018"/>
    <x v="1"/>
    <x v="2"/>
    <x v="3"/>
    <x v="1"/>
  </r>
  <r>
    <x v="381"/>
    <x v="26"/>
    <x v="1"/>
    <x v="65"/>
    <x v="0"/>
    <x v="1050"/>
    <x v="1"/>
    <x v="2"/>
    <x v="3"/>
    <x v="3"/>
  </r>
  <r>
    <x v="382"/>
    <x v="241"/>
    <x v="2"/>
    <x v="65"/>
    <x v="0"/>
    <x v="996"/>
    <x v="1"/>
    <x v="1"/>
    <x v="1"/>
    <x v="3"/>
  </r>
  <r>
    <x v="383"/>
    <x v="135"/>
    <x v="2"/>
    <x v="65"/>
    <x v="0"/>
    <x v="1035"/>
    <x v="1"/>
    <x v="1"/>
    <x v="1"/>
    <x v="3"/>
  </r>
  <r>
    <x v="384"/>
    <x v="12"/>
    <x v="0"/>
    <x v="66"/>
    <x v="0"/>
    <x v="1036"/>
    <x v="1"/>
    <x v="4"/>
    <x v="4"/>
    <x v="3"/>
  </r>
  <r>
    <x v="385"/>
    <x v="26"/>
    <x v="2"/>
    <x v="66"/>
    <x v="0"/>
    <x v="174"/>
    <x v="0"/>
    <x v="1"/>
    <x v="1"/>
    <x v="2"/>
  </r>
  <r>
    <x v="386"/>
    <x v="34"/>
    <x v="2"/>
    <x v="66"/>
    <x v="0"/>
    <x v="761"/>
    <x v="0"/>
    <x v="2"/>
    <x v="3"/>
    <x v="3"/>
  </r>
  <r>
    <x v="387"/>
    <x v="34"/>
    <x v="3"/>
    <x v="66"/>
    <x v="0"/>
    <x v="772"/>
    <x v="0"/>
    <x v="4"/>
    <x v="4"/>
    <x v="0"/>
  </r>
  <r>
    <x v="388"/>
    <x v="34"/>
    <x v="3"/>
    <x v="66"/>
    <x v="0"/>
    <x v="817"/>
    <x v="0"/>
    <x v="1"/>
    <x v="1"/>
    <x v="3"/>
  </r>
  <r>
    <x v="389"/>
    <x v="136"/>
    <x v="2"/>
    <x v="66"/>
    <x v="0"/>
    <x v="679"/>
    <x v="0"/>
    <x v="0"/>
    <x v="0"/>
    <x v="3"/>
  </r>
  <r>
    <x v="390"/>
    <x v="48"/>
    <x v="2"/>
    <x v="67"/>
    <x v="0"/>
    <x v="1558"/>
    <x v="1"/>
    <x v="0"/>
    <x v="0"/>
    <x v="3"/>
  </r>
  <r>
    <x v="391"/>
    <x v="31"/>
    <x v="2"/>
    <x v="68"/>
    <x v="0"/>
    <x v="1089"/>
    <x v="1"/>
    <x v="2"/>
    <x v="3"/>
    <x v="1"/>
  </r>
  <r>
    <x v="392"/>
    <x v="37"/>
    <x v="3"/>
    <x v="68"/>
    <x v="0"/>
    <x v="1089"/>
    <x v="1"/>
    <x v="2"/>
    <x v="3"/>
    <x v="1"/>
  </r>
  <r>
    <x v="393"/>
    <x v="250"/>
    <x v="0"/>
    <x v="68"/>
    <x v="0"/>
    <x v="1598"/>
    <x v="1"/>
    <x v="2"/>
    <x v="3"/>
    <x v="1"/>
  </r>
  <r>
    <x v="394"/>
    <x v="250"/>
    <x v="3"/>
    <x v="68"/>
    <x v="0"/>
    <x v="1589"/>
    <x v="1"/>
    <x v="2"/>
    <x v="3"/>
    <x v="3"/>
  </r>
  <r>
    <x v="395"/>
    <x v="40"/>
    <x v="1"/>
    <x v="69"/>
    <x v="0"/>
    <x v="72"/>
    <x v="0"/>
    <x v="1"/>
    <x v="1"/>
    <x v="2"/>
  </r>
  <r>
    <x v="396"/>
    <x v="48"/>
    <x v="2"/>
    <x v="69"/>
    <x v="0"/>
    <x v="2233"/>
    <x v="1"/>
    <x v="1"/>
    <x v="1"/>
    <x v="1"/>
  </r>
  <r>
    <x v="397"/>
    <x v="48"/>
    <x v="2"/>
    <x v="69"/>
    <x v="0"/>
    <x v="2020"/>
    <x v="1"/>
    <x v="1"/>
    <x v="1"/>
    <x v="2"/>
  </r>
  <r>
    <x v="398"/>
    <x v="18"/>
    <x v="3"/>
    <x v="69"/>
    <x v="0"/>
    <x v="1215"/>
    <x v="1"/>
    <x v="1"/>
    <x v="1"/>
    <x v="3"/>
  </r>
  <r>
    <x v="399"/>
    <x v="195"/>
    <x v="2"/>
    <x v="70"/>
    <x v="0"/>
    <x v="2165"/>
    <x v="1"/>
    <x v="4"/>
    <x v="4"/>
    <x v="3"/>
  </r>
  <r>
    <x v="400"/>
    <x v="195"/>
    <x v="2"/>
    <x v="70"/>
    <x v="0"/>
    <x v="2240"/>
    <x v="1"/>
    <x v="3"/>
    <x v="2"/>
    <x v="0"/>
  </r>
  <r>
    <x v="401"/>
    <x v="135"/>
    <x v="3"/>
    <x v="70"/>
    <x v="0"/>
    <x v="40"/>
    <x v="0"/>
    <x v="1"/>
    <x v="1"/>
    <x v="1"/>
  </r>
  <r>
    <x v="402"/>
    <x v="195"/>
    <x v="2"/>
    <x v="70"/>
    <x v="0"/>
    <x v="1617"/>
    <x v="1"/>
    <x v="1"/>
    <x v="1"/>
    <x v="3"/>
  </r>
  <r>
    <x v="403"/>
    <x v="195"/>
    <x v="2"/>
    <x v="70"/>
    <x v="0"/>
    <x v="1573"/>
    <x v="1"/>
    <x v="4"/>
    <x v="4"/>
    <x v="1"/>
  </r>
  <r>
    <x v="404"/>
    <x v="195"/>
    <x v="1"/>
    <x v="70"/>
    <x v="0"/>
    <x v="1538"/>
    <x v="1"/>
    <x v="1"/>
    <x v="1"/>
    <x v="0"/>
  </r>
  <r>
    <x v="405"/>
    <x v="5"/>
    <x v="3"/>
    <x v="71"/>
    <x v="0"/>
    <x v="1888"/>
    <x v="1"/>
    <x v="2"/>
    <x v="3"/>
    <x v="2"/>
  </r>
  <r>
    <x v="406"/>
    <x v="225"/>
    <x v="2"/>
    <x v="71"/>
    <x v="0"/>
    <x v="1582"/>
    <x v="1"/>
    <x v="1"/>
    <x v="1"/>
    <x v="0"/>
  </r>
  <r>
    <x v="407"/>
    <x v="225"/>
    <x v="2"/>
    <x v="71"/>
    <x v="0"/>
    <x v="1637"/>
    <x v="1"/>
    <x v="2"/>
    <x v="3"/>
    <x v="3"/>
  </r>
  <r>
    <x v="408"/>
    <x v="225"/>
    <x v="3"/>
    <x v="71"/>
    <x v="0"/>
    <x v="2211"/>
    <x v="1"/>
    <x v="1"/>
    <x v="1"/>
    <x v="3"/>
  </r>
  <r>
    <x v="409"/>
    <x v="254"/>
    <x v="0"/>
    <x v="72"/>
    <x v="0"/>
    <x v="1888"/>
    <x v="1"/>
    <x v="1"/>
    <x v="1"/>
    <x v="1"/>
  </r>
  <r>
    <x v="410"/>
    <x v="255"/>
    <x v="2"/>
    <x v="72"/>
    <x v="0"/>
    <x v="1628"/>
    <x v="1"/>
    <x v="1"/>
    <x v="1"/>
    <x v="1"/>
  </r>
  <r>
    <x v="411"/>
    <x v="261"/>
    <x v="0"/>
    <x v="72"/>
    <x v="0"/>
    <x v="1583"/>
    <x v="1"/>
    <x v="1"/>
    <x v="1"/>
    <x v="3"/>
  </r>
  <r>
    <x v="412"/>
    <x v="263"/>
    <x v="0"/>
    <x v="72"/>
    <x v="0"/>
    <x v="1887"/>
    <x v="1"/>
    <x v="1"/>
    <x v="1"/>
    <x v="3"/>
  </r>
  <r>
    <x v="413"/>
    <x v="254"/>
    <x v="3"/>
    <x v="72"/>
    <x v="0"/>
    <x v="2058"/>
    <x v="1"/>
    <x v="1"/>
    <x v="1"/>
    <x v="1"/>
  </r>
  <r>
    <x v="414"/>
    <x v="255"/>
    <x v="3"/>
    <x v="72"/>
    <x v="0"/>
    <x v="1847"/>
    <x v="1"/>
    <x v="1"/>
    <x v="1"/>
    <x v="0"/>
  </r>
  <r>
    <x v="415"/>
    <x v="260"/>
    <x v="1"/>
    <x v="72"/>
    <x v="0"/>
    <x v="206"/>
    <x v="0"/>
    <x v="2"/>
    <x v="3"/>
    <x v="3"/>
  </r>
  <r>
    <x v="416"/>
    <x v="263"/>
    <x v="1"/>
    <x v="72"/>
    <x v="0"/>
    <x v="128"/>
    <x v="0"/>
    <x v="1"/>
    <x v="1"/>
    <x v="1"/>
  </r>
  <r>
    <x v="417"/>
    <x v="261"/>
    <x v="0"/>
    <x v="72"/>
    <x v="0"/>
    <x v="385"/>
    <x v="0"/>
    <x v="0"/>
    <x v="0"/>
    <x v="2"/>
  </r>
  <r>
    <x v="418"/>
    <x v="260"/>
    <x v="1"/>
    <x v="72"/>
    <x v="0"/>
    <x v="348"/>
    <x v="0"/>
    <x v="2"/>
    <x v="3"/>
    <x v="3"/>
  </r>
  <r>
    <x v="419"/>
    <x v="253"/>
    <x v="0"/>
    <x v="72"/>
    <x v="0"/>
    <x v="2173"/>
    <x v="1"/>
    <x v="1"/>
    <x v="1"/>
    <x v="3"/>
  </r>
  <r>
    <x v="420"/>
    <x v="253"/>
    <x v="2"/>
    <x v="72"/>
    <x v="0"/>
    <x v="190"/>
    <x v="0"/>
    <x v="2"/>
    <x v="3"/>
    <x v="1"/>
  </r>
  <r>
    <x v="421"/>
    <x v="252"/>
    <x v="2"/>
    <x v="72"/>
    <x v="0"/>
    <x v="210"/>
    <x v="0"/>
    <x v="1"/>
    <x v="1"/>
    <x v="3"/>
  </r>
  <r>
    <x v="422"/>
    <x v="252"/>
    <x v="0"/>
    <x v="72"/>
    <x v="0"/>
    <x v="184"/>
    <x v="0"/>
    <x v="1"/>
    <x v="1"/>
    <x v="3"/>
  </r>
  <r>
    <x v="423"/>
    <x v="145"/>
    <x v="3"/>
    <x v="73"/>
    <x v="0"/>
    <x v="407"/>
    <x v="0"/>
    <x v="4"/>
    <x v="4"/>
    <x v="3"/>
  </r>
  <r>
    <x v="424"/>
    <x v="106"/>
    <x v="2"/>
    <x v="73"/>
    <x v="0"/>
    <x v="180"/>
    <x v="0"/>
    <x v="1"/>
    <x v="1"/>
    <x v="1"/>
  </r>
  <r>
    <x v="425"/>
    <x v="50"/>
    <x v="2"/>
    <x v="73"/>
    <x v="0"/>
    <x v="2149"/>
    <x v="1"/>
    <x v="2"/>
    <x v="3"/>
    <x v="2"/>
  </r>
  <r>
    <x v="426"/>
    <x v="204"/>
    <x v="1"/>
    <x v="74"/>
    <x v="0"/>
    <x v="2281"/>
    <x v="1"/>
    <x v="3"/>
    <x v="2"/>
    <x v="3"/>
  </r>
  <r>
    <x v="427"/>
    <x v="28"/>
    <x v="2"/>
    <x v="74"/>
    <x v="0"/>
    <x v="654"/>
    <x v="0"/>
    <x v="1"/>
    <x v="1"/>
    <x v="3"/>
  </r>
  <r>
    <x v="428"/>
    <x v="34"/>
    <x v="0"/>
    <x v="75"/>
    <x v="0"/>
    <x v="613"/>
    <x v="0"/>
    <x v="4"/>
    <x v="4"/>
    <x v="3"/>
  </r>
  <r>
    <x v="429"/>
    <x v="80"/>
    <x v="0"/>
    <x v="75"/>
    <x v="0"/>
    <x v="350"/>
    <x v="0"/>
    <x v="0"/>
    <x v="0"/>
    <x v="2"/>
  </r>
  <r>
    <x v="430"/>
    <x v="34"/>
    <x v="1"/>
    <x v="75"/>
    <x v="0"/>
    <x v="924"/>
    <x v="0"/>
    <x v="2"/>
    <x v="3"/>
    <x v="3"/>
  </r>
  <r>
    <x v="431"/>
    <x v="34"/>
    <x v="3"/>
    <x v="75"/>
    <x v="0"/>
    <x v="176"/>
    <x v="0"/>
    <x v="4"/>
    <x v="4"/>
    <x v="1"/>
  </r>
  <r>
    <x v="432"/>
    <x v="80"/>
    <x v="2"/>
    <x v="75"/>
    <x v="0"/>
    <x v="79"/>
    <x v="0"/>
    <x v="0"/>
    <x v="0"/>
    <x v="1"/>
  </r>
  <r>
    <x v="433"/>
    <x v="80"/>
    <x v="2"/>
    <x v="75"/>
    <x v="0"/>
    <x v="1959"/>
    <x v="1"/>
    <x v="2"/>
    <x v="3"/>
    <x v="1"/>
  </r>
  <r>
    <x v="434"/>
    <x v="135"/>
    <x v="1"/>
    <x v="76"/>
    <x v="0"/>
    <x v="38"/>
    <x v="0"/>
    <x v="1"/>
    <x v="1"/>
    <x v="2"/>
  </r>
  <r>
    <x v="435"/>
    <x v="135"/>
    <x v="3"/>
    <x v="76"/>
    <x v="0"/>
    <x v="320"/>
    <x v="0"/>
    <x v="4"/>
    <x v="4"/>
    <x v="0"/>
  </r>
  <r>
    <x v="436"/>
    <x v="139"/>
    <x v="0"/>
    <x v="77"/>
    <x v="7"/>
    <x v="467"/>
    <x v="0"/>
    <x v="4"/>
    <x v="4"/>
    <x v="3"/>
  </r>
  <r>
    <x v="437"/>
    <x v="139"/>
    <x v="2"/>
    <x v="78"/>
    <x v="7"/>
    <x v="2283"/>
    <x v="1"/>
    <x v="1"/>
    <x v="1"/>
    <x v="0"/>
  </r>
  <r>
    <x v="438"/>
    <x v="200"/>
    <x v="0"/>
    <x v="78"/>
    <x v="7"/>
    <x v="2107"/>
    <x v="1"/>
    <x v="0"/>
    <x v="0"/>
    <x v="0"/>
  </r>
  <r>
    <x v="439"/>
    <x v="201"/>
    <x v="3"/>
    <x v="78"/>
    <x v="7"/>
    <x v="1412"/>
    <x v="1"/>
    <x v="1"/>
    <x v="1"/>
    <x v="0"/>
  </r>
  <r>
    <x v="440"/>
    <x v="200"/>
    <x v="2"/>
    <x v="78"/>
    <x v="7"/>
    <x v="1342"/>
    <x v="1"/>
    <x v="2"/>
    <x v="3"/>
    <x v="1"/>
  </r>
  <r>
    <x v="441"/>
    <x v="201"/>
    <x v="2"/>
    <x v="78"/>
    <x v="7"/>
    <x v="1357"/>
    <x v="1"/>
    <x v="1"/>
    <x v="1"/>
    <x v="3"/>
  </r>
  <r>
    <x v="442"/>
    <x v="200"/>
    <x v="2"/>
    <x v="78"/>
    <x v="7"/>
    <x v="1345"/>
    <x v="1"/>
    <x v="0"/>
    <x v="0"/>
    <x v="3"/>
  </r>
  <r>
    <x v="443"/>
    <x v="201"/>
    <x v="0"/>
    <x v="78"/>
    <x v="7"/>
    <x v="1364"/>
    <x v="1"/>
    <x v="0"/>
    <x v="0"/>
    <x v="3"/>
  </r>
  <r>
    <x v="444"/>
    <x v="5"/>
    <x v="1"/>
    <x v="79"/>
    <x v="7"/>
    <x v="1384"/>
    <x v="1"/>
    <x v="3"/>
    <x v="2"/>
    <x v="0"/>
  </r>
  <r>
    <x v="445"/>
    <x v="19"/>
    <x v="2"/>
    <x v="80"/>
    <x v="7"/>
    <x v="1375"/>
    <x v="1"/>
    <x v="1"/>
    <x v="1"/>
    <x v="0"/>
  </r>
  <r>
    <x v="446"/>
    <x v="135"/>
    <x v="2"/>
    <x v="80"/>
    <x v="7"/>
    <x v="1349"/>
    <x v="1"/>
    <x v="4"/>
    <x v="4"/>
    <x v="0"/>
  </r>
  <r>
    <x v="447"/>
    <x v="254"/>
    <x v="0"/>
    <x v="81"/>
    <x v="7"/>
    <x v="327"/>
    <x v="0"/>
    <x v="2"/>
    <x v="3"/>
    <x v="1"/>
  </r>
  <r>
    <x v="448"/>
    <x v="254"/>
    <x v="3"/>
    <x v="81"/>
    <x v="7"/>
    <x v="1110"/>
    <x v="1"/>
    <x v="0"/>
    <x v="0"/>
    <x v="1"/>
  </r>
  <r>
    <x v="449"/>
    <x v="255"/>
    <x v="2"/>
    <x v="81"/>
    <x v="7"/>
    <x v="1110"/>
    <x v="1"/>
    <x v="1"/>
    <x v="1"/>
    <x v="3"/>
  </r>
  <r>
    <x v="450"/>
    <x v="258"/>
    <x v="0"/>
    <x v="81"/>
    <x v="7"/>
    <x v="496"/>
    <x v="0"/>
    <x v="1"/>
    <x v="1"/>
    <x v="3"/>
  </r>
  <r>
    <x v="451"/>
    <x v="259"/>
    <x v="3"/>
    <x v="81"/>
    <x v="7"/>
    <x v="1230"/>
    <x v="1"/>
    <x v="1"/>
    <x v="1"/>
    <x v="2"/>
  </r>
  <r>
    <x v="452"/>
    <x v="263"/>
    <x v="3"/>
    <x v="81"/>
    <x v="7"/>
    <x v="1230"/>
    <x v="1"/>
    <x v="4"/>
    <x v="4"/>
    <x v="3"/>
  </r>
  <r>
    <x v="453"/>
    <x v="136"/>
    <x v="1"/>
    <x v="81"/>
    <x v="7"/>
    <x v="1230"/>
    <x v="1"/>
    <x v="0"/>
    <x v="0"/>
    <x v="2"/>
  </r>
  <r>
    <x v="454"/>
    <x v="255"/>
    <x v="0"/>
    <x v="81"/>
    <x v="7"/>
    <x v="1191"/>
    <x v="1"/>
    <x v="2"/>
    <x v="3"/>
    <x v="3"/>
  </r>
  <r>
    <x v="455"/>
    <x v="258"/>
    <x v="1"/>
    <x v="81"/>
    <x v="7"/>
    <x v="1149"/>
    <x v="1"/>
    <x v="2"/>
    <x v="3"/>
    <x v="3"/>
  </r>
  <r>
    <x v="456"/>
    <x v="259"/>
    <x v="3"/>
    <x v="81"/>
    <x v="7"/>
    <x v="1042"/>
    <x v="1"/>
    <x v="2"/>
    <x v="3"/>
    <x v="1"/>
  </r>
  <r>
    <x v="457"/>
    <x v="263"/>
    <x v="3"/>
    <x v="81"/>
    <x v="7"/>
    <x v="1120"/>
    <x v="1"/>
    <x v="4"/>
    <x v="4"/>
    <x v="3"/>
  </r>
  <r>
    <x v="458"/>
    <x v="46"/>
    <x v="3"/>
    <x v="82"/>
    <x v="7"/>
    <x v="1230"/>
    <x v="1"/>
    <x v="1"/>
    <x v="1"/>
    <x v="2"/>
  </r>
  <r>
    <x v="459"/>
    <x v="46"/>
    <x v="0"/>
    <x v="82"/>
    <x v="7"/>
    <x v="1191"/>
    <x v="1"/>
    <x v="1"/>
    <x v="1"/>
    <x v="1"/>
  </r>
  <r>
    <x v="460"/>
    <x v="46"/>
    <x v="0"/>
    <x v="82"/>
    <x v="7"/>
    <x v="1985"/>
    <x v="1"/>
    <x v="1"/>
    <x v="1"/>
    <x v="1"/>
  </r>
  <r>
    <x v="461"/>
    <x v="46"/>
    <x v="3"/>
    <x v="82"/>
    <x v="7"/>
    <x v="1149"/>
    <x v="1"/>
    <x v="3"/>
    <x v="2"/>
    <x v="1"/>
  </r>
  <r>
    <x v="462"/>
    <x v="175"/>
    <x v="1"/>
    <x v="83"/>
    <x v="7"/>
    <x v="1042"/>
    <x v="1"/>
    <x v="1"/>
    <x v="1"/>
    <x v="3"/>
  </r>
  <r>
    <x v="463"/>
    <x v="175"/>
    <x v="0"/>
    <x v="83"/>
    <x v="7"/>
    <x v="1120"/>
    <x v="1"/>
    <x v="1"/>
    <x v="1"/>
    <x v="3"/>
  </r>
  <r>
    <x v="464"/>
    <x v="175"/>
    <x v="3"/>
    <x v="83"/>
    <x v="7"/>
    <x v="115"/>
    <x v="0"/>
    <x v="1"/>
    <x v="1"/>
    <x v="0"/>
  </r>
  <r>
    <x v="465"/>
    <x v="175"/>
    <x v="3"/>
    <x v="83"/>
    <x v="7"/>
    <x v="1042"/>
    <x v="1"/>
    <x v="4"/>
    <x v="4"/>
    <x v="3"/>
  </r>
  <r>
    <x v="466"/>
    <x v="175"/>
    <x v="2"/>
    <x v="83"/>
    <x v="7"/>
    <x v="1042"/>
    <x v="1"/>
    <x v="1"/>
    <x v="1"/>
    <x v="1"/>
  </r>
  <r>
    <x v="467"/>
    <x v="175"/>
    <x v="1"/>
    <x v="83"/>
    <x v="7"/>
    <x v="2214"/>
    <x v="1"/>
    <x v="1"/>
    <x v="1"/>
    <x v="0"/>
  </r>
  <r>
    <x v="468"/>
    <x v="175"/>
    <x v="2"/>
    <x v="83"/>
    <x v="7"/>
    <x v="995"/>
    <x v="1"/>
    <x v="1"/>
    <x v="1"/>
    <x v="3"/>
  </r>
  <r>
    <x v="469"/>
    <x v="175"/>
    <x v="0"/>
    <x v="83"/>
    <x v="7"/>
    <x v="1050"/>
    <x v="1"/>
    <x v="3"/>
    <x v="2"/>
    <x v="3"/>
  </r>
  <r>
    <x v="470"/>
    <x v="175"/>
    <x v="0"/>
    <x v="83"/>
    <x v="7"/>
    <x v="1009"/>
    <x v="1"/>
    <x v="0"/>
    <x v="0"/>
    <x v="1"/>
  </r>
  <r>
    <x v="471"/>
    <x v="175"/>
    <x v="2"/>
    <x v="83"/>
    <x v="7"/>
    <x v="1149"/>
    <x v="1"/>
    <x v="4"/>
    <x v="4"/>
    <x v="1"/>
  </r>
  <r>
    <x v="472"/>
    <x v="249"/>
    <x v="1"/>
    <x v="84"/>
    <x v="7"/>
    <x v="331"/>
    <x v="0"/>
    <x v="2"/>
    <x v="3"/>
    <x v="2"/>
  </r>
  <r>
    <x v="473"/>
    <x v="135"/>
    <x v="1"/>
    <x v="84"/>
    <x v="7"/>
    <x v="337"/>
    <x v="0"/>
    <x v="4"/>
    <x v="4"/>
    <x v="2"/>
  </r>
  <r>
    <x v="474"/>
    <x v="144"/>
    <x v="1"/>
    <x v="84"/>
    <x v="7"/>
    <x v="303"/>
    <x v="0"/>
    <x v="2"/>
    <x v="3"/>
    <x v="3"/>
  </r>
  <r>
    <x v="475"/>
    <x v="144"/>
    <x v="2"/>
    <x v="84"/>
    <x v="7"/>
    <x v="1088"/>
    <x v="1"/>
    <x v="1"/>
    <x v="1"/>
    <x v="3"/>
  </r>
  <r>
    <x v="476"/>
    <x v="144"/>
    <x v="0"/>
    <x v="84"/>
    <x v="7"/>
    <x v="1157"/>
    <x v="1"/>
    <x v="4"/>
    <x v="4"/>
    <x v="1"/>
  </r>
  <r>
    <x v="477"/>
    <x v="144"/>
    <x v="1"/>
    <x v="84"/>
    <x v="7"/>
    <x v="1130"/>
    <x v="1"/>
    <x v="2"/>
    <x v="3"/>
    <x v="1"/>
  </r>
  <r>
    <x v="478"/>
    <x v="144"/>
    <x v="2"/>
    <x v="84"/>
    <x v="7"/>
    <x v="1104"/>
    <x v="1"/>
    <x v="1"/>
    <x v="1"/>
    <x v="1"/>
  </r>
  <r>
    <x v="479"/>
    <x v="237"/>
    <x v="3"/>
    <x v="85"/>
    <x v="7"/>
    <x v="1127"/>
    <x v="1"/>
    <x v="2"/>
    <x v="3"/>
    <x v="3"/>
  </r>
  <r>
    <x v="480"/>
    <x v="26"/>
    <x v="2"/>
    <x v="86"/>
    <x v="7"/>
    <x v="1145"/>
    <x v="1"/>
    <x v="2"/>
    <x v="3"/>
    <x v="3"/>
  </r>
  <r>
    <x v="481"/>
    <x v="50"/>
    <x v="3"/>
    <x v="86"/>
    <x v="7"/>
    <x v="1113"/>
    <x v="1"/>
    <x v="0"/>
    <x v="0"/>
    <x v="3"/>
  </r>
  <r>
    <x v="482"/>
    <x v="195"/>
    <x v="2"/>
    <x v="86"/>
    <x v="7"/>
    <x v="1140"/>
    <x v="1"/>
    <x v="1"/>
    <x v="1"/>
    <x v="1"/>
  </r>
  <r>
    <x v="483"/>
    <x v="195"/>
    <x v="1"/>
    <x v="86"/>
    <x v="7"/>
    <x v="1141"/>
    <x v="1"/>
    <x v="1"/>
    <x v="1"/>
    <x v="1"/>
  </r>
  <r>
    <x v="484"/>
    <x v="195"/>
    <x v="2"/>
    <x v="86"/>
    <x v="7"/>
    <x v="1106"/>
    <x v="1"/>
    <x v="4"/>
    <x v="4"/>
    <x v="1"/>
  </r>
  <r>
    <x v="485"/>
    <x v="195"/>
    <x v="1"/>
    <x v="86"/>
    <x v="7"/>
    <x v="853"/>
    <x v="0"/>
    <x v="1"/>
    <x v="1"/>
    <x v="1"/>
  </r>
  <r>
    <x v="486"/>
    <x v="195"/>
    <x v="1"/>
    <x v="86"/>
    <x v="7"/>
    <x v="147"/>
    <x v="0"/>
    <x v="1"/>
    <x v="1"/>
    <x v="3"/>
  </r>
  <r>
    <x v="487"/>
    <x v="106"/>
    <x v="3"/>
    <x v="87"/>
    <x v="7"/>
    <x v="2075"/>
    <x v="1"/>
    <x v="0"/>
    <x v="0"/>
    <x v="1"/>
  </r>
  <r>
    <x v="488"/>
    <x v="135"/>
    <x v="0"/>
    <x v="87"/>
    <x v="7"/>
    <x v="1311"/>
    <x v="1"/>
    <x v="1"/>
    <x v="1"/>
    <x v="3"/>
  </r>
  <r>
    <x v="489"/>
    <x v="241"/>
    <x v="3"/>
    <x v="88"/>
    <x v="7"/>
    <x v="1311"/>
    <x v="1"/>
    <x v="2"/>
    <x v="3"/>
    <x v="3"/>
  </r>
  <r>
    <x v="490"/>
    <x v="254"/>
    <x v="3"/>
    <x v="89"/>
    <x v="7"/>
    <x v="1311"/>
    <x v="1"/>
    <x v="1"/>
    <x v="1"/>
    <x v="3"/>
  </r>
  <r>
    <x v="491"/>
    <x v="257"/>
    <x v="0"/>
    <x v="89"/>
    <x v="7"/>
    <x v="1311"/>
    <x v="1"/>
    <x v="1"/>
    <x v="1"/>
    <x v="0"/>
  </r>
  <r>
    <x v="492"/>
    <x v="263"/>
    <x v="3"/>
    <x v="89"/>
    <x v="7"/>
    <x v="1311"/>
    <x v="1"/>
    <x v="2"/>
    <x v="3"/>
    <x v="3"/>
  </r>
  <r>
    <x v="493"/>
    <x v="263"/>
    <x v="0"/>
    <x v="89"/>
    <x v="7"/>
    <x v="1310"/>
    <x v="1"/>
    <x v="4"/>
    <x v="4"/>
    <x v="1"/>
  </r>
  <r>
    <x v="494"/>
    <x v="254"/>
    <x v="1"/>
    <x v="89"/>
    <x v="7"/>
    <x v="624"/>
    <x v="0"/>
    <x v="1"/>
    <x v="1"/>
    <x v="3"/>
  </r>
  <r>
    <x v="495"/>
    <x v="257"/>
    <x v="3"/>
    <x v="89"/>
    <x v="7"/>
    <x v="639"/>
    <x v="0"/>
    <x v="1"/>
    <x v="1"/>
    <x v="3"/>
  </r>
  <r>
    <x v="496"/>
    <x v="263"/>
    <x v="3"/>
    <x v="89"/>
    <x v="7"/>
    <x v="1993"/>
    <x v="1"/>
    <x v="1"/>
    <x v="1"/>
    <x v="3"/>
  </r>
  <r>
    <x v="497"/>
    <x v="263"/>
    <x v="3"/>
    <x v="89"/>
    <x v="7"/>
    <x v="1555"/>
    <x v="1"/>
    <x v="0"/>
    <x v="0"/>
    <x v="3"/>
  </r>
  <r>
    <x v="498"/>
    <x v="135"/>
    <x v="1"/>
    <x v="90"/>
    <x v="7"/>
    <x v="1840"/>
    <x v="1"/>
    <x v="1"/>
    <x v="1"/>
    <x v="0"/>
  </r>
  <r>
    <x v="499"/>
    <x v="171"/>
    <x v="2"/>
    <x v="91"/>
    <x v="7"/>
    <x v="1470"/>
    <x v="1"/>
    <x v="1"/>
    <x v="1"/>
    <x v="3"/>
  </r>
  <r>
    <x v="500"/>
    <x v="33"/>
    <x v="0"/>
    <x v="91"/>
    <x v="7"/>
    <x v="1849"/>
    <x v="1"/>
    <x v="4"/>
    <x v="4"/>
    <x v="1"/>
  </r>
  <r>
    <x v="501"/>
    <x v="18"/>
    <x v="3"/>
    <x v="92"/>
    <x v="7"/>
    <x v="1479"/>
    <x v="1"/>
    <x v="0"/>
    <x v="0"/>
    <x v="1"/>
  </r>
  <r>
    <x v="502"/>
    <x v="106"/>
    <x v="2"/>
    <x v="93"/>
    <x v="7"/>
    <x v="1795"/>
    <x v="1"/>
    <x v="3"/>
    <x v="2"/>
    <x v="3"/>
  </r>
  <r>
    <x v="503"/>
    <x v="106"/>
    <x v="0"/>
    <x v="93"/>
    <x v="7"/>
    <x v="2263"/>
    <x v="1"/>
    <x v="2"/>
    <x v="3"/>
    <x v="2"/>
  </r>
  <r>
    <x v="504"/>
    <x v="139"/>
    <x v="1"/>
    <x v="94"/>
    <x v="7"/>
    <x v="360"/>
    <x v="0"/>
    <x v="1"/>
    <x v="1"/>
    <x v="3"/>
  </r>
  <r>
    <x v="505"/>
    <x v="39"/>
    <x v="3"/>
    <x v="95"/>
    <x v="6"/>
    <x v="322"/>
    <x v="0"/>
    <x v="0"/>
    <x v="0"/>
    <x v="0"/>
  </r>
  <r>
    <x v="506"/>
    <x v="73"/>
    <x v="0"/>
    <x v="95"/>
    <x v="6"/>
    <x v="262"/>
    <x v="0"/>
    <x v="0"/>
    <x v="0"/>
    <x v="3"/>
  </r>
  <r>
    <x v="507"/>
    <x v="78"/>
    <x v="3"/>
    <x v="95"/>
    <x v="6"/>
    <x v="374"/>
    <x v="0"/>
    <x v="1"/>
    <x v="1"/>
    <x v="2"/>
  </r>
  <r>
    <x v="508"/>
    <x v="111"/>
    <x v="0"/>
    <x v="95"/>
    <x v="6"/>
    <x v="882"/>
    <x v="0"/>
    <x v="4"/>
    <x v="4"/>
    <x v="1"/>
  </r>
  <r>
    <x v="509"/>
    <x v="137"/>
    <x v="2"/>
    <x v="95"/>
    <x v="6"/>
    <x v="770"/>
    <x v="0"/>
    <x v="1"/>
    <x v="1"/>
    <x v="3"/>
  </r>
  <r>
    <x v="510"/>
    <x v="143"/>
    <x v="3"/>
    <x v="95"/>
    <x v="6"/>
    <x v="781"/>
    <x v="0"/>
    <x v="4"/>
    <x v="4"/>
    <x v="0"/>
  </r>
  <r>
    <x v="511"/>
    <x v="251"/>
    <x v="0"/>
    <x v="95"/>
    <x v="6"/>
    <x v="2050"/>
    <x v="1"/>
    <x v="1"/>
    <x v="1"/>
    <x v="1"/>
  </r>
  <r>
    <x v="512"/>
    <x v="135"/>
    <x v="1"/>
    <x v="96"/>
    <x v="6"/>
    <x v="1247"/>
    <x v="1"/>
    <x v="1"/>
    <x v="1"/>
    <x v="3"/>
  </r>
  <r>
    <x v="513"/>
    <x v="135"/>
    <x v="2"/>
    <x v="96"/>
    <x v="6"/>
    <x v="1454"/>
    <x v="1"/>
    <x v="1"/>
    <x v="1"/>
    <x v="0"/>
  </r>
  <r>
    <x v="514"/>
    <x v="144"/>
    <x v="1"/>
    <x v="96"/>
    <x v="6"/>
    <x v="1426"/>
    <x v="1"/>
    <x v="1"/>
    <x v="1"/>
    <x v="1"/>
  </r>
  <r>
    <x v="515"/>
    <x v="144"/>
    <x v="1"/>
    <x v="96"/>
    <x v="6"/>
    <x v="1437"/>
    <x v="1"/>
    <x v="3"/>
    <x v="2"/>
    <x v="3"/>
  </r>
  <r>
    <x v="516"/>
    <x v="144"/>
    <x v="2"/>
    <x v="96"/>
    <x v="6"/>
    <x v="1456"/>
    <x v="1"/>
    <x v="2"/>
    <x v="3"/>
    <x v="2"/>
  </r>
  <r>
    <x v="517"/>
    <x v="144"/>
    <x v="2"/>
    <x v="96"/>
    <x v="6"/>
    <x v="1398"/>
    <x v="1"/>
    <x v="1"/>
    <x v="1"/>
    <x v="1"/>
  </r>
  <r>
    <x v="518"/>
    <x v="144"/>
    <x v="2"/>
    <x v="96"/>
    <x v="6"/>
    <x v="1403"/>
    <x v="1"/>
    <x v="1"/>
    <x v="1"/>
    <x v="1"/>
  </r>
  <r>
    <x v="519"/>
    <x v="46"/>
    <x v="2"/>
    <x v="97"/>
    <x v="6"/>
    <x v="1408"/>
    <x v="1"/>
    <x v="2"/>
    <x v="3"/>
    <x v="2"/>
  </r>
  <r>
    <x v="520"/>
    <x v="46"/>
    <x v="2"/>
    <x v="97"/>
    <x v="6"/>
    <x v="1440"/>
    <x v="1"/>
    <x v="1"/>
    <x v="1"/>
    <x v="1"/>
  </r>
  <r>
    <x v="521"/>
    <x v="46"/>
    <x v="3"/>
    <x v="97"/>
    <x v="6"/>
    <x v="1406"/>
    <x v="1"/>
    <x v="1"/>
    <x v="1"/>
    <x v="1"/>
  </r>
  <r>
    <x v="522"/>
    <x v="46"/>
    <x v="2"/>
    <x v="97"/>
    <x v="6"/>
    <x v="1320"/>
    <x v="1"/>
    <x v="1"/>
    <x v="1"/>
    <x v="0"/>
  </r>
  <r>
    <x v="523"/>
    <x v="34"/>
    <x v="2"/>
    <x v="98"/>
    <x v="6"/>
    <x v="1600"/>
    <x v="1"/>
    <x v="1"/>
    <x v="1"/>
    <x v="3"/>
  </r>
  <r>
    <x v="524"/>
    <x v="34"/>
    <x v="0"/>
    <x v="98"/>
    <x v="6"/>
    <x v="2102"/>
    <x v="1"/>
    <x v="4"/>
    <x v="4"/>
    <x v="3"/>
  </r>
  <r>
    <x v="525"/>
    <x v="34"/>
    <x v="0"/>
    <x v="98"/>
    <x v="6"/>
    <x v="1703"/>
    <x v="1"/>
    <x v="1"/>
    <x v="1"/>
    <x v="2"/>
  </r>
  <r>
    <x v="526"/>
    <x v="139"/>
    <x v="2"/>
    <x v="99"/>
    <x v="6"/>
    <x v="1629"/>
    <x v="1"/>
    <x v="1"/>
    <x v="1"/>
    <x v="3"/>
  </r>
  <r>
    <x v="527"/>
    <x v="254"/>
    <x v="3"/>
    <x v="99"/>
    <x v="6"/>
    <x v="1703"/>
    <x v="1"/>
    <x v="0"/>
    <x v="0"/>
    <x v="3"/>
  </r>
  <r>
    <x v="528"/>
    <x v="254"/>
    <x v="3"/>
    <x v="99"/>
    <x v="6"/>
    <x v="1610"/>
    <x v="1"/>
    <x v="1"/>
    <x v="1"/>
    <x v="3"/>
  </r>
  <r>
    <x v="529"/>
    <x v="261"/>
    <x v="1"/>
    <x v="99"/>
    <x v="6"/>
    <x v="1703"/>
    <x v="1"/>
    <x v="1"/>
    <x v="1"/>
    <x v="3"/>
  </r>
  <r>
    <x v="530"/>
    <x v="136"/>
    <x v="1"/>
    <x v="99"/>
    <x v="6"/>
    <x v="1703"/>
    <x v="1"/>
    <x v="1"/>
    <x v="1"/>
    <x v="3"/>
  </r>
  <r>
    <x v="531"/>
    <x v="253"/>
    <x v="2"/>
    <x v="99"/>
    <x v="6"/>
    <x v="1882"/>
    <x v="1"/>
    <x v="1"/>
    <x v="1"/>
    <x v="2"/>
  </r>
  <r>
    <x v="532"/>
    <x v="260"/>
    <x v="1"/>
    <x v="99"/>
    <x v="6"/>
    <x v="1913"/>
    <x v="1"/>
    <x v="1"/>
    <x v="1"/>
    <x v="3"/>
  </r>
  <r>
    <x v="533"/>
    <x v="260"/>
    <x v="0"/>
    <x v="99"/>
    <x v="6"/>
    <x v="1898"/>
    <x v="1"/>
    <x v="3"/>
    <x v="2"/>
    <x v="1"/>
  </r>
  <r>
    <x v="534"/>
    <x v="252"/>
    <x v="3"/>
    <x v="99"/>
    <x v="6"/>
    <x v="1894"/>
    <x v="1"/>
    <x v="2"/>
    <x v="3"/>
    <x v="1"/>
  </r>
  <r>
    <x v="535"/>
    <x v="261"/>
    <x v="1"/>
    <x v="99"/>
    <x v="6"/>
    <x v="1890"/>
    <x v="1"/>
    <x v="4"/>
    <x v="4"/>
    <x v="3"/>
  </r>
  <r>
    <x v="536"/>
    <x v="253"/>
    <x v="1"/>
    <x v="99"/>
    <x v="6"/>
    <x v="881"/>
    <x v="0"/>
    <x v="4"/>
    <x v="4"/>
    <x v="1"/>
  </r>
  <r>
    <x v="537"/>
    <x v="252"/>
    <x v="0"/>
    <x v="99"/>
    <x v="6"/>
    <x v="2076"/>
    <x v="1"/>
    <x v="4"/>
    <x v="4"/>
    <x v="3"/>
  </r>
  <r>
    <x v="538"/>
    <x v="146"/>
    <x v="2"/>
    <x v="100"/>
    <x v="6"/>
    <x v="1711"/>
    <x v="1"/>
    <x v="4"/>
    <x v="4"/>
    <x v="3"/>
  </r>
  <r>
    <x v="539"/>
    <x v="80"/>
    <x v="3"/>
    <x v="100"/>
    <x v="6"/>
    <x v="1700"/>
    <x v="1"/>
    <x v="2"/>
    <x v="3"/>
    <x v="3"/>
  </r>
  <r>
    <x v="540"/>
    <x v="139"/>
    <x v="2"/>
    <x v="100"/>
    <x v="6"/>
    <x v="1642"/>
    <x v="1"/>
    <x v="1"/>
    <x v="1"/>
    <x v="3"/>
  </r>
  <r>
    <x v="541"/>
    <x v="139"/>
    <x v="2"/>
    <x v="100"/>
    <x v="6"/>
    <x v="2104"/>
    <x v="1"/>
    <x v="1"/>
    <x v="1"/>
    <x v="3"/>
  </r>
  <r>
    <x v="542"/>
    <x v="139"/>
    <x v="2"/>
    <x v="100"/>
    <x v="6"/>
    <x v="1668"/>
    <x v="1"/>
    <x v="3"/>
    <x v="2"/>
    <x v="3"/>
  </r>
  <r>
    <x v="543"/>
    <x v="139"/>
    <x v="1"/>
    <x v="100"/>
    <x v="6"/>
    <x v="954"/>
    <x v="0"/>
    <x v="1"/>
    <x v="1"/>
    <x v="0"/>
  </r>
  <r>
    <x v="544"/>
    <x v="80"/>
    <x v="1"/>
    <x v="100"/>
    <x v="6"/>
    <x v="805"/>
    <x v="0"/>
    <x v="1"/>
    <x v="1"/>
    <x v="1"/>
  </r>
  <r>
    <x v="545"/>
    <x v="80"/>
    <x v="0"/>
    <x v="100"/>
    <x v="6"/>
    <x v="700"/>
    <x v="0"/>
    <x v="0"/>
    <x v="0"/>
    <x v="0"/>
  </r>
  <r>
    <x v="546"/>
    <x v="139"/>
    <x v="0"/>
    <x v="100"/>
    <x v="6"/>
    <x v="895"/>
    <x v="0"/>
    <x v="1"/>
    <x v="1"/>
    <x v="2"/>
  </r>
  <r>
    <x v="547"/>
    <x v="139"/>
    <x v="0"/>
    <x v="100"/>
    <x v="6"/>
    <x v="987"/>
    <x v="0"/>
    <x v="1"/>
    <x v="1"/>
    <x v="1"/>
  </r>
  <r>
    <x v="548"/>
    <x v="139"/>
    <x v="3"/>
    <x v="100"/>
    <x v="6"/>
    <x v="2205"/>
    <x v="1"/>
    <x v="1"/>
    <x v="1"/>
    <x v="3"/>
  </r>
  <r>
    <x v="549"/>
    <x v="139"/>
    <x v="1"/>
    <x v="100"/>
    <x v="6"/>
    <x v="84"/>
    <x v="0"/>
    <x v="2"/>
    <x v="3"/>
    <x v="3"/>
  </r>
  <r>
    <x v="550"/>
    <x v="139"/>
    <x v="1"/>
    <x v="100"/>
    <x v="6"/>
    <x v="540"/>
    <x v="0"/>
    <x v="4"/>
    <x v="4"/>
    <x v="3"/>
  </r>
  <r>
    <x v="551"/>
    <x v="139"/>
    <x v="3"/>
    <x v="100"/>
    <x v="6"/>
    <x v="238"/>
    <x v="0"/>
    <x v="2"/>
    <x v="3"/>
    <x v="3"/>
  </r>
  <r>
    <x v="552"/>
    <x v="139"/>
    <x v="0"/>
    <x v="100"/>
    <x v="6"/>
    <x v="1229"/>
    <x v="1"/>
    <x v="2"/>
    <x v="3"/>
    <x v="1"/>
  </r>
  <r>
    <x v="553"/>
    <x v="139"/>
    <x v="3"/>
    <x v="100"/>
    <x v="6"/>
    <x v="1213"/>
    <x v="1"/>
    <x v="2"/>
    <x v="3"/>
    <x v="3"/>
  </r>
  <r>
    <x v="554"/>
    <x v="139"/>
    <x v="3"/>
    <x v="100"/>
    <x v="6"/>
    <x v="1217"/>
    <x v="1"/>
    <x v="0"/>
    <x v="0"/>
    <x v="1"/>
  </r>
  <r>
    <x v="555"/>
    <x v="139"/>
    <x v="0"/>
    <x v="100"/>
    <x v="6"/>
    <x v="1224"/>
    <x v="1"/>
    <x v="2"/>
    <x v="3"/>
    <x v="1"/>
  </r>
  <r>
    <x v="556"/>
    <x v="139"/>
    <x v="0"/>
    <x v="100"/>
    <x v="6"/>
    <x v="93"/>
    <x v="0"/>
    <x v="2"/>
    <x v="3"/>
    <x v="2"/>
  </r>
  <r>
    <x v="557"/>
    <x v="28"/>
    <x v="2"/>
    <x v="101"/>
    <x v="6"/>
    <x v="207"/>
    <x v="0"/>
    <x v="1"/>
    <x v="1"/>
    <x v="1"/>
  </r>
  <r>
    <x v="558"/>
    <x v="18"/>
    <x v="0"/>
    <x v="101"/>
    <x v="6"/>
    <x v="260"/>
    <x v="0"/>
    <x v="2"/>
    <x v="3"/>
    <x v="3"/>
  </r>
  <r>
    <x v="559"/>
    <x v="139"/>
    <x v="0"/>
    <x v="101"/>
    <x v="6"/>
    <x v="949"/>
    <x v="0"/>
    <x v="3"/>
    <x v="2"/>
    <x v="0"/>
  </r>
  <r>
    <x v="560"/>
    <x v="195"/>
    <x v="0"/>
    <x v="101"/>
    <x v="6"/>
    <x v="1270"/>
    <x v="1"/>
    <x v="2"/>
    <x v="3"/>
    <x v="3"/>
  </r>
  <r>
    <x v="561"/>
    <x v="195"/>
    <x v="2"/>
    <x v="101"/>
    <x v="6"/>
    <x v="2077"/>
    <x v="1"/>
    <x v="4"/>
    <x v="4"/>
    <x v="1"/>
  </r>
  <r>
    <x v="562"/>
    <x v="195"/>
    <x v="0"/>
    <x v="101"/>
    <x v="6"/>
    <x v="1832"/>
    <x v="1"/>
    <x v="1"/>
    <x v="1"/>
    <x v="3"/>
  </r>
  <r>
    <x v="563"/>
    <x v="136"/>
    <x v="3"/>
    <x v="101"/>
    <x v="6"/>
    <x v="1811"/>
    <x v="1"/>
    <x v="2"/>
    <x v="3"/>
    <x v="1"/>
  </r>
  <r>
    <x v="564"/>
    <x v="195"/>
    <x v="2"/>
    <x v="101"/>
    <x v="6"/>
    <x v="1826"/>
    <x v="1"/>
    <x v="1"/>
    <x v="1"/>
    <x v="3"/>
  </r>
  <r>
    <x v="565"/>
    <x v="195"/>
    <x v="3"/>
    <x v="101"/>
    <x v="6"/>
    <x v="1977"/>
    <x v="1"/>
    <x v="3"/>
    <x v="2"/>
    <x v="0"/>
  </r>
  <r>
    <x v="566"/>
    <x v="206"/>
    <x v="2"/>
    <x v="102"/>
    <x v="6"/>
    <x v="349"/>
    <x v="0"/>
    <x v="1"/>
    <x v="1"/>
    <x v="3"/>
  </r>
  <r>
    <x v="567"/>
    <x v="200"/>
    <x v="3"/>
    <x v="102"/>
    <x v="6"/>
    <x v="2145"/>
    <x v="1"/>
    <x v="2"/>
    <x v="3"/>
    <x v="3"/>
  </r>
  <r>
    <x v="568"/>
    <x v="201"/>
    <x v="3"/>
    <x v="102"/>
    <x v="6"/>
    <x v="2236"/>
    <x v="1"/>
    <x v="1"/>
    <x v="1"/>
    <x v="3"/>
  </r>
  <r>
    <x v="569"/>
    <x v="135"/>
    <x v="3"/>
    <x v="102"/>
    <x v="6"/>
    <x v="151"/>
    <x v="0"/>
    <x v="4"/>
    <x v="4"/>
    <x v="0"/>
  </r>
  <r>
    <x v="570"/>
    <x v="200"/>
    <x v="1"/>
    <x v="102"/>
    <x v="6"/>
    <x v="1423"/>
    <x v="1"/>
    <x v="4"/>
    <x v="4"/>
    <x v="3"/>
  </r>
  <r>
    <x v="571"/>
    <x v="201"/>
    <x v="0"/>
    <x v="102"/>
    <x v="6"/>
    <x v="819"/>
    <x v="0"/>
    <x v="0"/>
    <x v="0"/>
    <x v="3"/>
  </r>
  <r>
    <x v="572"/>
    <x v="200"/>
    <x v="0"/>
    <x v="102"/>
    <x v="6"/>
    <x v="894"/>
    <x v="0"/>
    <x v="4"/>
    <x v="4"/>
    <x v="1"/>
  </r>
  <r>
    <x v="573"/>
    <x v="201"/>
    <x v="3"/>
    <x v="102"/>
    <x v="6"/>
    <x v="617"/>
    <x v="0"/>
    <x v="1"/>
    <x v="1"/>
    <x v="3"/>
  </r>
  <r>
    <x v="574"/>
    <x v="18"/>
    <x v="2"/>
    <x v="103"/>
    <x v="6"/>
    <x v="1115"/>
    <x v="1"/>
    <x v="0"/>
    <x v="0"/>
    <x v="1"/>
  </r>
  <r>
    <x v="575"/>
    <x v="225"/>
    <x v="0"/>
    <x v="103"/>
    <x v="6"/>
    <x v="1865"/>
    <x v="1"/>
    <x v="2"/>
    <x v="3"/>
    <x v="2"/>
  </r>
  <r>
    <x v="576"/>
    <x v="225"/>
    <x v="0"/>
    <x v="103"/>
    <x v="6"/>
    <x v="1123"/>
    <x v="1"/>
    <x v="2"/>
    <x v="3"/>
    <x v="1"/>
  </r>
  <r>
    <x v="577"/>
    <x v="225"/>
    <x v="0"/>
    <x v="103"/>
    <x v="6"/>
    <x v="1862"/>
    <x v="1"/>
    <x v="3"/>
    <x v="2"/>
    <x v="2"/>
  </r>
  <r>
    <x v="578"/>
    <x v="33"/>
    <x v="2"/>
    <x v="104"/>
    <x v="6"/>
    <x v="1089"/>
    <x v="1"/>
    <x v="1"/>
    <x v="1"/>
    <x v="3"/>
  </r>
  <r>
    <x v="579"/>
    <x v="254"/>
    <x v="3"/>
    <x v="104"/>
    <x v="6"/>
    <x v="1110"/>
    <x v="1"/>
    <x v="1"/>
    <x v="1"/>
    <x v="3"/>
  </r>
  <r>
    <x v="580"/>
    <x v="254"/>
    <x v="1"/>
    <x v="104"/>
    <x v="6"/>
    <x v="1105"/>
    <x v="1"/>
    <x v="0"/>
    <x v="0"/>
    <x v="3"/>
  </r>
  <r>
    <x v="581"/>
    <x v="263"/>
    <x v="1"/>
    <x v="104"/>
    <x v="6"/>
    <x v="1864"/>
    <x v="1"/>
    <x v="4"/>
    <x v="4"/>
    <x v="0"/>
  </r>
  <r>
    <x v="582"/>
    <x v="263"/>
    <x v="3"/>
    <x v="104"/>
    <x v="6"/>
    <x v="1089"/>
    <x v="1"/>
    <x v="3"/>
    <x v="2"/>
    <x v="3"/>
  </r>
  <r>
    <x v="583"/>
    <x v="253"/>
    <x v="0"/>
    <x v="104"/>
    <x v="6"/>
    <x v="1110"/>
    <x v="1"/>
    <x v="1"/>
    <x v="1"/>
    <x v="1"/>
  </r>
  <r>
    <x v="584"/>
    <x v="253"/>
    <x v="3"/>
    <x v="104"/>
    <x v="6"/>
    <x v="1205"/>
    <x v="1"/>
    <x v="1"/>
    <x v="1"/>
    <x v="1"/>
  </r>
  <r>
    <x v="585"/>
    <x v="50"/>
    <x v="2"/>
    <x v="105"/>
    <x v="6"/>
    <x v="1205"/>
    <x v="1"/>
    <x v="1"/>
    <x v="1"/>
    <x v="0"/>
  </r>
  <r>
    <x v="586"/>
    <x v="206"/>
    <x v="2"/>
    <x v="106"/>
    <x v="6"/>
    <x v="1063"/>
    <x v="1"/>
    <x v="0"/>
    <x v="0"/>
    <x v="3"/>
  </r>
  <r>
    <x v="587"/>
    <x v="25"/>
    <x v="3"/>
    <x v="106"/>
    <x v="6"/>
    <x v="1042"/>
    <x v="1"/>
    <x v="4"/>
    <x v="4"/>
    <x v="0"/>
  </r>
  <r>
    <x v="588"/>
    <x v="135"/>
    <x v="2"/>
    <x v="106"/>
    <x v="6"/>
    <x v="1414"/>
    <x v="1"/>
    <x v="4"/>
    <x v="4"/>
    <x v="1"/>
  </r>
  <r>
    <x v="589"/>
    <x v="74"/>
    <x v="2"/>
    <x v="107"/>
    <x v="6"/>
    <x v="1402"/>
    <x v="1"/>
    <x v="4"/>
    <x v="4"/>
    <x v="0"/>
  </r>
  <r>
    <x v="590"/>
    <x v="81"/>
    <x v="0"/>
    <x v="107"/>
    <x v="6"/>
    <x v="1442"/>
    <x v="1"/>
    <x v="1"/>
    <x v="1"/>
    <x v="1"/>
  </r>
  <r>
    <x v="591"/>
    <x v="82"/>
    <x v="2"/>
    <x v="107"/>
    <x v="6"/>
    <x v="1042"/>
    <x v="1"/>
    <x v="1"/>
    <x v="1"/>
    <x v="1"/>
  </r>
  <r>
    <x v="592"/>
    <x v="134"/>
    <x v="1"/>
    <x v="107"/>
    <x v="6"/>
    <x v="1124"/>
    <x v="1"/>
    <x v="1"/>
    <x v="1"/>
    <x v="2"/>
  </r>
  <r>
    <x v="593"/>
    <x v="138"/>
    <x v="0"/>
    <x v="107"/>
    <x v="6"/>
    <x v="1069"/>
    <x v="1"/>
    <x v="2"/>
    <x v="3"/>
    <x v="1"/>
  </r>
  <r>
    <x v="594"/>
    <x v="235"/>
    <x v="3"/>
    <x v="107"/>
    <x v="6"/>
    <x v="1126"/>
    <x v="1"/>
    <x v="1"/>
    <x v="1"/>
    <x v="0"/>
  </r>
  <r>
    <x v="595"/>
    <x v="5"/>
    <x v="3"/>
    <x v="108"/>
    <x v="6"/>
    <x v="1462"/>
    <x v="1"/>
    <x v="1"/>
    <x v="1"/>
    <x v="2"/>
  </r>
  <r>
    <x v="596"/>
    <x v="19"/>
    <x v="0"/>
    <x v="108"/>
    <x v="6"/>
    <x v="1405"/>
    <x v="1"/>
    <x v="1"/>
    <x v="1"/>
    <x v="1"/>
  </r>
  <r>
    <x v="597"/>
    <x v="34"/>
    <x v="0"/>
    <x v="109"/>
    <x v="6"/>
    <x v="896"/>
    <x v="0"/>
    <x v="1"/>
    <x v="1"/>
    <x v="1"/>
  </r>
  <r>
    <x v="598"/>
    <x v="34"/>
    <x v="2"/>
    <x v="109"/>
    <x v="6"/>
    <x v="1110"/>
    <x v="1"/>
    <x v="0"/>
    <x v="0"/>
    <x v="3"/>
  </r>
  <r>
    <x v="599"/>
    <x v="34"/>
    <x v="2"/>
    <x v="109"/>
    <x v="6"/>
    <x v="1110"/>
    <x v="1"/>
    <x v="3"/>
    <x v="2"/>
    <x v="1"/>
  </r>
  <r>
    <x v="600"/>
    <x v="135"/>
    <x v="1"/>
    <x v="109"/>
    <x v="6"/>
    <x v="977"/>
    <x v="0"/>
    <x v="2"/>
    <x v="3"/>
    <x v="3"/>
  </r>
  <r>
    <x v="601"/>
    <x v="45"/>
    <x v="1"/>
    <x v="110"/>
    <x v="5"/>
    <x v="851"/>
    <x v="0"/>
    <x v="2"/>
    <x v="3"/>
    <x v="3"/>
  </r>
  <r>
    <x v="602"/>
    <x v="46"/>
    <x v="1"/>
    <x v="110"/>
    <x v="5"/>
    <x v="2118"/>
    <x v="1"/>
    <x v="2"/>
    <x v="3"/>
    <x v="3"/>
  </r>
  <r>
    <x v="603"/>
    <x v="46"/>
    <x v="2"/>
    <x v="110"/>
    <x v="5"/>
    <x v="1732"/>
    <x v="1"/>
    <x v="1"/>
    <x v="1"/>
    <x v="0"/>
  </r>
  <r>
    <x v="604"/>
    <x v="46"/>
    <x v="3"/>
    <x v="110"/>
    <x v="5"/>
    <x v="1679"/>
    <x v="1"/>
    <x v="1"/>
    <x v="1"/>
    <x v="3"/>
  </r>
  <r>
    <x v="605"/>
    <x v="136"/>
    <x v="1"/>
    <x v="110"/>
    <x v="5"/>
    <x v="1689"/>
    <x v="1"/>
    <x v="1"/>
    <x v="1"/>
    <x v="1"/>
  </r>
  <r>
    <x v="606"/>
    <x v="46"/>
    <x v="1"/>
    <x v="110"/>
    <x v="5"/>
    <x v="1696"/>
    <x v="1"/>
    <x v="1"/>
    <x v="1"/>
    <x v="2"/>
  </r>
  <r>
    <x v="607"/>
    <x v="253"/>
    <x v="0"/>
    <x v="111"/>
    <x v="5"/>
    <x v="880"/>
    <x v="0"/>
    <x v="1"/>
    <x v="1"/>
    <x v="1"/>
  </r>
  <r>
    <x v="608"/>
    <x v="254"/>
    <x v="3"/>
    <x v="111"/>
    <x v="5"/>
    <x v="358"/>
    <x v="0"/>
    <x v="1"/>
    <x v="1"/>
    <x v="1"/>
  </r>
  <r>
    <x v="609"/>
    <x v="263"/>
    <x v="1"/>
    <x v="111"/>
    <x v="5"/>
    <x v="1508"/>
    <x v="1"/>
    <x v="4"/>
    <x v="4"/>
    <x v="2"/>
  </r>
  <r>
    <x v="610"/>
    <x v="254"/>
    <x v="1"/>
    <x v="111"/>
    <x v="5"/>
    <x v="1508"/>
    <x v="1"/>
    <x v="1"/>
    <x v="1"/>
    <x v="3"/>
  </r>
  <r>
    <x v="611"/>
    <x v="135"/>
    <x v="3"/>
    <x v="111"/>
    <x v="5"/>
    <x v="1508"/>
    <x v="1"/>
    <x v="2"/>
    <x v="3"/>
    <x v="3"/>
  </r>
  <r>
    <x v="612"/>
    <x v="135"/>
    <x v="2"/>
    <x v="111"/>
    <x v="5"/>
    <x v="1507"/>
    <x v="1"/>
    <x v="2"/>
    <x v="3"/>
    <x v="0"/>
  </r>
  <r>
    <x v="613"/>
    <x v="253"/>
    <x v="3"/>
    <x v="111"/>
    <x v="5"/>
    <x v="2178"/>
    <x v="1"/>
    <x v="1"/>
    <x v="1"/>
    <x v="2"/>
  </r>
  <r>
    <x v="614"/>
    <x v="263"/>
    <x v="2"/>
    <x v="111"/>
    <x v="5"/>
    <x v="793"/>
    <x v="0"/>
    <x v="1"/>
    <x v="1"/>
    <x v="3"/>
  </r>
  <r>
    <x v="615"/>
    <x v="260"/>
    <x v="3"/>
    <x v="111"/>
    <x v="5"/>
    <x v="609"/>
    <x v="0"/>
    <x v="0"/>
    <x v="0"/>
    <x v="1"/>
  </r>
  <r>
    <x v="616"/>
    <x v="260"/>
    <x v="0"/>
    <x v="111"/>
    <x v="5"/>
    <x v="809"/>
    <x v="0"/>
    <x v="1"/>
    <x v="1"/>
    <x v="0"/>
  </r>
  <r>
    <x v="617"/>
    <x v="28"/>
    <x v="3"/>
    <x v="112"/>
    <x v="5"/>
    <x v="766"/>
    <x v="0"/>
    <x v="0"/>
    <x v="0"/>
    <x v="1"/>
  </r>
  <r>
    <x v="618"/>
    <x v="5"/>
    <x v="3"/>
    <x v="113"/>
    <x v="5"/>
    <x v="43"/>
    <x v="0"/>
    <x v="2"/>
    <x v="3"/>
    <x v="2"/>
  </r>
  <r>
    <x v="619"/>
    <x v="200"/>
    <x v="3"/>
    <x v="114"/>
    <x v="5"/>
    <x v="813"/>
    <x v="0"/>
    <x v="2"/>
    <x v="3"/>
    <x v="1"/>
  </r>
  <r>
    <x v="620"/>
    <x v="201"/>
    <x v="2"/>
    <x v="114"/>
    <x v="5"/>
    <x v="2131"/>
    <x v="1"/>
    <x v="3"/>
    <x v="2"/>
    <x v="0"/>
  </r>
  <r>
    <x v="621"/>
    <x v="208"/>
    <x v="3"/>
    <x v="114"/>
    <x v="5"/>
    <x v="2120"/>
    <x v="1"/>
    <x v="2"/>
    <x v="3"/>
    <x v="1"/>
  </r>
  <r>
    <x v="622"/>
    <x v="135"/>
    <x v="2"/>
    <x v="114"/>
    <x v="5"/>
    <x v="2188"/>
    <x v="1"/>
    <x v="3"/>
    <x v="2"/>
    <x v="2"/>
  </r>
  <r>
    <x v="623"/>
    <x v="136"/>
    <x v="2"/>
    <x v="114"/>
    <x v="5"/>
    <x v="2055"/>
    <x v="1"/>
    <x v="2"/>
    <x v="3"/>
    <x v="3"/>
  </r>
  <r>
    <x v="624"/>
    <x v="200"/>
    <x v="2"/>
    <x v="114"/>
    <x v="5"/>
    <x v="2225"/>
    <x v="1"/>
    <x v="1"/>
    <x v="1"/>
    <x v="2"/>
  </r>
  <r>
    <x v="625"/>
    <x v="201"/>
    <x v="3"/>
    <x v="114"/>
    <x v="5"/>
    <x v="179"/>
    <x v="0"/>
    <x v="2"/>
    <x v="3"/>
    <x v="1"/>
  </r>
  <r>
    <x v="626"/>
    <x v="208"/>
    <x v="2"/>
    <x v="114"/>
    <x v="5"/>
    <x v="1903"/>
    <x v="1"/>
    <x v="2"/>
    <x v="3"/>
    <x v="0"/>
  </r>
  <r>
    <x v="627"/>
    <x v="200"/>
    <x v="1"/>
    <x v="114"/>
    <x v="5"/>
    <x v="67"/>
    <x v="0"/>
    <x v="1"/>
    <x v="1"/>
    <x v="3"/>
  </r>
  <r>
    <x v="628"/>
    <x v="201"/>
    <x v="3"/>
    <x v="114"/>
    <x v="5"/>
    <x v="443"/>
    <x v="0"/>
    <x v="2"/>
    <x v="3"/>
    <x v="1"/>
  </r>
  <r>
    <x v="629"/>
    <x v="208"/>
    <x v="2"/>
    <x v="114"/>
    <x v="5"/>
    <x v="178"/>
    <x v="0"/>
    <x v="1"/>
    <x v="1"/>
    <x v="2"/>
  </r>
  <r>
    <x v="630"/>
    <x v="208"/>
    <x v="1"/>
    <x v="114"/>
    <x v="5"/>
    <x v="97"/>
    <x v="0"/>
    <x v="1"/>
    <x v="1"/>
    <x v="3"/>
  </r>
  <r>
    <x v="631"/>
    <x v="208"/>
    <x v="3"/>
    <x v="114"/>
    <x v="5"/>
    <x v="240"/>
    <x v="0"/>
    <x v="0"/>
    <x v="0"/>
    <x v="0"/>
  </r>
  <r>
    <x v="632"/>
    <x v="19"/>
    <x v="2"/>
    <x v="115"/>
    <x v="5"/>
    <x v="177"/>
    <x v="0"/>
    <x v="1"/>
    <x v="1"/>
    <x v="2"/>
  </r>
  <r>
    <x v="633"/>
    <x v="231"/>
    <x v="2"/>
    <x v="116"/>
    <x v="5"/>
    <x v="304"/>
    <x v="0"/>
    <x v="1"/>
    <x v="1"/>
    <x v="0"/>
  </r>
  <r>
    <x v="634"/>
    <x v="1"/>
    <x v="2"/>
    <x v="116"/>
    <x v="5"/>
    <x v="432"/>
    <x v="0"/>
    <x v="2"/>
    <x v="3"/>
    <x v="0"/>
  </r>
  <r>
    <x v="635"/>
    <x v="19"/>
    <x v="1"/>
    <x v="116"/>
    <x v="5"/>
    <x v="142"/>
    <x v="0"/>
    <x v="1"/>
    <x v="1"/>
    <x v="3"/>
  </r>
  <r>
    <x v="636"/>
    <x v="50"/>
    <x v="2"/>
    <x v="116"/>
    <x v="5"/>
    <x v="1250"/>
    <x v="1"/>
    <x v="2"/>
    <x v="3"/>
    <x v="1"/>
  </r>
  <r>
    <x v="637"/>
    <x v="195"/>
    <x v="2"/>
    <x v="116"/>
    <x v="5"/>
    <x v="1742"/>
    <x v="1"/>
    <x v="4"/>
    <x v="4"/>
    <x v="3"/>
  </r>
  <r>
    <x v="638"/>
    <x v="195"/>
    <x v="2"/>
    <x v="116"/>
    <x v="5"/>
    <x v="1250"/>
    <x v="1"/>
    <x v="1"/>
    <x v="1"/>
    <x v="1"/>
  </r>
  <r>
    <x v="639"/>
    <x v="195"/>
    <x v="2"/>
    <x v="116"/>
    <x v="5"/>
    <x v="1250"/>
    <x v="1"/>
    <x v="3"/>
    <x v="2"/>
    <x v="3"/>
  </r>
  <r>
    <x v="640"/>
    <x v="195"/>
    <x v="2"/>
    <x v="116"/>
    <x v="5"/>
    <x v="1250"/>
    <x v="1"/>
    <x v="2"/>
    <x v="3"/>
    <x v="1"/>
  </r>
  <r>
    <x v="641"/>
    <x v="195"/>
    <x v="3"/>
    <x v="116"/>
    <x v="5"/>
    <x v="1250"/>
    <x v="1"/>
    <x v="2"/>
    <x v="3"/>
    <x v="1"/>
  </r>
  <r>
    <x v="642"/>
    <x v="195"/>
    <x v="2"/>
    <x v="116"/>
    <x v="5"/>
    <x v="1691"/>
    <x v="1"/>
    <x v="4"/>
    <x v="4"/>
    <x v="3"/>
  </r>
  <r>
    <x v="643"/>
    <x v="175"/>
    <x v="0"/>
    <x v="117"/>
    <x v="5"/>
    <x v="1713"/>
    <x v="1"/>
    <x v="2"/>
    <x v="3"/>
    <x v="3"/>
  </r>
  <r>
    <x v="644"/>
    <x v="175"/>
    <x v="2"/>
    <x v="117"/>
    <x v="5"/>
    <x v="1758"/>
    <x v="1"/>
    <x v="1"/>
    <x v="1"/>
    <x v="1"/>
  </r>
  <r>
    <x v="645"/>
    <x v="135"/>
    <x v="1"/>
    <x v="117"/>
    <x v="5"/>
    <x v="1037"/>
    <x v="1"/>
    <x v="2"/>
    <x v="3"/>
    <x v="3"/>
  </r>
  <r>
    <x v="646"/>
    <x v="175"/>
    <x v="2"/>
    <x v="117"/>
    <x v="5"/>
    <x v="1749"/>
    <x v="1"/>
    <x v="4"/>
    <x v="4"/>
    <x v="3"/>
  </r>
  <r>
    <x v="647"/>
    <x v="260"/>
    <x v="0"/>
    <x v="117"/>
    <x v="5"/>
    <x v="1441"/>
    <x v="1"/>
    <x v="4"/>
    <x v="4"/>
    <x v="0"/>
  </r>
  <r>
    <x v="648"/>
    <x v="175"/>
    <x v="3"/>
    <x v="117"/>
    <x v="5"/>
    <x v="499"/>
    <x v="0"/>
    <x v="1"/>
    <x v="1"/>
    <x v="2"/>
  </r>
  <r>
    <x v="649"/>
    <x v="260"/>
    <x v="0"/>
    <x v="117"/>
    <x v="5"/>
    <x v="422"/>
    <x v="0"/>
    <x v="4"/>
    <x v="4"/>
    <x v="3"/>
  </r>
  <r>
    <x v="650"/>
    <x v="175"/>
    <x v="0"/>
    <x v="117"/>
    <x v="5"/>
    <x v="1656"/>
    <x v="1"/>
    <x v="1"/>
    <x v="1"/>
    <x v="0"/>
  </r>
  <r>
    <x v="651"/>
    <x v="175"/>
    <x v="0"/>
    <x v="117"/>
    <x v="5"/>
    <x v="1656"/>
    <x v="1"/>
    <x v="2"/>
    <x v="3"/>
    <x v="0"/>
  </r>
  <r>
    <x v="652"/>
    <x v="175"/>
    <x v="0"/>
    <x v="117"/>
    <x v="5"/>
    <x v="2193"/>
    <x v="1"/>
    <x v="2"/>
    <x v="3"/>
    <x v="3"/>
  </r>
  <r>
    <x v="653"/>
    <x v="175"/>
    <x v="3"/>
    <x v="117"/>
    <x v="5"/>
    <x v="1655"/>
    <x v="1"/>
    <x v="1"/>
    <x v="1"/>
    <x v="3"/>
  </r>
  <r>
    <x v="654"/>
    <x v="175"/>
    <x v="0"/>
    <x v="117"/>
    <x v="5"/>
    <x v="10"/>
    <x v="0"/>
    <x v="1"/>
    <x v="1"/>
    <x v="3"/>
  </r>
  <r>
    <x v="655"/>
    <x v="175"/>
    <x v="2"/>
    <x v="117"/>
    <x v="5"/>
    <x v="668"/>
    <x v="0"/>
    <x v="2"/>
    <x v="3"/>
    <x v="3"/>
  </r>
  <r>
    <x v="656"/>
    <x v="29"/>
    <x v="1"/>
    <x v="118"/>
    <x v="5"/>
    <x v="531"/>
    <x v="0"/>
    <x v="4"/>
    <x v="4"/>
    <x v="2"/>
  </r>
  <r>
    <x v="657"/>
    <x v="19"/>
    <x v="1"/>
    <x v="119"/>
    <x v="5"/>
    <x v="701"/>
    <x v="0"/>
    <x v="2"/>
    <x v="3"/>
    <x v="3"/>
  </r>
  <r>
    <x v="658"/>
    <x v="144"/>
    <x v="2"/>
    <x v="119"/>
    <x v="5"/>
    <x v="478"/>
    <x v="0"/>
    <x v="0"/>
    <x v="0"/>
    <x v="3"/>
  </r>
  <r>
    <x v="659"/>
    <x v="144"/>
    <x v="3"/>
    <x v="119"/>
    <x v="5"/>
    <x v="752"/>
    <x v="0"/>
    <x v="1"/>
    <x v="1"/>
    <x v="3"/>
  </r>
  <r>
    <x v="660"/>
    <x v="144"/>
    <x v="1"/>
    <x v="119"/>
    <x v="5"/>
    <x v="860"/>
    <x v="0"/>
    <x v="1"/>
    <x v="1"/>
    <x v="0"/>
  </r>
  <r>
    <x v="661"/>
    <x v="33"/>
    <x v="1"/>
    <x v="120"/>
    <x v="5"/>
    <x v="893"/>
    <x v="0"/>
    <x v="0"/>
    <x v="0"/>
    <x v="3"/>
  </r>
  <r>
    <x v="662"/>
    <x v="35"/>
    <x v="3"/>
    <x v="120"/>
    <x v="5"/>
    <x v="823"/>
    <x v="0"/>
    <x v="4"/>
    <x v="4"/>
    <x v="2"/>
  </r>
  <r>
    <x v="663"/>
    <x v="36"/>
    <x v="1"/>
    <x v="120"/>
    <x v="5"/>
    <x v="909"/>
    <x v="0"/>
    <x v="1"/>
    <x v="1"/>
    <x v="2"/>
  </r>
  <r>
    <x v="664"/>
    <x v="49"/>
    <x v="3"/>
    <x v="120"/>
    <x v="5"/>
    <x v="1605"/>
    <x v="1"/>
    <x v="1"/>
    <x v="1"/>
    <x v="0"/>
  </r>
  <r>
    <x v="665"/>
    <x v="79"/>
    <x v="1"/>
    <x v="120"/>
    <x v="5"/>
    <x v="1000"/>
    <x v="1"/>
    <x v="2"/>
    <x v="3"/>
    <x v="3"/>
  </r>
  <r>
    <x v="666"/>
    <x v="204"/>
    <x v="2"/>
    <x v="120"/>
    <x v="5"/>
    <x v="1953"/>
    <x v="1"/>
    <x v="1"/>
    <x v="1"/>
    <x v="3"/>
  </r>
  <r>
    <x v="667"/>
    <x v="50"/>
    <x v="3"/>
    <x v="121"/>
    <x v="5"/>
    <x v="1948"/>
    <x v="1"/>
    <x v="2"/>
    <x v="3"/>
    <x v="3"/>
  </r>
  <r>
    <x v="668"/>
    <x v="80"/>
    <x v="1"/>
    <x v="121"/>
    <x v="5"/>
    <x v="213"/>
    <x v="0"/>
    <x v="2"/>
    <x v="3"/>
    <x v="1"/>
  </r>
  <r>
    <x v="669"/>
    <x v="200"/>
    <x v="2"/>
    <x v="121"/>
    <x v="5"/>
    <x v="267"/>
    <x v="0"/>
    <x v="1"/>
    <x v="1"/>
    <x v="2"/>
  </r>
  <r>
    <x v="670"/>
    <x v="201"/>
    <x v="2"/>
    <x v="121"/>
    <x v="5"/>
    <x v="285"/>
    <x v="0"/>
    <x v="1"/>
    <x v="1"/>
    <x v="3"/>
  </r>
  <r>
    <x v="671"/>
    <x v="80"/>
    <x v="2"/>
    <x v="121"/>
    <x v="5"/>
    <x v="381"/>
    <x v="0"/>
    <x v="2"/>
    <x v="3"/>
    <x v="2"/>
  </r>
  <r>
    <x v="672"/>
    <x v="200"/>
    <x v="2"/>
    <x v="121"/>
    <x v="5"/>
    <x v="456"/>
    <x v="0"/>
    <x v="2"/>
    <x v="3"/>
    <x v="0"/>
  </r>
  <r>
    <x v="673"/>
    <x v="201"/>
    <x v="2"/>
    <x v="121"/>
    <x v="5"/>
    <x v="242"/>
    <x v="0"/>
    <x v="2"/>
    <x v="3"/>
    <x v="1"/>
  </r>
  <r>
    <x v="674"/>
    <x v="80"/>
    <x v="0"/>
    <x v="121"/>
    <x v="5"/>
    <x v="563"/>
    <x v="0"/>
    <x v="2"/>
    <x v="3"/>
    <x v="3"/>
  </r>
  <r>
    <x v="675"/>
    <x v="200"/>
    <x v="0"/>
    <x v="121"/>
    <x v="5"/>
    <x v="266"/>
    <x v="0"/>
    <x v="2"/>
    <x v="3"/>
    <x v="2"/>
  </r>
  <r>
    <x v="676"/>
    <x v="201"/>
    <x v="2"/>
    <x v="121"/>
    <x v="5"/>
    <x v="1490"/>
    <x v="1"/>
    <x v="4"/>
    <x v="4"/>
    <x v="3"/>
  </r>
  <r>
    <x v="677"/>
    <x v="212"/>
    <x v="0"/>
    <x v="121"/>
    <x v="5"/>
    <x v="2059"/>
    <x v="1"/>
    <x v="0"/>
    <x v="0"/>
    <x v="3"/>
  </r>
  <r>
    <x v="678"/>
    <x v="212"/>
    <x v="0"/>
    <x v="121"/>
    <x v="5"/>
    <x v="992"/>
    <x v="1"/>
    <x v="2"/>
    <x v="3"/>
    <x v="3"/>
  </r>
  <r>
    <x v="679"/>
    <x v="212"/>
    <x v="3"/>
    <x v="121"/>
    <x v="5"/>
    <x v="1792"/>
    <x v="1"/>
    <x v="2"/>
    <x v="3"/>
    <x v="1"/>
  </r>
  <r>
    <x v="680"/>
    <x v="134"/>
    <x v="3"/>
    <x v="122"/>
    <x v="1"/>
    <x v="2217"/>
    <x v="1"/>
    <x v="0"/>
    <x v="0"/>
    <x v="0"/>
  </r>
  <r>
    <x v="681"/>
    <x v="134"/>
    <x v="1"/>
    <x v="122"/>
    <x v="1"/>
    <x v="1780"/>
    <x v="1"/>
    <x v="1"/>
    <x v="1"/>
    <x v="1"/>
  </r>
  <r>
    <x v="682"/>
    <x v="134"/>
    <x v="1"/>
    <x v="122"/>
    <x v="1"/>
    <x v="1765"/>
    <x v="1"/>
    <x v="2"/>
    <x v="3"/>
    <x v="1"/>
  </r>
  <r>
    <x v="683"/>
    <x v="134"/>
    <x v="3"/>
    <x v="122"/>
    <x v="1"/>
    <x v="4"/>
    <x v="0"/>
    <x v="2"/>
    <x v="3"/>
    <x v="1"/>
  </r>
  <r>
    <x v="684"/>
    <x v="134"/>
    <x v="1"/>
    <x v="122"/>
    <x v="1"/>
    <x v="1204"/>
    <x v="1"/>
    <x v="1"/>
    <x v="1"/>
    <x v="3"/>
  </r>
  <r>
    <x v="685"/>
    <x v="134"/>
    <x v="1"/>
    <x v="122"/>
    <x v="1"/>
    <x v="1042"/>
    <x v="1"/>
    <x v="1"/>
    <x v="1"/>
    <x v="3"/>
  </r>
  <r>
    <x v="686"/>
    <x v="134"/>
    <x v="1"/>
    <x v="122"/>
    <x v="1"/>
    <x v="1102"/>
    <x v="1"/>
    <x v="4"/>
    <x v="4"/>
    <x v="3"/>
  </r>
  <r>
    <x v="687"/>
    <x v="241"/>
    <x v="2"/>
    <x v="122"/>
    <x v="1"/>
    <x v="1063"/>
    <x v="1"/>
    <x v="0"/>
    <x v="0"/>
    <x v="0"/>
  </r>
  <r>
    <x v="688"/>
    <x v="237"/>
    <x v="1"/>
    <x v="123"/>
    <x v="1"/>
    <x v="1191"/>
    <x v="1"/>
    <x v="2"/>
    <x v="3"/>
    <x v="3"/>
  </r>
  <r>
    <x v="689"/>
    <x v="5"/>
    <x v="3"/>
    <x v="123"/>
    <x v="1"/>
    <x v="1042"/>
    <x v="1"/>
    <x v="4"/>
    <x v="4"/>
    <x v="3"/>
  </r>
  <r>
    <x v="690"/>
    <x v="34"/>
    <x v="1"/>
    <x v="123"/>
    <x v="1"/>
    <x v="1191"/>
    <x v="1"/>
    <x v="1"/>
    <x v="1"/>
    <x v="3"/>
  </r>
  <r>
    <x v="691"/>
    <x v="34"/>
    <x v="1"/>
    <x v="123"/>
    <x v="1"/>
    <x v="1102"/>
    <x v="1"/>
    <x v="2"/>
    <x v="3"/>
    <x v="3"/>
  </r>
  <r>
    <x v="692"/>
    <x v="34"/>
    <x v="2"/>
    <x v="123"/>
    <x v="1"/>
    <x v="1063"/>
    <x v="1"/>
    <x v="2"/>
    <x v="3"/>
    <x v="3"/>
  </r>
  <r>
    <x v="693"/>
    <x v="34"/>
    <x v="0"/>
    <x v="123"/>
    <x v="1"/>
    <x v="1072"/>
    <x v="1"/>
    <x v="3"/>
    <x v="2"/>
    <x v="2"/>
  </r>
  <r>
    <x v="694"/>
    <x v="135"/>
    <x v="3"/>
    <x v="124"/>
    <x v="1"/>
    <x v="1070"/>
    <x v="1"/>
    <x v="0"/>
    <x v="0"/>
    <x v="3"/>
  </r>
  <r>
    <x v="695"/>
    <x v="225"/>
    <x v="1"/>
    <x v="125"/>
    <x v="1"/>
    <x v="1188"/>
    <x v="1"/>
    <x v="1"/>
    <x v="1"/>
    <x v="1"/>
  </r>
  <r>
    <x v="696"/>
    <x v="175"/>
    <x v="1"/>
    <x v="125"/>
    <x v="1"/>
    <x v="1210"/>
    <x v="1"/>
    <x v="2"/>
    <x v="3"/>
    <x v="0"/>
  </r>
  <r>
    <x v="697"/>
    <x v="225"/>
    <x v="3"/>
    <x v="125"/>
    <x v="1"/>
    <x v="1190"/>
    <x v="1"/>
    <x v="1"/>
    <x v="1"/>
    <x v="1"/>
  </r>
  <r>
    <x v="698"/>
    <x v="225"/>
    <x v="1"/>
    <x v="125"/>
    <x v="1"/>
    <x v="1203"/>
    <x v="1"/>
    <x v="4"/>
    <x v="4"/>
    <x v="1"/>
  </r>
  <r>
    <x v="699"/>
    <x v="175"/>
    <x v="0"/>
    <x v="125"/>
    <x v="1"/>
    <x v="1203"/>
    <x v="1"/>
    <x v="1"/>
    <x v="1"/>
    <x v="3"/>
  </r>
  <r>
    <x v="700"/>
    <x v="175"/>
    <x v="3"/>
    <x v="125"/>
    <x v="1"/>
    <x v="1051"/>
    <x v="1"/>
    <x v="0"/>
    <x v="0"/>
    <x v="3"/>
  </r>
  <r>
    <x v="701"/>
    <x v="175"/>
    <x v="0"/>
    <x v="125"/>
    <x v="1"/>
    <x v="1062"/>
    <x v="1"/>
    <x v="2"/>
    <x v="3"/>
    <x v="3"/>
  </r>
  <r>
    <x v="702"/>
    <x v="175"/>
    <x v="1"/>
    <x v="125"/>
    <x v="1"/>
    <x v="2212"/>
    <x v="1"/>
    <x v="2"/>
    <x v="3"/>
    <x v="2"/>
  </r>
  <r>
    <x v="703"/>
    <x v="175"/>
    <x v="2"/>
    <x v="125"/>
    <x v="1"/>
    <x v="1051"/>
    <x v="1"/>
    <x v="1"/>
    <x v="1"/>
    <x v="0"/>
  </r>
  <r>
    <x v="704"/>
    <x v="175"/>
    <x v="2"/>
    <x v="125"/>
    <x v="1"/>
    <x v="1062"/>
    <x v="1"/>
    <x v="0"/>
    <x v="0"/>
    <x v="1"/>
  </r>
  <r>
    <x v="705"/>
    <x v="175"/>
    <x v="2"/>
    <x v="125"/>
    <x v="1"/>
    <x v="779"/>
    <x v="0"/>
    <x v="1"/>
    <x v="1"/>
    <x v="2"/>
  </r>
  <r>
    <x v="706"/>
    <x v="175"/>
    <x v="2"/>
    <x v="125"/>
    <x v="1"/>
    <x v="132"/>
    <x v="0"/>
    <x v="1"/>
    <x v="1"/>
    <x v="3"/>
  </r>
  <r>
    <x v="707"/>
    <x v="175"/>
    <x v="1"/>
    <x v="125"/>
    <x v="1"/>
    <x v="133"/>
    <x v="0"/>
    <x v="1"/>
    <x v="1"/>
    <x v="1"/>
  </r>
  <r>
    <x v="708"/>
    <x v="28"/>
    <x v="2"/>
    <x v="126"/>
    <x v="1"/>
    <x v="439"/>
    <x v="0"/>
    <x v="4"/>
    <x v="4"/>
    <x v="3"/>
  </r>
  <r>
    <x v="709"/>
    <x v="26"/>
    <x v="0"/>
    <x v="126"/>
    <x v="1"/>
    <x v="1958"/>
    <x v="1"/>
    <x v="4"/>
    <x v="4"/>
    <x v="1"/>
  </r>
  <r>
    <x v="710"/>
    <x v="263"/>
    <x v="0"/>
    <x v="126"/>
    <x v="1"/>
    <x v="2010"/>
    <x v="1"/>
    <x v="1"/>
    <x v="1"/>
    <x v="3"/>
  </r>
  <r>
    <x v="711"/>
    <x v="254"/>
    <x v="1"/>
    <x v="126"/>
    <x v="1"/>
    <x v="2018"/>
    <x v="1"/>
    <x v="1"/>
    <x v="1"/>
    <x v="3"/>
  </r>
  <r>
    <x v="712"/>
    <x v="254"/>
    <x v="3"/>
    <x v="126"/>
    <x v="1"/>
    <x v="6"/>
    <x v="0"/>
    <x v="1"/>
    <x v="1"/>
    <x v="3"/>
  </r>
  <r>
    <x v="713"/>
    <x v="252"/>
    <x v="0"/>
    <x v="126"/>
    <x v="1"/>
    <x v="1961"/>
    <x v="1"/>
    <x v="1"/>
    <x v="1"/>
    <x v="3"/>
  </r>
  <r>
    <x v="714"/>
    <x v="253"/>
    <x v="2"/>
    <x v="126"/>
    <x v="1"/>
    <x v="1638"/>
    <x v="1"/>
    <x v="4"/>
    <x v="4"/>
    <x v="3"/>
  </r>
  <r>
    <x v="715"/>
    <x v="261"/>
    <x v="1"/>
    <x v="126"/>
    <x v="1"/>
    <x v="1572"/>
    <x v="1"/>
    <x v="1"/>
    <x v="1"/>
    <x v="1"/>
  </r>
  <r>
    <x v="716"/>
    <x v="263"/>
    <x v="2"/>
    <x v="126"/>
    <x v="1"/>
    <x v="1611"/>
    <x v="1"/>
    <x v="0"/>
    <x v="0"/>
    <x v="1"/>
  </r>
  <r>
    <x v="717"/>
    <x v="136"/>
    <x v="0"/>
    <x v="126"/>
    <x v="1"/>
    <x v="2237"/>
    <x v="1"/>
    <x v="1"/>
    <x v="1"/>
    <x v="1"/>
  </r>
  <r>
    <x v="718"/>
    <x v="252"/>
    <x v="3"/>
    <x v="126"/>
    <x v="1"/>
    <x v="965"/>
    <x v="0"/>
    <x v="1"/>
    <x v="1"/>
    <x v="3"/>
  </r>
  <r>
    <x v="719"/>
    <x v="253"/>
    <x v="2"/>
    <x v="126"/>
    <x v="1"/>
    <x v="200"/>
    <x v="0"/>
    <x v="2"/>
    <x v="3"/>
    <x v="3"/>
  </r>
  <r>
    <x v="720"/>
    <x v="261"/>
    <x v="2"/>
    <x v="126"/>
    <x v="1"/>
    <x v="85"/>
    <x v="0"/>
    <x v="2"/>
    <x v="3"/>
    <x v="1"/>
  </r>
  <r>
    <x v="721"/>
    <x v="260"/>
    <x v="0"/>
    <x v="126"/>
    <x v="1"/>
    <x v="638"/>
    <x v="0"/>
    <x v="2"/>
    <x v="3"/>
    <x v="2"/>
  </r>
  <r>
    <x v="722"/>
    <x v="260"/>
    <x v="3"/>
    <x v="126"/>
    <x v="1"/>
    <x v="857"/>
    <x v="0"/>
    <x v="1"/>
    <x v="1"/>
    <x v="1"/>
  </r>
  <r>
    <x v="723"/>
    <x v="7"/>
    <x v="1"/>
    <x v="127"/>
    <x v="1"/>
    <x v="2091"/>
    <x v="1"/>
    <x v="2"/>
    <x v="3"/>
    <x v="3"/>
  </r>
  <r>
    <x v="724"/>
    <x v="46"/>
    <x v="0"/>
    <x v="127"/>
    <x v="1"/>
    <x v="2221"/>
    <x v="1"/>
    <x v="2"/>
    <x v="3"/>
    <x v="3"/>
  </r>
  <r>
    <x v="725"/>
    <x v="46"/>
    <x v="1"/>
    <x v="127"/>
    <x v="1"/>
    <x v="3"/>
    <x v="0"/>
    <x v="4"/>
    <x v="4"/>
    <x v="1"/>
  </r>
  <r>
    <x v="726"/>
    <x v="46"/>
    <x v="2"/>
    <x v="127"/>
    <x v="1"/>
    <x v="86"/>
    <x v="0"/>
    <x v="1"/>
    <x v="1"/>
    <x v="3"/>
  </r>
  <r>
    <x v="727"/>
    <x v="46"/>
    <x v="1"/>
    <x v="127"/>
    <x v="1"/>
    <x v="111"/>
    <x v="0"/>
    <x v="1"/>
    <x v="1"/>
    <x v="3"/>
  </r>
  <r>
    <x v="728"/>
    <x v="18"/>
    <x v="0"/>
    <x v="128"/>
    <x v="1"/>
    <x v="375"/>
    <x v="0"/>
    <x v="0"/>
    <x v="0"/>
    <x v="1"/>
  </r>
  <r>
    <x v="729"/>
    <x v="135"/>
    <x v="0"/>
    <x v="128"/>
    <x v="1"/>
    <x v="140"/>
    <x v="0"/>
    <x v="1"/>
    <x v="1"/>
    <x v="0"/>
  </r>
  <r>
    <x v="730"/>
    <x v="144"/>
    <x v="3"/>
    <x v="128"/>
    <x v="1"/>
    <x v="1837"/>
    <x v="1"/>
    <x v="4"/>
    <x v="4"/>
    <x v="3"/>
  </r>
  <r>
    <x v="731"/>
    <x v="111"/>
    <x v="2"/>
    <x v="129"/>
    <x v="1"/>
    <x v="1793"/>
    <x v="1"/>
    <x v="2"/>
    <x v="3"/>
    <x v="2"/>
  </r>
  <r>
    <x v="732"/>
    <x v="111"/>
    <x v="3"/>
    <x v="129"/>
    <x v="1"/>
    <x v="1825"/>
    <x v="1"/>
    <x v="0"/>
    <x v="0"/>
    <x v="1"/>
  </r>
  <r>
    <x v="733"/>
    <x v="111"/>
    <x v="3"/>
    <x v="129"/>
    <x v="1"/>
    <x v="357"/>
    <x v="0"/>
    <x v="4"/>
    <x v="4"/>
    <x v="1"/>
  </r>
  <r>
    <x v="734"/>
    <x v="111"/>
    <x v="1"/>
    <x v="129"/>
    <x v="1"/>
    <x v="63"/>
    <x v="0"/>
    <x v="1"/>
    <x v="1"/>
    <x v="0"/>
  </r>
  <r>
    <x v="735"/>
    <x v="111"/>
    <x v="2"/>
    <x v="129"/>
    <x v="1"/>
    <x v="384"/>
    <x v="0"/>
    <x v="1"/>
    <x v="1"/>
    <x v="2"/>
  </r>
  <r>
    <x v="736"/>
    <x v="106"/>
    <x v="2"/>
    <x v="130"/>
    <x v="1"/>
    <x v="223"/>
    <x v="0"/>
    <x v="1"/>
    <x v="1"/>
    <x v="3"/>
  </r>
  <r>
    <x v="737"/>
    <x v="19"/>
    <x v="1"/>
    <x v="130"/>
    <x v="1"/>
    <x v="290"/>
    <x v="0"/>
    <x v="1"/>
    <x v="1"/>
    <x v="0"/>
  </r>
  <r>
    <x v="738"/>
    <x v="7"/>
    <x v="0"/>
    <x v="131"/>
    <x v="1"/>
    <x v="719"/>
    <x v="0"/>
    <x v="2"/>
    <x v="3"/>
    <x v="2"/>
  </r>
  <r>
    <x v="739"/>
    <x v="106"/>
    <x v="3"/>
    <x v="132"/>
    <x v="1"/>
    <x v="1219"/>
    <x v="1"/>
    <x v="1"/>
    <x v="1"/>
    <x v="3"/>
  </r>
  <r>
    <x v="740"/>
    <x v="50"/>
    <x v="1"/>
    <x v="133"/>
    <x v="1"/>
    <x v="1219"/>
    <x v="1"/>
    <x v="1"/>
    <x v="1"/>
    <x v="0"/>
  </r>
  <r>
    <x v="741"/>
    <x v="135"/>
    <x v="1"/>
    <x v="133"/>
    <x v="1"/>
    <x v="2023"/>
    <x v="1"/>
    <x v="3"/>
    <x v="2"/>
    <x v="1"/>
  </r>
  <r>
    <x v="742"/>
    <x v="7"/>
    <x v="0"/>
    <x v="134"/>
    <x v="1"/>
    <x v="1219"/>
    <x v="1"/>
    <x v="2"/>
    <x v="3"/>
    <x v="1"/>
  </r>
  <r>
    <x v="743"/>
    <x v="7"/>
    <x v="1"/>
    <x v="134"/>
    <x v="1"/>
    <x v="1219"/>
    <x v="1"/>
    <x v="4"/>
    <x v="4"/>
    <x v="1"/>
  </r>
  <r>
    <x v="744"/>
    <x v="7"/>
    <x v="2"/>
    <x v="134"/>
    <x v="1"/>
    <x v="1219"/>
    <x v="1"/>
    <x v="3"/>
    <x v="2"/>
    <x v="3"/>
  </r>
  <r>
    <x v="745"/>
    <x v="18"/>
    <x v="3"/>
    <x v="135"/>
    <x v="1"/>
    <x v="862"/>
    <x v="0"/>
    <x v="1"/>
    <x v="1"/>
    <x v="3"/>
  </r>
  <r>
    <x v="746"/>
    <x v="19"/>
    <x v="0"/>
    <x v="135"/>
    <x v="1"/>
    <x v="918"/>
    <x v="0"/>
    <x v="2"/>
    <x v="3"/>
    <x v="3"/>
  </r>
  <r>
    <x v="747"/>
    <x v="106"/>
    <x v="3"/>
    <x v="136"/>
    <x v="1"/>
    <x v="966"/>
    <x v="0"/>
    <x v="1"/>
    <x v="1"/>
    <x v="3"/>
  </r>
  <r>
    <x v="748"/>
    <x v="10"/>
    <x v="2"/>
    <x v="136"/>
    <x v="1"/>
    <x v="834"/>
    <x v="0"/>
    <x v="2"/>
    <x v="3"/>
    <x v="3"/>
  </r>
  <r>
    <x v="749"/>
    <x v="254"/>
    <x v="0"/>
    <x v="136"/>
    <x v="1"/>
    <x v="972"/>
    <x v="0"/>
    <x v="3"/>
    <x v="2"/>
    <x v="3"/>
  </r>
  <r>
    <x v="750"/>
    <x v="254"/>
    <x v="1"/>
    <x v="136"/>
    <x v="1"/>
    <x v="12"/>
    <x v="0"/>
    <x v="2"/>
    <x v="3"/>
    <x v="1"/>
  </r>
  <r>
    <x v="751"/>
    <x v="252"/>
    <x v="1"/>
    <x v="136"/>
    <x v="1"/>
    <x v="2152"/>
    <x v="1"/>
    <x v="4"/>
    <x v="4"/>
    <x v="0"/>
  </r>
  <r>
    <x v="752"/>
    <x v="263"/>
    <x v="2"/>
    <x v="136"/>
    <x v="1"/>
    <x v="1960"/>
    <x v="1"/>
    <x v="1"/>
    <x v="1"/>
    <x v="1"/>
  </r>
  <r>
    <x v="753"/>
    <x v="263"/>
    <x v="3"/>
    <x v="136"/>
    <x v="1"/>
    <x v="1947"/>
    <x v="1"/>
    <x v="4"/>
    <x v="4"/>
    <x v="1"/>
  </r>
  <r>
    <x v="754"/>
    <x v="260"/>
    <x v="1"/>
    <x v="136"/>
    <x v="1"/>
    <x v="1946"/>
    <x v="1"/>
    <x v="4"/>
    <x v="4"/>
    <x v="0"/>
  </r>
  <r>
    <x v="755"/>
    <x v="252"/>
    <x v="2"/>
    <x v="136"/>
    <x v="1"/>
    <x v="840"/>
    <x v="0"/>
    <x v="4"/>
    <x v="4"/>
    <x v="1"/>
  </r>
  <r>
    <x v="756"/>
    <x v="260"/>
    <x v="2"/>
    <x v="136"/>
    <x v="1"/>
    <x v="256"/>
    <x v="0"/>
    <x v="2"/>
    <x v="3"/>
    <x v="1"/>
  </r>
  <r>
    <x v="757"/>
    <x v="7"/>
    <x v="1"/>
    <x v="137"/>
    <x v="1"/>
    <x v="997"/>
    <x v="1"/>
    <x v="2"/>
    <x v="3"/>
    <x v="1"/>
  </r>
  <r>
    <x v="758"/>
    <x v="7"/>
    <x v="2"/>
    <x v="137"/>
    <x v="1"/>
    <x v="1385"/>
    <x v="1"/>
    <x v="1"/>
    <x v="1"/>
    <x v="1"/>
  </r>
  <r>
    <x v="759"/>
    <x v="144"/>
    <x v="2"/>
    <x v="137"/>
    <x v="1"/>
    <x v="1051"/>
    <x v="1"/>
    <x v="1"/>
    <x v="1"/>
    <x v="3"/>
  </r>
  <r>
    <x v="760"/>
    <x v="5"/>
    <x v="0"/>
    <x v="138"/>
    <x v="1"/>
    <x v="1051"/>
    <x v="1"/>
    <x v="2"/>
    <x v="3"/>
    <x v="0"/>
  </r>
  <r>
    <x v="761"/>
    <x v="200"/>
    <x v="2"/>
    <x v="138"/>
    <x v="1"/>
    <x v="1163"/>
    <x v="1"/>
    <x v="1"/>
    <x v="1"/>
    <x v="3"/>
  </r>
  <r>
    <x v="762"/>
    <x v="136"/>
    <x v="1"/>
    <x v="138"/>
    <x v="1"/>
    <x v="1163"/>
    <x v="1"/>
    <x v="1"/>
    <x v="1"/>
    <x v="0"/>
  </r>
  <r>
    <x v="763"/>
    <x v="200"/>
    <x v="3"/>
    <x v="138"/>
    <x v="1"/>
    <x v="1051"/>
    <x v="1"/>
    <x v="4"/>
    <x v="4"/>
    <x v="1"/>
  </r>
  <r>
    <x v="764"/>
    <x v="200"/>
    <x v="2"/>
    <x v="138"/>
    <x v="1"/>
    <x v="1356"/>
    <x v="1"/>
    <x v="2"/>
    <x v="3"/>
    <x v="3"/>
  </r>
  <r>
    <x v="765"/>
    <x v="201"/>
    <x v="3"/>
    <x v="138"/>
    <x v="1"/>
    <x v="1051"/>
    <x v="1"/>
    <x v="1"/>
    <x v="1"/>
    <x v="3"/>
  </r>
  <r>
    <x v="766"/>
    <x v="201"/>
    <x v="1"/>
    <x v="138"/>
    <x v="1"/>
    <x v="1051"/>
    <x v="1"/>
    <x v="2"/>
    <x v="3"/>
    <x v="1"/>
  </r>
  <r>
    <x v="767"/>
    <x v="141"/>
    <x v="3"/>
    <x v="139"/>
    <x v="1"/>
    <x v="1051"/>
    <x v="1"/>
    <x v="3"/>
    <x v="2"/>
    <x v="3"/>
  </r>
  <r>
    <x v="768"/>
    <x v="149"/>
    <x v="2"/>
    <x v="139"/>
    <x v="1"/>
    <x v="1421"/>
    <x v="1"/>
    <x v="1"/>
    <x v="1"/>
    <x v="3"/>
  </r>
  <r>
    <x v="769"/>
    <x v="205"/>
    <x v="2"/>
    <x v="139"/>
    <x v="1"/>
    <x v="1432"/>
    <x v="1"/>
    <x v="4"/>
    <x v="4"/>
    <x v="1"/>
  </r>
  <r>
    <x v="770"/>
    <x v="227"/>
    <x v="0"/>
    <x v="139"/>
    <x v="1"/>
    <x v="1422"/>
    <x v="1"/>
    <x v="1"/>
    <x v="1"/>
    <x v="1"/>
  </r>
  <r>
    <x v="771"/>
    <x v="19"/>
    <x v="3"/>
    <x v="139"/>
    <x v="1"/>
    <x v="1382"/>
    <x v="1"/>
    <x v="2"/>
    <x v="3"/>
    <x v="1"/>
  </r>
  <r>
    <x v="772"/>
    <x v="72"/>
    <x v="1"/>
    <x v="139"/>
    <x v="1"/>
    <x v="1365"/>
    <x v="1"/>
    <x v="1"/>
    <x v="1"/>
    <x v="1"/>
  </r>
  <r>
    <x v="773"/>
    <x v="72"/>
    <x v="2"/>
    <x v="139"/>
    <x v="1"/>
    <x v="1348"/>
    <x v="1"/>
    <x v="1"/>
    <x v="1"/>
    <x v="3"/>
  </r>
  <r>
    <x v="774"/>
    <x v="72"/>
    <x v="3"/>
    <x v="139"/>
    <x v="1"/>
    <x v="1367"/>
    <x v="1"/>
    <x v="1"/>
    <x v="1"/>
    <x v="1"/>
  </r>
  <r>
    <x v="775"/>
    <x v="241"/>
    <x v="2"/>
    <x v="140"/>
    <x v="1"/>
    <x v="1396"/>
    <x v="1"/>
    <x v="1"/>
    <x v="1"/>
    <x v="1"/>
  </r>
  <r>
    <x v="776"/>
    <x v="50"/>
    <x v="1"/>
    <x v="140"/>
    <x v="1"/>
    <x v="70"/>
    <x v="0"/>
    <x v="0"/>
    <x v="0"/>
    <x v="3"/>
  </r>
  <r>
    <x v="777"/>
    <x v="80"/>
    <x v="2"/>
    <x v="140"/>
    <x v="1"/>
    <x v="1664"/>
    <x v="1"/>
    <x v="3"/>
    <x v="2"/>
    <x v="1"/>
  </r>
  <r>
    <x v="778"/>
    <x v="200"/>
    <x v="3"/>
    <x v="140"/>
    <x v="1"/>
    <x v="1664"/>
    <x v="1"/>
    <x v="4"/>
    <x v="4"/>
    <x v="3"/>
  </r>
  <r>
    <x v="779"/>
    <x v="46"/>
    <x v="0"/>
    <x v="140"/>
    <x v="1"/>
    <x v="1664"/>
    <x v="1"/>
    <x v="4"/>
    <x v="4"/>
    <x v="2"/>
  </r>
  <r>
    <x v="780"/>
    <x v="80"/>
    <x v="2"/>
    <x v="140"/>
    <x v="1"/>
    <x v="363"/>
    <x v="0"/>
    <x v="2"/>
    <x v="3"/>
    <x v="1"/>
  </r>
  <r>
    <x v="781"/>
    <x v="135"/>
    <x v="0"/>
    <x v="140"/>
    <x v="1"/>
    <x v="356"/>
    <x v="0"/>
    <x v="1"/>
    <x v="1"/>
    <x v="2"/>
  </r>
  <r>
    <x v="782"/>
    <x v="200"/>
    <x v="2"/>
    <x v="140"/>
    <x v="1"/>
    <x v="1182"/>
    <x v="1"/>
    <x v="1"/>
    <x v="1"/>
    <x v="3"/>
  </r>
  <r>
    <x v="783"/>
    <x v="201"/>
    <x v="1"/>
    <x v="140"/>
    <x v="1"/>
    <x v="1376"/>
    <x v="1"/>
    <x v="1"/>
    <x v="1"/>
    <x v="1"/>
  </r>
  <r>
    <x v="784"/>
    <x v="201"/>
    <x v="1"/>
    <x v="140"/>
    <x v="1"/>
    <x v="1089"/>
    <x v="1"/>
    <x v="2"/>
    <x v="3"/>
    <x v="3"/>
  </r>
  <r>
    <x v="785"/>
    <x v="46"/>
    <x v="3"/>
    <x v="140"/>
    <x v="1"/>
    <x v="1063"/>
    <x v="1"/>
    <x v="1"/>
    <x v="1"/>
    <x v="2"/>
  </r>
  <r>
    <x v="786"/>
    <x v="80"/>
    <x v="0"/>
    <x v="140"/>
    <x v="1"/>
    <x v="1182"/>
    <x v="1"/>
    <x v="1"/>
    <x v="1"/>
    <x v="2"/>
  </r>
  <r>
    <x v="787"/>
    <x v="200"/>
    <x v="3"/>
    <x v="140"/>
    <x v="1"/>
    <x v="1376"/>
    <x v="1"/>
    <x v="1"/>
    <x v="1"/>
    <x v="3"/>
  </r>
  <r>
    <x v="788"/>
    <x v="201"/>
    <x v="2"/>
    <x v="140"/>
    <x v="1"/>
    <x v="1095"/>
    <x v="1"/>
    <x v="1"/>
    <x v="1"/>
    <x v="1"/>
  </r>
  <r>
    <x v="789"/>
    <x v="46"/>
    <x v="2"/>
    <x v="140"/>
    <x v="1"/>
    <x v="1063"/>
    <x v="1"/>
    <x v="0"/>
    <x v="0"/>
    <x v="1"/>
  </r>
  <r>
    <x v="790"/>
    <x v="46"/>
    <x v="2"/>
    <x v="140"/>
    <x v="1"/>
    <x v="1095"/>
    <x v="1"/>
    <x v="4"/>
    <x v="4"/>
    <x v="3"/>
  </r>
  <r>
    <x v="791"/>
    <x v="33"/>
    <x v="1"/>
    <x v="141"/>
    <x v="11"/>
    <x v="1096"/>
    <x v="1"/>
    <x v="1"/>
    <x v="1"/>
    <x v="3"/>
  </r>
  <r>
    <x v="792"/>
    <x v="85"/>
    <x v="3"/>
    <x v="141"/>
    <x v="11"/>
    <x v="1187"/>
    <x v="1"/>
    <x v="1"/>
    <x v="1"/>
    <x v="1"/>
  </r>
  <r>
    <x v="793"/>
    <x v="139"/>
    <x v="0"/>
    <x v="141"/>
    <x v="11"/>
    <x v="1186"/>
    <x v="1"/>
    <x v="3"/>
    <x v="2"/>
    <x v="3"/>
  </r>
  <r>
    <x v="794"/>
    <x v="28"/>
    <x v="3"/>
    <x v="142"/>
    <x v="11"/>
    <x v="1110"/>
    <x v="1"/>
    <x v="2"/>
    <x v="3"/>
    <x v="3"/>
  </r>
  <r>
    <x v="795"/>
    <x v="7"/>
    <x v="1"/>
    <x v="142"/>
    <x v="11"/>
    <x v="1110"/>
    <x v="1"/>
    <x v="3"/>
    <x v="2"/>
    <x v="2"/>
  </r>
  <r>
    <x v="796"/>
    <x v="7"/>
    <x v="2"/>
    <x v="142"/>
    <x v="11"/>
    <x v="652"/>
    <x v="0"/>
    <x v="2"/>
    <x v="3"/>
    <x v="1"/>
  </r>
  <r>
    <x v="797"/>
    <x v="7"/>
    <x v="3"/>
    <x v="142"/>
    <x v="11"/>
    <x v="786"/>
    <x v="0"/>
    <x v="1"/>
    <x v="1"/>
    <x v="0"/>
  </r>
  <r>
    <x v="798"/>
    <x v="210"/>
    <x v="3"/>
    <x v="143"/>
    <x v="11"/>
    <x v="900"/>
    <x v="0"/>
    <x v="4"/>
    <x v="4"/>
    <x v="3"/>
  </r>
  <r>
    <x v="799"/>
    <x v="7"/>
    <x v="0"/>
    <x v="144"/>
    <x v="11"/>
    <x v="716"/>
    <x v="0"/>
    <x v="0"/>
    <x v="0"/>
    <x v="3"/>
  </r>
  <r>
    <x v="800"/>
    <x v="7"/>
    <x v="0"/>
    <x v="144"/>
    <x v="11"/>
    <x v="193"/>
    <x v="0"/>
    <x v="0"/>
    <x v="0"/>
    <x v="3"/>
  </r>
  <r>
    <x v="801"/>
    <x v="7"/>
    <x v="2"/>
    <x v="144"/>
    <x v="11"/>
    <x v="545"/>
    <x v="0"/>
    <x v="2"/>
    <x v="3"/>
    <x v="3"/>
  </r>
  <r>
    <x v="802"/>
    <x v="136"/>
    <x v="3"/>
    <x v="144"/>
    <x v="11"/>
    <x v="2190"/>
    <x v="1"/>
    <x v="0"/>
    <x v="0"/>
    <x v="3"/>
  </r>
  <r>
    <x v="803"/>
    <x v="263"/>
    <x v="2"/>
    <x v="145"/>
    <x v="11"/>
    <x v="829"/>
    <x v="0"/>
    <x v="0"/>
    <x v="0"/>
    <x v="2"/>
  </r>
  <r>
    <x v="804"/>
    <x v="253"/>
    <x v="0"/>
    <x v="145"/>
    <x v="11"/>
    <x v="875"/>
    <x v="0"/>
    <x v="1"/>
    <x v="1"/>
    <x v="1"/>
  </r>
  <r>
    <x v="805"/>
    <x v="261"/>
    <x v="2"/>
    <x v="145"/>
    <x v="11"/>
    <x v="340"/>
    <x v="0"/>
    <x v="1"/>
    <x v="1"/>
    <x v="1"/>
  </r>
  <r>
    <x v="806"/>
    <x v="263"/>
    <x v="2"/>
    <x v="145"/>
    <x v="11"/>
    <x v="27"/>
    <x v="0"/>
    <x v="2"/>
    <x v="3"/>
    <x v="3"/>
  </r>
  <r>
    <x v="807"/>
    <x v="253"/>
    <x v="1"/>
    <x v="145"/>
    <x v="11"/>
    <x v="756"/>
    <x v="0"/>
    <x v="1"/>
    <x v="1"/>
    <x v="3"/>
  </r>
  <r>
    <x v="808"/>
    <x v="260"/>
    <x v="1"/>
    <x v="145"/>
    <x v="11"/>
    <x v="475"/>
    <x v="0"/>
    <x v="1"/>
    <x v="1"/>
    <x v="3"/>
  </r>
  <r>
    <x v="809"/>
    <x v="261"/>
    <x v="0"/>
    <x v="145"/>
    <x v="11"/>
    <x v="839"/>
    <x v="0"/>
    <x v="1"/>
    <x v="1"/>
    <x v="1"/>
  </r>
  <r>
    <x v="810"/>
    <x v="260"/>
    <x v="1"/>
    <x v="145"/>
    <x v="11"/>
    <x v="378"/>
    <x v="0"/>
    <x v="1"/>
    <x v="1"/>
    <x v="2"/>
  </r>
  <r>
    <x v="811"/>
    <x v="135"/>
    <x v="0"/>
    <x v="146"/>
    <x v="11"/>
    <x v="555"/>
    <x v="0"/>
    <x v="1"/>
    <x v="1"/>
    <x v="3"/>
  </r>
  <r>
    <x v="812"/>
    <x v="7"/>
    <x v="2"/>
    <x v="147"/>
    <x v="11"/>
    <x v="1886"/>
    <x v="1"/>
    <x v="4"/>
    <x v="4"/>
    <x v="0"/>
  </r>
  <r>
    <x v="813"/>
    <x v="7"/>
    <x v="1"/>
    <x v="147"/>
    <x v="11"/>
    <x v="2035"/>
    <x v="1"/>
    <x v="1"/>
    <x v="1"/>
    <x v="1"/>
  </r>
  <r>
    <x v="814"/>
    <x v="26"/>
    <x v="2"/>
    <x v="147"/>
    <x v="11"/>
    <x v="2170"/>
    <x v="1"/>
    <x v="2"/>
    <x v="3"/>
    <x v="1"/>
  </r>
  <r>
    <x v="815"/>
    <x v="26"/>
    <x v="3"/>
    <x v="148"/>
    <x v="11"/>
    <x v="7"/>
    <x v="0"/>
    <x v="1"/>
    <x v="1"/>
    <x v="1"/>
  </r>
  <r>
    <x v="816"/>
    <x v="208"/>
    <x v="2"/>
    <x v="149"/>
    <x v="11"/>
    <x v="1510"/>
    <x v="1"/>
    <x v="4"/>
    <x v="4"/>
    <x v="3"/>
  </r>
  <r>
    <x v="817"/>
    <x v="135"/>
    <x v="2"/>
    <x v="149"/>
    <x v="11"/>
    <x v="1763"/>
    <x v="1"/>
    <x v="1"/>
    <x v="1"/>
    <x v="2"/>
  </r>
  <r>
    <x v="818"/>
    <x v="208"/>
    <x v="1"/>
    <x v="149"/>
    <x v="11"/>
    <x v="1787"/>
    <x v="1"/>
    <x v="4"/>
    <x v="4"/>
    <x v="0"/>
  </r>
  <r>
    <x v="819"/>
    <x v="208"/>
    <x v="1"/>
    <x v="149"/>
    <x v="11"/>
    <x v="1533"/>
    <x v="1"/>
    <x v="1"/>
    <x v="1"/>
    <x v="3"/>
  </r>
  <r>
    <x v="820"/>
    <x v="208"/>
    <x v="0"/>
    <x v="149"/>
    <x v="11"/>
    <x v="1501"/>
    <x v="1"/>
    <x v="2"/>
    <x v="3"/>
    <x v="3"/>
  </r>
  <r>
    <x v="821"/>
    <x v="208"/>
    <x v="3"/>
    <x v="149"/>
    <x v="11"/>
    <x v="717"/>
    <x v="0"/>
    <x v="2"/>
    <x v="3"/>
    <x v="3"/>
  </r>
  <r>
    <x v="822"/>
    <x v="85"/>
    <x v="2"/>
    <x v="150"/>
    <x v="11"/>
    <x v="765"/>
    <x v="0"/>
    <x v="4"/>
    <x v="4"/>
    <x v="3"/>
  </r>
  <r>
    <x v="823"/>
    <x v="7"/>
    <x v="0"/>
    <x v="150"/>
    <x v="11"/>
    <x v="928"/>
    <x v="0"/>
    <x v="1"/>
    <x v="1"/>
    <x v="2"/>
  </r>
  <r>
    <x v="824"/>
    <x v="106"/>
    <x v="1"/>
    <x v="151"/>
    <x v="11"/>
    <x v="991"/>
    <x v="1"/>
    <x v="2"/>
    <x v="3"/>
    <x v="3"/>
  </r>
  <r>
    <x v="825"/>
    <x v="46"/>
    <x v="2"/>
    <x v="151"/>
    <x v="11"/>
    <x v="2042"/>
    <x v="1"/>
    <x v="1"/>
    <x v="1"/>
    <x v="3"/>
  </r>
  <r>
    <x v="826"/>
    <x v="46"/>
    <x v="0"/>
    <x v="151"/>
    <x v="11"/>
    <x v="513"/>
    <x v="0"/>
    <x v="3"/>
    <x v="2"/>
    <x v="1"/>
  </r>
  <r>
    <x v="827"/>
    <x v="46"/>
    <x v="0"/>
    <x v="151"/>
    <x v="11"/>
    <x v="11"/>
    <x v="0"/>
    <x v="4"/>
    <x v="4"/>
    <x v="3"/>
  </r>
  <r>
    <x v="828"/>
    <x v="46"/>
    <x v="0"/>
    <x v="151"/>
    <x v="11"/>
    <x v="1147"/>
    <x v="1"/>
    <x v="2"/>
    <x v="3"/>
    <x v="1"/>
  </r>
  <r>
    <x v="829"/>
    <x v="46"/>
    <x v="0"/>
    <x v="151"/>
    <x v="11"/>
    <x v="1567"/>
    <x v="1"/>
    <x v="4"/>
    <x v="4"/>
    <x v="1"/>
  </r>
  <r>
    <x v="830"/>
    <x v="46"/>
    <x v="1"/>
    <x v="151"/>
    <x v="11"/>
    <x v="1005"/>
    <x v="1"/>
    <x v="1"/>
    <x v="1"/>
    <x v="3"/>
  </r>
  <r>
    <x v="831"/>
    <x v="46"/>
    <x v="2"/>
    <x v="151"/>
    <x v="11"/>
    <x v="2115"/>
    <x v="1"/>
    <x v="2"/>
    <x v="3"/>
    <x v="3"/>
  </r>
  <r>
    <x v="832"/>
    <x v="46"/>
    <x v="0"/>
    <x v="151"/>
    <x v="11"/>
    <x v="2060"/>
    <x v="1"/>
    <x v="1"/>
    <x v="1"/>
    <x v="3"/>
  </r>
  <r>
    <x v="833"/>
    <x v="5"/>
    <x v="1"/>
    <x v="152"/>
    <x v="11"/>
    <x v="994"/>
    <x v="1"/>
    <x v="2"/>
    <x v="3"/>
    <x v="0"/>
  </r>
  <r>
    <x v="834"/>
    <x v="14"/>
    <x v="2"/>
    <x v="152"/>
    <x v="11"/>
    <x v="1480"/>
    <x v="1"/>
    <x v="1"/>
    <x v="1"/>
    <x v="0"/>
  </r>
  <r>
    <x v="835"/>
    <x v="26"/>
    <x v="3"/>
    <x v="152"/>
    <x v="11"/>
    <x v="1891"/>
    <x v="1"/>
    <x v="4"/>
    <x v="4"/>
    <x v="1"/>
  </r>
  <r>
    <x v="836"/>
    <x v="111"/>
    <x v="1"/>
    <x v="153"/>
    <x v="11"/>
    <x v="2123"/>
    <x v="1"/>
    <x v="1"/>
    <x v="1"/>
    <x v="3"/>
  </r>
  <r>
    <x v="837"/>
    <x v="111"/>
    <x v="3"/>
    <x v="153"/>
    <x v="11"/>
    <x v="1347"/>
    <x v="1"/>
    <x v="4"/>
    <x v="4"/>
    <x v="0"/>
  </r>
  <r>
    <x v="838"/>
    <x v="111"/>
    <x v="3"/>
    <x v="153"/>
    <x v="11"/>
    <x v="1835"/>
    <x v="1"/>
    <x v="4"/>
    <x v="4"/>
    <x v="2"/>
  </r>
  <r>
    <x v="839"/>
    <x v="111"/>
    <x v="2"/>
    <x v="153"/>
    <x v="11"/>
    <x v="1830"/>
    <x v="1"/>
    <x v="1"/>
    <x v="1"/>
    <x v="0"/>
  </r>
  <r>
    <x v="840"/>
    <x v="111"/>
    <x v="2"/>
    <x v="153"/>
    <x v="11"/>
    <x v="1892"/>
    <x v="1"/>
    <x v="2"/>
    <x v="3"/>
    <x v="2"/>
  </r>
  <r>
    <x v="841"/>
    <x v="111"/>
    <x v="1"/>
    <x v="153"/>
    <x v="11"/>
    <x v="2228"/>
    <x v="1"/>
    <x v="2"/>
    <x v="3"/>
    <x v="0"/>
  </r>
  <r>
    <x v="842"/>
    <x v="111"/>
    <x v="0"/>
    <x v="153"/>
    <x v="11"/>
    <x v="1455"/>
    <x v="1"/>
    <x v="0"/>
    <x v="0"/>
    <x v="2"/>
  </r>
  <r>
    <x v="843"/>
    <x v="111"/>
    <x v="1"/>
    <x v="153"/>
    <x v="11"/>
    <x v="1848"/>
    <x v="1"/>
    <x v="2"/>
    <x v="3"/>
    <x v="3"/>
  </r>
  <r>
    <x v="844"/>
    <x v="111"/>
    <x v="3"/>
    <x v="153"/>
    <x v="11"/>
    <x v="1873"/>
    <x v="1"/>
    <x v="4"/>
    <x v="4"/>
    <x v="3"/>
  </r>
  <r>
    <x v="845"/>
    <x v="26"/>
    <x v="0"/>
    <x v="154"/>
    <x v="11"/>
    <x v="1881"/>
    <x v="1"/>
    <x v="2"/>
    <x v="3"/>
    <x v="3"/>
  </r>
  <r>
    <x v="846"/>
    <x v="139"/>
    <x v="0"/>
    <x v="154"/>
    <x v="11"/>
    <x v="1884"/>
    <x v="1"/>
    <x v="1"/>
    <x v="1"/>
    <x v="3"/>
  </r>
  <r>
    <x v="847"/>
    <x v="254"/>
    <x v="3"/>
    <x v="155"/>
    <x v="11"/>
    <x v="2105"/>
    <x v="1"/>
    <x v="4"/>
    <x v="4"/>
    <x v="3"/>
  </r>
  <r>
    <x v="848"/>
    <x v="254"/>
    <x v="2"/>
    <x v="155"/>
    <x v="11"/>
    <x v="75"/>
    <x v="0"/>
    <x v="2"/>
    <x v="3"/>
    <x v="3"/>
  </r>
  <r>
    <x v="849"/>
    <x v="252"/>
    <x v="0"/>
    <x v="155"/>
    <x v="11"/>
    <x v="1004"/>
    <x v="1"/>
    <x v="1"/>
    <x v="1"/>
    <x v="1"/>
  </r>
  <r>
    <x v="850"/>
    <x v="253"/>
    <x v="2"/>
    <x v="155"/>
    <x v="11"/>
    <x v="1165"/>
    <x v="1"/>
    <x v="2"/>
    <x v="3"/>
    <x v="3"/>
  </r>
  <r>
    <x v="851"/>
    <x v="261"/>
    <x v="2"/>
    <x v="155"/>
    <x v="11"/>
    <x v="2277"/>
    <x v="1"/>
    <x v="1"/>
    <x v="1"/>
    <x v="3"/>
  </r>
  <r>
    <x v="852"/>
    <x v="263"/>
    <x v="2"/>
    <x v="155"/>
    <x v="11"/>
    <x v="1474"/>
    <x v="1"/>
    <x v="1"/>
    <x v="1"/>
    <x v="1"/>
  </r>
  <r>
    <x v="853"/>
    <x v="263"/>
    <x v="3"/>
    <x v="155"/>
    <x v="11"/>
    <x v="1831"/>
    <x v="1"/>
    <x v="2"/>
    <x v="3"/>
    <x v="0"/>
  </r>
  <r>
    <x v="854"/>
    <x v="135"/>
    <x v="1"/>
    <x v="155"/>
    <x v="11"/>
    <x v="1445"/>
    <x v="1"/>
    <x v="1"/>
    <x v="1"/>
    <x v="3"/>
  </r>
  <r>
    <x v="855"/>
    <x v="252"/>
    <x v="0"/>
    <x v="155"/>
    <x v="11"/>
    <x v="1852"/>
    <x v="1"/>
    <x v="4"/>
    <x v="4"/>
    <x v="3"/>
  </r>
  <r>
    <x v="856"/>
    <x v="253"/>
    <x v="2"/>
    <x v="155"/>
    <x v="11"/>
    <x v="1417"/>
    <x v="1"/>
    <x v="2"/>
    <x v="3"/>
    <x v="3"/>
  </r>
  <r>
    <x v="857"/>
    <x v="261"/>
    <x v="1"/>
    <x v="155"/>
    <x v="11"/>
    <x v="1858"/>
    <x v="1"/>
    <x v="1"/>
    <x v="1"/>
    <x v="1"/>
  </r>
  <r>
    <x v="858"/>
    <x v="260"/>
    <x v="2"/>
    <x v="155"/>
    <x v="11"/>
    <x v="485"/>
    <x v="0"/>
    <x v="3"/>
    <x v="2"/>
    <x v="1"/>
  </r>
  <r>
    <x v="859"/>
    <x v="260"/>
    <x v="1"/>
    <x v="155"/>
    <x v="11"/>
    <x v="690"/>
    <x v="0"/>
    <x v="2"/>
    <x v="3"/>
    <x v="2"/>
  </r>
  <r>
    <x v="860"/>
    <x v="237"/>
    <x v="3"/>
    <x v="156"/>
    <x v="11"/>
    <x v="1197"/>
    <x v="1"/>
    <x v="2"/>
    <x v="3"/>
    <x v="3"/>
  </r>
  <r>
    <x v="861"/>
    <x v="7"/>
    <x v="1"/>
    <x v="156"/>
    <x v="11"/>
    <x v="139"/>
    <x v="0"/>
    <x v="2"/>
    <x v="3"/>
    <x v="3"/>
  </r>
  <r>
    <x v="862"/>
    <x v="19"/>
    <x v="1"/>
    <x v="156"/>
    <x v="11"/>
    <x v="784"/>
    <x v="0"/>
    <x v="4"/>
    <x v="4"/>
    <x v="3"/>
  </r>
  <r>
    <x v="863"/>
    <x v="7"/>
    <x v="3"/>
    <x v="156"/>
    <x v="11"/>
    <x v="1056"/>
    <x v="1"/>
    <x v="2"/>
    <x v="3"/>
    <x v="3"/>
  </r>
  <r>
    <x v="864"/>
    <x v="18"/>
    <x v="2"/>
    <x v="157"/>
    <x v="11"/>
    <x v="2081"/>
    <x v="1"/>
    <x v="3"/>
    <x v="2"/>
    <x v="0"/>
  </r>
  <r>
    <x v="865"/>
    <x v="18"/>
    <x v="2"/>
    <x v="157"/>
    <x v="11"/>
    <x v="328"/>
    <x v="0"/>
    <x v="2"/>
    <x v="3"/>
    <x v="1"/>
  </r>
  <r>
    <x v="866"/>
    <x v="225"/>
    <x v="0"/>
    <x v="157"/>
    <x v="11"/>
    <x v="2101"/>
    <x v="1"/>
    <x v="2"/>
    <x v="3"/>
    <x v="1"/>
  </r>
  <r>
    <x v="867"/>
    <x v="225"/>
    <x v="0"/>
    <x v="157"/>
    <x v="11"/>
    <x v="442"/>
    <x v="0"/>
    <x v="2"/>
    <x v="3"/>
    <x v="3"/>
  </r>
  <r>
    <x v="868"/>
    <x v="225"/>
    <x v="1"/>
    <x v="157"/>
    <x v="11"/>
    <x v="527"/>
    <x v="0"/>
    <x v="0"/>
    <x v="0"/>
    <x v="1"/>
  </r>
  <r>
    <x v="869"/>
    <x v="76"/>
    <x v="2"/>
    <x v="158"/>
    <x v="11"/>
    <x v="278"/>
    <x v="0"/>
    <x v="4"/>
    <x v="4"/>
    <x v="1"/>
  </r>
  <r>
    <x v="870"/>
    <x v="234"/>
    <x v="2"/>
    <x v="158"/>
    <x v="11"/>
    <x v="2135"/>
    <x v="1"/>
    <x v="1"/>
    <x v="1"/>
    <x v="1"/>
  </r>
  <r>
    <x v="871"/>
    <x v="144"/>
    <x v="2"/>
    <x v="159"/>
    <x v="11"/>
    <x v="1149"/>
    <x v="1"/>
    <x v="2"/>
    <x v="3"/>
    <x v="1"/>
  </r>
  <r>
    <x v="872"/>
    <x v="144"/>
    <x v="3"/>
    <x v="159"/>
    <x v="11"/>
    <x v="1149"/>
    <x v="1"/>
    <x v="4"/>
    <x v="4"/>
    <x v="3"/>
  </r>
  <r>
    <x v="873"/>
    <x v="144"/>
    <x v="0"/>
    <x v="159"/>
    <x v="11"/>
    <x v="1042"/>
    <x v="1"/>
    <x v="2"/>
    <x v="3"/>
    <x v="3"/>
  </r>
  <r>
    <x v="874"/>
    <x v="144"/>
    <x v="3"/>
    <x v="159"/>
    <x v="11"/>
    <x v="1149"/>
    <x v="1"/>
    <x v="1"/>
    <x v="1"/>
    <x v="3"/>
  </r>
  <r>
    <x v="875"/>
    <x v="144"/>
    <x v="2"/>
    <x v="159"/>
    <x v="11"/>
    <x v="1060"/>
    <x v="1"/>
    <x v="1"/>
    <x v="1"/>
    <x v="1"/>
  </r>
  <r>
    <x v="876"/>
    <x v="144"/>
    <x v="1"/>
    <x v="159"/>
    <x v="11"/>
    <x v="1160"/>
    <x v="1"/>
    <x v="1"/>
    <x v="1"/>
    <x v="0"/>
  </r>
  <r>
    <x v="877"/>
    <x v="144"/>
    <x v="3"/>
    <x v="159"/>
    <x v="11"/>
    <x v="2260"/>
    <x v="1"/>
    <x v="0"/>
    <x v="0"/>
    <x v="0"/>
  </r>
  <r>
    <x v="878"/>
    <x v="144"/>
    <x v="1"/>
    <x v="159"/>
    <x v="11"/>
    <x v="1042"/>
    <x v="1"/>
    <x v="2"/>
    <x v="3"/>
    <x v="1"/>
  </r>
  <r>
    <x v="879"/>
    <x v="144"/>
    <x v="2"/>
    <x v="159"/>
    <x v="11"/>
    <x v="1149"/>
    <x v="1"/>
    <x v="1"/>
    <x v="1"/>
    <x v="1"/>
  </r>
  <r>
    <x v="880"/>
    <x v="144"/>
    <x v="1"/>
    <x v="159"/>
    <x v="11"/>
    <x v="1060"/>
    <x v="1"/>
    <x v="3"/>
    <x v="2"/>
    <x v="0"/>
  </r>
  <r>
    <x v="881"/>
    <x v="144"/>
    <x v="0"/>
    <x v="159"/>
    <x v="11"/>
    <x v="1160"/>
    <x v="1"/>
    <x v="1"/>
    <x v="1"/>
    <x v="3"/>
  </r>
  <r>
    <x v="882"/>
    <x v="80"/>
    <x v="0"/>
    <x v="160"/>
    <x v="11"/>
    <x v="858"/>
    <x v="0"/>
    <x v="2"/>
    <x v="3"/>
    <x v="3"/>
  </r>
  <r>
    <x v="883"/>
    <x v="80"/>
    <x v="0"/>
    <x v="160"/>
    <x v="11"/>
    <x v="953"/>
    <x v="0"/>
    <x v="2"/>
    <x v="3"/>
    <x v="3"/>
  </r>
  <r>
    <x v="884"/>
    <x v="135"/>
    <x v="0"/>
    <x v="160"/>
    <x v="11"/>
    <x v="942"/>
    <x v="0"/>
    <x v="0"/>
    <x v="0"/>
    <x v="3"/>
  </r>
  <r>
    <x v="885"/>
    <x v="80"/>
    <x v="3"/>
    <x v="160"/>
    <x v="11"/>
    <x v="1051"/>
    <x v="1"/>
    <x v="1"/>
    <x v="1"/>
    <x v="3"/>
  </r>
  <r>
    <x v="886"/>
    <x v="72"/>
    <x v="3"/>
    <x v="161"/>
    <x v="11"/>
    <x v="1203"/>
    <x v="1"/>
    <x v="4"/>
    <x v="4"/>
    <x v="0"/>
  </r>
  <r>
    <x v="887"/>
    <x v="34"/>
    <x v="1"/>
    <x v="161"/>
    <x v="11"/>
    <x v="1133"/>
    <x v="1"/>
    <x v="2"/>
    <x v="3"/>
    <x v="2"/>
  </r>
  <r>
    <x v="888"/>
    <x v="46"/>
    <x v="3"/>
    <x v="161"/>
    <x v="11"/>
    <x v="1965"/>
    <x v="1"/>
    <x v="1"/>
    <x v="1"/>
    <x v="0"/>
  </r>
  <r>
    <x v="889"/>
    <x v="46"/>
    <x v="3"/>
    <x v="161"/>
    <x v="11"/>
    <x v="1051"/>
    <x v="1"/>
    <x v="1"/>
    <x v="1"/>
    <x v="0"/>
  </r>
  <r>
    <x v="890"/>
    <x v="50"/>
    <x v="1"/>
    <x v="161"/>
    <x v="11"/>
    <x v="1203"/>
    <x v="1"/>
    <x v="0"/>
    <x v="0"/>
    <x v="3"/>
  </r>
  <r>
    <x v="891"/>
    <x v="34"/>
    <x v="1"/>
    <x v="161"/>
    <x v="11"/>
    <x v="1133"/>
    <x v="1"/>
    <x v="1"/>
    <x v="1"/>
    <x v="3"/>
  </r>
  <r>
    <x v="892"/>
    <x v="46"/>
    <x v="1"/>
    <x v="161"/>
    <x v="11"/>
    <x v="1954"/>
    <x v="1"/>
    <x v="1"/>
    <x v="1"/>
    <x v="1"/>
  </r>
  <r>
    <x v="893"/>
    <x v="46"/>
    <x v="1"/>
    <x v="161"/>
    <x v="11"/>
    <x v="1971"/>
    <x v="1"/>
    <x v="1"/>
    <x v="1"/>
    <x v="3"/>
  </r>
  <r>
    <x v="894"/>
    <x v="72"/>
    <x v="2"/>
    <x v="161"/>
    <x v="11"/>
    <x v="1576"/>
    <x v="1"/>
    <x v="1"/>
    <x v="1"/>
    <x v="1"/>
  </r>
  <r>
    <x v="895"/>
    <x v="175"/>
    <x v="0"/>
    <x v="161"/>
    <x v="11"/>
    <x v="1594"/>
    <x v="1"/>
    <x v="1"/>
    <x v="1"/>
    <x v="1"/>
  </r>
  <r>
    <x v="896"/>
    <x v="34"/>
    <x v="2"/>
    <x v="161"/>
    <x v="11"/>
    <x v="1613"/>
    <x v="1"/>
    <x v="1"/>
    <x v="1"/>
    <x v="0"/>
  </r>
  <r>
    <x v="897"/>
    <x v="46"/>
    <x v="2"/>
    <x v="161"/>
    <x v="11"/>
    <x v="1661"/>
    <x v="1"/>
    <x v="1"/>
    <x v="1"/>
    <x v="3"/>
  </r>
  <r>
    <x v="898"/>
    <x v="46"/>
    <x v="3"/>
    <x v="161"/>
    <x v="11"/>
    <x v="400"/>
    <x v="0"/>
    <x v="1"/>
    <x v="1"/>
    <x v="1"/>
  </r>
  <r>
    <x v="899"/>
    <x v="72"/>
    <x v="0"/>
    <x v="161"/>
    <x v="11"/>
    <x v="771"/>
    <x v="0"/>
    <x v="4"/>
    <x v="4"/>
    <x v="0"/>
  </r>
  <r>
    <x v="900"/>
    <x v="80"/>
    <x v="3"/>
    <x v="161"/>
    <x v="11"/>
    <x v="2270"/>
    <x v="1"/>
    <x v="1"/>
    <x v="1"/>
    <x v="1"/>
  </r>
  <r>
    <x v="901"/>
    <x v="136"/>
    <x v="3"/>
    <x v="161"/>
    <x v="11"/>
    <x v="1249"/>
    <x v="1"/>
    <x v="1"/>
    <x v="1"/>
    <x v="3"/>
  </r>
  <r>
    <x v="902"/>
    <x v="195"/>
    <x v="3"/>
    <x v="161"/>
    <x v="11"/>
    <x v="1226"/>
    <x v="1"/>
    <x v="1"/>
    <x v="1"/>
    <x v="1"/>
  </r>
  <r>
    <x v="903"/>
    <x v="175"/>
    <x v="2"/>
    <x v="161"/>
    <x v="11"/>
    <x v="1235"/>
    <x v="1"/>
    <x v="2"/>
    <x v="3"/>
    <x v="3"/>
  </r>
  <r>
    <x v="904"/>
    <x v="34"/>
    <x v="1"/>
    <x v="161"/>
    <x v="11"/>
    <x v="1273"/>
    <x v="1"/>
    <x v="0"/>
    <x v="0"/>
    <x v="1"/>
  </r>
  <r>
    <x v="905"/>
    <x v="175"/>
    <x v="2"/>
    <x v="161"/>
    <x v="11"/>
    <x v="1256"/>
    <x v="1"/>
    <x v="2"/>
    <x v="3"/>
    <x v="2"/>
  </r>
  <r>
    <x v="906"/>
    <x v="195"/>
    <x v="3"/>
    <x v="161"/>
    <x v="11"/>
    <x v="1216"/>
    <x v="1"/>
    <x v="1"/>
    <x v="1"/>
    <x v="3"/>
  </r>
  <r>
    <x v="907"/>
    <x v="46"/>
    <x v="1"/>
    <x v="161"/>
    <x v="11"/>
    <x v="1236"/>
    <x v="1"/>
    <x v="1"/>
    <x v="1"/>
    <x v="2"/>
  </r>
  <r>
    <x v="908"/>
    <x v="46"/>
    <x v="2"/>
    <x v="161"/>
    <x v="11"/>
    <x v="565"/>
    <x v="0"/>
    <x v="4"/>
    <x v="4"/>
    <x v="2"/>
  </r>
  <r>
    <x v="909"/>
    <x v="80"/>
    <x v="1"/>
    <x v="161"/>
    <x v="11"/>
    <x v="538"/>
    <x v="0"/>
    <x v="2"/>
    <x v="3"/>
    <x v="0"/>
  </r>
  <r>
    <x v="910"/>
    <x v="135"/>
    <x v="0"/>
    <x v="161"/>
    <x v="11"/>
    <x v="768"/>
    <x v="0"/>
    <x v="2"/>
    <x v="3"/>
    <x v="1"/>
  </r>
  <r>
    <x v="911"/>
    <x v="175"/>
    <x v="3"/>
    <x v="161"/>
    <x v="11"/>
    <x v="921"/>
    <x v="0"/>
    <x v="1"/>
    <x v="1"/>
    <x v="3"/>
  </r>
  <r>
    <x v="912"/>
    <x v="195"/>
    <x v="1"/>
    <x v="161"/>
    <x v="11"/>
    <x v="107"/>
    <x v="0"/>
    <x v="0"/>
    <x v="0"/>
    <x v="1"/>
  </r>
  <r>
    <x v="913"/>
    <x v="80"/>
    <x v="0"/>
    <x v="161"/>
    <x v="11"/>
    <x v="182"/>
    <x v="0"/>
    <x v="1"/>
    <x v="1"/>
    <x v="0"/>
  </r>
  <r>
    <x v="914"/>
    <x v="46"/>
    <x v="1"/>
    <x v="161"/>
    <x v="11"/>
    <x v="1536"/>
    <x v="1"/>
    <x v="1"/>
    <x v="1"/>
    <x v="3"/>
  </r>
  <r>
    <x v="915"/>
    <x v="46"/>
    <x v="1"/>
    <x v="161"/>
    <x v="11"/>
    <x v="2198"/>
    <x v="1"/>
    <x v="3"/>
    <x v="2"/>
    <x v="1"/>
  </r>
  <r>
    <x v="916"/>
    <x v="195"/>
    <x v="0"/>
    <x v="161"/>
    <x v="11"/>
    <x v="1874"/>
    <x v="1"/>
    <x v="1"/>
    <x v="1"/>
    <x v="1"/>
  </r>
  <r>
    <x v="917"/>
    <x v="195"/>
    <x v="2"/>
    <x v="161"/>
    <x v="11"/>
    <x v="110"/>
    <x v="0"/>
    <x v="2"/>
    <x v="3"/>
    <x v="2"/>
  </r>
  <r>
    <x v="918"/>
    <x v="195"/>
    <x v="0"/>
    <x v="161"/>
    <x v="11"/>
    <x v="2003"/>
    <x v="1"/>
    <x v="4"/>
    <x v="4"/>
    <x v="1"/>
  </r>
  <r>
    <x v="919"/>
    <x v="175"/>
    <x v="1"/>
    <x v="161"/>
    <x v="11"/>
    <x v="1552"/>
    <x v="1"/>
    <x v="2"/>
    <x v="3"/>
    <x v="3"/>
  </r>
  <r>
    <x v="920"/>
    <x v="175"/>
    <x v="3"/>
    <x v="161"/>
    <x v="11"/>
    <x v="1577"/>
    <x v="1"/>
    <x v="2"/>
    <x v="3"/>
    <x v="3"/>
  </r>
  <r>
    <x v="921"/>
    <x v="110"/>
    <x v="3"/>
    <x v="161"/>
    <x v="11"/>
    <x v="1562"/>
    <x v="1"/>
    <x v="4"/>
    <x v="4"/>
    <x v="0"/>
  </r>
  <r>
    <x v="922"/>
    <x v="7"/>
    <x v="1"/>
    <x v="162"/>
    <x v="10"/>
    <x v="364"/>
    <x v="0"/>
    <x v="2"/>
    <x v="3"/>
    <x v="3"/>
  </r>
  <r>
    <x v="923"/>
    <x v="7"/>
    <x v="3"/>
    <x v="162"/>
    <x v="10"/>
    <x v="371"/>
    <x v="0"/>
    <x v="2"/>
    <x v="3"/>
    <x v="1"/>
  </r>
  <r>
    <x v="924"/>
    <x v="7"/>
    <x v="0"/>
    <x v="162"/>
    <x v="10"/>
    <x v="990"/>
    <x v="0"/>
    <x v="3"/>
    <x v="2"/>
    <x v="1"/>
  </r>
  <r>
    <x v="925"/>
    <x v="47"/>
    <x v="3"/>
    <x v="163"/>
    <x v="10"/>
    <x v="524"/>
    <x v="0"/>
    <x v="2"/>
    <x v="3"/>
    <x v="3"/>
  </r>
  <r>
    <x v="926"/>
    <x v="47"/>
    <x v="3"/>
    <x v="163"/>
    <x v="10"/>
    <x v="842"/>
    <x v="0"/>
    <x v="2"/>
    <x v="3"/>
    <x v="1"/>
  </r>
  <r>
    <x v="927"/>
    <x v="135"/>
    <x v="1"/>
    <x v="163"/>
    <x v="10"/>
    <x v="452"/>
    <x v="0"/>
    <x v="1"/>
    <x v="1"/>
    <x v="3"/>
  </r>
  <r>
    <x v="928"/>
    <x v="237"/>
    <x v="0"/>
    <x v="164"/>
    <x v="10"/>
    <x v="833"/>
    <x v="0"/>
    <x v="1"/>
    <x v="1"/>
    <x v="0"/>
  </r>
  <r>
    <x v="929"/>
    <x v="208"/>
    <x v="2"/>
    <x v="165"/>
    <x v="10"/>
    <x v="835"/>
    <x v="0"/>
    <x v="4"/>
    <x v="4"/>
    <x v="3"/>
  </r>
  <r>
    <x v="930"/>
    <x v="20"/>
    <x v="3"/>
    <x v="165"/>
    <x v="10"/>
    <x v="780"/>
    <x v="0"/>
    <x v="3"/>
    <x v="2"/>
    <x v="3"/>
  </r>
  <r>
    <x v="931"/>
    <x v="7"/>
    <x v="3"/>
    <x v="165"/>
    <x v="10"/>
    <x v="868"/>
    <x v="0"/>
    <x v="1"/>
    <x v="1"/>
    <x v="2"/>
  </r>
  <r>
    <x v="932"/>
    <x v="29"/>
    <x v="0"/>
    <x v="165"/>
    <x v="10"/>
    <x v="821"/>
    <x v="0"/>
    <x v="0"/>
    <x v="0"/>
    <x v="1"/>
  </r>
  <r>
    <x v="933"/>
    <x v="18"/>
    <x v="0"/>
    <x v="165"/>
    <x v="10"/>
    <x v="820"/>
    <x v="0"/>
    <x v="4"/>
    <x v="4"/>
    <x v="3"/>
  </r>
  <r>
    <x v="934"/>
    <x v="29"/>
    <x v="2"/>
    <x v="165"/>
    <x v="10"/>
    <x v="2262"/>
    <x v="1"/>
    <x v="1"/>
    <x v="1"/>
    <x v="3"/>
  </r>
  <r>
    <x v="935"/>
    <x v="7"/>
    <x v="1"/>
    <x v="166"/>
    <x v="10"/>
    <x v="1986"/>
    <x v="1"/>
    <x v="1"/>
    <x v="1"/>
    <x v="1"/>
  </r>
  <r>
    <x v="936"/>
    <x v="7"/>
    <x v="1"/>
    <x v="166"/>
    <x v="10"/>
    <x v="2021"/>
    <x v="1"/>
    <x v="1"/>
    <x v="1"/>
    <x v="1"/>
  </r>
  <r>
    <x v="937"/>
    <x v="10"/>
    <x v="0"/>
    <x v="167"/>
    <x v="10"/>
    <x v="1250"/>
    <x v="1"/>
    <x v="2"/>
    <x v="3"/>
    <x v="1"/>
  </r>
  <r>
    <x v="938"/>
    <x v="27"/>
    <x v="1"/>
    <x v="168"/>
    <x v="10"/>
    <x v="1250"/>
    <x v="1"/>
    <x v="2"/>
    <x v="3"/>
    <x v="3"/>
  </r>
  <r>
    <x v="939"/>
    <x v="263"/>
    <x v="0"/>
    <x v="169"/>
    <x v="10"/>
    <x v="1250"/>
    <x v="1"/>
    <x v="1"/>
    <x v="1"/>
    <x v="2"/>
  </r>
  <r>
    <x v="940"/>
    <x v="263"/>
    <x v="3"/>
    <x v="169"/>
    <x v="10"/>
    <x v="1250"/>
    <x v="1"/>
    <x v="2"/>
    <x v="3"/>
    <x v="1"/>
  </r>
  <r>
    <x v="941"/>
    <x v="135"/>
    <x v="2"/>
    <x v="169"/>
    <x v="10"/>
    <x v="1250"/>
    <x v="1"/>
    <x v="1"/>
    <x v="1"/>
    <x v="0"/>
  </r>
  <r>
    <x v="942"/>
    <x v="7"/>
    <x v="3"/>
    <x v="170"/>
    <x v="10"/>
    <x v="981"/>
    <x v="0"/>
    <x v="4"/>
    <x v="4"/>
    <x v="3"/>
  </r>
  <r>
    <x v="943"/>
    <x v="135"/>
    <x v="3"/>
    <x v="170"/>
    <x v="10"/>
    <x v="1974"/>
    <x v="1"/>
    <x v="1"/>
    <x v="1"/>
    <x v="3"/>
  </r>
  <r>
    <x v="944"/>
    <x v="139"/>
    <x v="0"/>
    <x v="171"/>
    <x v="10"/>
    <x v="1275"/>
    <x v="1"/>
    <x v="2"/>
    <x v="3"/>
    <x v="3"/>
  </r>
  <r>
    <x v="945"/>
    <x v="241"/>
    <x v="0"/>
    <x v="171"/>
    <x v="10"/>
    <x v="1275"/>
    <x v="1"/>
    <x v="2"/>
    <x v="3"/>
    <x v="3"/>
  </r>
  <r>
    <x v="946"/>
    <x v="33"/>
    <x v="0"/>
    <x v="172"/>
    <x v="10"/>
    <x v="1275"/>
    <x v="1"/>
    <x v="2"/>
    <x v="3"/>
    <x v="1"/>
  </r>
  <r>
    <x v="947"/>
    <x v="106"/>
    <x v="0"/>
    <x v="172"/>
    <x v="10"/>
    <x v="822"/>
    <x v="0"/>
    <x v="1"/>
    <x v="1"/>
    <x v="2"/>
  </r>
  <r>
    <x v="948"/>
    <x v="21"/>
    <x v="0"/>
    <x v="172"/>
    <x v="10"/>
    <x v="2016"/>
    <x v="1"/>
    <x v="3"/>
    <x v="2"/>
    <x v="1"/>
  </r>
  <r>
    <x v="949"/>
    <x v="21"/>
    <x v="3"/>
    <x v="172"/>
    <x v="10"/>
    <x v="243"/>
    <x v="0"/>
    <x v="2"/>
    <x v="3"/>
    <x v="1"/>
  </r>
  <r>
    <x v="950"/>
    <x v="50"/>
    <x v="3"/>
    <x v="172"/>
    <x v="10"/>
    <x v="1688"/>
    <x v="1"/>
    <x v="2"/>
    <x v="3"/>
    <x v="1"/>
  </r>
  <r>
    <x v="951"/>
    <x v="252"/>
    <x v="1"/>
    <x v="172"/>
    <x v="10"/>
    <x v="1667"/>
    <x v="1"/>
    <x v="1"/>
    <x v="1"/>
    <x v="3"/>
  </r>
  <r>
    <x v="952"/>
    <x v="254"/>
    <x v="2"/>
    <x v="172"/>
    <x v="10"/>
    <x v="1707"/>
    <x v="1"/>
    <x v="1"/>
    <x v="1"/>
    <x v="3"/>
  </r>
  <r>
    <x v="953"/>
    <x v="252"/>
    <x v="0"/>
    <x v="172"/>
    <x v="10"/>
    <x v="1956"/>
    <x v="1"/>
    <x v="2"/>
    <x v="3"/>
    <x v="0"/>
  </r>
  <r>
    <x v="954"/>
    <x v="254"/>
    <x v="2"/>
    <x v="172"/>
    <x v="10"/>
    <x v="2010"/>
    <x v="1"/>
    <x v="4"/>
    <x v="4"/>
    <x v="3"/>
  </r>
  <r>
    <x v="955"/>
    <x v="260"/>
    <x v="1"/>
    <x v="172"/>
    <x v="10"/>
    <x v="2000"/>
    <x v="1"/>
    <x v="1"/>
    <x v="1"/>
    <x v="0"/>
  </r>
  <r>
    <x v="956"/>
    <x v="27"/>
    <x v="2"/>
    <x v="172"/>
    <x v="10"/>
    <x v="635"/>
    <x v="0"/>
    <x v="3"/>
    <x v="2"/>
    <x v="3"/>
  </r>
  <r>
    <x v="957"/>
    <x v="27"/>
    <x v="2"/>
    <x v="172"/>
    <x v="10"/>
    <x v="141"/>
    <x v="0"/>
    <x v="2"/>
    <x v="3"/>
    <x v="2"/>
  </r>
  <r>
    <x v="958"/>
    <x v="260"/>
    <x v="2"/>
    <x v="172"/>
    <x v="10"/>
    <x v="201"/>
    <x v="0"/>
    <x v="0"/>
    <x v="0"/>
    <x v="3"/>
  </r>
  <r>
    <x v="959"/>
    <x v="139"/>
    <x v="2"/>
    <x v="173"/>
    <x v="10"/>
    <x v="657"/>
    <x v="0"/>
    <x v="1"/>
    <x v="1"/>
    <x v="1"/>
  </r>
  <r>
    <x v="960"/>
    <x v="5"/>
    <x v="1"/>
    <x v="174"/>
    <x v="10"/>
    <x v="707"/>
    <x v="0"/>
    <x v="1"/>
    <x v="1"/>
    <x v="3"/>
  </r>
  <r>
    <x v="961"/>
    <x v="5"/>
    <x v="1"/>
    <x v="174"/>
    <x v="10"/>
    <x v="982"/>
    <x v="0"/>
    <x v="1"/>
    <x v="1"/>
    <x v="1"/>
  </r>
  <r>
    <x v="962"/>
    <x v="5"/>
    <x v="0"/>
    <x v="174"/>
    <x v="10"/>
    <x v="230"/>
    <x v="0"/>
    <x v="3"/>
    <x v="2"/>
    <x v="3"/>
  </r>
  <r>
    <x v="963"/>
    <x v="139"/>
    <x v="2"/>
    <x v="174"/>
    <x v="10"/>
    <x v="335"/>
    <x v="0"/>
    <x v="4"/>
    <x v="4"/>
    <x v="3"/>
  </r>
  <r>
    <x v="964"/>
    <x v="139"/>
    <x v="2"/>
    <x v="174"/>
    <x v="10"/>
    <x v="910"/>
    <x v="0"/>
    <x v="1"/>
    <x v="1"/>
    <x v="3"/>
  </r>
  <r>
    <x v="965"/>
    <x v="135"/>
    <x v="0"/>
    <x v="174"/>
    <x v="10"/>
    <x v="390"/>
    <x v="0"/>
    <x v="3"/>
    <x v="2"/>
    <x v="3"/>
  </r>
  <r>
    <x v="966"/>
    <x v="136"/>
    <x v="3"/>
    <x v="175"/>
    <x v="10"/>
    <x v="697"/>
    <x v="0"/>
    <x v="0"/>
    <x v="0"/>
    <x v="1"/>
  </r>
  <r>
    <x v="967"/>
    <x v="28"/>
    <x v="1"/>
    <x v="176"/>
    <x v="10"/>
    <x v="702"/>
    <x v="0"/>
    <x v="2"/>
    <x v="3"/>
    <x v="1"/>
  </r>
  <r>
    <x v="968"/>
    <x v="261"/>
    <x v="1"/>
    <x v="177"/>
    <x v="10"/>
    <x v="1564"/>
    <x v="1"/>
    <x v="1"/>
    <x v="1"/>
    <x v="3"/>
  </r>
  <r>
    <x v="969"/>
    <x v="263"/>
    <x v="1"/>
    <x v="177"/>
    <x v="10"/>
    <x v="1505"/>
    <x v="1"/>
    <x v="3"/>
    <x v="2"/>
    <x v="1"/>
  </r>
  <r>
    <x v="970"/>
    <x v="252"/>
    <x v="1"/>
    <x v="177"/>
    <x v="10"/>
    <x v="1549"/>
    <x v="1"/>
    <x v="1"/>
    <x v="1"/>
    <x v="3"/>
  </r>
  <r>
    <x v="971"/>
    <x v="253"/>
    <x v="1"/>
    <x v="177"/>
    <x v="10"/>
    <x v="1553"/>
    <x v="1"/>
    <x v="1"/>
    <x v="1"/>
    <x v="1"/>
  </r>
  <r>
    <x v="972"/>
    <x v="254"/>
    <x v="1"/>
    <x v="177"/>
    <x v="10"/>
    <x v="1493"/>
    <x v="1"/>
    <x v="1"/>
    <x v="1"/>
    <x v="3"/>
  </r>
  <r>
    <x v="973"/>
    <x v="254"/>
    <x v="2"/>
    <x v="177"/>
    <x v="10"/>
    <x v="1110"/>
    <x v="1"/>
    <x v="2"/>
    <x v="3"/>
    <x v="2"/>
  </r>
  <r>
    <x v="974"/>
    <x v="263"/>
    <x v="1"/>
    <x v="177"/>
    <x v="10"/>
    <x v="1149"/>
    <x v="1"/>
    <x v="1"/>
    <x v="1"/>
    <x v="0"/>
  </r>
  <r>
    <x v="975"/>
    <x v="135"/>
    <x v="2"/>
    <x v="177"/>
    <x v="10"/>
    <x v="990"/>
    <x v="0"/>
    <x v="2"/>
    <x v="3"/>
    <x v="3"/>
  </r>
  <r>
    <x v="976"/>
    <x v="252"/>
    <x v="1"/>
    <x v="177"/>
    <x v="10"/>
    <x v="990"/>
    <x v="0"/>
    <x v="1"/>
    <x v="1"/>
    <x v="1"/>
  </r>
  <r>
    <x v="977"/>
    <x v="253"/>
    <x v="3"/>
    <x v="177"/>
    <x v="10"/>
    <x v="1110"/>
    <x v="1"/>
    <x v="0"/>
    <x v="0"/>
    <x v="0"/>
  </r>
  <r>
    <x v="978"/>
    <x v="261"/>
    <x v="3"/>
    <x v="177"/>
    <x v="10"/>
    <x v="1149"/>
    <x v="1"/>
    <x v="1"/>
    <x v="1"/>
    <x v="1"/>
  </r>
  <r>
    <x v="979"/>
    <x v="260"/>
    <x v="3"/>
    <x v="177"/>
    <x v="10"/>
    <x v="1129"/>
    <x v="1"/>
    <x v="1"/>
    <x v="1"/>
    <x v="3"/>
  </r>
  <r>
    <x v="980"/>
    <x v="260"/>
    <x v="2"/>
    <x v="177"/>
    <x v="10"/>
    <x v="1116"/>
    <x v="1"/>
    <x v="0"/>
    <x v="0"/>
    <x v="2"/>
  </r>
  <r>
    <x v="981"/>
    <x v="19"/>
    <x v="1"/>
    <x v="178"/>
    <x v="10"/>
    <x v="410"/>
    <x v="0"/>
    <x v="1"/>
    <x v="1"/>
    <x v="3"/>
  </r>
  <r>
    <x v="982"/>
    <x v="23"/>
    <x v="0"/>
    <x v="179"/>
    <x v="10"/>
    <x v="946"/>
    <x v="0"/>
    <x v="4"/>
    <x v="4"/>
    <x v="3"/>
  </r>
  <r>
    <x v="983"/>
    <x v="3"/>
    <x v="3"/>
    <x v="180"/>
    <x v="10"/>
    <x v="494"/>
    <x v="0"/>
    <x v="4"/>
    <x v="4"/>
    <x v="3"/>
  </r>
  <r>
    <x v="984"/>
    <x v="5"/>
    <x v="1"/>
    <x v="180"/>
    <x v="10"/>
    <x v="2004"/>
    <x v="1"/>
    <x v="2"/>
    <x v="3"/>
    <x v="1"/>
  </r>
  <r>
    <x v="985"/>
    <x v="175"/>
    <x v="0"/>
    <x v="181"/>
    <x v="10"/>
    <x v="706"/>
    <x v="0"/>
    <x v="1"/>
    <x v="1"/>
    <x v="3"/>
  </r>
  <r>
    <x v="986"/>
    <x v="175"/>
    <x v="1"/>
    <x v="181"/>
    <x v="10"/>
    <x v="913"/>
    <x v="0"/>
    <x v="1"/>
    <x v="1"/>
    <x v="2"/>
  </r>
  <r>
    <x v="987"/>
    <x v="175"/>
    <x v="3"/>
    <x v="181"/>
    <x v="10"/>
    <x v="920"/>
    <x v="0"/>
    <x v="1"/>
    <x v="1"/>
    <x v="1"/>
  </r>
  <r>
    <x v="988"/>
    <x v="175"/>
    <x v="3"/>
    <x v="181"/>
    <x v="10"/>
    <x v="2092"/>
    <x v="1"/>
    <x v="4"/>
    <x v="4"/>
    <x v="0"/>
  </r>
  <r>
    <x v="989"/>
    <x v="135"/>
    <x v="0"/>
    <x v="181"/>
    <x v="10"/>
    <x v="1062"/>
    <x v="1"/>
    <x v="4"/>
    <x v="4"/>
    <x v="3"/>
  </r>
  <r>
    <x v="990"/>
    <x v="175"/>
    <x v="0"/>
    <x v="181"/>
    <x v="10"/>
    <x v="1051"/>
    <x v="1"/>
    <x v="2"/>
    <x v="3"/>
    <x v="1"/>
  </r>
  <r>
    <x v="991"/>
    <x v="175"/>
    <x v="3"/>
    <x v="181"/>
    <x v="10"/>
    <x v="1143"/>
    <x v="1"/>
    <x v="0"/>
    <x v="0"/>
    <x v="0"/>
  </r>
  <r>
    <x v="992"/>
    <x v="175"/>
    <x v="1"/>
    <x v="181"/>
    <x v="10"/>
    <x v="1062"/>
    <x v="1"/>
    <x v="2"/>
    <x v="3"/>
    <x v="1"/>
  </r>
  <r>
    <x v="993"/>
    <x v="175"/>
    <x v="3"/>
    <x v="181"/>
    <x v="10"/>
    <x v="1051"/>
    <x v="1"/>
    <x v="4"/>
    <x v="4"/>
    <x v="2"/>
  </r>
  <r>
    <x v="994"/>
    <x v="175"/>
    <x v="0"/>
    <x v="181"/>
    <x v="10"/>
    <x v="1143"/>
    <x v="1"/>
    <x v="4"/>
    <x v="4"/>
    <x v="3"/>
  </r>
  <r>
    <x v="995"/>
    <x v="175"/>
    <x v="2"/>
    <x v="181"/>
    <x v="10"/>
    <x v="610"/>
    <x v="0"/>
    <x v="1"/>
    <x v="1"/>
    <x v="3"/>
  </r>
  <r>
    <x v="996"/>
    <x v="19"/>
    <x v="3"/>
    <x v="182"/>
    <x v="10"/>
    <x v="747"/>
    <x v="0"/>
    <x v="2"/>
    <x v="3"/>
    <x v="3"/>
  </r>
  <r>
    <x v="997"/>
    <x v="7"/>
    <x v="0"/>
    <x v="182"/>
    <x v="10"/>
    <x v="619"/>
    <x v="0"/>
    <x v="2"/>
    <x v="3"/>
    <x v="2"/>
  </r>
  <r>
    <x v="998"/>
    <x v="7"/>
    <x v="0"/>
    <x v="182"/>
    <x v="10"/>
    <x v="847"/>
    <x v="0"/>
    <x v="0"/>
    <x v="0"/>
    <x v="1"/>
  </r>
  <r>
    <x v="999"/>
    <x v="7"/>
    <x v="0"/>
    <x v="182"/>
    <x v="10"/>
    <x v="520"/>
    <x v="0"/>
    <x v="2"/>
    <x v="3"/>
    <x v="1"/>
  </r>
  <r>
    <x v="1000"/>
    <x v="50"/>
    <x v="3"/>
    <x v="182"/>
    <x v="10"/>
    <x v="487"/>
    <x v="0"/>
    <x v="2"/>
    <x v="3"/>
    <x v="3"/>
  </r>
  <r>
    <x v="1001"/>
    <x v="201"/>
    <x v="0"/>
    <x v="182"/>
    <x v="10"/>
    <x v="643"/>
    <x v="0"/>
    <x v="4"/>
    <x v="4"/>
    <x v="1"/>
  </r>
  <r>
    <x v="1002"/>
    <x v="225"/>
    <x v="3"/>
    <x v="182"/>
    <x v="10"/>
    <x v="2180"/>
    <x v="1"/>
    <x v="3"/>
    <x v="2"/>
    <x v="3"/>
  </r>
  <r>
    <x v="1003"/>
    <x v="136"/>
    <x v="2"/>
    <x v="182"/>
    <x v="10"/>
    <x v="2153"/>
    <x v="1"/>
    <x v="2"/>
    <x v="3"/>
    <x v="3"/>
  </r>
  <r>
    <x v="1004"/>
    <x v="201"/>
    <x v="0"/>
    <x v="182"/>
    <x v="10"/>
    <x v="2048"/>
    <x v="1"/>
    <x v="0"/>
    <x v="0"/>
    <x v="3"/>
  </r>
  <r>
    <x v="1005"/>
    <x v="225"/>
    <x v="1"/>
    <x v="182"/>
    <x v="10"/>
    <x v="296"/>
    <x v="0"/>
    <x v="1"/>
    <x v="1"/>
    <x v="1"/>
  </r>
  <r>
    <x v="1006"/>
    <x v="225"/>
    <x v="1"/>
    <x v="182"/>
    <x v="10"/>
    <x v="544"/>
    <x v="0"/>
    <x v="1"/>
    <x v="1"/>
    <x v="3"/>
  </r>
  <r>
    <x v="1007"/>
    <x v="201"/>
    <x v="1"/>
    <x v="182"/>
    <x v="10"/>
    <x v="807"/>
    <x v="0"/>
    <x v="1"/>
    <x v="1"/>
    <x v="1"/>
  </r>
  <r>
    <x v="1008"/>
    <x v="18"/>
    <x v="1"/>
    <x v="183"/>
    <x v="10"/>
    <x v="869"/>
    <x v="0"/>
    <x v="4"/>
    <x v="4"/>
    <x v="1"/>
  </r>
  <r>
    <x v="1009"/>
    <x v="139"/>
    <x v="2"/>
    <x v="183"/>
    <x v="10"/>
    <x v="1193"/>
    <x v="1"/>
    <x v="1"/>
    <x v="1"/>
    <x v="3"/>
  </r>
  <r>
    <x v="1010"/>
    <x v="80"/>
    <x v="3"/>
    <x v="183"/>
    <x v="10"/>
    <x v="2119"/>
    <x v="1"/>
    <x v="4"/>
    <x v="4"/>
    <x v="2"/>
  </r>
  <r>
    <x v="1011"/>
    <x v="80"/>
    <x v="2"/>
    <x v="183"/>
    <x v="10"/>
    <x v="815"/>
    <x v="0"/>
    <x v="1"/>
    <x v="1"/>
    <x v="1"/>
  </r>
  <r>
    <x v="1012"/>
    <x v="80"/>
    <x v="0"/>
    <x v="183"/>
    <x v="10"/>
    <x v="683"/>
    <x v="0"/>
    <x v="2"/>
    <x v="3"/>
    <x v="3"/>
  </r>
  <r>
    <x v="1013"/>
    <x v="80"/>
    <x v="3"/>
    <x v="183"/>
    <x v="10"/>
    <x v="2087"/>
    <x v="1"/>
    <x v="2"/>
    <x v="3"/>
    <x v="1"/>
  </r>
  <r>
    <x v="1014"/>
    <x v="135"/>
    <x v="1"/>
    <x v="183"/>
    <x v="10"/>
    <x v="990"/>
    <x v="0"/>
    <x v="4"/>
    <x v="4"/>
    <x v="1"/>
  </r>
  <r>
    <x v="1015"/>
    <x v="80"/>
    <x v="3"/>
    <x v="183"/>
    <x v="10"/>
    <x v="990"/>
    <x v="0"/>
    <x v="0"/>
    <x v="0"/>
    <x v="3"/>
  </r>
  <r>
    <x v="1016"/>
    <x v="80"/>
    <x v="3"/>
    <x v="183"/>
    <x v="10"/>
    <x v="990"/>
    <x v="0"/>
    <x v="1"/>
    <x v="1"/>
    <x v="2"/>
  </r>
  <r>
    <x v="1017"/>
    <x v="7"/>
    <x v="0"/>
    <x v="184"/>
    <x v="9"/>
    <x v="2114"/>
    <x v="1"/>
    <x v="1"/>
    <x v="1"/>
    <x v="1"/>
  </r>
  <r>
    <x v="1018"/>
    <x v="7"/>
    <x v="3"/>
    <x v="185"/>
    <x v="9"/>
    <x v="1976"/>
    <x v="1"/>
    <x v="1"/>
    <x v="1"/>
    <x v="2"/>
  </r>
  <r>
    <x v="1019"/>
    <x v="33"/>
    <x v="3"/>
    <x v="186"/>
    <x v="9"/>
    <x v="1444"/>
    <x v="1"/>
    <x v="4"/>
    <x v="4"/>
    <x v="3"/>
  </r>
  <r>
    <x v="1020"/>
    <x v="237"/>
    <x v="2"/>
    <x v="186"/>
    <x v="9"/>
    <x v="2044"/>
    <x v="1"/>
    <x v="1"/>
    <x v="1"/>
    <x v="3"/>
  </r>
  <r>
    <x v="1021"/>
    <x v="211"/>
    <x v="1"/>
    <x v="187"/>
    <x v="9"/>
    <x v="2082"/>
    <x v="1"/>
    <x v="1"/>
    <x v="1"/>
    <x v="0"/>
  </r>
  <r>
    <x v="1022"/>
    <x v="254"/>
    <x v="2"/>
    <x v="187"/>
    <x v="9"/>
    <x v="1428"/>
    <x v="1"/>
    <x v="1"/>
    <x v="1"/>
    <x v="3"/>
  </r>
  <r>
    <x v="1023"/>
    <x v="261"/>
    <x v="3"/>
    <x v="187"/>
    <x v="9"/>
    <x v="1910"/>
    <x v="1"/>
    <x v="1"/>
    <x v="1"/>
    <x v="3"/>
  </r>
  <r>
    <x v="1024"/>
    <x v="254"/>
    <x v="1"/>
    <x v="187"/>
    <x v="9"/>
    <x v="1925"/>
    <x v="1"/>
    <x v="4"/>
    <x v="4"/>
    <x v="3"/>
  </r>
  <r>
    <x v="1025"/>
    <x v="261"/>
    <x v="0"/>
    <x v="187"/>
    <x v="9"/>
    <x v="1930"/>
    <x v="1"/>
    <x v="0"/>
    <x v="0"/>
    <x v="0"/>
  </r>
  <r>
    <x v="1026"/>
    <x v="18"/>
    <x v="1"/>
    <x v="188"/>
    <x v="9"/>
    <x v="1098"/>
    <x v="1"/>
    <x v="1"/>
    <x v="1"/>
    <x v="3"/>
  </r>
  <r>
    <x v="1027"/>
    <x v="139"/>
    <x v="1"/>
    <x v="188"/>
    <x v="9"/>
    <x v="1938"/>
    <x v="1"/>
    <x v="2"/>
    <x v="3"/>
    <x v="3"/>
  </r>
  <r>
    <x v="1028"/>
    <x v="263"/>
    <x v="3"/>
    <x v="188"/>
    <x v="9"/>
    <x v="1128"/>
    <x v="1"/>
    <x v="2"/>
    <x v="3"/>
    <x v="0"/>
  </r>
  <r>
    <x v="1029"/>
    <x v="208"/>
    <x v="2"/>
    <x v="188"/>
    <x v="9"/>
    <x v="1945"/>
    <x v="1"/>
    <x v="1"/>
    <x v="1"/>
    <x v="1"/>
  </r>
  <r>
    <x v="1030"/>
    <x v="252"/>
    <x v="3"/>
    <x v="188"/>
    <x v="9"/>
    <x v="1908"/>
    <x v="1"/>
    <x v="2"/>
    <x v="3"/>
    <x v="3"/>
  </r>
  <r>
    <x v="1031"/>
    <x v="253"/>
    <x v="0"/>
    <x v="188"/>
    <x v="9"/>
    <x v="1090"/>
    <x v="1"/>
    <x v="4"/>
    <x v="4"/>
    <x v="3"/>
  </r>
  <r>
    <x v="1032"/>
    <x v="263"/>
    <x v="1"/>
    <x v="188"/>
    <x v="9"/>
    <x v="1940"/>
    <x v="1"/>
    <x v="2"/>
    <x v="3"/>
    <x v="3"/>
  </r>
  <r>
    <x v="1033"/>
    <x v="208"/>
    <x v="1"/>
    <x v="188"/>
    <x v="9"/>
    <x v="157"/>
    <x v="0"/>
    <x v="1"/>
    <x v="1"/>
    <x v="3"/>
  </r>
  <r>
    <x v="1034"/>
    <x v="252"/>
    <x v="1"/>
    <x v="188"/>
    <x v="9"/>
    <x v="241"/>
    <x v="0"/>
    <x v="0"/>
    <x v="0"/>
    <x v="3"/>
  </r>
  <r>
    <x v="1035"/>
    <x v="253"/>
    <x v="0"/>
    <x v="188"/>
    <x v="9"/>
    <x v="187"/>
    <x v="0"/>
    <x v="3"/>
    <x v="2"/>
    <x v="3"/>
  </r>
  <r>
    <x v="1036"/>
    <x v="260"/>
    <x v="3"/>
    <x v="188"/>
    <x v="9"/>
    <x v="214"/>
    <x v="0"/>
    <x v="0"/>
    <x v="0"/>
    <x v="3"/>
  </r>
  <r>
    <x v="1037"/>
    <x v="260"/>
    <x v="1"/>
    <x v="188"/>
    <x v="9"/>
    <x v="280"/>
    <x v="0"/>
    <x v="2"/>
    <x v="3"/>
    <x v="1"/>
  </r>
  <r>
    <x v="1038"/>
    <x v="208"/>
    <x v="0"/>
    <x v="188"/>
    <x v="9"/>
    <x v="99"/>
    <x v="0"/>
    <x v="0"/>
    <x v="0"/>
    <x v="3"/>
  </r>
  <r>
    <x v="1039"/>
    <x v="139"/>
    <x v="1"/>
    <x v="188"/>
    <x v="9"/>
    <x v="317"/>
    <x v="0"/>
    <x v="2"/>
    <x v="3"/>
    <x v="3"/>
  </r>
  <r>
    <x v="1040"/>
    <x v="139"/>
    <x v="2"/>
    <x v="188"/>
    <x v="9"/>
    <x v="126"/>
    <x v="0"/>
    <x v="2"/>
    <x v="3"/>
    <x v="2"/>
  </r>
  <r>
    <x v="1041"/>
    <x v="208"/>
    <x v="3"/>
    <x v="188"/>
    <x v="9"/>
    <x v="1066"/>
    <x v="1"/>
    <x v="1"/>
    <x v="1"/>
    <x v="1"/>
  </r>
  <r>
    <x v="1042"/>
    <x v="208"/>
    <x v="2"/>
    <x v="188"/>
    <x v="9"/>
    <x v="1998"/>
    <x v="1"/>
    <x v="1"/>
    <x v="1"/>
    <x v="1"/>
  </r>
  <r>
    <x v="1043"/>
    <x v="7"/>
    <x v="3"/>
    <x v="189"/>
    <x v="9"/>
    <x v="1870"/>
    <x v="1"/>
    <x v="2"/>
    <x v="3"/>
    <x v="3"/>
  </r>
  <r>
    <x v="1044"/>
    <x v="23"/>
    <x v="0"/>
    <x v="190"/>
    <x v="9"/>
    <x v="1859"/>
    <x v="1"/>
    <x v="1"/>
    <x v="1"/>
    <x v="0"/>
  </r>
  <r>
    <x v="1045"/>
    <x v="23"/>
    <x v="2"/>
    <x v="190"/>
    <x v="9"/>
    <x v="1861"/>
    <x v="1"/>
    <x v="2"/>
    <x v="3"/>
    <x v="1"/>
  </r>
  <r>
    <x v="1046"/>
    <x v="23"/>
    <x v="3"/>
    <x v="190"/>
    <x v="9"/>
    <x v="1854"/>
    <x v="1"/>
    <x v="1"/>
    <x v="1"/>
    <x v="1"/>
  </r>
  <r>
    <x v="1047"/>
    <x v="7"/>
    <x v="0"/>
    <x v="190"/>
    <x v="9"/>
    <x v="1838"/>
    <x v="1"/>
    <x v="4"/>
    <x v="4"/>
    <x v="2"/>
  </r>
  <r>
    <x v="1048"/>
    <x v="135"/>
    <x v="0"/>
    <x v="190"/>
    <x v="9"/>
    <x v="878"/>
    <x v="0"/>
    <x v="4"/>
    <x v="4"/>
    <x v="1"/>
  </r>
  <r>
    <x v="1049"/>
    <x v="25"/>
    <x v="3"/>
    <x v="191"/>
    <x v="9"/>
    <x v="748"/>
    <x v="0"/>
    <x v="0"/>
    <x v="0"/>
    <x v="1"/>
  </r>
  <r>
    <x v="1050"/>
    <x v="136"/>
    <x v="2"/>
    <x v="191"/>
    <x v="9"/>
    <x v="844"/>
    <x v="0"/>
    <x v="0"/>
    <x v="0"/>
    <x v="1"/>
  </r>
  <r>
    <x v="1051"/>
    <x v="213"/>
    <x v="1"/>
    <x v="192"/>
    <x v="9"/>
    <x v="1671"/>
    <x v="1"/>
    <x v="1"/>
    <x v="1"/>
    <x v="1"/>
  </r>
  <r>
    <x v="1052"/>
    <x v="5"/>
    <x v="3"/>
    <x v="193"/>
    <x v="9"/>
    <x v="1692"/>
    <x v="1"/>
    <x v="1"/>
    <x v="1"/>
    <x v="3"/>
  </r>
  <r>
    <x v="1053"/>
    <x v="106"/>
    <x v="3"/>
    <x v="193"/>
    <x v="9"/>
    <x v="1712"/>
    <x v="1"/>
    <x v="2"/>
    <x v="3"/>
    <x v="3"/>
  </r>
  <r>
    <x v="1054"/>
    <x v="139"/>
    <x v="1"/>
    <x v="193"/>
    <x v="9"/>
    <x v="1646"/>
    <x v="1"/>
    <x v="4"/>
    <x v="4"/>
    <x v="0"/>
  </r>
  <r>
    <x v="1055"/>
    <x v="241"/>
    <x v="2"/>
    <x v="193"/>
    <x v="9"/>
    <x v="749"/>
    <x v="0"/>
    <x v="2"/>
    <x v="3"/>
    <x v="3"/>
  </r>
  <r>
    <x v="1056"/>
    <x v="46"/>
    <x v="2"/>
    <x v="194"/>
    <x v="9"/>
    <x v="711"/>
    <x v="0"/>
    <x v="1"/>
    <x v="1"/>
    <x v="1"/>
  </r>
  <r>
    <x v="1057"/>
    <x v="46"/>
    <x v="3"/>
    <x v="194"/>
    <x v="9"/>
    <x v="746"/>
    <x v="0"/>
    <x v="2"/>
    <x v="3"/>
    <x v="3"/>
  </r>
  <r>
    <x v="1058"/>
    <x v="46"/>
    <x v="0"/>
    <x v="194"/>
    <x v="9"/>
    <x v="452"/>
    <x v="0"/>
    <x v="1"/>
    <x v="1"/>
    <x v="3"/>
  </r>
  <r>
    <x v="1059"/>
    <x v="46"/>
    <x v="1"/>
    <x v="194"/>
    <x v="9"/>
    <x v="1602"/>
    <x v="1"/>
    <x v="1"/>
    <x v="1"/>
    <x v="3"/>
  </r>
  <r>
    <x v="1060"/>
    <x v="46"/>
    <x v="3"/>
    <x v="194"/>
    <x v="9"/>
    <x v="1632"/>
    <x v="1"/>
    <x v="4"/>
    <x v="4"/>
    <x v="3"/>
  </r>
  <r>
    <x v="1061"/>
    <x v="46"/>
    <x v="0"/>
    <x v="194"/>
    <x v="9"/>
    <x v="2206"/>
    <x v="1"/>
    <x v="1"/>
    <x v="1"/>
    <x v="0"/>
  </r>
  <r>
    <x v="1062"/>
    <x v="135"/>
    <x v="3"/>
    <x v="194"/>
    <x v="9"/>
    <x v="2027"/>
    <x v="1"/>
    <x v="0"/>
    <x v="0"/>
    <x v="3"/>
  </r>
  <r>
    <x v="1063"/>
    <x v="46"/>
    <x v="3"/>
    <x v="194"/>
    <x v="9"/>
    <x v="1619"/>
    <x v="1"/>
    <x v="2"/>
    <x v="3"/>
    <x v="3"/>
  </r>
  <r>
    <x v="1064"/>
    <x v="46"/>
    <x v="2"/>
    <x v="194"/>
    <x v="9"/>
    <x v="1623"/>
    <x v="1"/>
    <x v="4"/>
    <x v="4"/>
    <x v="0"/>
  </r>
  <r>
    <x v="1065"/>
    <x v="46"/>
    <x v="2"/>
    <x v="194"/>
    <x v="9"/>
    <x v="1663"/>
    <x v="1"/>
    <x v="2"/>
    <x v="3"/>
    <x v="1"/>
  </r>
  <r>
    <x v="1066"/>
    <x v="46"/>
    <x v="2"/>
    <x v="194"/>
    <x v="9"/>
    <x v="1817"/>
    <x v="1"/>
    <x v="1"/>
    <x v="1"/>
    <x v="1"/>
  </r>
  <r>
    <x v="1067"/>
    <x v="5"/>
    <x v="0"/>
    <x v="195"/>
    <x v="9"/>
    <x v="1800"/>
    <x v="1"/>
    <x v="1"/>
    <x v="1"/>
    <x v="3"/>
  </r>
  <r>
    <x v="1068"/>
    <x v="212"/>
    <x v="0"/>
    <x v="195"/>
    <x v="9"/>
    <x v="1773"/>
    <x v="1"/>
    <x v="1"/>
    <x v="1"/>
    <x v="1"/>
  </r>
  <r>
    <x v="1069"/>
    <x v="7"/>
    <x v="2"/>
    <x v="195"/>
    <x v="9"/>
    <x v="1543"/>
    <x v="1"/>
    <x v="0"/>
    <x v="0"/>
    <x v="1"/>
  </r>
  <r>
    <x v="1070"/>
    <x v="7"/>
    <x v="1"/>
    <x v="195"/>
    <x v="9"/>
    <x v="1543"/>
    <x v="1"/>
    <x v="0"/>
    <x v="0"/>
    <x v="3"/>
  </r>
  <r>
    <x v="1071"/>
    <x v="175"/>
    <x v="2"/>
    <x v="195"/>
    <x v="9"/>
    <x v="1543"/>
    <x v="1"/>
    <x v="3"/>
    <x v="2"/>
    <x v="3"/>
  </r>
  <r>
    <x v="1072"/>
    <x v="175"/>
    <x v="3"/>
    <x v="195"/>
    <x v="9"/>
    <x v="2243"/>
    <x v="1"/>
    <x v="0"/>
    <x v="0"/>
    <x v="3"/>
  </r>
  <r>
    <x v="1073"/>
    <x v="175"/>
    <x v="3"/>
    <x v="195"/>
    <x v="9"/>
    <x v="1543"/>
    <x v="1"/>
    <x v="4"/>
    <x v="4"/>
    <x v="1"/>
  </r>
  <r>
    <x v="1074"/>
    <x v="175"/>
    <x v="2"/>
    <x v="195"/>
    <x v="9"/>
    <x v="1543"/>
    <x v="1"/>
    <x v="2"/>
    <x v="3"/>
    <x v="1"/>
  </r>
  <r>
    <x v="1075"/>
    <x v="175"/>
    <x v="3"/>
    <x v="195"/>
    <x v="9"/>
    <x v="1542"/>
    <x v="1"/>
    <x v="1"/>
    <x v="1"/>
    <x v="1"/>
  </r>
  <r>
    <x v="1076"/>
    <x v="175"/>
    <x v="1"/>
    <x v="195"/>
    <x v="9"/>
    <x v="2019"/>
    <x v="1"/>
    <x v="1"/>
    <x v="1"/>
    <x v="3"/>
  </r>
  <r>
    <x v="1077"/>
    <x v="175"/>
    <x v="0"/>
    <x v="195"/>
    <x v="9"/>
    <x v="1063"/>
    <x v="1"/>
    <x v="2"/>
    <x v="3"/>
    <x v="2"/>
  </r>
  <r>
    <x v="1078"/>
    <x v="175"/>
    <x v="1"/>
    <x v="195"/>
    <x v="9"/>
    <x v="1063"/>
    <x v="1"/>
    <x v="4"/>
    <x v="4"/>
    <x v="1"/>
  </r>
  <r>
    <x v="1079"/>
    <x v="28"/>
    <x v="2"/>
    <x v="196"/>
    <x v="9"/>
    <x v="1094"/>
    <x v="1"/>
    <x v="0"/>
    <x v="0"/>
    <x v="0"/>
  </r>
  <r>
    <x v="1080"/>
    <x v="50"/>
    <x v="2"/>
    <x v="196"/>
    <x v="9"/>
    <x v="2231"/>
    <x v="1"/>
    <x v="1"/>
    <x v="1"/>
    <x v="3"/>
  </r>
  <r>
    <x v="1081"/>
    <x v="139"/>
    <x v="0"/>
    <x v="197"/>
    <x v="9"/>
    <x v="1063"/>
    <x v="1"/>
    <x v="1"/>
    <x v="1"/>
    <x v="3"/>
  </r>
  <r>
    <x v="1082"/>
    <x v="139"/>
    <x v="3"/>
    <x v="197"/>
    <x v="9"/>
    <x v="1074"/>
    <x v="1"/>
    <x v="0"/>
    <x v="0"/>
    <x v="3"/>
  </r>
  <r>
    <x v="1083"/>
    <x v="263"/>
    <x v="3"/>
    <x v="197"/>
    <x v="9"/>
    <x v="1071"/>
    <x v="1"/>
    <x v="0"/>
    <x v="0"/>
    <x v="3"/>
  </r>
  <r>
    <x v="1084"/>
    <x v="253"/>
    <x v="0"/>
    <x v="197"/>
    <x v="9"/>
    <x v="1100"/>
    <x v="1"/>
    <x v="4"/>
    <x v="4"/>
    <x v="0"/>
  </r>
  <r>
    <x v="1085"/>
    <x v="254"/>
    <x v="2"/>
    <x v="197"/>
    <x v="9"/>
    <x v="1097"/>
    <x v="1"/>
    <x v="0"/>
    <x v="0"/>
    <x v="2"/>
  </r>
  <r>
    <x v="1086"/>
    <x v="254"/>
    <x v="0"/>
    <x v="197"/>
    <x v="9"/>
    <x v="1077"/>
    <x v="1"/>
    <x v="1"/>
    <x v="1"/>
    <x v="0"/>
  </r>
  <r>
    <x v="1087"/>
    <x v="260"/>
    <x v="2"/>
    <x v="197"/>
    <x v="9"/>
    <x v="1099"/>
    <x v="1"/>
    <x v="1"/>
    <x v="1"/>
    <x v="1"/>
  </r>
  <r>
    <x v="1088"/>
    <x v="263"/>
    <x v="3"/>
    <x v="197"/>
    <x v="9"/>
    <x v="105"/>
    <x v="0"/>
    <x v="1"/>
    <x v="1"/>
    <x v="2"/>
  </r>
  <r>
    <x v="1089"/>
    <x v="253"/>
    <x v="1"/>
    <x v="197"/>
    <x v="9"/>
    <x v="386"/>
    <x v="0"/>
    <x v="2"/>
    <x v="3"/>
    <x v="3"/>
  </r>
  <r>
    <x v="1090"/>
    <x v="260"/>
    <x v="2"/>
    <x v="197"/>
    <x v="9"/>
    <x v="2136"/>
    <x v="1"/>
    <x v="0"/>
    <x v="0"/>
    <x v="3"/>
  </r>
  <r>
    <x v="1091"/>
    <x v="212"/>
    <x v="2"/>
    <x v="198"/>
    <x v="9"/>
    <x v="1051"/>
    <x v="1"/>
    <x v="0"/>
    <x v="0"/>
    <x v="3"/>
  </r>
  <r>
    <x v="1092"/>
    <x v="135"/>
    <x v="1"/>
    <x v="198"/>
    <x v="9"/>
    <x v="1051"/>
    <x v="1"/>
    <x v="2"/>
    <x v="3"/>
    <x v="3"/>
  </r>
  <r>
    <x v="1093"/>
    <x v="7"/>
    <x v="0"/>
    <x v="199"/>
    <x v="9"/>
    <x v="1051"/>
    <x v="1"/>
    <x v="0"/>
    <x v="0"/>
    <x v="2"/>
  </r>
  <r>
    <x v="1094"/>
    <x v="7"/>
    <x v="0"/>
    <x v="199"/>
    <x v="9"/>
    <x v="1051"/>
    <x v="1"/>
    <x v="2"/>
    <x v="3"/>
    <x v="1"/>
  </r>
  <r>
    <x v="1095"/>
    <x v="135"/>
    <x v="2"/>
    <x v="199"/>
    <x v="9"/>
    <x v="1051"/>
    <x v="1"/>
    <x v="0"/>
    <x v="0"/>
    <x v="0"/>
  </r>
  <r>
    <x v="1096"/>
    <x v="106"/>
    <x v="2"/>
    <x v="200"/>
    <x v="9"/>
    <x v="1051"/>
    <x v="1"/>
    <x v="1"/>
    <x v="1"/>
    <x v="3"/>
  </r>
  <r>
    <x v="1097"/>
    <x v="26"/>
    <x v="2"/>
    <x v="201"/>
    <x v="9"/>
    <x v="983"/>
    <x v="0"/>
    <x v="3"/>
    <x v="2"/>
    <x v="1"/>
  </r>
  <r>
    <x v="1098"/>
    <x v="135"/>
    <x v="2"/>
    <x v="201"/>
    <x v="9"/>
    <x v="906"/>
    <x v="0"/>
    <x v="0"/>
    <x v="0"/>
    <x v="0"/>
  </r>
  <r>
    <x v="1099"/>
    <x v="50"/>
    <x v="1"/>
    <x v="202"/>
    <x v="9"/>
    <x v="2026"/>
    <x v="1"/>
    <x v="1"/>
    <x v="1"/>
    <x v="1"/>
  </r>
  <r>
    <x v="1100"/>
    <x v="241"/>
    <x v="1"/>
    <x v="202"/>
    <x v="9"/>
    <x v="2167"/>
    <x v="1"/>
    <x v="0"/>
    <x v="0"/>
    <x v="3"/>
  </r>
  <r>
    <x v="1101"/>
    <x v="139"/>
    <x v="1"/>
    <x v="202"/>
    <x v="9"/>
    <x v="618"/>
    <x v="0"/>
    <x v="2"/>
    <x v="3"/>
    <x v="0"/>
  </r>
  <r>
    <x v="1102"/>
    <x v="80"/>
    <x v="3"/>
    <x v="202"/>
    <x v="9"/>
    <x v="1211"/>
    <x v="1"/>
    <x v="1"/>
    <x v="1"/>
    <x v="0"/>
  </r>
  <r>
    <x v="1103"/>
    <x v="136"/>
    <x v="2"/>
    <x v="202"/>
    <x v="9"/>
    <x v="1983"/>
    <x v="1"/>
    <x v="1"/>
    <x v="1"/>
    <x v="1"/>
  </r>
  <r>
    <x v="1104"/>
    <x v="175"/>
    <x v="1"/>
    <x v="202"/>
    <x v="9"/>
    <x v="1973"/>
    <x v="1"/>
    <x v="1"/>
    <x v="1"/>
    <x v="1"/>
  </r>
  <r>
    <x v="1105"/>
    <x v="201"/>
    <x v="3"/>
    <x v="202"/>
    <x v="9"/>
    <x v="1980"/>
    <x v="1"/>
    <x v="1"/>
    <x v="1"/>
    <x v="3"/>
  </r>
  <r>
    <x v="1106"/>
    <x v="175"/>
    <x v="2"/>
    <x v="202"/>
    <x v="9"/>
    <x v="2014"/>
    <x v="1"/>
    <x v="2"/>
    <x v="3"/>
    <x v="0"/>
  </r>
  <r>
    <x v="1107"/>
    <x v="80"/>
    <x v="0"/>
    <x v="202"/>
    <x v="9"/>
    <x v="1234"/>
    <x v="1"/>
    <x v="1"/>
    <x v="1"/>
    <x v="2"/>
  </r>
  <r>
    <x v="1108"/>
    <x v="175"/>
    <x v="2"/>
    <x v="202"/>
    <x v="9"/>
    <x v="1218"/>
    <x v="1"/>
    <x v="1"/>
    <x v="1"/>
    <x v="1"/>
  </r>
  <r>
    <x v="1109"/>
    <x v="80"/>
    <x v="3"/>
    <x v="202"/>
    <x v="9"/>
    <x v="2008"/>
    <x v="1"/>
    <x v="2"/>
    <x v="3"/>
    <x v="1"/>
  </r>
  <r>
    <x v="1110"/>
    <x v="201"/>
    <x v="2"/>
    <x v="202"/>
    <x v="9"/>
    <x v="2001"/>
    <x v="1"/>
    <x v="1"/>
    <x v="1"/>
    <x v="1"/>
  </r>
  <r>
    <x v="1111"/>
    <x v="175"/>
    <x v="1"/>
    <x v="202"/>
    <x v="9"/>
    <x v="1994"/>
    <x v="1"/>
    <x v="1"/>
    <x v="1"/>
    <x v="1"/>
  </r>
  <r>
    <x v="1112"/>
    <x v="175"/>
    <x v="3"/>
    <x v="202"/>
    <x v="9"/>
    <x v="1987"/>
    <x v="1"/>
    <x v="4"/>
    <x v="4"/>
    <x v="3"/>
  </r>
  <r>
    <x v="1113"/>
    <x v="175"/>
    <x v="3"/>
    <x v="202"/>
    <x v="9"/>
    <x v="1984"/>
    <x v="1"/>
    <x v="1"/>
    <x v="1"/>
    <x v="1"/>
  </r>
  <r>
    <x v="1114"/>
    <x v="175"/>
    <x v="2"/>
    <x v="202"/>
    <x v="9"/>
    <x v="1989"/>
    <x v="1"/>
    <x v="1"/>
    <x v="1"/>
    <x v="3"/>
  </r>
  <r>
    <x v="1115"/>
    <x v="175"/>
    <x v="3"/>
    <x v="202"/>
    <x v="9"/>
    <x v="1992"/>
    <x v="1"/>
    <x v="3"/>
    <x v="2"/>
    <x v="2"/>
  </r>
  <r>
    <x v="1116"/>
    <x v="175"/>
    <x v="3"/>
    <x v="202"/>
    <x v="9"/>
    <x v="1988"/>
    <x v="1"/>
    <x v="1"/>
    <x v="1"/>
    <x v="0"/>
  </r>
  <r>
    <x v="1117"/>
    <x v="175"/>
    <x v="3"/>
    <x v="202"/>
    <x v="9"/>
    <x v="1981"/>
    <x v="1"/>
    <x v="2"/>
    <x v="3"/>
    <x v="1"/>
  </r>
  <r>
    <x v="1118"/>
    <x v="237"/>
    <x v="1"/>
    <x v="203"/>
    <x v="2"/>
    <x v="2013"/>
    <x v="1"/>
    <x v="1"/>
    <x v="1"/>
    <x v="3"/>
  </r>
  <r>
    <x v="1119"/>
    <x v="139"/>
    <x v="1"/>
    <x v="203"/>
    <x v="2"/>
    <x v="2005"/>
    <x v="1"/>
    <x v="4"/>
    <x v="4"/>
    <x v="3"/>
  </r>
  <r>
    <x v="1120"/>
    <x v="135"/>
    <x v="3"/>
    <x v="204"/>
    <x v="2"/>
    <x v="1741"/>
    <x v="1"/>
    <x v="2"/>
    <x v="3"/>
    <x v="3"/>
  </r>
  <r>
    <x v="1121"/>
    <x v="106"/>
    <x v="2"/>
    <x v="205"/>
    <x v="2"/>
    <x v="1657"/>
    <x v="1"/>
    <x v="4"/>
    <x v="4"/>
    <x v="1"/>
  </r>
  <r>
    <x v="1122"/>
    <x v="7"/>
    <x v="3"/>
    <x v="205"/>
    <x v="2"/>
    <x v="1693"/>
    <x v="1"/>
    <x v="2"/>
    <x v="3"/>
    <x v="3"/>
  </r>
  <r>
    <x v="1123"/>
    <x v="21"/>
    <x v="0"/>
    <x v="206"/>
    <x v="2"/>
    <x v="1716"/>
    <x v="1"/>
    <x v="1"/>
    <x v="1"/>
    <x v="3"/>
  </r>
  <r>
    <x v="1124"/>
    <x v="21"/>
    <x v="2"/>
    <x v="206"/>
    <x v="2"/>
    <x v="1657"/>
    <x v="1"/>
    <x v="4"/>
    <x v="4"/>
    <x v="0"/>
  </r>
  <r>
    <x v="1125"/>
    <x v="21"/>
    <x v="0"/>
    <x v="206"/>
    <x v="2"/>
    <x v="1715"/>
    <x v="1"/>
    <x v="2"/>
    <x v="3"/>
    <x v="2"/>
  </r>
  <r>
    <x v="1126"/>
    <x v="139"/>
    <x v="2"/>
    <x v="207"/>
    <x v="2"/>
    <x v="1657"/>
    <x v="1"/>
    <x v="4"/>
    <x v="4"/>
    <x v="3"/>
  </r>
  <r>
    <x v="1127"/>
    <x v="135"/>
    <x v="0"/>
    <x v="208"/>
    <x v="2"/>
    <x v="1687"/>
    <x v="1"/>
    <x v="4"/>
    <x v="4"/>
    <x v="1"/>
  </r>
  <r>
    <x v="1128"/>
    <x v="7"/>
    <x v="3"/>
    <x v="209"/>
    <x v="2"/>
    <x v="1727"/>
    <x v="1"/>
    <x v="3"/>
    <x v="2"/>
    <x v="0"/>
  </r>
  <r>
    <x v="1129"/>
    <x v="7"/>
    <x v="0"/>
    <x v="209"/>
    <x v="2"/>
    <x v="1737"/>
    <x v="1"/>
    <x v="1"/>
    <x v="1"/>
    <x v="3"/>
  </r>
  <r>
    <x v="1130"/>
    <x v="136"/>
    <x v="3"/>
    <x v="209"/>
    <x v="2"/>
    <x v="1694"/>
    <x v="1"/>
    <x v="4"/>
    <x v="4"/>
    <x v="3"/>
  </r>
  <r>
    <x v="1131"/>
    <x v="237"/>
    <x v="3"/>
    <x v="210"/>
    <x v="2"/>
    <x v="1734"/>
    <x v="1"/>
    <x v="2"/>
    <x v="3"/>
    <x v="3"/>
  </r>
  <r>
    <x v="1132"/>
    <x v="5"/>
    <x v="0"/>
    <x v="210"/>
    <x v="2"/>
    <x v="1718"/>
    <x v="1"/>
    <x v="3"/>
    <x v="2"/>
    <x v="3"/>
  </r>
  <r>
    <x v="1133"/>
    <x v="33"/>
    <x v="1"/>
    <x v="210"/>
    <x v="2"/>
    <x v="22"/>
    <x v="0"/>
    <x v="1"/>
    <x v="1"/>
    <x v="3"/>
  </r>
  <r>
    <x v="1134"/>
    <x v="139"/>
    <x v="0"/>
    <x v="211"/>
    <x v="2"/>
    <x v="436"/>
    <x v="0"/>
    <x v="3"/>
    <x v="2"/>
    <x v="3"/>
  </r>
  <r>
    <x v="1135"/>
    <x v="23"/>
    <x v="2"/>
    <x v="212"/>
    <x v="2"/>
    <x v="2056"/>
    <x v="1"/>
    <x v="2"/>
    <x v="3"/>
    <x v="1"/>
  </r>
  <r>
    <x v="1136"/>
    <x v="17"/>
    <x v="2"/>
    <x v="212"/>
    <x v="2"/>
    <x v="1427"/>
    <x v="1"/>
    <x v="1"/>
    <x v="1"/>
    <x v="3"/>
  </r>
  <r>
    <x v="1137"/>
    <x v="139"/>
    <x v="2"/>
    <x v="212"/>
    <x v="2"/>
    <x v="1427"/>
    <x v="1"/>
    <x v="1"/>
    <x v="1"/>
    <x v="1"/>
  </r>
  <r>
    <x v="1138"/>
    <x v="139"/>
    <x v="0"/>
    <x v="212"/>
    <x v="2"/>
    <x v="1427"/>
    <x v="1"/>
    <x v="1"/>
    <x v="1"/>
    <x v="3"/>
  </r>
  <r>
    <x v="1139"/>
    <x v="139"/>
    <x v="2"/>
    <x v="212"/>
    <x v="2"/>
    <x v="2247"/>
    <x v="1"/>
    <x v="1"/>
    <x v="1"/>
    <x v="3"/>
  </r>
  <r>
    <x v="1140"/>
    <x v="50"/>
    <x v="1"/>
    <x v="212"/>
    <x v="2"/>
    <x v="1427"/>
    <x v="1"/>
    <x v="1"/>
    <x v="1"/>
    <x v="3"/>
  </r>
  <r>
    <x v="1141"/>
    <x v="135"/>
    <x v="2"/>
    <x v="212"/>
    <x v="2"/>
    <x v="1427"/>
    <x v="1"/>
    <x v="1"/>
    <x v="1"/>
    <x v="1"/>
  </r>
  <r>
    <x v="1142"/>
    <x v="135"/>
    <x v="1"/>
    <x v="213"/>
    <x v="2"/>
    <x v="623"/>
    <x v="0"/>
    <x v="0"/>
    <x v="0"/>
    <x v="3"/>
  </r>
  <r>
    <x v="1143"/>
    <x v="252"/>
    <x v="0"/>
    <x v="214"/>
    <x v="2"/>
    <x v="684"/>
    <x v="0"/>
    <x v="0"/>
    <x v="0"/>
    <x v="3"/>
  </r>
  <r>
    <x v="1144"/>
    <x v="253"/>
    <x v="2"/>
    <x v="214"/>
    <x v="2"/>
    <x v="827"/>
    <x v="0"/>
    <x v="0"/>
    <x v="0"/>
    <x v="3"/>
  </r>
  <r>
    <x v="1145"/>
    <x v="263"/>
    <x v="1"/>
    <x v="214"/>
    <x v="2"/>
    <x v="911"/>
    <x v="0"/>
    <x v="2"/>
    <x v="3"/>
    <x v="1"/>
  </r>
  <r>
    <x v="1146"/>
    <x v="260"/>
    <x v="1"/>
    <x v="214"/>
    <x v="2"/>
    <x v="519"/>
    <x v="0"/>
    <x v="1"/>
    <x v="1"/>
    <x v="3"/>
  </r>
  <r>
    <x v="1147"/>
    <x v="253"/>
    <x v="1"/>
    <x v="214"/>
    <x v="2"/>
    <x v="365"/>
    <x v="0"/>
    <x v="1"/>
    <x v="1"/>
    <x v="1"/>
  </r>
  <r>
    <x v="1148"/>
    <x v="263"/>
    <x v="3"/>
    <x v="214"/>
    <x v="2"/>
    <x v="883"/>
    <x v="0"/>
    <x v="0"/>
    <x v="0"/>
    <x v="3"/>
  </r>
  <r>
    <x v="1149"/>
    <x v="252"/>
    <x v="1"/>
    <x v="214"/>
    <x v="2"/>
    <x v="631"/>
    <x v="0"/>
    <x v="1"/>
    <x v="1"/>
    <x v="1"/>
  </r>
  <r>
    <x v="1150"/>
    <x v="260"/>
    <x v="0"/>
    <x v="214"/>
    <x v="2"/>
    <x v="794"/>
    <x v="0"/>
    <x v="4"/>
    <x v="4"/>
    <x v="1"/>
  </r>
  <r>
    <x v="1151"/>
    <x v="23"/>
    <x v="1"/>
    <x v="215"/>
    <x v="2"/>
    <x v="863"/>
    <x v="0"/>
    <x v="2"/>
    <x v="3"/>
    <x v="3"/>
  </r>
  <r>
    <x v="1152"/>
    <x v="25"/>
    <x v="0"/>
    <x v="215"/>
    <x v="2"/>
    <x v="420"/>
    <x v="0"/>
    <x v="1"/>
    <x v="1"/>
    <x v="2"/>
  </r>
  <r>
    <x v="1153"/>
    <x v="28"/>
    <x v="1"/>
    <x v="216"/>
    <x v="2"/>
    <x v="2183"/>
    <x v="1"/>
    <x v="2"/>
    <x v="3"/>
    <x v="1"/>
  </r>
  <r>
    <x v="1154"/>
    <x v="209"/>
    <x v="1"/>
    <x v="217"/>
    <x v="2"/>
    <x v="2222"/>
    <x v="1"/>
    <x v="1"/>
    <x v="1"/>
    <x v="3"/>
  </r>
  <r>
    <x v="1155"/>
    <x v="106"/>
    <x v="0"/>
    <x v="217"/>
    <x v="2"/>
    <x v="2252"/>
    <x v="1"/>
    <x v="0"/>
    <x v="0"/>
    <x v="1"/>
  </r>
  <r>
    <x v="1156"/>
    <x v="23"/>
    <x v="2"/>
    <x v="217"/>
    <x v="2"/>
    <x v="2250"/>
    <x v="1"/>
    <x v="3"/>
    <x v="2"/>
    <x v="0"/>
  </r>
  <r>
    <x v="1157"/>
    <x v="7"/>
    <x v="1"/>
    <x v="217"/>
    <x v="2"/>
    <x v="836"/>
    <x v="0"/>
    <x v="1"/>
    <x v="1"/>
    <x v="1"/>
  </r>
  <r>
    <x v="1158"/>
    <x v="46"/>
    <x v="1"/>
    <x v="217"/>
    <x v="2"/>
    <x v="472"/>
    <x v="0"/>
    <x v="1"/>
    <x v="1"/>
    <x v="3"/>
  </r>
  <r>
    <x v="1159"/>
    <x v="46"/>
    <x v="1"/>
    <x v="217"/>
    <x v="2"/>
    <x v="59"/>
    <x v="0"/>
    <x v="0"/>
    <x v="0"/>
    <x v="3"/>
  </r>
  <r>
    <x v="1160"/>
    <x v="46"/>
    <x v="1"/>
    <x v="217"/>
    <x v="2"/>
    <x v="1262"/>
    <x v="1"/>
    <x v="1"/>
    <x v="1"/>
    <x v="2"/>
  </r>
  <r>
    <x v="1161"/>
    <x v="46"/>
    <x v="3"/>
    <x v="217"/>
    <x v="2"/>
    <x v="1709"/>
    <x v="1"/>
    <x v="0"/>
    <x v="0"/>
    <x v="3"/>
  </r>
  <r>
    <x v="1162"/>
    <x v="46"/>
    <x v="3"/>
    <x v="217"/>
    <x v="2"/>
    <x v="2025"/>
    <x v="1"/>
    <x v="1"/>
    <x v="1"/>
    <x v="3"/>
  </r>
  <r>
    <x v="1163"/>
    <x v="46"/>
    <x v="2"/>
    <x v="217"/>
    <x v="2"/>
    <x v="1298"/>
    <x v="1"/>
    <x v="2"/>
    <x v="3"/>
    <x v="3"/>
  </r>
  <r>
    <x v="1164"/>
    <x v="225"/>
    <x v="0"/>
    <x v="217"/>
    <x v="2"/>
    <x v="1708"/>
    <x v="1"/>
    <x v="4"/>
    <x v="4"/>
    <x v="1"/>
  </r>
  <r>
    <x v="1165"/>
    <x v="46"/>
    <x v="1"/>
    <x v="217"/>
    <x v="2"/>
    <x v="1260"/>
    <x v="1"/>
    <x v="2"/>
    <x v="3"/>
    <x v="1"/>
  </r>
  <r>
    <x v="1166"/>
    <x v="46"/>
    <x v="2"/>
    <x v="217"/>
    <x v="2"/>
    <x v="1684"/>
    <x v="1"/>
    <x v="0"/>
    <x v="0"/>
    <x v="2"/>
  </r>
  <r>
    <x v="1167"/>
    <x v="46"/>
    <x v="3"/>
    <x v="217"/>
    <x v="2"/>
    <x v="607"/>
    <x v="0"/>
    <x v="1"/>
    <x v="1"/>
    <x v="3"/>
  </r>
  <r>
    <x v="1168"/>
    <x v="135"/>
    <x v="2"/>
    <x v="217"/>
    <x v="2"/>
    <x v="490"/>
    <x v="0"/>
    <x v="4"/>
    <x v="4"/>
    <x v="1"/>
  </r>
  <r>
    <x v="1169"/>
    <x v="225"/>
    <x v="1"/>
    <x v="217"/>
    <x v="2"/>
    <x v="742"/>
    <x v="0"/>
    <x v="4"/>
    <x v="4"/>
    <x v="0"/>
  </r>
  <r>
    <x v="1170"/>
    <x v="46"/>
    <x v="1"/>
    <x v="217"/>
    <x v="2"/>
    <x v="872"/>
    <x v="0"/>
    <x v="3"/>
    <x v="2"/>
    <x v="3"/>
  </r>
  <r>
    <x v="1171"/>
    <x v="46"/>
    <x v="3"/>
    <x v="217"/>
    <x v="2"/>
    <x v="964"/>
    <x v="0"/>
    <x v="1"/>
    <x v="1"/>
    <x v="3"/>
  </r>
  <r>
    <x v="1172"/>
    <x v="46"/>
    <x v="1"/>
    <x v="217"/>
    <x v="2"/>
    <x v="1949"/>
    <x v="1"/>
    <x v="1"/>
    <x v="1"/>
    <x v="1"/>
  </r>
  <r>
    <x v="1173"/>
    <x v="225"/>
    <x v="1"/>
    <x v="217"/>
    <x v="2"/>
    <x v="1086"/>
    <x v="1"/>
    <x v="0"/>
    <x v="0"/>
    <x v="0"/>
  </r>
  <r>
    <x v="1174"/>
    <x v="46"/>
    <x v="3"/>
    <x v="217"/>
    <x v="2"/>
    <x v="1109"/>
    <x v="1"/>
    <x v="2"/>
    <x v="3"/>
    <x v="3"/>
  </r>
  <r>
    <x v="1175"/>
    <x v="46"/>
    <x v="3"/>
    <x v="217"/>
    <x v="2"/>
    <x v="95"/>
    <x v="0"/>
    <x v="1"/>
    <x v="1"/>
    <x v="3"/>
  </r>
  <r>
    <x v="1176"/>
    <x v="46"/>
    <x v="0"/>
    <x v="217"/>
    <x v="2"/>
    <x v="1078"/>
    <x v="1"/>
    <x v="1"/>
    <x v="1"/>
    <x v="3"/>
  </r>
  <r>
    <x v="1177"/>
    <x v="237"/>
    <x v="0"/>
    <x v="218"/>
    <x v="2"/>
    <x v="92"/>
    <x v="0"/>
    <x v="1"/>
    <x v="1"/>
    <x v="1"/>
  </r>
  <r>
    <x v="1178"/>
    <x v="214"/>
    <x v="1"/>
    <x v="218"/>
    <x v="2"/>
    <x v="250"/>
    <x v="0"/>
    <x v="1"/>
    <x v="1"/>
    <x v="3"/>
  </r>
  <r>
    <x v="1179"/>
    <x v="139"/>
    <x v="2"/>
    <x v="218"/>
    <x v="2"/>
    <x v="413"/>
    <x v="0"/>
    <x v="4"/>
    <x v="4"/>
    <x v="3"/>
  </r>
  <r>
    <x v="1180"/>
    <x v="139"/>
    <x v="2"/>
    <x v="218"/>
    <x v="2"/>
    <x v="94"/>
    <x v="0"/>
    <x v="3"/>
    <x v="2"/>
    <x v="2"/>
  </r>
  <r>
    <x v="1181"/>
    <x v="195"/>
    <x v="2"/>
    <x v="218"/>
    <x v="2"/>
    <x v="220"/>
    <x v="0"/>
    <x v="2"/>
    <x v="3"/>
    <x v="3"/>
  </r>
  <r>
    <x v="1182"/>
    <x v="195"/>
    <x v="2"/>
    <x v="218"/>
    <x v="2"/>
    <x v="164"/>
    <x v="0"/>
    <x v="2"/>
    <x v="3"/>
    <x v="3"/>
  </r>
  <r>
    <x v="1183"/>
    <x v="195"/>
    <x v="3"/>
    <x v="218"/>
    <x v="2"/>
    <x v="287"/>
    <x v="0"/>
    <x v="2"/>
    <x v="3"/>
    <x v="3"/>
  </r>
  <r>
    <x v="1184"/>
    <x v="195"/>
    <x v="1"/>
    <x v="218"/>
    <x v="2"/>
    <x v="268"/>
    <x v="0"/>
    <x v="0"/>
    <x v="0"/>
    <x v="1"/>
  </r>
  <r>
    <x v="1185"/>
    <x v="195"/>
    <x v="3"/>
    <x v="218"/>
    <x v="2"/>
    <x v="318"/>
    <x v="0"/>
    <x v="0"/>
    <x v="0"/>
    <x v="1"/>
  </r>
  <r>
    <x v="1186"/>
    <x v="195"/>
    <x v="2"/>
    <x v="218"/>
    <x v="2"/>
    <x v="415"/>
    <x v="0"/>
    <x v="2"/>
    <x v="3"/>
    <x v="0"/>
  </r>
  <r>
    <x v="1187"/>
    <x v="211"/>
    <x v="1"/>
    <x v="219"/>
    <x v="2"/>
    <x v="273"/>
    <x v="0"/>
    <x v="4"/>
    <x v="4"/>
    <x v="3"/>
  </r>
  <r>
    <x v="1188"/>
    <x v="23"/>
    <x v="3"/>
    <x v="219"/>
    <x v="2"/>
    <x v="275"/>
    <x v="0"/>
    <x v="4"/>
    <x v="4"/>
    <x v="0"/>
  </r>
  <r>
    <x v="1189"/>
    <x v="19"/>
    <x v="2"/>
    <x v="219"/>
    <x v="2"/>
    <x v="353"/>
    <x v="0"/>
    <x v="2"/>
    <x v="3"/>
    <x v="3"/>
  </r>
  <r>
    <x v="1190"/>
    <x v="9"/>
    <x v="0"/>
    <x v="220"/>
    <x v="2"/>
    <x v="392"/>
    <x v="0"/>
    <x v="4"/>
    <x v="4"/>
    <x v="0"/>
  </r>
  <r>
    <x v="1191"/>
    <x v="19"/>
    <x v="0"/>
    <x v="221"/>
    <x v="2"/>
    <x v="229"/>
    <x v="0"/>
    <x v="1"/>
    <x v="1"/>
    <x v="1"/>
  </r>
  <r>
    <x v="1192"/>
    <x v="139"/>
    <x v="2"/>
    <x v="221"/>
    <x v="2"/>
    <x v="89"/>
    <x v="0"/>
    <x v="2"/>
    <x v="3"/>
    <x v="1"/>
  </r>
  <r>
    <x v="1193"/>
    <x v="139"/>
    <x v="3"/>
    <x v="221"/>
    <x v="2"/>
    <x v="351"/>
    <x v="0"/>
    <x v="1"/>
    <x v="1"/>
    <x v="1"/>
  </r>
  <r>
    <x v="1194"/>
    <x v="136"/>
    <x v="1"/>
    <x v="221"/>
    <x v="2"/>
    <x v="274"/>
    <x v="0"/>
    <x v="2"/>
    <x v="3"/>
    <x v="1"/>
  </r>
  <r>
    <x v="1195"/>
    <x v="226"/>
    <x v="1"/>
    <x v="221"/>
    <x v="2"/>
    <x v="225"/>
    <x v="0"/>
    <x v="1"/>
    <x v="1"/>
    <x v="1"/>
  </r>
  <r>
    <x v="1196"/>
    <x v="226"/>
    <x v="0"/>
    <x v="221"/>
    <x v="2"/>
    <x v="188"/>
    <x v="0"/>
    <x v="1"/>
    <x v="1"/>
    <x v="3"/>
  </r>
  <r>
    <x v="1197"/>
    <x v="226"/>
    <x v="0"/>
    <x v="221"/>
    <x v="2"/>
    <x v="57"/>
    <x v="0"/>
    <x v="4"/>
    <x v="4"/>
    <x v="1"/>
  </r>
  <r>
    <x v="1198"/>
    <x v="226"/>
    <x v="3"/>
    <x v="221"/>
    <x v="2"/>
    <x v="54"/>
    <x v="0"/>
    <x v="1"/>
    <x v="1"/>
    <x v="1"/>
  </r>
  <r>
    <x v="1199"/>
    <x v="34"/>
    <x v="1"/>
    <x v="222"/>
    <x v="2"/>
    <x v="168"/>
    <x v="0"/>
    <x v="1"/>
    <x v="1"/>
    <x v="2"/>
  </r>
  <r>
    <x v="1200"/>
    <x v="34"/>
    <x v="0"/>
    <x v="222"/>
    <x v="2"/>
    <x v="336"/>
    <x v="0"/>
    <x v="1"/>
    <x v="1"/>
    <x v="3"/>
  </r>
  <r>
    <x v="1201"/>
    <x v="34"/>
    <x v="3"/>
    <x v="222"/>
    <x v="2"/>
    <x v="270"/>
    <x v="0"/>
    <x v="1"/>
    <x v="1"/>
    <x v="1"/>
  </r>
  <r>
    <x v="1202"/>
    <x v="135"/>
    <x v="2"/>
    <x v="222"/>
    <x v="2"/>
    <x v="205"/>
    <x v="0"/>
    <x v="2"/>
    <x v="3"/>
    <x v="3"/>
  </r>
  <r>
    <x v="1203"/>
    <x v="10"/>
    <x v="1"/>
    <x v="223"/>
    <x v="2"/>
    <x v="503"/>
    <x v="0"/>
    <x v="4"/>
    <x v="4"/>
    <x v="3"/>
  </r>
  <r>
    <x v="1204"/>
    <x v="10"/>
    <x v="0"/>
    <x v="223"/>
    <x v="2"/>
    <x v="170"/>
    <x v="0"/>
    <x v="1"/>
    <x v="1"/>
    <x v="1"/>
  </r>
  <r>
    <x v="1205"/>
    <x v="50"/>
    <x v="3"/>
    <x v="224"/>
    <x v="2"/>
    <x v="1674"/>
    <x v="1"/>
    <x v="4"/>
    <x v="4"/>
    <x v="3"/>
  </r>
  <r>
    <x v="1206"/>
    <x v="200"/>
    <x v="1"/>
    <x v="224"/>
    <x v="2"/>
    <x v="1674"/>
    <x v="1"/>
    <x v="2"/>
    <x v="3"/>
    <x v="0"/>
  </r>
  <r>
    <x v="1207"/>
    <x v="201"/>
    <x v="3"/>
    <x v="224"/>
    <x v="2"/>
    <x v="1675"/>
    <x v="1"/>
    <x v="4"/>
    <x v="4"/>
    <x v="3"/>
  </r>
  <r>
    <x v="1208"/>
    <x v="200"/>
    <x v="0"/>
    <x v="224"/>
    <x v="2"/>
    <x v="559"/>
    <x v="0"/>
    <x v="2"/>
    <x v="3"/>
    <x v="2"/>
  </r>
  <r>
    <x v="1209"/>
    <x v="201"/>
    <x v="1"/>
    <x v="224"/>
    <x v="2"/>
    <x v="215"/>
    <x v="0"/>
    <x v="1"/>
    <x v="1"/>
    <x v="1"/>
  </r>
  <r>
    <x v="1210"/>
    <x v="201"/>
    <x v="2"/>
    <x v="224"/>
    <x v="2"/>
    <x v="694"/>
    <x v="0"/>
    <x v="4"/>
    <x v="4"/>
    <x v="2"/>
  </r>
  <r>
    <x v="1211"/>
    <x v="200"/>
    <x v="3"/>
    <x v="224"/>
    <x v="2"/>
    <x v="854"/>
    <x v="0"/>
    <x v="4"/>
    <x v="4"/>
    <x v="2"/>
  </r>
  <r>
    <x v="1212"/>
    <x v="201"/>
    <x v="1"/>
    <x v="225"/>
    <x v="2"/>
    <x v="399"/>
    <x v="0"/>
    <x v="1"/>
    <x v="1"/>
    <x v="3"/>
  </r>
  <r>
    <x v="1213"/>
    <x v="201"/>
    <x v="0"/>
    <x v="225"/>
    <x v="2"/>
    <x v="339"/>
    <x v="0"/>
    <x v="4"/>
    <x v="4"/>
    <x v="3"/>
  </r>
  <r>
    <x v="1214"/>
    <x v="201"/>
    <x v="0"/>
    <x v="225"/>
    <x v="2"/>
    <x v="283"/>
    <x v="0"/>
    <x v="1"/>
    <x v="1"/>
    <x v="3"/>
  </r>
  <r>
    <x v="1215"/>
    <x v="135"/>
    <x v="3"/>
    <x v="226"/>
    <x v="4"/>
    <x v="2031"/>
    <x v="1"/>
    <x v="4"/>
    <x v="4"/>
    <x v="0"/>
  </r>
  <r>
    <x v="1216"/>
    <x v="175"/>
    <x v="2"/>
    <x v="227"/>
    <x v="4"/>
    <x v="1942"/>
    <x v="1"/>
    <x v="4"/>
    <x v="4"/>
    <x v="0"/>
  </r>
  <r>
    <x v="1217"/>
    <x v="175"/>
    <x v="0"/>
    <x v="227"/>
    <x v="4"/>
    <x v="1051"/>
    <x v="1"/>
    <x v="2"/>
    <x v="3"/>
    <x v="1"/>
  </r>
  <r>
    <x v="1218"/>
    <x v="175"/>
    <x v="3"/>
    <x v="227"/>
    <x v="4"/>
    <x v="1227"/>
    <x v="1"/>
    <x v="1"/>
    <x v="1"/>
    <x v="1"/>
  </r>
  <r>
    <x v="1219"/>
    <x v="175"/>
    <x v="0"/>
    <x v="227"/>
    <x v="4"/>
    <x v="1051"/>
    <x v="1"/>
    <x v="1"/>
    <x v="1"/>
    <x v="0"/>
  </r>
  <r>
    <x v="1220"/>
    <x v="175"/>
    <x v="1"/>
    <x v="227"/>
    <x v="4"/>
    <x v="1051"/>
    <x v="1"/>
    <x v="1"/>
    <x v="1"/>
    <x v="3"/>
  </r>
  <r>
    <x v="1221"/>
    <x v="175"/>
    <x v="0"/>
    <x v="227"/>
    <x v="4"/>
    <x v="2269"/>
    <x v="1"/>
    <x v="0"/>
    <x v="0"/>
    <x v="1"/>
  </r>
  <r>
    <x v="1222"/>
    <x v="175"/>
    <x v="1"/>
    <x v="227"/>
    <x v="4"/>
    <x v="1051"/>
    <x v="1"/>
    <x v="4"/>
    <x v="4"/>
    <x v="2"/>
  </r>
  <r>
    <x v="1223"/>
    <x v="175"/>
    <x v="3"/>
    <x v="227"/>
    <x v="4"/>
    <x v="2253"/>
    <x v="1"/>
    <x v="1"/>
    <x v="1"/>
    <x v="3"/>
  </r>
  <r>
    <x v="1224"/>
    <x v="175"/>
    <x v="1"/>
    <x v="227"/>
    <x v="4"/>
    <x v="741"/>
    <x v="0"/>
    <x v="2"/>
    <x v="3"/>
    <x v="3"/>
  </r>
  <r>
    <x v="1225"/>
    <x v="175"/>
    <x v="0"/>
    <x v="227"/>
    <x v="4"/>
    <x v="1182"/>
    <x v="1"/>
    <x v="2"/>
    <x v="3"/>
    <x v="1"/>
  </r>
  <r>
    <x v="1226"/>
    <x v="139"/>
    <x v="3"/>
    <x v="228"/>
    <x v="4"/>
    <x v="1182"/>
    <x v="1"/>
    <x v="1"/>
    <x v="1"/>
    <x v="3"/>
  </r>
  <r>
    <x v="1227"/>
    <x v="7"/>
    <x v="0"/>
    <x v="229"/>
    <x v="4"/>
    <x v="1042"/>
    <x v="1"/>
    <x v="0"/>
    <x v="0"/>
    <x v="3"/>
  </r>
  <r>
    <x v="1228"/>
    <x v="135"/>
    <x v="1"/>
    <x v="229"/>
    <x v="4"/>
    <x v="1042"/>
    <x v="1"/>
    <x v="1"/>
    <x v="1"/>
    <x v="3"/>
  </r>
  <r>
    <x v="1229"/>
    <x v="135"/>
    <x v="0"/>
    <x v="229"/>
    <x v="4"/>
    <x v="1156"/>
    <x v="1"/>
    <x v="1"/>
    <x v="1"/>
    <x v="3"/>
  </r>
  <r>
    <x v="1230"/>
    <x v="106"/>
    <x v="0"/>
    <x v="230"/>
    <x v="4"/>
    <x v="1153"/>
    <x v="1"/>
    <x v="2"/>
    <x v="3"/>
    <x v="3"/>
  </r>
  <r>
    <x v="1231"/>
    <x v="7"/>
    <x v="3"/>
    <x v="230"/>
    <x v="4"/>
    <x v="161"/>
    <x v="0"/>
    <x v="1"/>
    <x v="1"/>
    <x v="3"/>
  </r>
  <r>
    <x v="1232"/>
    <x v="7"/>
    <x v="1"/>
    <x v="230"/>
    <x v="4"/>
    <x v="9"/>
    <x v="0"/>
    <x v="2"/>
    <x v="3"/>
    <x v="3"/>
  </r>
  <r>
    <x v="1233"/>
    <x v="18"/>
    <x v="3"/>
    <x v="231"/>
    <x v="4"/>
    <x v="1073"/>
    <x v="1"/>
    <x v="3"/>
    <x v="2"/>
    <x v="3"/>
  </r>
  <r>
    <x v="1234"/>
    <x v="253"/>
    <x v="1"/>
    <x v="231"/>
    <x v="4"/>
    <x v="281"/>
    <x v="0"/>
    <x v="3"/>
    <x v="2"/>
    <x v="3"/>
  </r>
  <r>
    <x v="1235"/>
    <x v="254"/>
    <x v="0"/>
    <x v="231"/>
    <x v="4"/>
    <x v="1103"/>
    <x v="1"/>
    <x v="4"/>
    <x v="4"/>
    <x v="2"/>
  </r>
  <r>
    <x v="1236"/>
    <x v="254"/>
    <x v="3"/>
    <x v="231"/>
    <x v="4"/>
    <x v="1723"/>
    <x v="1"/>
    <x v="2"/>
    <x v="3"/>
    <x v="1"/>
  </r>
  <r>
    <x v="1237"/>
    <x v="253"/>
    <x v="3"/>
    <x v="231"/>
    <x v="4"/>
    <x v="1146"/>
    <x v="1"/>
    <x v="2"/>
    <x v="3"/>
    <x v="3"/>
  </r>
  <r>
    <x v="1238"/>
    <x v="260"/>
    <x v="3"/>
    <x v="231"/>
    <x v="4"/>
    <x v="1728"/>
    <x v="1"/>
    <x v="4"/>
    <x v="4"/>
    <x v="1"/>
  </r>
  <r>
    <x v="1239"/>
    <x v="260"/>
    <x v="0"/>
    <x v="231"/>
    <x v="4"/>
    <x v="1081"/>
    <x v="1"/>
    <x v="3"/>
    <x v="2"/>
    <x v="3"/>
  </r>
  <r>
    <x v="1240"/>
    <x v="23"/>
    <x v="2"/>
    <x v="232"/>
    <x v="4"/>
    <x v="1705"/>
    <x v="1"/>
    <x v="1"/>
    <x v="1"/>
    <x v="0"/>
  </r>
  <r>
    <x v="1241"/>
    <x v="261"/>
    <x v="1"/>
    <x v="232"/>
    <x v="4"/>
    <x v="1132"/>
    <x v="1"/>
    <x v="0"/>
    <x v="0"/>
    <x v="3"/>
  </r>
  <r>
    <x v="1242"/>
    <x v="252"/>
    <x v="0"/>
    <x v="232"/>
    <x v="4"/>
    <x v="1729"/>
    <x v="1"/>
    <x v="1"/>
    <x v="1"/>
    <x v="0"/>
  </r>
  <r>
    <x v="1243"/>
    <x v="263"/>
    <x v="2"/>
    <x v="232"/>
    <x v="4"/>
    <x v="2192"/>
    <x v="1"/>
    <x v="0"/>
    <x v="0"/>
    <x v="2"/>
  </r>
  <r>
    <x v="1244"/>
    <x v="252"/>
    <x v="1"/>
    <x v="232"/>
    <x v="4"/>
    <x v="592"/>
    <x v="0"/>
    <x v="1"/>
    <x v="1"/>
    <x v="0"/>
  </r>
  <r>
    <x v="1245"/>
    <x v="261"/>
    <x v="1"/>
    <x v="232"/>
    <x v="4"/>
    <x v="897"/>
    <x v="0"/>
    <x v="2"/>
    <x v="3"/>
    <x v="3"/>
  </r>
  <r>
    <x v="1246"/>
    <x v="263"/>
    <x v="3"/>
    <x v="232"/>
    <x v="4"/>
    <x v="870"/>
    <x v="0"/>
    <x v="1"/>
    <x v="1"/>
    <x v="3"/>
  </r>
  <r>
    <x v="1247"/>
    <x v="139"/>
    <x v="0"/>
    <x v="233"/>
    <x v="4"/>
    <x v="530"/>
    <x v="0"/>
    <x v="4"/>
    <x v="4"/>
    <x v="3"/>
  </r>
  <r>
    <x v="1248"/>
    <x v="208"/>
    <x v="1"/>
    <x v="234"/>
    <x v="4"/>
    <x v="77"/>
    <x v="0"/>
    <x v="4"/>
    <x v="4"/>
    <x v="3"/>
  </r>
  <r>
    <x v="1249"/>
    <x v="208"/>
    <x v="1"/>
    <x v="234"/>
    <x v="4"/>
    <x v="1194"/>
    <x v="1"/>
    <x v="1"/>
    <x v="1"/>
    <x v="1"/>
  </r>
  <r>
    <x v="1250"/>
    <x v="208"/>
    <x v="2"/>
    <x v="234"/>
    <x v="4"/>
    <x v="2146"/>
    <x v="1"/>
    <x v="4"/>
    <x v="4"/>
    <x v="1"/>
  </r>
  <r>
    <x v="1251"/>
    <x v="208"/>
    <x v="3"/>
    <x v="234"/>
    <x v="4"/>
    <x v="1714"/>
    <x v="1"/>
    <x v="1"/>
    <x v="1"/>
    <x v="3"/>
  </r>
  <r>
    <x v="1252"/>
    <x v="208"/>
    <x v="2"/>
    <x v="234"/>
    <x v="4"/>
    <x v="1653"/>
    <x v="1"/>
    <x v="1"/>
    <x v="1"/>
    <x v="0"/>
  </r>
  <r>
    <x v="1253"/>
    <x v="135"/>
    <x v="2"/>
    <x v="235"/>
    <x v="4"/>
    <x v="2219"/>
    <x v="1"/>
    <x v="2"/>
    <x v="3"/>
    <x v="3"/>
  </r>
  <r>
    <x v="1254"/>
    <x v="111"/>
    <x v="1"/>
    <x v="236"/>
    <x v="4"/>
    <x v="2143"/>
    <x v="1"/>
    <x v="1"/>
    <x v="1"/>
    <x v="2"/>
  </r>
  <r>
    <x v="1255"/>
    <x v="111"/>
    <x v="2"/>
    <x v="236"/>
    <x v="4"/>
    <x v="1634"/>
    <x v="1"/>
    <x v="1"/>
    <x v="1"/>
    <x v="3"/>
  </r>
  <r>
    <x v="1256"/>
    <x v="111"/>
    <x v="0"/>
    <x v="236"/>
    <x v="4"/>
    <x v="118"/>
    <x v="0"/>
    <x v="4"/>
    <x v="4"/>
    <x v="3"/>
  </r>
  <r>
    <x v="1257"/>
    <x v="111"/>
    <x v="3"/>
    <x v="236"/>
    <x v="4"/>
    <x v="69"/>
    <x v="0"/>
    <x v="1"/>
    <x v="1"/>
    <x v="3"/>
  </r>
  <r>
    <x v="1258"/>
    <x v="135"/>
    <x v="2"/>
    <x v="236"/>
    <x v="4"/>
    <x v="186"/>
    <x v="0"/>
    <x v="2"/>
    <x v="3"/>
    <x v="0"/>
  </r>
  <r>
    <x v="1259"/>
    <x v="111"/>
    <x v="0"/>
    <x v="236"/>
    <x v="4"/>
    <x v="367"/>
    <x v="0"/>
    <x v="1"/>
    <x v="1"/>
    <x v="3"/>
  </r>
  <r>
    <x v="1260"/>
    <x v="111"/>
    <x v="1"/>
    <x v="236"/>
    <x v="4"/>
    <x v="203"/>
    <x v="0"/>
    <x v="1"/>
    <x v="1"/>
    <x v="2"/>
  </r>
  <r>
    <x v="1261"/>
    <x v="19"/>
    <x v="3"/>
    <x v="237"/>
    <x v="4"/>
    <x v="377"/>
    <x v="0"/>
    <x v="1"/>
    <x v="1"/>
    <x v="1"/>
  </r>
  <r>
    <x v="1262"/>
    <x v="200"/>
    <x v="3"/>
    <x v="237"/>
    <x v="4"/>
    <x v="891"/>
    <x v="0"/>
    <x v="2"/>
    <x v="3"/>
    <x v="1"/>
  </r>
  <r>
    <x v="1263"/>
    <x v="201"/>
    <x v="3"/>
    <x v="237"/>
    <x v="4"/>
    <x v="2259"/>
    <x v="1"/>
    <x v="4"/>
    <x v="4"/>
    <x v="1"/>
  </r>
  <r>
    <x v="1264"/>
    <x v="200"/>
    <x v="2"/>
    <x v="237"/>
    <x v="4"/>
    <x v="138"/>
    <x v="0"/>
    <x v="2"/>
    <x v="3"/>
    <x v="3"/>
  </r>
  <r>
    <x v="1265"/>
    <x v="201"/>
    <x v="1"/>
    <x v="237"/>
    <x v="4"/>
    <x v="708"/>
    <x v="0"/>
    <x v="2"/>
    <x v="3"/>
    <x v="3"/>
  </r>
  <r>
    <x v="1266"/>
    <x v="136"/>
    <x v="3"/>
    <x v="237"/>
    <x v="4"/>
    <x v="889"/>
    <x v="0"/>
    <x v="1"/>
    <x v="1"/>
    <x v="0"/>
  </r>
  <r>
    <x v="1267"/>
    <x v="200"/>
    <x v="3"/>
    <x v="237"/>
    <x v="4"/>
    <x v="542"/>
    <x v="0"/>
    <x v="1"/>
    <x v="1"/>
    <x v="3"/>
  </r>
  <r>
    <x v="1268"/>
    <x v="201"/>
    <x v="2"/>
    <x v="237"/>
    <x v="4"/>
    <x v="516"/>
    <x v="0"/>
    <x v="2"/>
    <x v="3"/>
    <x v="3"/>
  </r>
  <r>
    <x v="1269"/>
    <x v="241"/>
    <x v="0"/>
    <x v="238"/>
    <x v="4"/>
    <x v="471"/>
    <x v="0"/>
    <x v="3"/>
    <x v="2"/>
    <x v="1"/>
  </r>
  <r>
    <x v="1270"/>
    <x v="135"/>
    <x v="2"/>
    <x v="238"/>
    <x v="4"/>
    <x v="1185"/>
    <x v="1"/>
    <x v="1"/>
    <x v="1"/>
    <x v="2"/>
  </r>
  <r>
    <x v="1271"/>
    <x v="111"/>
    <x v="2"/>
    <x v="238"/>
    <x v="4"/>
    <x v="1932"/>
    <x v="1"/>
    <x v="1"/>
    <x v="1"/>
    <x v="3"/>
  </r>
  <r>
    <x v="1272"/>
    <x v="111"/>
    <x v="1"/>
    <x v="238"/>
    <x v="4"/>
    <x v="1929"/>
    <x v="1"/>
    <x v="1"/>
    <x v="1"/>
    <x v="3"/>
  </r>
  <r>
    <x v="1273"/>
    <x v="111"/>
    <x v="0"/>
    <x v="238"/>
    <x v="4"/>
    <x v="1924"/>
    <x v="1"/>
    <x v="2"/>
    <x v="3"/>
    <x v="1"/>
  </r>
  <r>
    <x v="1274"/>
    <x v="111"/>
    <x v="0"/>
    <x v="238"/>
    <x v="4"/>
    <x v="1920"/>
    <x v="1"/>
    <x v="4"/>
    <x v="4"/>
    <x v="1"/>
  </r>
  <r>
    <x v="1275"/>
    <x v="111"/>
    <x v="3"/>
    <x v="238"/>
    <x v="4"/>
    <x v="1801"/>
    <x v="1"/>
    <x v="1"/>
    <x v="1"/>
    <x v="3"/>
  </r>
  <r>
    <x v="1276"/>
    <x v="33"/>
    <x v="1"/>
    <x v="239"/>
    <x v="4"/>
    <x v="1815"/>
    <x v="1"/>
    <x v="2"/>
    <x v="3"/>
    <x v="2"/>
  </r>
  <r>
    <x v="1277"/>
    <x v="237"/>
    <x v="0"/>
    <x v="239"/>
    <x v="4"/>
    <x v="1779"/>
    <x v="1"/>
    <x v="1"/>
    <x v="1"/>
    <x v="1"/>
  </r>
  <r>
    <x v="1278"/>
    <x v="9"/>
    <x v="3"/>
    <x v="239"/>
    <x v="4"/>
    <x v="2111"/>
    <x v="1"/>
    <x v="4"/>
    <x v="4"/>
    <x v="2"/>
  </r>
  <r>
    <x v="1279"/>
    <x v="139"/>
    <x v="3"/>
    <x v="239"/>
    <x v="4"/>
    <x v="2177"/>
    <x v="1"/>
    <x v="2"/>
    <x v="3"/>
    <x v="1"/>
  </r>
  <r>
    <x v="1280"/>
    <x v="135"/>
    <x v="2"/>
    <x v="240"/>
    <x v="4"/>
    <x v="2012"/>
    <x v="1"/>
    <x v="1"/>
    <x v="1"/>
    <x v="3"/>
  </r>
  <r>
    <x v="1281"/>
    <x v="23"/>
    <x v="2"/>
    <x v="241"/>
    <x v="4"/>
    <x v="1148"/>
    <x v="1"/>
    <x v="1"/>
    <x v="1"/>
    <x v="3"/>
  </r>
  <r>
    <x v="1282"/>
    <x v="7"/>
    <x v="3"/>
    <x v="241"/>
    <x v="4"/>
    <x v="2151"/>
    <x v="1"/>
    <x v="1"/>
    <x v="1"/>
    <x v="1"/>
  </r>
  <r>
    <x v="1283"/>
    <x v="18"/>
    <x v="1"/>
    <x v="242"/>
    <x v="4"/>
    <x v="1461"/>
    <x v="1"/>
    <x v="1"/>
    <x v="1"/>
    <x v="3"/>
  </r>
  <r>
    <x v="1284"/>
    <x v="34"/>
    <x v="0"/>
    <x v="242"/>
    <x v="4"/>
    <x v="2094"/>
    <x v="1"/>
    <x v="2"/>
    <x v="3"/>
    <x v="3"/>
  </r>
  <r>
    <x v="1285"/>
    <x v="34"/>
    <x v="3"/>
    <x v="242"/>
    <x v="4"/>
    <x v="1461"/>
    <x v="1"/>
    <x v="2"/>
    <x v="3"/>
    <x v="3"/>
  </r>
  <r>
    <x v="1286"/>
    <x v="34"/>
    <x v="1"/>
    <x v="242"/>
    <x v="4"/>
    <x v="1461"/>
    <x v="1"/>
    <x v="2"/>
    <x v="3"/>
    <x v="2"/>
  </r>
  <r>
    <x v="1287"/>
    <x v="136"/>
    <x v="1"/>
    <x v="242"/>
    <x v="4"/>
    <x v="1461"/>
    <x v="1"/>
    <x v="0"/>
    <x v="0"/>
    <x v="1"/>
  </r>
  <r>
    <x v="1288"/>
    <x v="19"/>
    <x v="2"/>
    <x v="243"/>
    <x v="4"/>
    <x v="1461"/>
    <x v="1"/>
    <x v="3"/>
    <x v="2"/>
    <x v="3"/>
  </r>
  <r>
    <x v="1289"/>
    <x v="139"/>
    <x v="3"/>
    <x v="243"/>
    <x v="4"/>
    <x v="479"/>
    <x v="0"/>
    <x v="3"/>
    <x v="2"/>
    <x v="1"/>
  </r>
  <r>
    <x v="1290"/>
    <x v="261"/>
    <x v="2"/>
    <x v="243"/>
    <x v="4"/>
    <x v="905"/>
    <x v="0"/>
    <x v="1"/>
    <x v="1"/>
    <x v="1"/>
  </r>
  <r>
    <x v="1291"/>
    <x v="254"/>
    <x v="1"/>
    <x v="243"/>
    <x v="4"/>
    <x v="614"/>
    <x v="0"/>
    <x v="4"/>
    <x v="4"/>
    <x v="2"/>
  </r>
  <r>
    <x v="1292"/>
    <x v="263"/>
    <x v="3"/>
    <x v="243"/>
    <x v="4"/>
    <x v="947"/>
    <x v="0"/>
    <x v="1"/>
    <x v="1"/>
    <x v="1"/>
  </r>
  <r>
    <x v="1293"/>
    <x v="135"/>
    <x v="3"/>
    <x v="243"/>
    <x v="4"/>
    <x v="673"/>
    <x v="0"/>
    <x v="4"/>
    <x v="4"/>
    <x v="1"/>
  </r>
  <r>
    <x v="1294"/>
    <x v="254"/>
    <x v="1"/>
    <x v="243"/>
    <x v="4"/>
    <x v="736"/>
    <x v="0"/>
    <x v="1"/>
    <x v="1"/>
    <x v="3"/>
  </r>
  <r>
    <x v="1295"/>
    <x v="263"/>
    <x v="1"/>
    <x v="243"/>
    <x v="4"/>
    <x v="980"/>
    <x v="0"/>
    <x v="1"/>
    <x v="1"/>
    <x v="0"/>
  </r>
  <r>
    <x v="1296"/>
    <x v="261"/>
    <x v="3"/>
    <x v="243"/>
    <x v="4"/>
    <x v="130"/>
    <x v="0"/>
    <x v="4"/>
    <x v="4"/>
    <x v="3"/>
  </r>
  <r>
    <x v="1297"/>
    <x v="23"/>
    <x v="1"/>
    <x v="244"/>
    <x v="4"/>
    <x v="769"/>
    <x v="0"/>
    <x v="1"/>
    <x v="1"/>
    <x v="0"/>
  </r>
  <r>
    <x v="1298"/>
    <x v="106"/>
    <x v="3"/>
    <x v="245"/>
    <x v="4"/>
    <x v="626"/>
    <x v="0"/>
    <x v="2"/>
    <x v="3"/>
    <x v="3"/>
  </r>
  <r>
    <x v="1299"/>
    <x v="19"/>
    <x v="2"/>
    <x v="245"/>
    <x v="4"/>
    <x v="939"/>
    <x v="0"/>
    <x v="0"/>
    <x v="0"/>
    <x v="3"/>
  </r>
  <r>
    <x v="1300"/>
    <x v="50"/>
    <x v="1"/>
    <x v="245"/>
    <x v="4"/>
    <x v="636"/>
    <x v="0"/>
    <x v="1"/>
    <x v="1"/>
    <x v="0"/>
  </r>
  <r>
    <x v="1301"/>
    <x v="135"/>
    <x v="0"/>
    <x v="245"/>
    <x v="4"/>
    <x v="640"/>
    <x v="0"/>
    <x v="2"/>
    <x v="3"/>
    <x v="0"/>
  </r>
  <r>
    <x v="1302"/>
    <x v="21"/>
    <x v="1"/>
    <x v="246"/>
    <x v="4"/>
    <x v="720"/>
    <x v="0"/>
    <x v="1"/>
    <x v="1"/>
    <x v="1"/>
  </r>
  <r>
    <x v="1303"/>
    <x v="21"/>
    <x v="1"/>
    <x v="246"/>
    <x v="4"/>
    <x v="764"/>
    <x v="0"/>
    <x v="1"/>
    <x v="1"/>
    <x v="1"/>
  </r>
  <r>
    <x v="1304"/>
    <x v="139"/>
    <x v="3"/>
    <x v="246"/>
    <x v="4"/>
    <x v="5"/>
    <x v="0"/>
    <x v="1"/>
    <x v="1"/>
    <x v="3"/>
  </r>
  <r>
    <x v="1305"/>
    <x v="136"/>
    <x v="2"/>
    <x v="246"/>
    <x v="4"/>
    <x v="1645"/>
    <x v="1"/>
    <x v="4"/>
    <x v="4"/>
    <x v="1"/>
  </r>
  <r>
    <x v="1306"/>
    <x v="23"/>
    <x v="3"/>
    <x v="247"/>
    <x v="4"/>
    <x v="1618"/>
    <x v="1"/>
    <x v="4"/>
    <x v="4"/>
    <x v="3"/>
  </r>
  <r>
    <x v="1307"/>
    <x v="237"/>
    <x v="3"/>
    <x v="248"/>
    <x v="4"/>
    <x v="1648"/>
    <x v="1"/>
    <x v="2"/>
    <x v="3"/>
    <x v="3"/>
  </r>
  <r>
    <x v="1308"/>
    <x v="213"/>
    <x v="3"/>
    <x v="248"/>
    <x v="4"/>
    <x v="2223"/>
    <x v="1"/>
    <x v="1"/>
    <x v="1"/>
    <x v="0"/>
  </r>
  <r>
    <x v="1309"/>
    <x v="215"/>
    <x v="1"/>
    <x v="248"/>
    <x v="4"/>
    <x v="1612"/>
    <x v="1"/>
    <x v="2"/>
    <x v="3"/>
    <x v="0"/>
  </r>
  <r>
    <x v="1310"/>
    <x v="50"/>
    <x v="2"/>
    <x v="248"/>
    <x v="4"/>
    <x v="430"/>
    <x v="0"/>
    <x v="1"/>
    <x v="1"/>
    <x v="1"/>
  </r>
  <r>
    <x v="1311"/>
    <x v="225"/>
    <x v="2"/>
    <x v="248"/>
    <x v="4"/>
    <x v="818"/>
    <x v="0"/>
    <x v="1"/>
    <x v="1"/>
    <x v="1"/>
  </r>
  <r>
    <x v="1312"/>
    <x v="225"/>
    <x v="2"/>
    <x v="248"/>
    <x v="4"/>
    <x v="1725"/>
    <x v="1"/>
    <x v="2"/>
    <x v="3"/>
    <x v="1"/>
  </r>
  <r>
    <x v="1313"/>
    <x v="225"/>
    <x v="1"/>
    <x v="248"/>
    <x v="4"/>
    <x v="1739"/>
    <x v="1"/>
    <x v="1"/>
    <x v="1"/>
    <x v="3"/>
  </r>
  <r>
    <x v="1314"/>
    <x v="1"/>
    <x v="2"/>
    <x v="249"/>
    <x v="3"/>
    <x v="1063"/>
    <x v="1"/>
    <x v="2"/>
    <x v="3"/>
    <x v="2"/>
  </r>
  <r>
    <x v="1315"/>
    <x v="241"/>
    <x v="0"/>
    <x v="249"/>
    <x v="3"/>
    <x v="1042"/>
    <x v="1"/>
    <x v="2"/>
    <x v="3"/>
    <x v="1"/>
  </r>
  <r>
    <x v="1316"/>
    <x v="135"/>
    <x v="0"/>
    <x v="250"/>
    <x v="3"/>
    <x v="1042"/>
    <x v="1"/>
    <x v="1"/>
    <x v="1"/>
    <x v="3"/>
  </r>
  <r>
    <x v="1317"/>
    <x v="21"/>
    <x v="0"/>
    <x v="251"/>
    <x v="3"/>
    <x v="1042"/>
    <x v="1"/>
    <x v="2"/>
    <x v="3"/>
    <x v="3"/>
  </r>
  <r>
    <x v="1318"/>
    <x v="175"/>
    <x v="3"/>
    <x v="251"/>
    <x v="3"/>
    <x v="2129"/>
    <x v="1"/>
    <x v="1"/>
    <x v="1"/>
    <x v="1"/>
  </r>
  <r>
    <x v="1319"/>
    <x v="175"/>
    <x v="1"/>
    <x v="251"/>
    <x v="3"/>
    <x v="2033"/>
    <x v="1"/>
    <x v="3"/>
    <x v="2"/>
    <x v="0"/>
  </r>
  <r>
    <x v="1320"/>
    <x v="175"/>
    <x v="3"/>
    <x v="251"/>
    <x v="3"/>
    <x v="1063"/>
    <x v="1"/>
    <x v="3"/>
    <x v="2"/>
    <x v="1"/>
  </r>
  <r>
    <x v="1321"/>
    <x v="175"/>
    <x v="1"/>
    <x v="251"/>
    <x v="3"/>
    <x v="1042"/>
    <x v="1"/>
    <x v="3"/>
    <x v="2"/>
    <x v="1"/>
  </r>
  <r>
    <x v="1322"/>
    <x v="175"/>
    <x v="2"/>
    <x v="251"/>
    <x v="3"/>
    <x v="1049"/>
    <x v="1"/>
    <x v="1"/>
    <x v="1"/>
    <x v="1"/>
  </r>
  <r>
    <x v="1323"/>
    <x v="175"/>
    <x v="3"/>
    <x v="251"/>
    <x v="3"/>
    <x v="1047"/>
    <x v="1"/>
    <x v="1"/>
    <x v="1"/>
    <x v="3"/>
  </r>
  <r>
    <x v="1324"/>
    <x v="175"/>
    <x v="0"/>
    <x v="251"/>
    <x v="3"/>
    <x v="481"/>
    <x v="0"/>
    <x v="4"/>
    <x v="4"/>
    <x v="2"/>
  </r>
  <r>
    <x v="1325"/>
    <x v="175"/>
    <x v="1"/>
    <x v="251"/>
    <x v="3"/>
    <x v="21"/>
    <x v="0"/>
    <x v="1"/>
    <x v="1"/>
    <x v="1"/>
  </r>
  <r>
    <x v="1326"/>
    <x v="175"/>
    <x v="3"/>
    <x v="251"/>
    <x v="3"/>
    <x v="316"/>
    <x v="0"/>
    <x v="1"/>
    <x v="1"/>
    <x v="3"/>
  </r>
  <r>
    <x v="1327"/>
    <x v="175"/>
    <x v="2"/>
    <x v="251"/>
    <x v="3"/>
    <x v="962"/>
    <x v="0"/>
    <x v="4"/>
    <x v="4"/>
    <x v="3"/>
  </r>
  <r>
    <x v="1328"/>
    <x v="216"/>
    <x v="1"/>
    <x v="252"/>
    <x v="3"/>
    <x v="517"/>
    <x v="0"/>
    <x v="3"/>
    <x v="2"/>
    <x v="0"/>
  </r>
  <r>
    <x v="1329"/>
    <x v="209"/>
    <x v="0"/>
    <x v="252"/>
    <x v="3"/>
    <x v="209"/>
    <x v="0"/>
    <x v="1"/>
    <x v="1"/>
    <x v="1"/>
  </r>
  <r>
    <x v="1330"/>
    <x v="7"/>
    <x v="0"/>
    <x v="252"/>
    <x v="3"/>
    <x v="1952"/>
    <x v="1"/>
    <x v="1"/>
    <x v="1"/>
    <x v="0"/>
  </r>
  <r>
    <x v="1331"/>
    <x v="1"/>
    <x v="3"/>
    <x v="252"/>
    <x v="3"/>
    <x v="1091"/>
    <x v="1"/>
    <x v="2"/>
    <x v="3"/>
    <x v="3"/>
  </r>
  <r>
    <x v="1332"/>
    <x v="139"/>
    <x v="3"/>
    <x v="252"/>
    <x v="3"/>
    <x v="1951"/>
    <x v="1"/>
    <x v="1"/>
    <x v="1"/>
    <x v="1"/>
  </r>
  <r>
    <x v="1333"/>
    <x v="253"/>
    <x v="0"/>
    <x v="252"/>
    <x v="3"/>
    <x v="1082"/>
    <x v="1"/>
    <x v="4"/>
    <x v="4"/>
    <x v="3"/>
  </r>
  <r>
    <x v="1334"/>
    <x v="254"/>
    <x v="0"/>
    <x v="252"/>
    <x v="3"/>
    <x v="1075"/>
    <x v="1"/>
    <x v="2"/>
    <x v="3"/>
    <x v="0"/>
  </r>
  <r>
    <x v="1335"/>
    <x v="261"/>
    <x v="1"/>
    <x v="252"/>
    <x v="3"/>
    <x v="1966"/>
    <x v="1"/>
    <x v="2"/>
    <x v="3"/>
    <x v="0"/>
  </r>
  <r>
    <x v="1336"/>
    <x v="253"/>
    <x v="1"/>
    <x v="252"/>
    <x v="3"/>
    <x v="434"/>
    <x v="0"/>
    <x v="4"/>
    <x v="4"/>
    <x v="3"/>
  </r>
  <r>
    <x v="1337"/>
    <x v="254"/>
    <x v="2"/>
    <x v="252"/>
    <x v="3"/>
    <x v="788"/>
    <x v="0"/>
    <x v="4"/>
    <x v="4"/>
    <x v="3"/>
  </r>
  <r>
    <x v="1338"/>
    <x v="261"/>
    <x v="0"/>
    <x v="252"/>
    <x v="3"/>
    <x v="733"/>
    <x v="0"/>
    <x v="1"/>
    <x v="1"/>
    <x v="3"/>
  </r>
  <r>
    <x v="1339"/>
    <x v="260"/>
    <x v="0"/>
    <x v="252"/>
    <x v="3"/>
    <x v="754"/>
    <x v="0"/>
    <x v="1"/>
    <x v="1"/>
    <x v="0"/>
  </r>
  <r>
    <x v="1340"/>
    <x v="260"/>
    <x v="3"/>
    <x v="252"/>
    <x v="3"/>
    <x v="952"/>
    <x v="0"/>
    <x v="0"/>
    <x v="0"/>
    <x v="1"/>
  </r>
  <r>
    <x v="1341"/>
    <x v="7"/>
    <x v="2"/>
    <x v="253"/>
    <x v="3"/>
    <x v="988"/>
    <x v="0"/>
    <x v="2"/>
    <x v="3"/>
    <x v="3"/>
  </r>
  <r>
    <x v="1342"/>
    <x v="7"/>
    <x v="0"/>
    <x v="253"/>
    <x v="3"/>
    <x v="47"/>
    <x v="0"/>
    <x v="4"/>
    <x v="4"/>
    <x v="3"/>
  </r>
  <r>
    <x v="1343"/>
    <x v="7"/>
    <x v="2"/>
    <x v="253"/>
    <x v="3"/>
    <x v="1724"/>
    <x v="1"/>
    <x v="0"/>
    <x v="0"/>
    <x v="3"/>
  </r>
  <r>
    <x v="1344"/>
    <x v="263"/>
    <x v="1"/>
    <x v="253"/>
    <x v="3"/>
    <x v="252"/>
    <x v="0"/>
    <x v="3"/>
    <x v="2"/>
    <x v="0"/>
  </r>
  <r>
    <x v="1345"/>
    <x v="135"/>
    <x v="0"/>
    <x v="253"/>
    <x v="3"/>
    <x v="120"/>
    <x v="0"/>
    <x v="1"/>
    <x v="1"/>
    <x v="3"/>
  </r>
  <r>
    <x v="1346"/>
    <x v="263"/>
    <x v="2"/>
    <x v="253"/>
    <x v="3"/>
    <x v="14"/>
    <x v="0"/>
    <x v="1"/>
    <x v="1"/>
    <x v="1"/>
  </r>
  <r>
    <x v="1347"/>
    <x v="23"/>
    <x v="3"/>
    <x v="254"/>
    <x v="3"/>
    <x v="313"/>
    <x v="0"/>
    <x v="4"/>
    <x v="4"/>
    <x v="3"/>
  </r>
  <r>
    <x v="1348"/>
    <x v="211"/>
    <x v="2"/>
    <x v="255"/>
    <x v="3"/>
    <x v="263"/>
    <x v="0"/>
    <x v="4"/>
    <x v="4"/>
    <x v="2"/>
  </r>
  <r>
    <x v="1349"/>
    <x v="7"/>
    <x v="0"/>
    <x v="255"/>
    <x v="3"/>
    <x v="314"/>
    <x v="0"/>
    <x v="0"/>
    <x v="0"/>
    <x v="3"/>
  </r>
  <r>
    <x v="1350"/>
    <x v="139"/>
    <x v="2"/>
    <x v="255"/>
    <x v="3"/>
    <x v="1978"/>
    <x v="1"/>
    <x v="1"/>
    <x v="1"/>
    <x v="3"/>
  </r>
  <r>
    <x v="1351"/>
    <x v="201"/>
    <x v="3"/>
    <x v="256"/>
    <x v="3"/>
    <x v="2024"/>
    <x v="1"/>
    <x v="1"/>
    <x v="1"/>
    <x v="3"/>
  </r>
  <r>
    <x v="1352"/>
    <x v="200"/>
    <x v="1"/>
    <x v="256"/>
    <x v="3"/>
    <x v="1649"/>
    <x v="1"/>
    <x v="0"/>
    <x v="0"/>
    <x v="1"/>
  </r>
  <r>
    <x v="1353"/>
    <x v="200"/>
    <x v="2"/>
    <x v="256"/>
    <x v="3"/>
    <x v="1695"/>
    <x v="1"/>
    <x v="2"/>
    <x v="3"/>
    <x v="1"/>
  </r>
  <r>
    <x v="1354"/>
    <x v="201"/>
    <x v="3"/>
    <x v="256"/>
    <x v="3"/>
    <x v="1192"/>
    <x v="1"/>
    <x v="2"/>
    <x v="3"/>
    <x v="0"/>
  </r>
  <r>
    <x v="1355"/>
    <x v="200"/>
    <x v="1"/>
    <x v="256"/>
    <x v="3"/>
    <x v="1720"/>
    <x v="1"/>
    <x v="0"/>
    <x v="0"/>
    <x v="3"/>
  </r>
  <r>
    <x v="1356"/>
    <x v="25"/>
    <x v="0"/>
    <x v="257"/>
    <x v="3"/>
    <x v="1093"/>
    <x v="1"/>
    <x v="3"/>
    <x v="2"/>
    <x v="1"/>
  </r>
  <r>
    <x v="1357"/>
    <x v="139"/>
    <x v="0"/>
    <x v="258"/>
    <x v="3"/>
    <x v="2071"/>
    <x v="1"/>
    <x v="2"/>
    <x v="3"/>
    <x v="3"/>
  </r>
  <r>
    <x v="1358"/>
    <x v="135"/>
    <x v="3"/>
    <x v="258"/>
    <x v="3"/>
    <x v="2199"/>
    <x v="1"/>
    <x v="4"/>
    <x v="4"/>
    <x v="2"/>
  </r>
  <r>
    <x v="1359"/>
    <x v="135"/>
    <x v="1"/>
    <x v="258"/>
    <x v="3"/>
    <x v="1198"/>
    <x v="1"/>
    <x v="1"/>
    <x v="1"/>
    <x v="1"/>
  </r>
  <r>
    <x v="1360"/>
    <x v="135"/>
    <x v="3"/>
    <x v="258"/>
    <x v="3"/>
    <x v="1721"/>
    <x v="1"/>
    <x v="2"/>
    <x v="3"/>
    <x v="3"/>
  </r>
  <r>
    <x v="1361"/>
    <x v="19"/>
    <x v="2"/>
    <x v="259"/>
    <x v="3"/>
    <x v="1093"/>
    <x v="1"/>
    <x v="1"/>
    <x v="1"/>
    <x v="3"/>
  </r>
  <r>
    <x v="1362"/>
    <x v="241"/>
    <x v="3"/>
    <x v="259"/>
    <x v="3"/>
    <x v="1208"/>
    <x v="1"/>
    <x v="1"/>
    <x v="1"/>
    <x v="3"/>
  </r>
  <r>
    <x v="1363"/>
    <x v="12"/>
    <x v="3"/>
    <x v="260"/>
    <x v="3"/>
    <x v="1768"/>
    <x v="1"/>
    <x v="1"/>
    <x v="1"/>
    <x v="3"/>
  </r>
  <r>
    <x v="1364"/>
    <x v="34"/>
    <x v="3"/>
    <x v="260"/>
    <x v="3"/>
    <x v="1093"/>
    <x v="1"/>
    <x v="0"/>
    <x v="0"/>
    <x v="3"/>
  </r>
  <r>
    <x v="1365"/>
    <x v="34"/>
    <x v="3"/>
    <x v="260"/>
    <x v="3"/>
    <x v="1093"/>
    <x v="1"/>
    <x v="2"/>
    <x v="3"/>
    <x v="3"/>
  </r>
  <r>
    <x v="1366"/>
    <x v="34"/>
    <x v="0"/>
    <x v="260"/>
    <x v="3"/>
    <x v="1093"/>
    <x v="1"/>
    <x v="1"/>
    <x v="1"/>
    <x v="3"/>
  </r>
  <r>
    <x v="1367"/>
    <x v="111"/>
    <x v="1"/>
    <x v="260"/>
    <x v="3"/>
    <x v="832"/>
    <x v="0"/>
    <x v="3"/>
    <x v="2"/>
    <x v="2"/>
  </r>
  <r>
    <x v="1368"/>
    <x v="111"/>
    <x v="0"/>
    <x v="260"/>
    <x v="3"/>
    <x v="183"/>
    <x v="0"/>
    <x v="1"/>
    <x v="1"/>
    <x v="1"/>
  </r>
  <r>
    <x v="1369"/>
    <x v="111"/>
    <x v="1"/>
    <x v="260"/>
    <x v="3"/>
    <x v="295"/>
    <x v="0"/>
    <x v="2"/>
    <x v="3"/>
    <x v="1"/>
  </r>
  <r>
    <x v="1370"/>
    <x v="111"/>
    <x v="2"/>
    <x v="260"/>
    <x v="3"/>
    <x v="226"/>
    <x v="0"/>
    <x v="1"/>
    <x v="1"/>
    <x v="1"/>
  </r>
  <r>
    <x v="1371"/>
    <x v="23"/>
    <x v="1"/>
    <x v="261"/>
    <x v="3"/>
    <x v="406"/>
    <x v="0"/>
    <x v="0"/>
    <x v="0"/>
    <x v="1"/>
  </r>
  <r>
    <x v="1372"/>
    <x v="7"/>
    <x v="0"/>
    <x v="262"/>
    <x v="3"/>
    <x v="332"/>
    <x v="0"/>
    <x v="2"/>
    <x v="3"/>
    <x v="1"/>
  </r>
  <r>
    <x v="1373"/>
    <x v="18"/>
    <x v="3"/>
    <x v="262"/>
    <x v="3"/>
    <x v="414"/>
    <x v="0"/>
    <x v="1"/>
    <x v="1"/>
    <x v="1"/>
  </r>
  <r>
    <x v="1374"/>
    <x v="19"/>
    <x v="0"/>
    <x v="262"/>
    <x v="3"/>
    <x v="233"/>
    <x v="0"/>
    <x v="1"/>
    <x v="1"/>
    <x v="3"/>
  </r>
  <r>
    <x v="1375"/>
    <x v="252"/>
    <x v="3"/>
    <x v="262"/>
    <x v="3"/>
    <x v="309"/>
    <x v="0"/>
    <x v="3"/>
    <x v="2"/>
    <x v="3"/>
  </r>
  <r>
    <x v="1376"/>
    <x v="254"/>
    <x v="2"/>
    <x v="262"/>
    <x v="3"/>
    <x v="342"/>
    <x v="0"/>
    <x v="1"/>
    <x v="1"/>
    <x v="0"/>
  </r>
  <r>
    <x v="1377"/>
    <x v="252"/>
    <x v="1"/>
    <x v="262"/>
    <x v="3"/>
    <x v="302"/>
    <x v="0"/>
    <x v="1"/>
    <x v="1"/>
    <x v="3"/>
  </r>
  <r>
    <x v="1378"/>
    <x v="254"/>
    <x v="3"/>
    <x v="262"/>
    <x v="3"/>
    <x v="211"/>
    <x v="0"/>
    <x v="3"/>
    <x v="2"/>
    <x v="3"/>
  </r>
  <r>
    <x v="1379"/>
    <x v="260"/>
    <x v="3"/>
    <x v="262"/>
    <x v="3"/>
    <x v="1736"/>
    <x v="1"/>
    <x v="1"/>
    <x v="1"/>
    <x v="0"/>
  </r>
  <r>
    <x v="1380"/>
    <x v="260"/>
    <x v="1"/>
    <x v="262"/>
    <x v="3"/>
    <x v="659"/>
    <x v="0"/>
    <x v="2"/>
    <x v="3"/>
    <x v="1"/>
  </r>
  <r>
    <x v="1381"/>
    <x v="260"/>
    <x v="1"/>
    <x v="262"/>
    <x v="3"/>
    <x v="60"/>
    <x v="0"/>
    <x v="1"/>
    <x v="1"/>
    <x v="3"/>
  </r>
  <r>
    <x v="1382"/>
    <x v="260"/>
    <x v="2"/>
    <x v="262"/>
    <x v="3"/>
    <x v="65"/>
    <x v="0"/>
    <x v="4"/>
    <x v="4"/>
    <x v="3"/>
  </r>
  <r>
    <x v="1383"/>
    <x v="260"/>
    <x v="1"/>
    <x v="262"/>
    <x v="3"/>
    <x v="932"/>
    <x v="0"/>
    <x v="2"/>
    <x v="3"/>
    <x v="0"/>
  </r>
  <r>
    <x v="1384"/>
    <x v="215"/>
    <x v="3"/>
    <x v="263"/>
    <x v="3"/>
    <x v="811"/>
    <x v="0"/>
    <x v="1"/>
    <x v="1"/>
    <x v="3"/>
  </r>
  <r>
    <x v="1385"/>
    <x v="217"/>
    <x v="3"/>
    <x v="263"/>
    <x v="3"/>
    <x v="1673"/>
    <x v="1"/>
    <x v="3"/>
    <x v="2"/>
    <x v="1"/>
  </r>
  <r>
    <x v="1386"/>
    <x v="10"/>
    <x v="2"/>
    <x v="263"/>
    <x v="3"/>
    <x v="1401"/>
    <x v="1"/>
    <x v="1"/>
    <x v="1"/>
    <x v="1"/>
  </r>
  <r>
    <x v="1387"/>
    <x v="80"/>
    <x v="1"/>
    <x v="263"/>
    <x v="3"/>
    <x v="2097"/>
    <x v="1"/>
    <x v="2"/>
    <x v="3"/>
    <x v="0"/>
  </r>
  <r>
    <x v="1388"/>
    <x v="263"/>
    <x v="3"/>
    <x v="263"/>
    <x v="3"/>
    <x v="1743"/>
    <x v="1"/>
    <x v="4"/>
    <x v="4"/>
    <x v="1"/>
  </r>
  <r>
    <x v="1389"/>
    <x v="263"/>
    <x v="0"/>
    <x v="263"/>
    <x v="3"/>
    <x v="2037"/>
    <x v="1"/>
    <x v="4"/>
    <x v="4"/>
    <x v="1"/>
  </r>
  <r>
    <x v="1390"/>
    <x v="80"/>
    <x v="2"/>
    <x v="263"/>
    <x v="3"/>
    <x v="1603"/>
    <x v="1"/>
    <x v="4"/>
    <x v="4"/>
    <x v="0"/>
  </r>
  <r>
    <x v="1391"/>
    <x v="80"/>
    <x v="2"/>
    <x v="263"/>
    <x v="3"/>
    <x v="1559"/>
    <x v="1"/>
    <x v="1"/>
    <x v="1"/>
    <x v="3"/>
  </r>
  <r>
    <x v="1392"/>
    <x v="139"/>
    <x v="1"/>
    <x v="264"/>
    <x v="3"/>
    <x v="1527"/>
    <x v="1"/>
    <x v="1"/>
    <x v="1"/>
    <x v="3"/>
  </r>
  <r>
    <x v="1393"/>
    <x v="136"/>
    <x v="2"/>
    <x v="264"/>
    <x v="3"/>
    <x v="1624"/>
    <x v="1"/>
    <x v="1"/>
    <x v="1"/>
    <x v="2"/>
  </r>
  <r>
    <x v="1394"/>
    <x v="139"/>
    <x v="3"/>
    <x v="265"/>
    <x v="3"/>
    <x v="1574"/>
    <x v="1"/>
    <x v="2"/>
    <x v="3"/>
    <x v="3"/>
  </r>
  <r>
    <x v="1395"/>
    <x v="139"/>
    <x v="0"/>
    <x v="265"/>
    <x v="3"/>
    <x v="1588"/>
    <x v="1"/>
    <x v="1"/>
    <x v="1"/>
    <x v="2"/>
  </r>
  <r>
    <x v="1396"/>
    <x v="19"/>
    <x v="1"/>
    <x v="266"/>
    <x v="8"/>
    <x v="1481"/>
    <x v="1"/>
    <x v="3"/>
    <x v="2"/>
    <x v="0"/>
  </r>
  <r>
    <x v="1397"/>
    <x v="135"/>
    <x v="2"/>
    <x v="266"/>
    <x v="8"/>
    <x v="1651"/>
    <x v="1"/>
    <x v="2"/>
    <x v="3"/>
    <x v="1"/>
  </r>
  <r>
    <x v="1398"/>
    <x v="28"/>
    <x v="2"/>
    <x v="267"/>
    <x v="8"/>
    <x v="1531"/>
    <x v="1"/>
    <x v="1"/>
    <x v="1"/>
    <x v="3"/>
  </r>
  <r>
    <x v="1399"/>
    <x v="7"/>
    <x v="2"/>
    <x v="267"/>
    <x v="8"/>
    <x v="1568"/>
    <x v="1"/>
    <x v="2"/>
    <x v="3"/>
    <x v="3"/>
  </r>
  <r>
    <x v="1400"/>
    <x v="218"/>
    <x v="3"/>
    <x v="268"/>
    <x v="8"/>
    <x v="26"/>
    <x v="0"/>
    <x v="1"/>
    <x v="1"/>
    <x v="3"/>
  </r>
  <r>
    <x v="1401"/>
    <x v="19"/>
    <x v="3"/>
    <x v="268"/>
    <x v="8"/>
    <x v="150"/>
    <x v="0"/>
    <x v="4"/>
    <x v="4"/>
    <x v="1"/>
  </r>
  <r>
    <x v="1402"/>
    <x v="106"/>
    <x v="1"/>
    <x v="269"/>
    <x v="8"/>
    <x v="480"/>
    <x v="0"/>
    <x v="0"/>
    <x v="0"/>
    <x v="3"/>
  </r>
  <r>
    <x v="1403"/>
    <x v="7"/>
    <x v="0"/>
    <x v="269"/>
    <x v="8"/>
    <x v="2224"/>
    <x v="1"/>
    <x v="3"/>
    <x v="2"/>
    <x v="2"/>
  </r>
  <r>
    <x v="1404"/>
    <x v="1"/>
    <x v="0"/>
    <x v="270"/>
    <x v="8"/>
    <x v="1810"/>
    <x v="1"/>
    <x v="0"/>
    <x v="0"/>
    <x v="1"/>
  </r>
  <r>
    <x v="1405"/>
    <x v="253"/>
    <x v="2"/>
    <x v="270"/>
    <x v="8"/>
    <x v="1810"/>
    <x v="1"/>
    <x v="4"/>
    <x v="4"/>
    <x v="0"/>
  </r>
  <r>
    <x v="1406"/>
    <x v="253"/>
    <x v="3"/>
    <x v="270"/>
    <x v="8"/>
    <x v="1810"/>
    <x v="1"/>
    <x v="2"/>
    <x v="3"/>
    <x v="3"/>
  </r>
  <r>
    <x v="1407"/>
    <x v="23"/>
    <x v="3"/>
    <x v="271"/>
    <x v="8"/>
    <x v="1810"/>
    <x v="1"/>
    <x v="2"/>
    <x v="3"/>
    <x v="3"/>
  </r>
  <r>
    <x v="1408"/>
    <x v="254"/>
    <x v="0"/>
    <x v="271"/>
    <x v="8"/>
    <x v="1810"/>
    <x v="1"/>
    <x v="2"/>
    <x v="3"/>
    <x v="1"/>
  </r>
  <r>
    <x v="1409"/>
    <x v="254"/>
    <x v="0"/>
    <x v="271"/>
    <x v="8"/>
    <x v="1810"/>
    <x v="1"/>
    <x v="1"/>
    <x v="1"/>
    <x v="3"/>
  </r>
  <r>
    <x v="1410"/>
    <x v="135"/>
    <x v="1"/>
    <x v="271"/>
    <x v="8"/>
    <x v="78"/>
    <x v="0"/>
    <x v="2"/>
    <x v="3"/>
    <x v="2"/>
  </r>
  <r>
    <x v="1411"/>
    <x v="260"/>
    <x v="1"/>
    <x v="271"/>
    <x v="8"/>
    <x v="2241"/>
    <x v="1"/>
    <x v="0"/>
    <x v="0"/>
    <x v="1"/>
  </r>
  <r>
    <x v="1412"/>
    <x v="260"/>
    <x v="1"/>
    <x v="271"/>
    <x v="8"/>
    <x v="1296"/>
    <x v="1"/>
    <x v="2"/>
    <x v="3"/>
    <x v="2"/>
  </r>
  <r>
    <x v="1413"/>
    <x v="260"/>
    <x v="1"/>
    <x v="271"/>
    <x v="8"/>
    <x v="1302"/>
    <x v="1"/>
    <x v="1"/>
    <x v="1"/>
    <x v="2"/>
  </r>
  <r>
    <x v="1414"/>
    <x v="260"/>
    <x v="3"/>
    <x v="271"/>
    <x v="8"/>
    <x v="2103"/>
    <x v="1"/>
    <x v="1"/>
    <x v="1"/>
    <x v="1"/>
  </r>
  <r>
    <x v="1415"/>
    <x v="19"/>
    <x v="0"/>
    <x v="272"/>
    <x v="8"/>
    <x v="1336"/>
    <x v="1"/>
    <x v="1"/>
    <x v="1"/>
    <x v="1"/>
  </r>
  <r>
    <x v="1416"/>
    <x v="23"/>
    <x v="3"/>
    <x v="273"/>
    <x v="8"/>
    <x v="1047"/>
    <x v="1"/>
    <x v="4"/>
    <x v="4"/>
    <x v="1"/>
  </r>
  <r>
    <x v="1417"/>
    <x v="139"/>
    <x v="1"/>
    <x v="273"/>
    <x v="8"/>
    <x v="1363"/>
    <x v="1"/>
    <x v="2"/>
    <x v="3"/>
    <x v="1"/>
  </r>
  <r>
    <x v="1418"/>
    <x v="195"/>
    <x v="0"/>
    <x v="273"/>
    <x v="8"/>
    <x v="1046"/>
    <x v="1"/>
    <x v="2"/>
    <x v="3"/>
    <x v="1"/>
  </r>
  <r>
    <x v="1419"/>
    <x v="195"/>
    <x v="0"/>
    <x v="273"/>
    <x v="8"/>
    <x v="1343"/>
    <x v="1"/>
    <x v="2"/>
    <x v="3"/>
    <x v="1"/>
  </r>
  <r>
    <x v="1420"/>
    <x v="195"/>
    <x v="3"/>
    <x v="273"/>
    <x v="8"/>
    <x v="1277"/>
    <x v="1"/>
    <x v="0"/>
    <x v="0"/>
    <x v="1"/>
  </r>
  <r>
    <x v="1421"/>
    <x v="195"/>
    <x v="1"/>
    <x v="273"/>
    <x v="8"/>
    <x v="1292"/>
    <x v="1"/>
    <x v="4"/>
    <x v="4"/>
    <x v="1"/>
  </r>
  <r>
    <x v="1422"/>
    <x v="195"/>
    <x v="1"/>
    <x v="273"/>
    <x v="8"/>
    <x v="1353"/>
    <x v="1"/>
    <x v="2"/>
    <x v="3"/>
    <x v="3"/>
  </r>
  <r>
    <x v="1423"/>
    <x v="195"/>
    <x v="3"/>
    <x v="273"/>
    <x v="8"/>
    <x v="1346"/>
    <x v="1"/>
    <x v="4"/>
    <x v="4"/>
    <x v="3"/>
  </r>
  <r>
    <x v="1424"/>
    <x v="136"/>
    <x v="1"/>
    <x v="274"/>
    <x v="8"/>
    <x v="1306"/>
    <x v="1"/>
    <x v="1"/>
    <x v="1"/>
    <x v="3"/>
  </r>
  <r>
    <x v="1425"/>
    <x v="106"/>
    <x v="2"/>
    <x v="275"/>
    <x v="8"/>
    <x v="587"/>
    <x v="0"/>
    <x v="4"/>
    <x v="4"/>
    <x v="3"/>
  </r>
  <r>
    <x v="1426"/>
    <x v="106"/>
    <x v="2"/>
    <x v="275"/>
    <x v="8"/>
    <x v="604"/>
    <x v="0"/>
    <x v="2"/>
    <x v="3"/>
    <x v="1"/>
  </r>
  <r>
    <x v="1427"/>
    <x v="7"/>
    <x v="1"/>
    <x v="275"/>
    <x v="8"/>
    <x v="594"/>
    <x v="0"/>
    <x v="4"/>
    <x v="4"/>
    <x v="3"/>
  </r>
  <r>
    <x v="1428"/>
    <x v="181"/>
    <x v="2"/>
    <x v="276"/>
    <x v="8"/>
    <x v="590"/>
    <x v="0"/>
    <x v="2"/>
    <x v="3"/>
    <x v="3"/>
  </r>
  <r>
    <x v="1429"/>
    <x v="223"/>
    <x v="0"/>
    <x v="276"/>
    <x v="8"/>
    <x v="569"/>
    <x v="0"/>
    <x v="1"/>
    <x v="1"/>
    <x v="1"/>
  </r>
  <r>
    <x v="1430"/>
    <x v="223"/>
    <x v="3"/>
    <x v="276"/>
    <x v="8"/>
    <x v="575"/>
    <x v="0"/>
    <x v="1"/>
    <x v="1"/>
    <x v="3"/>
  </r>
  <r>
    <x v="1431"/>
    <x v="139"/>
    <x v="2"/>
    <x v="276"/>
    <x v="8"/>
    <x v="596"/>
    <x v="0"/>
    <x v="1"/>
    <x v="1"/>
    <x v="3"/>
  </r>
  <r>
    <x v="1432"/>
    <x v="139"/>
    <x v="0"/>
    <x v="276"/>
    <x v="8"/>
    <x v="578"/>
    <x v="0"/>
    <x v="4"/>
    <x v="4"/>
    <x v="1"/>
  </r>
  <r>
    <x v="1433"/>
    <x v="175"/>
    <x v="1"/>
    <x v="276"/>
    <x v="8"/>
    <x v="552"/>
    <x v="0"/>
    <x v="2"/>
    <x v="3"/>
    <x v="3"/>
  </r>
  <r>
    <x v="1434"/>
    <x v="175"/>
    <x v="0"/>
    <x v="276"/>
    <x v="8"/>
    <x v="577"/>
    <x v="0"/>
    <x v="2"/>
    <x v="3"/>
    <x v="3"/>
  </r>
  <r>
    <x v="1435"/>
    <x v="175"/>
    <x v="0"/>
    <x v="276"/>
    <x v="8"/>
    <x v="591"/>
    <x v="0"/>
    <x v="1"/>
    <x v="1"/>
    <x v="3"/>
  </r>
  <r>
    <x v="1436"/>
    <x v="175"/>
    <x v="1"/>
    <x v="276"/>
    <x v="8"/>
    <x v="1391"/>
    <x v="1"/>
    <x v="0"/>
    <x v="0"/>
    <x v="1"/>
  </r>
  <r>
    <x v="1437"/>
    <x v="175"/>
    <x v="1"/>
    <x v="276"/>
    <x v="8"/>
    <x v="1750"/>
    <x v="1"/>
    <x v="4"/>
    <x v="4"/>
    <x v="3"/>
  </r>
  <r>
    <x v="1438"/>
    <x v="175"/>
    <x v="1"/>
    <x v="276"/>
    <x v="8"/>
    <x v="1377"/>
    <x v="1"/>
    <x v="1"/>
    <x v="1"/>
    <x v="3"/>
  </r>
  <r>
    <x v="1439"/>
    <x v="175"/>
    <x v="1"/>
    <x v="276"/>
    <x v="8"/>
    <x v="2138"/>
    <x v="1"/>
    <x v="3"/>
    <x v="2"/>
    <x v="3"/>
  </r>
  <r>
    <x v="1440"/>
    <x v="175"/>
    <x v="3"/>
    <x v="276"/>
    <x v="8"/>
    <x v="1368"/>
    <x v="1"/>
    <x v="2"/>
    <x v="3"/>
    <x v="3"/>
  </r>
  <r>
    <x v="1441"/>
    <x v="175"/>
    <x v="3"/>
    <x v="276"/>
    <x v="8"/>
    <x v="1411"/>
    <x v="1"/>
    <x v="1"/>
    <x v="1"/>
    <x v="3"/>
  </r>
  <r>
    <x v="1442"/>
    <x v="175"/>
    <x v="1"/>
    <x v="276"/>
    <x v="8"/>
    <x v="1361"/>
    <x v="1"/>
    <x v="4"/>
    <x v="4"/>
    <x v="1"/>
  </r>
  <r>
    <x v="1443"/>
    <x v="58"/>
    <x v="2"/>
    <x v="277"/>
    <x v="8"/>
    <x v="1424"/>
    <x v="1"/>
    <x v="2"/>
    <x v="3"/>
    <x v="2"/>
  </r>
  <r>
    <x v="1444"/>
    <x v="50"/>
    <x v="0"/>
    <x v="277"/>
    <x v="8"/>
    <x v="1400"/>
    <x v="1"/>
    <x v="1"/>
    <x v="1"/>
    <x v="3"/>
  </r>
  <r>
    <x v="1445"/>
    <x v="46"/>
    <x v="1"/>
    <x v="277"/>
    <x v="8"/>
    <x v="1407"/>
    <x v="1"/>
    <x v="1"/>
    <x v="1"/>
    <x v="2"/>
  </r>
  <r>
    <x v="1446"/>
    <x v="46"/>
    <x v="3"/>
    <x v="277"/>
    <x v="8"/>
    <x v="1457"/>
    <x v="1"/>
    <x v="2"/>
    <x v="3"/>
    <x v="3"/>
  </r>
  <r>
    <x v="1447"/>
    <x v="46"/>
    <x v="1"/>
    <x v="277"/>
    <x v="8"/>
    <x v="1374"/>
    <x v="1"/>
    <x v="4"/>
    <x v="4"/>
    <x v="3"/>
  </r>
  <r>
    <x v="1448"/>
    <x v="135"/>
    <x v="0"/>
    <x v="277"/>
    <x v="8"/>
    <x v="227"/>
    <x v="0"/>
    <x v="0"/>
    <x v="0"/>
    <x v="1"/>
  </r>
  <r>
    <x v="1449"/>
    <x v="46"/>
    <x v="2"/>
    <x v="277"/>
    <x v="8"/>
    <x v="41"/>
    <x v="0"/>
    <x v="4"/>
    <x v="4"/>
    <x v="1"/>
  </r>
  <r>
    <x v="1450"/>
    <x v="222"/>
    <x v="1"/>
    <x v="278"/>
    <x v="8"/>
    <x v="941"/>
    <x v="0"/>
    <x v="4"/>
    <x v="4"/>
    <x v="1"/>
  </r>
  <r>
    <x v="1451"/>
    <x v="182"/>
    <x v="1"/>
    <x v="278"/>
    <x v="8"/>
    <x v="1776"/>
    <x v="1"/>
    <x v="4"/>
    <x v="4"/>
    <x v="3"/>
  </r>
  <r>
    <x v="1452"/>
    <x v="185"/>
    <x v="2"/>
    <x v="278"/>
    <x v="8"/>
    <x v="1776"/>
    <x v="1"/>
    <x v="2"/>
    <x v="3"/>
    <x v="0"/>
  </r>
  <r>
    <x v="1453"/>
    <x v="187"/>
    <x v="3"/>
    <x v="278"/>
    <x v="8"/>
    <x v="1776"/>
    <x v="1"/>
    <x v="4"/>
    <x v="4"/>
    <x v="3"/>
  </r>
  <r>
    <x v="1454"/>
    <x v="192"/>
    <x v="0"/>
    <x v="278"/>
    <x v="8"/>
    <x v="773"/>
    <x v="0"/>
    <x v="1"/>
    <x v="1"/>
    <x v="3"/>
  </r>
  <r>
    <x v="1455"/>
    <x v="135"/>
    <x v="1"/>
    <x v="279"/>
    <x v="8"/>
    <x v="1622"/>
    <x v="1"/>
    <x v="2"/>
    <x v="3"/>
    <x v="0"/>
  </r>
  <r>
    <x v="1456"/>
    <x v="5"/>
    <x v="2"/>
    <x v="280"/>
    <x v="8"/>
    <x v="1563"/>
    <x v="1"/>
    <x v="1"/>
    <x v="1"/>
    <x v="3"/>
  </r>
  <r>
    <x v="1457"/>
    <x v="18"/>
    <x v="0"/>
    <x v="281"/>
    <x v="8"/>
    <x v="1591"/>
    <x v="1"/>
    <x v="1"/>
    <x v="1"/>
    <x v="3"/>
  </r>
  <r>
    <x v="1458"/>
    <x v="23"/>
    <x v="2"/>
    <x v="281"/>
    <x v="8"/>
    <x v="2160"/>
    <x v="1"/>
    <x v="1"/>
    <x v="1"/>
    <x v="2"/>
  </r>
  <r>
    <x v="1459"/>
    <x v="26"/>
    <x v="2"/>
    <x v="281"/>
    <x v="8"/>
    <x v="917"/>
    <x v="0"/>
    <x v="2"/>
    <x v="3"/>
    <x v="3"/>
  </r>
  <r>
    <x v="1460"/>
    <x v="139"/>
    <x v="1"/>
    <x v="281"/>
    <x v="8"/>
    <x v="611"/>
    <x v="0"/>
    <x v="1"/>
    <x v="1"/>
    <x v="1"/>
  </r>
  <r>
    <x v="1461"/>
    <x v="34"/>
    <x v="3"/>
    <x v="281"/>
    <x v="8"/>
    <x v="775"/>
    <x v="0"/>
    <x v="2"/>
    <x v="3"/>
    <x v="3"/>
  </r>
  <r>
    <x v="1462"/>
    <x v="34"/>
    <x v="1"/>
    <x v="281"/>
    <x v="8"/>
    <x v="55"/>
    <x v="0"/>
    <x v="4"/>
    <x v="4"/>
    <x v="1"/>
  </r>
  <r>
    <x v="1463"/>
    <x v="34"/>
    <x v="0"/>
    <x v="281"/>
    <x v="8"/>
    <x v="379"/>
    <x v="0"/>
    <x v="2"/>
    <x v="3"/>
    <x v="0"/>
  </r>
  <r>
    <x v="1464"/>
    <x v="106"/>
    <x v="0"/>
    <x v="282"/>
    <x v="8"/>
    <x v="286"/>
    <x v="0"/>
    <x v="2"/>
    <x v="3"/>
    <x v="0"/>
  </r>
  <r>
    <x v="1465"/>
    <x v="50"/>
    <x v="0"/>
    <x v="282"/>
    <x v="8"/>
    <x v="244"/>
    <x v="0"/>
    <x v="2"/>
    <x v="3"/>
    <x v="3"/>
  </r>
  <r>
    <x v="1466"/>
    <x v="135"/>
    <x v="2"/>
    <x v="282"/>
    <x v="8"/>
    <x v="199"/>
    <x v="0"/>
    <x v="2"/>
    <x v="3"/>
    <x v="3"/>
  </r>
  <r>
    <x v="1467"/>
    <x v="237"/>
    <x v="2"/>
    <x v="283"/>
    <x v="8"/>
    <x v="146"/>
    <x v="0"/>
    <x v="3"/>
    <x v="2"/>
    <x v="0"/>
  </r>
  <r>
    <x v="1468"/>
    <x v="58"/>
    <x v="1"/>
    <x v="283"/>
    <x v="8"/>
    <x v="532"/>
    <x v="0"/>
    <x v="2"/>
    <x v="3"/>
    <x v="1"/>
  </r>
  <r>
    <x v="1469"/>
    <x v="216"/>
    <x v="3"/>
    <x v="283"/>
    <x v="8"/>
    <x v="512"/>
    <x v="0"/>
    <x v="1"/>
    <x v="1"/>
    <x v="1"/>
  </r>
  <r>
    <x v="1470"/>
    <x v="200"/>
    <x v="2"/>
    <x v="283"/>
    <x v="8"/>
    <x v="973"/>
    <x v="0"/>
    <x v="0"/>
    <x v="0"/>
    <x v="0"/>
  </r>
  <r>
    <x v="1471"/>
    <x v="201"/>
    <x v="2"/>
    <x v="283"/>
    <x v="8"/>
    <x v="493"/>
    <x v="0"/>
    <x v="1"/>
    <x v="1"/>
    <x v="1"/>
  </r>
  <r>
    <x v="1472"/>
    <x v="200"/>
    <x v="0"/>
    <x v="283"/>
    <x v="8"/>
    <x v="464"/>
    <x v="0"/>
    <x v="2"/>
    <x v="3"/>
    <x v="0"/>
  </r>
  <r>
    <x v="1473"/>
    <x v="201"/>
    <x v="0"/>
    <x v="283"/>
    <x v="8"/>
    <x v="986"/>
    <x v="0"/>
    <x v="0"/>
    <x v="0"/>
    <x v="3"/>
  </r>
  <r>
    <x v="1474"/>
    <x v="252"/>
    <x v="3"/>
    <x v="283"/>
    <x v="8"/>
    <x v="401"/>
    <x v="0"/>
    <x v="1"/>
    <x v="1"/>
    <x v="3"/>
  </r>
  <r>
    <x v="1475"/>
    <x v="253"/>
    <x v="3"/>
    <x v="283"/>
    <x v="8"/>
    <x v="846"/>
    <x v="0"/>
    <x v="4"/>
    <x v="4"/>
    <x v="3"/>
  </r>
  <r>
    <x v="1476"/>
    <x v="200"/>
    <x v="2"/>
    <x v="283"/>
    <x v="8"/>
    <x v="2041"/>
    <x v="1"/>
    <x v="0"/>
    <x v="0"/>
    <x v="3"/>
  </r>
  <r>
    <x v="1477"/>
    <x v="201"/>
    <x v="3"/>
    <x v="283"/>
    <x v="8"/>
    <x v="1535"/>
    <x v="1"/>
    <x v="0"/>
    <x v="0"/>
    <x v="0"/>
  </r>
  <r>
    <x v="1478"/>
    <x v="252"/>
    <x v="2"/>
    <x v="283"/>
    <x v="8"/>
    <x v="1080"/>
    <x v="1"/>
    <x v="1"/>
    <x v="1"/>
    <x v="3"/>
  </r>
  <r>
    <x v="1479"/>
    <x v="253"/>
    <x v="2"/>
    <x v="283"/>
    <x v="8"/>
    <x v="1281"/>
    <x v="1"/>
    <x v="1"/>
    <x v="1"/>
    <x v="0"/>
  </r>
  <r>
    <x v="1480"/>
    <x v="24"/>
    <x v="3"/>
    <x v="284"/>
    <x v="8"/>
    <x v="1054"/>
    <x v="1"/>
    <x v="1"/>
    <x v="1"/>
    <x v="3"/>
  </r>
  <r>
    <x v="1481"/>
    <x v="187"/>
    <x v="1"/>
    <x v="285"/>
    <x v="8"/>
    <x v="1325"/>
    <x v="1"/>
    <x v="3"/>
    <x v="2"/>
    <x v="3"/>
  </r>
  <r>
    <x v="1482"/>
    <x v="180"/>
    <x v="0"/>
    <x v="285"/>
    <x v="8"/>
    <x v="1537"/>
    <x v="1"/>
    <x v="2"/>
    <x v="3"/>
    <x v="3"/>
  </r>
  <r>
    <x v="1483"/>
    <x v="139"/>
    <x v="2"/>
    <x v="285"/>
    <x v="8"/>
    <x v="1580"/>
    <x v="1"/>
    <x v="1"/>
    <x v="1"/>
    <x v="0"/>
  </r>
  <r>
    <x v="1484"/>
    <x v="46"/>
    <x v="1"/>
    <x v="285"/>
    <x v="8"/>
    <x v="1059"/>
    <x v="1"/>
    <x v="0"/>
    <x v="0"/>
    <x v="1"/>
  </r>
  <r>
    <x v="1485"/>
    <x v="46"/>
    <x v="1"/>
    <x v="285"/>
    <x v="8"/>
    <x v="1243"/>
    <x v="1"/>
    <x v="2"/>
    <x v="3"/>
    <x v="2"/>
  </r>
  <r>
    <x v="1486"/>
    <x v="46"/>
    <x v="2"/>
    <x v="285"/>
    <x v="8"/>
    <x v="1053"/>
    <x v="1"/>
    <x v="3"/>
    <x v="2"/>
    <x v="2"/>
  </r>
  <r>
    <x v="1487"/>
    <x v="46"/>
    <x v="0"/>
    <x v="285"/>
    <x v="8"/>
    <x v="1248"/>
    <x v="1"/>
    <x v="3"/>
    <x v="2"/>
    <x v="3"/>
  </r>
  <r>
    <x v="1488"/>
    <x v="193"/>
    <x v="3"/>
    <x v="286"/>
    <x v="8"/>
    <x v="1514"/>
    <x v="1"/>
    <x v="4"/>
    <x v="4"/>
    <x v="1"/>
  </r>
  <r>
    <x v="1489"/>
    <x v="7"/>
    <x v="2"/>
    <x v="286"/>
    <x v="8"/>
    <x v="1282"/>
    <x v="1"/>
    <x v="1"/>
    <x v="1"/>
    <x v="1"/>
  </r>
  <r>
    <x v="1490"/>
    <x v="208"/>
    <x v="1"/>
    <x v="286"/>
    <x v="8"/>
    <x v="1529"/>
    <x v="1"/>
    <x v="0"/>
    <x v="0"/>
    <x v="3"/>
  </r>
  <r>
    <x v="1491"/>
    <x v="208"/>
    <x v="1"/>
    <x v="286"/>
    <x v="8"/>
    <x v="2132"/>
    <x v="1"/>
    <x v="4"/>
    <x v="4"/>
    <x v="0"/>
  </r>
  <r>
    <x v="1492"/>
    <x v="208"/>
    <x v="2"/>
    <x v="286"/>
    <x v="8"/>
    <x v="1492"/>
    <x v="1"/>
    <x v="2"/>
    <x v="3"/>
    <x v="3"/>
  </r>
  <r>
    <x v="1493"/>
    <x v="208"/>
    <x v="1"/>
    <x v="286"/>
    <x v="8"/>
    <x v="1030"/>
    <x v="1"/>
    <x v="1"/>
    <x v="1"/>
    <x v="3"/>
  </r>
  <r>
    <x v="1494"/>
    <x v="194"/>
    <x v="3"/>
    <x v="287"/>
    <x v="8"/>
    <x v="1516"/>
    <x v="1"/>
    <x v="4"/>
    <x v="4"/>
    <x v="1"/>
  </r>
  <r>
    <x v="1495"/>
    <x v="106"/>
    <x v="1"/>
    <x v="287"/>
    <x v="8"/>
    <x v="1523"/>
    <x v="1"/>
    <x v="4"/>
    <x v="4"/>
    <x v="0"/>
  </r>
  <r>
    <x v="1496"/>
    <x v="192"/>
    <x v="1"/>
    <x v="287"/>
    <x v="8"/>
    <x v="1027"/>
    <x v="1"/>
    <x v="1"/>
    <x v="1"/>
    <x v="0"/>
  </r>
  <r>
    <x v="1497"/>
    <x v="209"/>
    <x v="3"/>
    <x v="287"/>
    <x v="8"/>
    <x v="1515"/>
    <x v="1"/>
    <x v="1"/>
    <x v="1"/>
    <x v="1"/>
  </r>
  <r>
    <x v="1498"/>
    <x v="189"/>
    <x v="0"/>
    <x v="288"/>
    <x v="8"/>
    <x v="1503"/>
    <x v="1"/>
    <x v="0"/>
    <x v="0"/>
    <x v="1"/>
  </r>
  <r>
    <x v="1499"/>
    <x v="139"/>
    <x v="3"/>
    <x v="288"/>
    <x v="8"/>
    <x v="1023"/>
    <x v="1"/>
    <x v="0"/>
    <x v="0"/>
    <x v="0"/>
  </r>
  <r>
    <x v="1500"/>
    <x v="241"/>
    <x v="0"/>
    <x v="288"/>
    <x v="8"/>
    <x v="1498"/>
    <x v="1"/>
    <x v="3"/>
    <x v="2"/>
    <x v="3"/>
  </r>
  <r>
    <x v="1501"/>
    <x v="50"/>
    <x v="1"/>
    <x v="288"/>
    <x v="8"/>
    <x v="1379"/>
    <x v="1"/>
    <x v="0"/>
    <x v="0"/>
    <x v="2"/>
  </r>
  <r>
    <x v="1502"/>
    <x v="135"/>
    <x v="1"/>
    <x v="288"/>
    <x v="8"/>
    <x v="1380"/>
    <x v="1"/>
    <x v="2"/>
    <x v="3"/>
    <x v="2"/>
  </r>
  <r>
    <x v="1503"/>
    <x v="136"/>
    <x v="0"/>
    <x v="288"/>
    <x v="8"/>
    <x v="1380"/>
    <x v="1"/>
    <x v="4"/>
    <x v="4"/>
    <x v="1"/>
  </r>
  <r>
    <x v="1504"/>
    <x v="183"/>
    <x v="0"/>
    <x v="289"/>
    <x v="8"/>
    <x v="948"/>
    <x v="0"/>
    <x v="2"/>
    <x v="3"/>
    <x v="1"/>
  </r>
  <r>
    <x v="1505"/>
    <x v="198"/>
    <x v="0"/>
    <x v="289"/>
    <x v="8"/>
    <x v="826"/>
    <x v="0"/>
    <x v="0"/>
    <x v="0"/>
    <x v="3"/>
  </r>
  <r>
    <x v="1506"/>
    <x v="225"/>
    <x v="0"/>
    <x v="289"/>
    <x v="8"/>
    <x v="930"/>
    <x v="0"/>
    <x v="2"/>
    <x v="3"/>
    <x v="1"/>
  </r>
  <r>
    <x v="1507"/>
    <x v="225"/>
    <x v="1"/>
    <x v="289"/>
    <x v="8"/>
    <x v="529"/>
    <x v="0"/>
    <x v="2"/>
    <x v="3"/>
    <x v="3"/>
  </r>
  <r>
    <x v="1508"/>
    <x v="137"/>
    <x v="1"/>
    <x v="289"/>
    <x v="8"/>
    <x v="886"/>
    <x v="0"/>
    <x v="1"/>
    <x v="1"/>
    <x v="1"/>
  </r>
  <r>
    <x v="1509"/>
    <x v="225"/>
    <x v="2"/>
    <x v="289"/>
    <x v="8"/>
    <x v="763"/>
    <x v="0"/>
    <x v="1"/>
    <x v="1"/>
    <x v="2"/>
  </r>
  <r>
    <x v="1510"/>
    <x v="222"/>
    <x v="0"/>
    <x v="290"/>
    <x v="0"/>
    <x v="2084"/>
    <x v="1"/>
    <x v="2"/>
    <x v="3"/>
    <x v="1"/>
  </r>
  <r>
    <x v="1511"/>
    <x v="181"/>
    <x v="2"/>
    <x v="290"/>
    <x v="0"/>
    <x v="1717"/>
    <x v="1"/>
    <x v="1"/>
    <x v="1"/>
    <x v="1"/>
  </r>
  <r>
    <x v="1512"/>
    <x v="191"/>
    <x v="0"/>
    <x v="290"/>
    <x v="0"/>
    <x v="1451"/>
    <x v="1"/>
    <x v="2"/>
    <x v="3"/>
    <x v="2"/>
  </r>
  <r>
    <x v="1513"/>
    <x v="196"/>
    <x v="3"/>
    <x v="290"/>
    <x v="0"/>
    <x v="2100"/>
    <x v="1"/>
    <x v="2"/>
    <x v="3"/>
    <x v="1"/>
  </r>
  <r>
    <x v="1514"/>
    <x v="7"/>
    <x v="2"/>
    <x v="290"/>
    <x v="0"/>
    <x v="1851"/>
    <x v="1"/>
    <x v="1"/>
    <x v="1"/>
    <x v="0"/>
  </r>
  <r>
    <x v="1515"/>
    <x v="23"/>
    <x v="3"/>
    <x v="290"/>
    <x v="0"/>
    <x v="1963"/>
    <x v="1"/>
    <x v="2"/>
    <x v="3"/>
    <x v="3"/>
  </r>
  <r>
    <x v="1516"/>
    <x v="172"/>
    <x v="2"/>
    <x v="291"/>
    <x v="0"/>
    <x v="1434"/>
    <x v="1"/>
    <x v="1"/>
    <x v="1"/>
    <x v="3"/>
  </r>
  <r>
    <x v="1517"/>
    <x v="188"/>
    <x v="1"/>
    <x v="291"/>
    <x v="0"/>
    <x v="1964"/>
    <x v="1"/>
    <x v="1"/>
    <x v="1"/>
    <x v="3"/>
  </r>
  <r>
    <x v="1518"/>
    <x v="199"/>
    <x v="1"/>
    <x v="292"/>
    <x v="0"/>
    <x v="1856"/>
    <x v="1"/>
    <x v="1"/>
    <x v="1"/>
    <x v="1"/>
  </r>
  <r>
    <x v="1519"/>
    <x v="241"/>
    <x v="3"/>
    <x v="292"/>
    <x v="0"/>
    <x v="1434"/>
    <x v="1"/>
    <x v="1"/>
    <x v="1"/>
    <x v="3"/>
  </r>
  <r>
    <x v="1520"/>
    <x v="106"/>
    <x v="3"/>
    <x v="293"/>
    <x v="0"/>
    <x v="1434"/>
    <x v="1"/>
    <x v="3"/>
    <x v="2"/>
    <x v="1"/>
  </r>
  <r>
    <x v="1521"/>
    <x v="7"/>
    <x v="2"/>
    <x v="293"/>
    <x v="0"/>
    <x v="1944"/>
    <x v="1"/>
    <x v="1"/>
    <x v="1"/>
    <x v="1"/>
  </r>
  <r>
    <x v="1522"/>
    <x v="10"/>
    <x v="3"/>
    <x v="293"/>
    <x v="0"/>
    <x v="1822"/>
    <x v="1"/>
    <x v="4"/>
    <x v="4"/>
    <x v="1"/>
  </r>
  <r>
    <x v="1523"/>
    <x v="19"/>
    <x v="3"/>
    <x v="293"/>
    <x v="0"/>
    <x v="1434"/>
    <x v="1"/>
    <x v="1"/>
    <x v="1"/>
    <x v="1"/>
  </r>
  <r>
    <x v="1524"/>
    <x v="10"/>
    <x v="0"/>
    <x v="293"/>
    <x v="0"/>
    <x v="1434"/>
    <x v="1"/>
    <x v="0"/>
    <x v="0"/>
    <x v="1"/>
  </r>
  <r>
    <x v="1525"/>
    <x v="139"/>
    <x v="0"/>
    <x v="293"/>
    <x v="0"/>
    <x v="1434"/>
    <x v="1"/>
    <x v="1"/>
    <x v="1"/>
    <x v="0"/>
  </r>
  <r>
    <x v="1526"/>
    <x v="139"/>
    <x v="2"/>
    <x v="293"/>
    <x v="0"/>
    <x v="1434"/>
    <x v="1"/>
    <x v="4"/>
    <x v="4"/>
    <x v="1"/>
  </r>
  <r>
    <x v="1527"/>
    <x v="139"/>
    <x v="2"/>
    <x v="293"/>
    <x v="0"/>
    <x v="1434"/>
    <x v="1"/>
    <x v="4"/>
    <x v="4"/>
    <x v="0"/>
  </r>
  <r>
    <x v="1528"/>
    <x v="80"/>
    <x v="2"/>
    <x v="293"/>
    <x v="0"/>
    <x v="1434"/>
    <x v="1"/>
    <x v="1"/>
    <x v="1"/>
    <x v="3"/>
  </r>
  <r>
    <x v="1529"/>
    <x v="136"/>
    <x v="0"/>
    <x v="293"/>
    <x v="0"/>
    <x v="24"/>
    <x v="0"/>
    <x v="2"/>
    <x v="3"/>
    <x v="3"/>
  </r>
  <r>
    <x v="1530"/>
    <x v="80"/>
    <x v="0"/>
    <x v="293"/>
    <x v="0"/>
    <x v="46"/>
    <x v="0"/>
    <x v="1"/>
    <x v="1"/>
    <x v="3"/>
  </r>
  <r>
    <x v="1531"/>
    <x v="80"/>
    <x v="0"/>
    <x v="293"/>
    <x v="0"/>
    <x v="45"/>
    <x v="0"/>
    <x v="2"/>
    <x v="3"/>
    <x v="3"/>
  </r>
  <r>
    <x v="1532"/>
    <x v="254"/>
    <x v="2"/>
    <x v="294"/>
    <x v="0"/>
    <x v="42"/>
    <x v="0"/>
    <x v="1"/>
    <x v="1"/>
    <x v="2"/>
  </r>
  <r>
    <x v="1533"/>
    <x v="254"/>
    <x v="1"/>
    <x v="294"/>
    <x v="0"/>
    <x v="33"/>
    <x v="0"/>
    <x v="1"/>
    <x v="1"/>
    <x v="0"/>
  </r>
  <r>
    <x v="1534"/>
    <x v="252"/>
    <x v="1"/>
    <x v="294"/>
    <x v="0"/>
    <x v="31"/>
    <x v="0"/>
    <x v="2"/>
    <x v="3"/>
    <x v="2"/>
  </r>
  <r>
    <x v="1535"/>
    <x v="263"/>
    <x v="3"/>
    <x v="294"/>
    <x v="0"/>
    <x v="30"/>
    <x v="0"/>
    <x v="1"/>
    <x v="1"/>
    <x v="0"/>
  </r>
  <r>
    <x v="1536"/>
    <x v="135"/>
    <x v="0"/>
    <x v="294"/>
    <x v="0"/>
    <x v="1979"/>
    <x v="1"/>
    <x v="4"/>
    <x v="4"/>
    <x v="3"/>
  </r>
  <r>
    <x v="1537"/>
    <x v="252"/>
    <x v="0"/>
    <x v="294"/>
    <x v="0"/>
    <x v="885"/>
    <x v="0"/>
    <x v="1"/>
    <x v="1"/>
    <x v="3"/>
  </r>
  <r>
    <x v="1538"/>
    <x v="263"/>
    <x v="2"/>
    <x v="294"/>
    <x v="0"/>
    <x v="874"/>
    <x v="0"/>
    <x v="1"/>
    <x v="1"/>
    <x v="1"/>
  </r>
  <r>
    <x v="1539"/>
    <x v="209"/>
    <x v="0"/>
    <x v="295"/>
    <x v="0"/>
    <x v="325"/>
    <x v="0"/>
    <x v="1"/>
    <x v="1"/>
    <x v="3"/>
  </r>
  <r>
    <x v="1540"/>
    <x v="23"/>
    <x v="1"/>
    <x v="295"/>
    <x v="0"/>
    <x v="1905"/>
    <x v="1"/>
    <x v="1"/>
    <x v="1"/>
    <x v="2"/>
  </r>
  <r>
    <x v="1541"/>
    <x v="7"/>
    <x v="2"/>
    <x v="295"/>
    <x v="0"/>
    <x v="1904"/>
    <x v="1"/>
    <x v="2"/>
    <x v="3"/>
    <x v="3"/>
  </r>
  <r>
    <x v="1542"/>
    <x v="19"/>
    <x v="1"/>
    <x v="295"/>
    <x v="0"/>
    <x v="1907"/>
    <x v="1"/>
    <x v="2"/>
    <x v="3"/>
    <x v="3"/>
  </r>
  <r>
    <x v="1543"/>
    <x v="223"/>
    <x v="0"/>
    <x v="296"/>
    <x v="0"/>
    <x v="1918"/>
    <x v="1"/>
    <x v="2"/>
    <x v="3"/>
    <x v="1"/>
  </r>
  <r>
    <x v="1544"/>
    <x v="18"/>
    <x v="2"/>
    <x v="296"/>
    <x v="0"/>
    <x v="738"/>
    <x v="0"/>
    <x v="3"/>
    <x v="2"/>
    <x v="3"/>
  </r>
  <r>
    <x v="1545"/>
    <x v="214"/>
    <x v="1"/>
    <x v="297"/>
    <x v="0"/>
    <x v="292"/>
    <x v="0"/>
    <x v="1"/>
    <x v="1"/>
    <x v="1"/>
  </r>
  <r>
    <x v="1546"/>
    <x v="18"/>
    <x v="0"/>
    <x v="297"/>
    <x v="0"/>
    <x v="319"/>
    <x v="0"/>
    <x v="3"/>
    <x v="2"/>
    <x v="1"/>
  </r>
  <r>
    <x v="1547"/>
    <x v="139"/>
    <x v="2"/>
    <x v="297"/>
    <x v="0"/>
    <x v="1658"/>
    <x v="1"/>
    <x v="1"/>
    <x v="1"/>
    <x v="1"/>
  </r>
  <r>
    <x v="1548"/>
    <x v="135"/>
    <x v="3"/>
    <x v="298"/>
    <x v="0"/>
    <x v="253"/>
    <x v="0"/>
    <x v="2"/>
    <x v="3"/>
    <x v="1"/>
  </r>
  <r>
    <x v="1549"/>
    <x v="136"/>
    <x v="3"/>
    <x v="299"/>
    <x v="0"/>
    <x v="261"/>
    <x v="0"/>
    <x v="1"/>
    <x v="1"/>
    <x v="3"/>
  </r>
  <r>
    <x v="1550"/>
    <x v="34"/>
    <x v="3"/>
    <x v="300"/>
    <x v="0"/>
    <x v="672"/>
    <x v="0"/>
    <x v="0"/>
    <x v="0"/>
    <x v="3"/>
  </r>
  <r>
    <x v="1551"/>
    <x v="34"/>
    <x v="1"/>
    <x v="300"/>
    <x v="0"/>
    <x v="703"/>
    <x v="0"/>
    <x v="1"/>
    <x v="1"/>
    <x v="3"/>
  </r>
  <r>
    <x v="1552"/>
    <x v="34"/>
    <x v="3"/>
    <x v="300"/>
    <x v="0"/>
    <x v="1654"/>
    <x v="1"/>
    <x v="2"/>
    <x v="3"/>
    <x v="3"/>
  </r>
  <r>
    <x v="1553"/>
    <x v="19"/>
    <x v="3"/>
    <x v="301"/>
    <x v="0"/>
    <x v="1747"/>
    <x v="1"/>
    <x v="4"/>
    <x v="4"/>
    <x v="1"/>
  </r>
  <r>
    <x v="1554"/>
    <x v="21"/>
    <x v="0"/>
    <x v="301"/>
    <x v="0"/>
    <x v="2168"/>
    <x v="1"/>
    <x v="0"/>
    <x v="0"/>
    <x v="3"/>
  </r>
  <r>
    <x v="1555"/>
    <x v="221"/>
    <x v="0"/>
    <x v="302"/>
    <x v="0"/>
    <x v="245"/>
    <x v="0"/>
    <x v="1"/>
    <x v="1"/>
    <x v="3"/>
  </r>
  <r>
    <x v="1556"/>
    <x v="190"/>
    <x v="0"/>
    <x v="302"/>
    <x v="0"/>
    <x v="264"/>
    <x v="0"/>
    <x v="4"/>
    <x v="4"/>
    <x v="0"/>
  </r>
  <r>
    <x v="1557"/>
    <x v="196"/>
    <x v="1"/>
    <x v="302"/>
    <x v="0"/>
    <x v="571"/>
    <x v="0"/>
    <x v="2"/>
    <x v="3"/>
    <x v="3"/>
  </r>
  <r>
    <x v="1558"/>
    <x v="58"/>
    <x v="2"/>
    <x v="302"/>
    <x v="0"/>
    <x v="8"/>
    <x v="0"/>
    <x v="1"/>
    <x v="1"/>
    <x v="1"/>
  </r>
  <r>
    <x v="1559"/>
    <x v="191"/>
    <x v="2"/>
    <x v="302"/>
    <x v="0"/>
    <x v="612"/>
    <x v="0"/>
    <x v="1"/>
    <x v="1"/>
    <x v="2"/>
  </r>
  <r>
    <x v="1560"/>
    <x v="28"/>
    <x v="2"/>
    <x v="302"/>
    <x v="0"/>
    <x v="1814"/>
    <x v="1"/>
    <x v="1"/>
    <x v="1"/>
    <x v="1"/>
  </r>
  <r>
    <x v="1561"/>
    <x v="139"/>
    <x v="3"/>
    <x v="302"/>
    <x v="0"/>
    <x v="1283"/>
    <x v="1"/>
    <x v="4"/>
    <x v="4"/>
    <x v="3"/>
  </r>
  <r>
    <x v="1562"/>
    <x v="80"/>
    <x v="0"/>
    <x v="302"/>
    <x v="0"/>
    <x v="1814"/>
    <x v="1"/>
    <x v="1"/>
    <x v="1"/>
    <x v="1"/>
  </r>
  <r>
    <x v="1563"/>
    <x v="80"/>
    <x v="1"/>
    <x v="302"/>
    <x v="0"/>
    <x v="1814"/>
    <x v="1"/>
    <x v="1"/>
    <x v="1"/>
    <x v="3"/>
  </r>
  <r>
    <x v="1564"/>
    <x v="80"/>
    <x v="1"/>
    <x v="302"/>
    <x v="0"/>
    <x v="1358"/>
    <x v="1"/>
    <x v="2"/>
    <x v="3"/>
    <x v="3"/>
  </r>
  <r>
    <x v="1565"/>
    <x v="58"/>
    <x v="1"/>
    <x v="303"/>
    <x v="0"/>
    <x v="1351"/>
    <x v="1"/>
    <x v="2"/>
    <x v="3"/>
    <x v="3"/>
  </r>
  <r>
    <x v="1566"/>
    <x v="7"/>
    <x v="1"/>
    <x v="303"/>
    <x v="0"/>
    <x v="1390"/>
    <x v="1"/>
    <x v="2"/>
    <x v="3"/>
    <x v="3"/>
  </r>
  <r>
    <x v="1567"/>
    <x v="26"/>
    <x v="0"/>
    <x v="303"/>
    <x v="0"/>
    <x v="1389"/>
    <x v="1"/>
    <x v="0"/>
    <x v="0"/>
    <x v="1"/>
  </r>
  <r>
    <x v="1568"/>
    <x v="175"/>
    <x v="0"/>
    <x v="303"/>
    <x v="0"/>
    <x v="1315"/>
    <x v="1"/>
    <x v="1"/>
    <x v="1"/>
    <x v="3"/>
  </r>
  <r>
    <x v="1569"/>
    <x v="252"/>
    <x v="0"/>
    <x v="303"/>
    <x v="0"/>
    <x v="1288"/>
    <x v="1"/>
    <x v="4"/>
    <x v="4"/>
    <x v="2"/>
  </r>
  <r>
    <x v="1570"/>
    <x v="253"/>
    <x v="3"/>
    <x v="303"/>
    <x v="0"/>
    <x v="1328"/>
    <x v="1"/>
    <x v="1"/>
    <x v="1"/>
    <x v="0"/>
  </r>
  <r>
    <x v="1571"/>
    <x v="254"/>
    <x v="0"/>
    <x v="303"/>
    <x v="0"/>
    <x v="1371"/>
    <x v="1"/>
    <x v="1"/>
    <x v="1"/>
    <x v="1"/>
  </r>
  <r>
    <x v="1572"/>
    <x v="254"/>
    <x v="0"/>
    <x v="303"/>
    <x v="0"/>
    <x v="1286"/>
    <x v="1"/>
    <x v="1"/>
    <x v="1"/>
    <x v="2"/>
  </r>
  <r>
    <x v="1573"/>
    <x v="263"/>
    <x v="3"/>
    <x v="303"/>
    <x v="0"/>
    <x v="418"/>
    <x v="0"/>
    <x v="1"/>
    <x v="1"/>
    <x v="1"/>
  </r>
  <r>
    <x v="1574"/>
    <x v="175"/>
    <x v="0"/>
    <x v="303"/>
    <x v="0"/>
    <x v="2265"/>
    <x v="1"/>
    <x v="1"/>
    <x v="1"/>
    <x v="2"/>
  </r>
  <r>
    <x v="1575"/>
    <x v="252"/>
    <x v="1"/>
    <x v="303"/>
    <x v="0"/>
    <x v="468"/>
    <x v="0"/>
    <x v="4"/>
    <x v="4"/>
    <x v="3"/>
  </r>
  <r>
    <x v="1576"/>
    <x v="253"/>
    <x v="1"/>
    <x v="303"/>
    <x v="0"/>
    <x v="867"/>
    <x v="0"/>
    <x v="1"/>
    <x v="1"/>
    <x v="0"/>
  </r>
  <r>
    <x v="1577"/>
    <x v="263"/>
    <x v="0"/>
    <x v="303"/>
    <x v="0"/>
    <x v="926"/>
    <x v="0"/>
    <x v="1"/>
    <x v="1"/>
    <x v="3"/>
  </r>
  <r>
    <x v="1578"/>
    <x v="175"/>
    <x v="2"/>
    <x v="303"/>
    <x v="0"/>
    <x v="922"/>
    <x v="0"/>
    <x v="3"/>
    <x v="2"/>
    <x v="3"/>
  </r>
  <r>
    <x v="1579"/>
    <x v="175"/>
    <x v="1"/>
    <x v="303"/>
    <x v="0"/>
    <x v="551"/>
    <x v="0"/>
    <x v="1"/>
    <x v="1"/>
    <x v="1"/>
  </r>
  <r>
    <x v="1580"/>
    <x v="175"/>
    <x v="3"/>
    <x v="303"/>
    <x v="0"/>
    <x v="437"/>
    <x v="0"/>
    <x v="1"/>
    <x v="1"/>
    <x v="2"/>
  </r>
  <r>
    <x v="1581"/>
    <x v="175"/>
    <x v="3"/>
    <x v="303"/>
    <x v="0"/>
    <x v="687"/>
    <x v="0"/>
    <x v="2"/>
    <x v="3"/>
    <x v="3"/>
  </r>
  <r>
    <x v="1582"/>
    <x v="175"/>
    <x v="1"/>
    <x v="303"/>
    <x v="0"/>
    <x v="2245"/>
    <x v="1"/>
    <x v="2"/>
    <x v="3"/>
    <x v="3"/>
  </r>
  <r>
    <x v="1583"/>
    <x v="175"/>
    <x v="0"/>
    <x v="303"/>
    <x v="0"/>
    <x v="18"/>
    <x v="0"/>
    <x v="4"/>
    <x v="4"/>
    <x v="3"/>
  </r>
  <r>
    <x v="1584"/>
    <x v="175"/>
    <x v="0"/>
    <x v="303"/>
    <x v="0"/>
    <x v="1040"/>
    <x v="1"/>
    <x v="4"/>
    <x v="4"/>
    <x v="0"/>
  </r>
  <r>
    <x v="1585"/>
    <x v="175"/>
    <x v="2"/>
    <x v="303"/>
    <x v="0"/>
    <x v="1083"/>
    <x v="1"/>
    <x v="1"/>
    <x v="1"/>
    <x v="0"/>
  </r>
  <r>
    <x v="1586"/>
    <x v="106"/>
    <x v="0"/>
    <x v="304"/>
    <x v="0"/>
    <x v="1230"/>
    <x v="1"/>
    <x v="1"/>
    <x v="1"/>
    <x v="3"/>
  </r>
  <r>
    <x v="1587"/>
    <x v="18"/>
    <x v="1"/>
    <x v="304"/>
    <x v="0"/>
    <x v="1230"/>
    <x v="1"/>
    <x v="0"/>
    <x v="0"/>
    <x v="3"/>
  </r>
  <r>
    <x v="1588"/>
    <x v="209"/>
    <x v="0"/>
    <x v="305"/>
    <x v="0"/>
    <x v="1246"/>
    <x v="1"/>
    <x v="1"/>
    <x v="1"/>
    <x v="1"/>
  </r>
  <r>
    <x v="1589"/>
    <x v="209"/>
    <x v="1"/>
    <x v="305"/>
    <x v="0"/>
    <x v="1042"/>
    <x v="1"/>
    <x v="0"/>
    <x v="0"/>
    <x v="1"/>
  </r>
  <r>
    <x v="1590"/>
    <x v="180"/>
    <x v="2"/>
    <x v="305"/>
    <x v="0"/>
    <x v="1063"/>
    <x v="1"/>
    <x v="4"/>
    <x v="4"/>
    <x v="3"/>
  </r>
  <r>
    <x v="1591"/>
    <x v="18"/>
    <x v="2"/>
    <x v="305"/>
    <x v="0"/>
    <x v="1083"/>
    <x v="1"/>
    <x v="1"/>
    <x v="1"/>
    <x v="3"/>
  </r>
  <r>
    <x v="1592"/>
    <x v="194"/>
    <x v="3"/>
    <x v="306"/>
    <x v="0"/>
    <x v="2229"/>
    <x v="1"/>
    <x v="4"/>
    <x v="4"/>
    <x v="3"/>
  </r>
  <r>
    <x v="1593"/>
    <x v="182"/>
    <x v="0"/>
    <x v="306"/>
    <x v="0"/>
    <x v="1246"/>
    <x v="1"/>
    <x v="2"/>
    <x v="3"/>
    <x v="3"/>
  </r>
  <r>
    <x v="1594"/>
    <x v="237"/>
    <x v="1"/>
    <x v="307"/>
    <x v="0"/>
    <x v="1042"/>
    <x v="1"/>
    <x v="0"/>
    <x v="0"/>
    <x v="1"/>
  </r>
  <r>
    <x v="1595"/>
    <x v="215"/>
    <x v="2"/>
    <x v="307"/>
    <x v="0"/>
    <x v="1063"/>
    <x v="1"/>
    <x v="1"/>
    <x v="1"/>
    <x v="3"/>
  </r>
  <r>
    <x v="1596"/>
    <x v="192"/>
    <x v="0"/>
    <x v="307"/>
    <x v="0"/>
    <x v="1174"/>
    <x v="1"/>
    <x v="0"/>
    <x v="0"/>
    <x v="0"/>
  </r>
  <r>
    <x v="1597"/>
    <x v="5"/>
    <x v="0"/>
    <x v="307"/>
    <x v="0"/>
    <x v="1171"/>
    <x v="1"/>
    <x v="0"/>
    <x v="0"/>
    <x v="3"/>
  </r>
  <r>
    <x v="1598"/>
    <x v="5"/>
    <x v="1"/>
    <x v="307"/>
    <x v="0"/>
    <x v="737"/>
    <x v="0"/>
    <x v="0"/>
    <x v="0"/>
    <x v="0"/>
  </r>
  <r>
    <x v="1599"/>
    <x v="139"/>
    <x v="2"/>
    <x v="307"/>
    <x v="0"/>
    <x v="904"/>
    <x v="0"/>
    <x v="1"/>
    <x v="1"/>
    <x v="3"/>
  </r>
  <r>
    <x v="1600"/>
    <x v="139"/>
    <x v="2"/>
    <x v="307"/>
    <x v="0"/>
    <x v="37"/>
    <x v="0"/>
    <x v="1"/>
    <x v="1"/>
    <x v="2"/>
  </r>
  <r>
    <x v="1601"/>
    <x v="135"/>
    <x v="0"/>
    <x v="307"/>
    <x v="0"/>
    <x v="1697"/>
    <x v="1"/>
    <x v="1"/>
    <x v="1"/>
    <x v="2"/>
  </r>
  <r>
    <x v="1602"/>
    <x v="210"/>
    <x v="1"/>
    <x v="308"/>
    <x v="0"/>
    <x v="1626"/>
    <x v="1"/>
    <x v="1"/>
    <x v="1"/>
    <x v="1"/>
  </r>
  <r>
    <x v="1603"/>
    <x v="196"/>
    <x v="0"/>
    <x v="308"/>
    <x v="0"/>
    <x v="1702"/>
    <x v="1"/>
    <x v="2"/>
    <x v="3"/>
    <x v="3"/>
  </r>
  <r>
    <x v="1604"/>
    <x v="186"/>
    <x v="0"/>
    <x v="308"/>
    <x v="0"/>
    <x v="1660"/>
    <x v="1"/>
    <x v="2"/>
    <x v="3"/>
    <x v="2"/>
  </r>
  <r>
    <x v="1605"/>
    <x v="191"/>
    <x v="0"/>
    <x v="309"/>
    <x v="0"/>
    <x v="361"/>
    <x v="0"/>
    <x v="1"/>
    <x v="1"/>
    <x v="3"/>
  </r>
  <r>
    <x v="1606"/>
    <x v="28"/>
    <x v="3"/>
    <x v="309"/>
    <x v="0"/>
    <x v="249"/>
    <x v="0"/>
    <x v="3"/>
    <x v="2"/>
    <x v="1"/>
  </r>
  <r>
    <x v="1607"/>
    <x v="26"/>
    <x v="0"/>
    <x v="309"/>
    <x v="0"/>
    <x v="105"/>
    <x v="0"/>
    <x v="1"/>
    <x v="1"/>
    <x v="0"/>
  </r>
  <r>
    <x v="1608"/>
    <x v="26"/>
    <x v="2"/>
    <x v="309"/>
    <x v="0"/>
    <x v="2074"/>
    <x v="1"/>
    <x v="4"/>
    <x v="4"/>
    <x v="3"/>
  </r>
  <r>
    <x v="1609"/>
    <x v="26"/>
    <x v="2"/>
    <x v="309"/>
    <x v="0"/>
    <x v="1677"/>
    <x v="1"/>
    <x v="1"/>
    <x v="1"/>
    <x v="3"/>
  </r>
  <r>
    <x v="1610"/>
    <x v="241"/>
    <x v="3"/>
    <x v="309"/>
    <x v="0"/>
    <x v="1690"/>
    <x v="1"/>
    <x v="0"/>
    <x v="0"/>
    <x v="1"/>
  </r>
  <r>
    <x v="1611"/>
    <x v="139"/>
    <x v="1"/>
    <x v="309"/>
    <x v="0"/>
    <x v="1745"/>
    <x v="1"/>
    <x v="3"/>
    <x v="2"/>
    <x v="3"/>
  </r>
  <r>
    <x v="1612"/>
    <x v="139"/>
    <x v="1"/>
    <x v="309"/>
    <x v="0"/>
    <x v="1730"/>
    <x v="1"/>
    <x v="1"/>
    <x v="1"/>
    <x v="3"/>
  </r>
  <r>
    <x v="1613"/>
    <x v="200"/>
    <x v="3"/>
    <x v="309"/>
    <x v="0"/>
    <x v="373"/>
    <x v="0"/>
    <x v="1"/>
    <x v="1"/>
    <x v="3"/>
  </r>
  <r>
    <x v="1614"/>
    <x v="46"/>
    <x v="1"/>
    <x v="309"/>
    <x v="0"/>
    <x v="2179"/>
    <x v="1"/>
    <x v="2"/>
    <x v="3"/>
    <x v="2"/>
  </r>
  <r>
    <x v="1615"/>
    <x v="50"/>
    <x v="1"/>
    <x v="309"/>
    <x v="0"/>
    <x v="1550"/>
    <x v="1"/>
    <x v="1"/>
    <x v="1"/>
    <x v="1"/>
  </r>
  <r>
    <x v="1616"/>
    <x v="200"/>
    <x v="2"/>
    <x v="309"/>
    <x v="0"/>
    <x v="1680"/>
    <x v="1"/>
    <x v="2"/>
    <x v="3"/>
    <x v="3"/>
  </r>
  <r>
    <x v="1617"/>
    <x v="201"/>
    <x v="1"/>
    <x v="309"/>
    <x v="0"/>
    <x v="1680"/>
    <x v="1"/>
    <x v="2"/>
    <x v="3"/>
    <x v="3"/>
  </r>
  <r>
    <x v="1618"/>
    <x v="201"/>
    <x v="0"/>
    <x v="309"/>
    <x v="0"/>
    <x v="1680"/>
    <x v="1"/>
    <x v="0"/>
    <x v="0"/>
    <x v="2"/>
  </r>
  <r>
    <x v="1619"/>
    <x v="46"/>
    <x v="3"/>
    <x v="309"/>
    <x v="0"/>
    <x v="1680"/>
    <x v="1"/>
    <x v="1"/>
    <x v="1"/>
    <x v="1"/>
  </r>
  <r>
    <x v="1620"/>
    <x v="136"/>
    <x v="0"/>
    <x v="309"/>
    <x v="0"/>
    <x v="1680"/>
    <x v="1"/>
    <x v="1"/>
    <x v="1"/>
    <x v="0"/>
  </r>
  <r>
    <x v="1621"/>
    <x v="200"/>
    <x v="1"/>
    <x v="309"/>
    <x v="0"/>
    <x v="294"/>
    <x v="0"/>
    <x v="1"/>
    <x v="1"/>
    <x v="0"/>
  </r>
  <r>
    <x v="1622"/>
    <x v="201"/>
    <x v="2"/>
    <x v="309"/>
    <x v="0"/>
    <x v="1650"/>
    <x v="1"/>
    <x v="1"/>
    <x v="1"/>
    <x v="0"/>
  </r>
  <r>
    <x v="1623"/>
    <x v="46"/>
    <x v="3"/>
    <x v="309"/>
    <x v="0"/>
    <x v="1633"/>
    <x v="1"/>
    <x v="2"/>
    <x v="3"/>
    <x v="1"/>
  </r>
  <r>
    <x v="1624"/>
    <x v="46"/>
    <x v="1"/>
    <x v="309"/>
    <x v="0"/>
    <x v="1662"/>
    <x v="1"/>
    <x v="2"/>
    <x v="3"/>
    <x v="3"/>
  </r>
  <r>
    <x v="1625"/>
    <x v="46"/>
    <x v="2"/>
    <x v="309"/>
    <x v="0"/>
    <x v="1678"/>
    <x v="1"/>
    <x v="1"/>
    <x v="1"/>
    <x v="0"/>
  </r>
  <r>
    <x v="1626"/>
    <x v="23"/>
    <x v="3"/>
    <x v="310"/>
    <x v="7"/>
    <x v="1686"/>
    <x v="1"/>
    <x v="2"/>
    <x v="3"/>
    <x v="0"/>
  </r>
  <r>
    <x v="1627"/>
    <x v="26"/>
    <x v="1"/>
    <x v="310"/>
    <x v="7"/>
    <x v="36"/>
    <x v="0"/>
    <x v="0"/>
    <x v="0"/>
    <x v="1"/>
  </r>
  <r>
    <x v="1628"/>
    <x v="26"/>
    <x v="0"/>
    <x v="310"/>
    <x v="7"/>
    <x v="649"/>
    <x v="0"/>
    <x v="1"/>
    <x v="1"/>
    <x v="1"/>
  </r>
  <r>
    <x v="1629"/>
    <x v="222"/>
    <x v="1"/>
    <x v="311"/>
    <x v="7"/>
    <x v="446"/>
    <x v="0"/>
    <x v="1"/>
    <x v="1"/>
    <x v="3"/>
  </r>
  <r>
    <x v="1630"/>
    <x v="189"/>
    <x v="2"/>
    <x v="311"/>
    <x v="7"/>
    <x v="520"/>
    <x v="0"/>
    <x v="0"/>
    <x v="0"/>
    <x v="3"/>
  </r>
  <r>
    <x v="1631"/>
    <x v="26"/>
    <x v="0"/>
    <x v="311"/>
    <x v="7"/>
    <x v="376"/>
    <x v="0"/>
    <x v="2"/>
    <x v="3"/>
    <x v="1"/>
  </r>
  <r>
    <x v="1632"/>
    <x v="209"/>
    <x v="0"/>
    <x v="312"/>
    <x v="7"/>
    <x v="412"/>
    <x v="0"/>
    <x v="3"/>
    <x v="2"/>
    <x v="1"/>
  </r>
  <r>
    <x v="1633"/>
    <x v="26"/>
    <x v="2"/>
    <x v="312"/>
    <x v="7"/>
    <x v="608"/>
    <x v="0"/>
    <x v="1"/>
    <x v="1"/>
    <x v="1"/>
  </r>
  <r>
    <x v="1634"/>
    <x v="135"/>
    <x v="3"/>
    <x v="312"/>
    <x v="7"/>
    <x v="505"/>
    <x v="0"/>
    <x v="0"/>
    <x v="0"/>
    <x v="1"/>
  </r>
  <r>
    <x v="1635"/>
    <x v="7"/>
    <x v="2"/>
    <x v="313"/>
    <x v="7"/>
    <x v="355"/>
    <x v="0"/>
    <x v="2"/>
    <x v="3"/>
    <x v="3"/>
  </r>
  <r>
    <x v="1636"/>
    <x v="7"/>
    <x v="0"/>
    <x v="313"/>
    <x v="7"/>
    <x v="903"/>
    <x v="0"/>
    <x v="0"/>
    <x v="0"/>
    <x v="3"/>
  </r>
  <r>
    <x v="1637"/>
    <x v="18"/>
    <x v="2"/>
    <x v="313"/>
    <x v="7"/>
    <x v="521"/>
    <x v="0"/>
    <x v="4"/>
    <x v="4"/>
    <x v="1"/>
  </r>
  <r>
    <x v="1638"/>
    <x v="135"/>
    <x v="2"/>
    <x v="313"/>
    <x v="7"/>
    <x v="291"/>
    <x v="0"/>
    <x v="1"/>
    <x v="1"/>
    <x v="3"/>
  </r>
  <r>
    <x v="1639"/>
    <x v="172"/>
    <x v="0"/>
    <x v="314"/>
    <x v="7"/>
    <x v="272"/>
    <x v="0"/>
    <x v="0"/>
    <x v="0"/>
    <x v="1"/>
  </r>
  <r>
    <x v="1640"/>
    <x v="188"/>
    <x v="3"/>
    <x v="314"/>
    <x v="7"/>
    <x v="236"/>
    <x v="0"/>
    <x v="0"/>
    <x v="0"/>
    <x v="3"/>
  </r>
  <r>
    <x v="1641"/>
    <x v="184"/>
    <x v="2"/>
    <x v="314"/>
    <x v="7"/>
    <x v="300"/>
    <x v="0"/>
    <x v="2"/>
    <x v="3"/>
    <x v="2"/>
  </r>
  <r>
    <x v="1642"/>
    <x v="252"/>
    <x v="1"/>
    <x v="314"/>
    <x v="7"/>
    <x v="162"/>
    <x v="0"/>
    <x v="1"/>
    <x v="1"/>
    <x v="2"/>
  </r>
  <r>
    <x v="1643"/>
    <x v="253"/>
    <x v="1"/>
    <x v="314"/>
    <x v="7"/>
    <x v="162"/>
    <x v="0"/>
    <x v="4"/>
    <x v="4"/>
    <x v="3"/>
  </r>
  <r>
    <x v="1644"/>
    <x v="254"/>
    <x v="3"/>
    <x v="314"/>
    <x v="7"/>
    <x v="289"/>
    <x v="0"/>
    <x v="2"/>
    <x v="3"/>
    <x v="3"/>
  </r>
  <r>
    <x v="1645"/>
    <x v="80"/>
    <x v="2"/>
    <x v="314"/>
    <x v="7"/>
    <x v="346"/>
    <x v="0"/>
    <x v="1"/>
    <x v="1"/>
    <x v="3"/>
  </r>
  <r>
    <x v="1646"/>
    <x v="252"/>
    <x v="2"/>
    <x v="314"/>
    <x v="7"/>
    <x v="297"/>
    <x v="0"/>
    <x v="2"/>
    <x v="3"/>
    <x v="1"/>
  </r>
  <r>
    <x v="1647"/>
    <x v="253"/>
    <x v="2"/>
    <x v="314"/>
    <x v="7"/>
    <x v="259"/>
    <x v="0"/>
    <x v="3"/>
    <x v="2"/>
    <x v="0"/>
  </r>
  <r>
    <x v="1648"/>
    <x v="254"/>
    <x v="0"/>
    <x v="314"/>
    <x v="7"/>
    <x v="2047"/>
    <x v="1"/>
    <x v="1"/>
    <x v="1"/>
    <x v="2"/>
  </r>
  <r>
    <x v="1649"/>
    <x v="80"/>
    <x v="1"/>
    <x v="314"/>
    <x v="7"/>
    <x v="1921"/>
    <x v="1"/>
    <x v="1"/>
    <x v="1"/>
    <x v="3"/>
  </r>
  <r>
    <x v="1650"/>
    <x v="80"/>
    <x v="2"/>
    <x v="314"/>
    <x v="7"/>
    <x v="1933"/>
    <x v="1"/>
    <x v="1"/>
    <x v="1"/>
    <x v="3"/>
  </r>
  <r>
    <x v="1651"/>
    <x v="23"/>
    <x v="1"/>
    <x v="315"/>
    <x v="7"/>
    <x v="1927"/>
    <x v="1"/>
    <x v="0"/>
    <x v="0"/>
    <x v="3"/>
  </r>
  <r>
    <x v="1652"/>
    <x v="19"/>
    <x v="3"/>
    <x v="315"/>
    <x v="7"/>
    <x v="1931"/>
    <x v="1"/>
    <x v="1"/>
    <x v="1"/>
    <x v="0"/>
  </r>
  <r>
    <x v="1653"/>
    <x v="221"/>
    <x v="3"/>
    <x v="316"/>
    <x v="7"/>
    <x v="251"/>
    <x v="0"/>
    <x v="1"/>
    <x v="1"/>
    <x v="1"/>
  </r>
  <r>
    <x v="1654"/>
    <x v="196"/>
    <x v="3"/>
    <x v="316"/>
    <x v="7"/>
    <x v="228"/>
    <x v="0"/>
    <x v="2"/>
    <x v="3"/>
    <x v="3"/>
  </r>
  <r>
    <x v="1655"/>
    <x v="23"/>
    <x v="1"/>
    <x v="316"/>
    <x v="7"/>
    <x v="581"/>
    <x v="0"/>
    <x v="4"/>
    <x v="4"/>
    <x v="0"/>
  </r>
  <r>
    <x v="1656"/>
    <x v="19"/>
    <x v="0"/>
    <x v="316"/>
    <x v="7"/>
    <x v="189"/>
    <x v="0"/>
    <x v="0"/>
    <x v="0"/>
    <x v="1"/>
  </r>
  <r>
    <x v="1657"/>
    <x v="135"/>
    <x v="3"/>
    <x v="316"/>
    <x v="7"/>
    <x v="2185"/>
    <x v="1"/>
    <x v="1"/>
    <x v="1"/>
    <x v="1"/>
  </r>
  <r>
    <x v="1658"/>
    <x v="137"/>
    <x v="3"/>
    <x v="316"/>
    <x v="7"/>
    <x v="727"/>
    <x v="0"/>
    <x v="1"/>
    <x v="1"/>
    <x v="3"/>
  </r>
  <r>
    <x v="1659"/>
    <x v="135"/>
    <x v="1"/>
    <x v="316"/>
    <x v="7"/>
    <x v="651"/>
    <x v="0"/>
    <x v="0"/>
    <x v="0"/>
    <x v="3"/>
  </r>
  <r>
    <x v="1660"/>
    <x v="197"/>
    <x v="1"/>
    <x v="317"/>
    <x v="7"/>
    <x v="662"/>
    <x v="0"/>
    <x v="4"/>
    <x v="4"/>
    <x v="0"/>
  </r>
  <r>
    <x v="1661"/>
    <x v="106"/>
    <x v="3"/>
    <x v="317"/>
    <x v="7"/>
    <x v="647"/>
    <x v="0"/>
    <x v="3"/>
    <x v="2"/>
    <x v="1"/>
  </r>
  <r>
    <x v="1662"/>
    <x v="58"/>
    <x v="2"/>
    <x v="317"/>
    <x v="7"/>
    <x v="269"/>
    <x v="0"/>
    <x v="1"/>
    <x v="1"/>
    <x v="3"/>
  </r>
  <r>
    <x v="1663"/>
    <x v="7"/>
    <x v="1"/>
    <x v="317"/>
    <x v="7"/>
    <x v="603"/>
    <x v="0"/>
    <x v="2"/>
    <x v="3"/>
    <x v="3"/>
  </r>
  <r>
    <x v="1664"/>
    <x v="19"/>
    <x v="2"/>
    <x v="318"/>
    <x v="7"/>
    <x v="553"/>
    <x v="0"/>
    <x v="0"/>
    <x v="0"/>
    <x v="1"/>
  </r>
  <r>
    <x v="1665"/>
    <x v="147"/>
    <x v="1"/>
    <x v="319"/>
    <x v="7"/>
    <x v="588"/>
    <x v="0"/>
    <x v="2"/>
    <x v="3"/>
    <x v="0"/>
  </r>
  <r>
    <x v="1666"/>
    <x v="215"/>
    <x v="1"/>
    <x v="319"/>
    <x v="7"/>
    <x v="584"/>
    <x v="0"/>
    <x v="2"/>
    <x v="3"/>
    <x v="3"/>
  </r>
  <r>
    <x v="1667"/>
    <x v="21"/>
    <x v="3"/>
    <x v="319"/>
    <x v="7"/>
    <x v="595"/>
    <x v="0"/>
    <x v="0"/>
    <x v="0"/>
    <x v="1"/>
  </r>
  <r>
    <x v="1668"/>
    <x v="21"/>
    <x v="0"/>
    <x v="319"/>
    <x v="7"/>
    <x v="548"/>
    <x v="0"/>
    <x v="1"/>
    <x v="1"/>
    <x v="1"/>
  </r>
  <r>
    <x v="1669"/>
    <x v="136"/>
    <x v="2"/>
    <x v="319"/>
    <x v="7"/>
    <x v="584"/>
    <x v="0"/>
    <x v="4"/>
    <x v="4"/>
    <x v="3"/>
  </r>
  <r>
    <x v="1670"/>
    <x v="23"/>
    <x v="0"/>
    <x v="320"/>
    <x v="7"/>
    <x v="588"/>
    <x v="0"/>
    <x v="4"/>
    <x v="4"/>
    <x v="0"/>
  </r>
  <r>
    <x v="1671"/>
    <x v="135"/>
    <x v="0"/>
    <x v="320"/>
    <x v="7"/>
    <x v="567"/>
    <x v="0"/>
    <x v="1"/>
    <x v="1"/>
    <x v="1"/>
  </r>
  <r>
    <x v="1672"/>
    <x v="205"/>
    <x v="3"/>
    <x v="320"/>
    <x v="7"/>
    <x v="599"/>
    <x v="0"/>
    <x v="1"/>
    <x v="1"/>
    <x v="1"/>
  </r>
  <r>
    <x v="1673"/>
    <x v="205"/>
    <x v="0"/>
    <x v="320"/>
    <x v="7"/>
    <x v="2124"/>
    <x v="1"/>
    <x v="3"/>
    <x v="2"/>
    <x v="1"/>
  </r>
  <r>
    <x v="1674"/>
    <x v="205"/>
    <x v="2"/>
    <x v="320"/>
    <x v="7"/>
    <x v="2017"/>
    <x v="1"/>
    <x v="2"/>
    <x v="3"/>
    <x v="3"/>
  </r>
  <r>
    <x v="1675"/>
    <x v="5"/>
    <x v="1"/>
    <x v="321"/>
    <x v="7"/>
    <x v="916"/>
    <x v="0"/>
    <x v="1"/>
    <x v="1"/>
    <x v="3"/>
  </r>
  <r>
    <x v="1676"/>
    <x v="34"/>
    <x v="3"/>
    <x v="321"/>
    <x v="7"/>
    <x v="740"/>
    <x v="0"/>
    <x v="2"/>
    <x v="3"/>
    <x v="1"/>
  </r>
  <r>
    <x v="1677"/>
    <x v="34"/>
    <x v="0"/>
    <x v="321"/>
    <x v="7"/>
    <x v="856"/>
    <x v="0"/>
    <x v="1"/>
    <x v="1"/>
    <x v="0"/>
  </r>
  <r>
    <x v="1678"/>
    <x v="34"/>
    <x v="3"/>
    <x v="321"/>
    <x v="7"/>
    <x v="366"/>
    <x v="0"/>
    <x v="4"/>
    <x v="4"/>
    <x v="3"/>
  </r>
  <r>
    <x v="1679"/>
    <x v="135"/>
    <x v="0"/>
    <x v="321"/>
    <x v="7"/>
    <x v="440"/>
    <x v="0"/>
    <x v="1"/>
    <x v="1"/>
    <x v="1"/>
  </r>
  <r>
    <x v="1680"/>
    <x v="135"/>
    <x v="3"/>
    <x v="322"/>
    <x v="7"/>
    <x v="1975"/>
    <x v="1"/>
    <x v="1"/>
    <x v="1"/>
    <x v="3"/>
  </r>
  <r>
    <x v="1681"/>
    <x v="106"/>
    <x v="3"/>
    <x v="323"/>
    <x v="7"/>
    <x v="1916"/>
    <x v="1"/>
    <x v="2"/>
    <x v="3"/>
    <x v="1"/>
  </r>
  <r>
    <x v="1682"/>
    <x v="79"/>
    <x v="1"/>
    <x v="323"/>
    <x v="7"/>
    <x v="1972"/>
    <x v="1"/>
    <x v="1"/>
    <x v="1"/>
    <x v="1"/>
  </r>
  <r>
    <x v="1683"/>
    <x v="111"/>
    <x v="1"/>
    <x v="323"/>
    <x v="7"/>
    <x v="671"/>
    <x v="0"/>
    <x v="4"/>
    <x v="4"/>
    <x v="3"/>
  </r>
  <r>
    <x v="1684"/>
    <x v="174"/>
    <x v="3"/>
    <x v="323"/>
    <x v="7"/>
    <x v="411"/>
    <x v="0"/>
    <x v="4"/>
    <x v="4"/>
    <x v="3"/>
  </r>
  <r>
    <x v="1685"/>
    <x v="237"/>
    <x v="2"/>
    <x v="323"/>
    <x v="7"/>
    <x v="681"/>
    <x v="0"/>
    <x v="4"/>
    <x v="4"/>
    <x v="1"/>
  </r>
  <r>
    <x v="1686"/>
    <x v="196"/>
    <x v="2"/>
    <x v="323"/>
    <x v="7"/>
    <x v="814"/>
    <x v="0"/>
    <x v="4"/>
    <x v="4"/>
    <x v="3"/>
  </r>
  <r>
    <x v="1687"/>
    <x v="106"/>
    <x v="3"/>
    <x v="323"/>
    <x v="7"/>
    <x v="902"/>
    <x v="0"/>
    <x v="2"/>
    <x v="3"/>
    <x v="3"/>
  </r>
  <r>
    <x v="1688"/>
    <x v="40"/>
    <x v="3"/>
    <x v="324"/>
    <x v="7"/>
    <x v="644"/>
    <x v="0"/>
    <x v="4"/>
    <x v="4"/>
    <x v="0"/>
  </r>
  <r>
    <x v="1689"/>
    <x v="248"/>
    <x v="0"/>
    <x v="324"/>
    <x v="7"/>
    <x v="1254"/>
    <x v="1"/>
    <x v="1"/>
    <x v="1"/>
    <x v="3"/>
  </r>
  <r>
    <x v="1690"/>
    <x v="150"/>
    <x v="0"/>
    <x v="324"/>
    <x v="7"/>
    <x v="1504"/>
    <x v="1"/>
    <x v="4"/>
    <x v="4"/>
    <x v="0"/>
  </r>
  <r>
    <x v="1691"/>
    <x v="29"/>
    <x v="2"/>
    <x v="324"/>
    <x v="7"/>
    <x v="1112"/>
    <x v="1"/>
    <x v="1"/>
    <x v="1"/>
    <x v="3"/>
  </r>
  <r>
    <x v="1692"/>
    <x v="29"/>
    <x v="1"/>
    <x v="324"/>
    <x v="7"/>
    <x v="1278"/>
    <x v="1"/>
    <x v="2"/>
    <x v="3"/>
    <x v="1"/>
  </r>
  <r>
    <x v="1693"/>
    <x v="111"/>
    <x v="1"/>
    <x v="324"/>
    <x v="7"/>
    <x v="1475"/>
    <x v="1"/>
    <x v="2"/>
    <x v="3"/>
    <x v="3"/>
  </r>
  <r>
    <x v="1694"/>
    <x v="111"/>
    <x v="1"/>
    <x v="324"/>
    <x v="7"/>
    <x v="1112"/>
    <x v="1"/>
    <x v="2"/>
    <x v="3"/>
    <x v="3"/>
  </r>
  <r>
    <x v="1695"/>
    <x v="111"/>
    <x v="1"/>
    <x v="324"/>
    <x v="7"/>
    <x v="1279"/>
    <x v="1"/>
    <x v="1"/>
    <x v="1"/>
    <x v="1"/>
  </r>
  <r>
    <x v="1696"/>
    <x v="111"/>
    <x v="3"/>
    <x v="324"/>
    <x v="7"/>
    <x v="1498"/>
    <x v="1"/>
    <x v="0"/>
    <x v="0"/>
    <x v="3"/>
  </r>
  <r>
    <x v="1697"/>
    <x v="111"/>
    <x v="1"/>
    <x v="324"/>
    <x v="7"/>
    <x v="1112"/>
    <x v="1"/>
    <x v="2"/>
    <x v="3"/>
    <x v="0"/>
  </r>
  <r>
    <x v="1698"/>
    <x v="18"/>
    <x v="0"/>
    <x v="325"/>
    <x v="7"/>
    <x v="1240"/>
    <x v="1"/>
    <x v="1"/>
    <x v="1"/>
    <x v="3"/>
  </r>
  <r>
    <x v="1699"/>
    <x v="23"/>
    <x v="2"/>
    <x v="325"/>
    <x v="7"/>
    <x v="1546"/>
    <x v="1"/>
    <x v="4"/>
    <x v="4"/>
    <x v="1"/>
  </r>
  <r>
    <x v="1700"/>
    <x v="173"/>
    <x v="2"/>
    <x v="326"/>
    <x v="7"/>
    <x v="1112"/>
    <x v="1"/>
    <x v="0"/>
    <x v="0"/>
    <x v="1"/>
  </r>
  <r>
    <x v="1701"/>
    <x v="214"/>
    <x v="1"/>
    <x v="327"/>
    <x v="7"/>
    <x v="1112"/>
    <x v="1"/>
    <x v="1"/>
    <x v="1"/>
    <x v="3"/>
  </r>
  <r>
    <x v="1702"/>
    <x v="239"/>
    <x v="2"/>
    <x v="327"/>
    <x v="7"/>
    <x v="1112"/>
    <x v="1"/>
    <x v="2"/>
    <x v="3"/>
    <x v="0"/>
  </r>
  <r>
    <x v="1703"/>
    <x v="152"/>
    <x v="0"/>
    <x v="327"/>
    <x v="7"/>
    <x v="1112"/>
    <x v="1"/>
    <x v="2"/>
    <x v="3"/>
    <x v="3"/>
  </r>
  <r>
    <x v="1704"/>
    <x v="135"/>
    <x v="0"/>
    <x v="327"/>
    <x v="7"/>
    <x v="1112"/>
    <x v="1"/>
    <x v="1"/>
    <x v="1"/>
    <x v="3"/>
  </r>
  <r>
    <x v="1705"/>
    <x v="252"/>
    <x v="0"/>
    <x v="327"/>
    <x v="7"/>
    <x v="1111"/>
    <x v="1"/>
    <x v="2"/>
    <x v="3"/>
    <x v="3"/>
  </r>
  <r>
    <x v="1706"/>
    <x v="254"/>
    <x v="0"/>
    <x v="327"/>
    <x v="7"/>
    <x v="181"/>
    <x v="0"/>
    <x v="4"/>
    <x v="4"/>
    <x v="2"/>
  </r>
  <r>
    <x v="1707"/>
    <x v="263"/>
    <x v="3"/>
    <x v="327"/>
    <x v="7"/>
    <x v="724"/>
    <x v="0"/>
    <x v="1"/>
    <x v="1"/>
    <x v="1"/>
  </r>
  <r>
    <x v="1708"/>
    <x v="252"/>
    <x v="1"/>
    <x v="327"/>
    <x v="7"/>
    <x v="789"/>
    <x v="0"/>
    <x v="0"/>
    <x v="0"/>
    <x v="1"/>
  </r>
  <r>
    <x v="1709"/>
    <x v="254"/>
    <x v="3"/>
    <x v="327"/>
    <x v="7"/>
    <x v="219"/>
    <x v="0"/>
    <x v="1"/>
    <x v="1"/>
    <x v="3"/>
  </r>
  <r>
    <x v="1710"/>
    <x v="263"/>
    <x v="2"/>
    <x v="327"/>
    <x v="7"/>
    <x v="2108"/>
    <x v="1"/>
    <x v="2"/>
    <x v="3"/>
    <x v="3"/>
  </r>
  <r>
    <x v="1711"/>
    <x v="173"/>
    <x v="2"/>
    <x v="328"/>
    <x v="7"/>
    <x v="2209"/>
    <x v="1"/>
    <x v="0"/>
    <x v="0"/>
    <x v="1"/>
  </r>
  <r>
    <x v="1712"/>
    <x v="192"/>
    <x v="0"/>
    <x v="328"/>
    <x v="7"/>
    <x v="248"/>
    <x v="0"/>
    <x v="1"/>
    <x v="1"/>
    <x v="3"/>
  </r>
  <r>
    <x v="1713"/>
    <x v="178"/>
    <x v="1"/>
    <x v="328"/>
    <x v="7"/>
    <x v="1999"/>
    <x v="1"/>
    <x v="4"/>
    <x v="4"/>
    <x v="1"/>
  </r>
  <r>
    <x v="1714"/>
    <x v="222"/>
    <x v="3"/>
    <x v="328"/>
    <x v="7"/>
    <x v="1014"/>
    <x v="1"/>
    <x v="0"/>
    <x v="0"/>
    <x v="1"/>
  </r>
  <r>
    <x v="1715"/>
    <x v="19"/>
    <x v="1"/>
    <x v="328"/>
    <x v="7"/>
    <x v="912"/>
    <x v="0"/>
    <x v="1"/>
    <x v="1"/>
    <x v="3"/>
  </r>
  <r>
    <x v="1716"/>
    <x v="139"/>
    <x v="0"/>
    <x v="328"/>
    <x v="7"/>
    <x v="688"/>
    <x v="0"/>
    <x v="2"/>
    <x v="3"/>
    <x v="3"/>
  </r>
  <r>
    <x v="1717"/>
    <x v="139"/>
    <x v="1"/>
    <x v="328"/>
    <x v="7"/>
    <x v="1149"/>
    <x v="1"/>
    <x v="1"/>
    <x v="1"/>
    <x v="0"/>
  </r>
  <r>
    <x v="1718"/>
    <x v="139"/>
    <x v="3"/>
    <x v="328"/>
    <x v="7"/>
    <x v="1149"/>
    <x v="1"/>
    <x v="1"/>
    <x v="1"/>
    <x v="3"/>
  </r>
  <r>
    <x v="1719"/>
    <x v="15"/>
    <x v="3"/>
    <x v="329"/>
    <x v="7"/>
    <x v="1168"/>
    <x v="1"/>
    <x v="4"/>
    <x v="4"/>
    <x v="3"/>
  </r>
  <r>
    <x v="1720"/>
    <x v="147"/>
    <x v="2"/>
    <x v="329"/>
    <x v="7"/>
    <x v="1057"/>
    <x v="1"/>
    <x v="2"/>
    <x v="3"/>
    <x v="1"/>
  </r>
  <r>
    <x v="1721"/>
    <x v="58"/>
    <x v="0"/>
    <x v="329"/>
    <x v="7"/>
    <x v="1057"/>
    <x v="1"/>
    <x v="4"/>
    <x v="4"/>
    <x v="1"/>
  </r>
  <r>
    <x v="1722"/>
    <x v="26"/>
    <x v="0"/>
    <x v="329"/>
    <x v="7"/>
    <x v="1120"/>
    <x v="1"/>
    <x v="1"/>
    <x v="1"/>
    <x v="3"/>
  </r>
  <r>
    <x v="1723"/>
    <x v="139"/>
    <x v="3"/>
    <x v="329"/>
    <x v="7"/>
    <x v="1168"/>
    <x v="1"/>
    <x v="1"/>
    <x v="1"/>
    <x v="0"/>
  </r>
  <r>
    <x v="1724"/>
    <x v="139"/>
    <x v="1"/>
    <x v="330"/>
    <x v="7"/>
    <x v="1120"/>
    <x v="1"/>
    <x v="4"/>
    <x v="4"/>
    <x v="1"/>
  </r>
  <r>
    <x v="1725"/>
    <x v="139"/>
    <x v="3"/>
    <x v="330"/>
    <x v="7"/>
    <x v="1447"/>
    <x v="1"/>
    <x v="1"/>
    <x v="1"/>
    <x v="3"/>
  </r>
  <r>
    <x v="1726"/>
    <x v="139"/>
    <x v="3"/>
    <x v="330"/>
    <x v="7"/>
    <x v="1404"/>
    <x v="1"/>
    <x v="3"/>
    <x v="2"/>
    <x v="3"/>
  </r>
  <r>
    <x v="1727"/>
    <x v="241"/>
    <x v="3"/>
    <x v="330"/>
    <x v="7"/>
    <x v="1399"/>
    <x v="1"/>
    <x v="1"/>
    <x v="1"/>
    <x v="3"/>
  </r>
  <r>
    <x v="1728"/>
    <x v="139"/>
    <x v="0"/>
    <x v="330"/>
    <x v="7"/>
    <x v="1443"/>
    <x v="1"/>
    <x v="2"/>
    <x v="3"/>
    <x v="1"/>
  </r>
  <r>
    <x v="1729"/>
    <x v="139"/>
    <x v="1"/>
    <x v="330"/>
    <x v="7"/>
    <x v="1416"/>
    <x v="1"/>
    <x v="1"/>
    <x v="1"/>
    <x v="1"/>
  </r>
  <r>
    <x v="1730"/>
    <x v="139"/>
    <x v="0"/>
    <x v="330"/>
    <x v="7"/>
    <x v="1425"/>
    <x v="1"/>
    <x v="1"/>
    <x v="1"/>
    <x v="0"/>
  </r>
  <r>
    <x v="1731"/>
    <x v="50"/>
    <x v="3"/>
    <x v="330"/>
    <x v="7"/>
    <x v="1410"/>
    <x v="1"/>
    <x v="1"/>
    <x v="1"/>
    <x v="3"/>
  </r>
  <r>
    <x v="1732"/>
    <x v="50"/>
    <x v="0"/>
    <x v="330"/>
    <x v="7"/>
    <x v="1433"/>
    <x v="1"/>
    <x v="0"/>
    <x v="0"/>
    <x v="3"/>
  </r>
  <r>
    <x v="1733"/>
    <x v="34"/>
    <x v="3"/>
    <x v="330"/>
    <x v="7"/>
    <x v="1392"/>
    <x v="1"/>
    <x v="2"/>
    <x v="3"/>
    <x v="3"/>
  </r>
  <r>
    <x v="1734"/>
    <x v="34"/>
    <x v="1"/>
    <x v="330"/>
    <x v="7"/>
    <x v="1419"/>
    <x v="1"/>
    <x v="1"/>
    <x v="1"/>
    <x v="0"/>
  </r>
  <r>
    <x v="1735"/>
    <x v="80"/>
    <x v="1"/>
    <x v="330"/>
    <x v="7"/>
    <x v="866"/>
    <x v="0"/>
    <x v="1"/>
    <x v="1"/>
    <x v="1"/>
  </r>
  <r>
    <x v="1736"/>
    <x v="80"/>
    <x v="2"/>
    <x v="330"/>
    <x v="7"/>
    <x v="465"/>
    <x v="0"/>
    <x v="1"/>
    <x v="1"/>
    <x v="1"/>
  </r>
  <r>
    <x v="1737"/>
    <x v="34"/>
    <x v="3"/>
    <x v="330"/>
    <x v="7"/>
    <x v="648"/>
    <x v="0"/>
    <x v="2"/>
    <x v="3"/>
    <x v="3"/>
  </r>
  <r>
    <x v="1738"/>
    <x v="80"/>
    <x v="3"/>
    <x v="330"/>
    <x v="7"/>
    <x v="663"/>
    <x v="0"/>
    <x v="1"/>
    <x v="1"/>
    <x v="3"/>
  </r>
  <r>
    <x v="1739"/>
    <x v="80"/>
    <x v="0"/>
    <x v="330"/>
    <x v="7"/>
    <x v="1370"/>
    <x v="1"/>
    <x v="4"/>
    <x v="4"/>
    <x v="1"/>
  </r>
  <r>
    <x v="1740"/>
    <x v="34"/>
    <x v="3"/>
    <x v="330"/>
    <x v="7"/>
    <x v="2083"/>
    <x v="1"/>
    <x v="1"/>
    <x v="1"/>
    <x v="3"/>
  </r>
  <r>
    <x v="1741"/>
    <x v="80"/>
    <x v="3"/>
    <x v="330"/>
    <x v="7"/>
    <x v="288"/>
    <x v="0"/>
    <x v="1"/>
    <x v="1"/>
    <x v="2"/>
  </r>
  <r>
    <x v="1742"/>
    <x v="80"/>
    <x v="2"/>
    <x v="330"/>
    <x v="7"/>
    <x v="539"/>
    <x v="0"/>
    <x v="4"/>
    <x v="4"/>
    <x v="3"/>
  </r>
  <r>
    <x v="1743"/>
    <x v="15"/>
    <x v="1"/>
    <x v="331"/>
    <x v="6"/>
    <x v="1548"/>
    <x v="1"/>
    <x v="1"/>
    <x v="1"/>
    <x v="0"/>
  </r>
  <r>
    <x v="1744"/>
    <x v="178"/>
    <x v="3"/>
    <x v="332"/>
    <x v="6"/>
    <x v="518"/>
    <x v="0"/>
    <x v="1"/>
    <x v="1"/>
    <x v="3"/>
  </r>
  <r>
    <x v="1745"/>
    <x v="221"/>
    <x v="3"/>
    <x v="332"/>
    <x v="6"/>
    <x v="2161"/>
    <x v="1"/>
    <x v="1"/>
    <x v="1"/>
    <x v="1"/>
  </r>
  <r>
    <x v="1746"/>
    <x v="196"/>
    <x v="3"/>
    <x v="332"/>
    <x v="6"/>
    <x v="2235"/>
    <x v="1"/>
    <x v="1"/>
    <x v="1"/>
    <x v="1"/>
  </r>
  <r>
    <x v="1747"/>
    <x v="29"/>
    <x v="2"/>
    <x v="333"/>
    <x v="6"/>
    <x v="194"/>
    <x v="0"/>
    <x v="2"/>
    <x v="3"/>
    <x v="1"/>
  </r>
  <r>
    <x v="1748"/>
    <x v="18"/>
    <x v="1"/>
    <x v="333"/>
    <x v="6"/>
    <x v="1324"/>
    <x v="1"/>
    <x v="3"/>
    <x v="2"/>
    <x v="0"/>
  </r>
  <r>
    <x v="1749"/>
    <x v="29"/>
    <x v="2"/>
    <x v="333"/>
    <x v="6"/>
    <x v="2204"/>
    <x v="1"/>
    <x v="1"/>
    <x v="1"/>
    <x v="1"/>
  </r>
  <r>
    <x v="1750"/>
    <x v="7"/>
    <x v="1"/>
    <x v="334"/>
    <x v="6"/>
    <x v="1352"/>
    <x v="1"/>
    <x v="1"/>
    <x v="1"/>
    <x v="1"/>
  </r>
  <r>
    <x v="1751"/>
    <x v="201"/>
    <x v="2"/>
    <x v="335"/>
    <x v="6"/>
    <x v="1241"/>
    <x v="1"/>
    <x v="4"/>
    <x v="4"/>
    <x v="3"/>
  </r>
  <r>
    <x v="1752"/>
    <x v="201"/>
    <x v="2"/>
    <x v="335"/>
    <x v="6"/>
    <x v="1494"/>
    <x v="1"/>
    <x v="4"/>
    <x v="4"/>
    <x v="3"/>
  </r>
  <r>
    <x v="1753"/>
    <x v="135"/>
    <x v="2"/>
    <x v="335"/>
    <x v="6"/>
    <x v="1506"/>
    <x v="1"/>
    <x v="2"/>
    <x v="3"/>
    <x v="1"/>
  </r>
  <r>
    <x v="1754"/>
    <x v="135"/>
    <x v="3"/>
    <x v="335"/>
    <x v="6"/>
    <x v="630"/>
    <x v="0"/>
    <x v="2"/>
    <x v="3"/>
    <x v="0"/>
  </r>
  <r>
    <x v="1755"/>
    <x v="201"/>
    <x v="2"/>
    <x v="335"/>
    <x v="6"/>
    <x v="929"/>
    <x v="0"/>
    <x v="2"/>
    <x v="3"/>
    <x v="1"/>
  </r>
  <r>
    <x v="1756"/>
    <x v="201"/>
    <x v="1"/>
    <x v="335"/>
    <x v="6"/>
    <x v="488"/>
    <x v="0"/>
    <x v="0"/>
    <x v="0"/>
    <x v="3"/>
  </r>
  <r>
    <x v="1757"/>
    <x v="201"/>
    <x v="2"/>
    <x v="335"/>
    <x v="6"/>
    <x v="728"/>
    <x v="0"/>
    <x v="2"/>
    <x v="3"/>
    <x v="1"/>
  </r>
  <r>
    <x v="1758"/>
    <x v="195"/>
    <x v="1"/>
    <x v="336"/>
    <x v="6"/>
    <x v="101"/>
    <x v="0"/>
    <x v="1"/>
    <x v="1"/>
    <x v="1"/>
  </r>
  <r>
    <x v="1759"/>
    <x v="195"/>
    <x v="2"/>
    <x v="336"/>
    <x v="6"/>
    <x v="2046"/>
    <x v="1"/>
    <x v="1"/>
    <x v="1"/>
    <x v="0"/>
  </r>
  <r>
    <x v="1760"/>
    <x v="195"/>
    <x v="0"/>
    <x v="336"/>
    <x v="6"/>
    <x v="1008"/>
    <x v="1"/>
    <x v="2"/>
    <x v="3"/>
    <x v="3"/>
  </r>
  <r>
    <x v="1761"/>
    <x v="136"/>
    <x v="2"/>
    <x v="336"/>
    <x v="6"/>
    <x v="1008"/>
    <x v="1"/>
    <x v="4"/>
    <x v="4"/>
    <x v="3"/>
  </r>
  <r>
    <x v="1762"/>
    <x v="195"/>
    <x v="2"/>
    <x v="336"/>
    <x v="6"/>
    <x v="1028"/>
    <x v="1"/>
    <x v="1"/>
    <x v="1"/>
    <x v="0"/>
  </r>
  <r>
    <x v="1763"/>
    <x v="195"/>
    <x v="0"/>
    <x v="336"/>
    <x v="6"/>
    <x v="2197"/>
    <x v="1"/>
    <x v="2"/>
    <x v="3"/>
    <x v="1"/>
  </r>
  <r>
    <x v="1764"/>
    <x v="195"/>
    <x v="0"/>
    <x v="336"/>
    <x v="6"/>
    <x v="2257"/>
    <x v="1"/>
    <x v="2"/>
    <x v="3"/>
    <x v="1"/>
  </r>
  <r>
    <x v="1765"/>
    <x v="23"/>
    <x v="0"/>
    <x v="337"/>
    <x v="6"/>
    <x v="1008"/>
    <x v="1"/>
    <x v="1"/>
    <x v="1"/>
    <x v="3"/>
  </r>
  <r>
    <x v="1766"/>
    <x v="7"/>
    <x v="0"/>
    <x v="337"/>
    <x v="6"/>
    <x v="1008"/>
    <x v="1"/>
    <x v="4"/>
    <x v="4"/>
    <x v="3"/>
  </r>
  <r>
    <x v="1767"/>
    <x v="50"/>
    <x v="2"/>
    <x v="337"/>
    <x v="6"/>
    <x v="1008"/>
    <x v="1"/>
    <x v="1"/>
    <x v="1"/>
    <x v="3"/>
  </r>
  <r>
    <x v="1768"/>
    <x v="252"/>
    <x v="2"/>
    <x v="337"/>
    <x v="6"/>
    <x v="1008"/>
    <x v="1"/>
    <x v="2"/>
    <x v="3"/>
    <x v="3"/>
  </r>
  <r>
    <x v="1769"/>
    <x v="253"/>
    <x v="3"/>
    <x v="337"/>
    <x v="6"/>
    <x v="1008"/>
    <x v="1"/>
    <x v="0"/>
    <x v="0"/>
    <x v="2"/>
  </r>
  <r>
    <x v="1770"/>
    <x v="263"/>
    <x v="3"/>
    <x v="337"/>
    <x v="6"/>
    <x v="1008"/>
    <x v="1"/>
    <x v="1"/>
    <x v="1"/>
    <x v="1"/>
  </r>
  <r>
    <x v="1771"/>
    <x v="252"/>
    <x v="2"/>
    <x v="337"/>
    <x v="6"/>
    <x v="1008"/>
    <x v="1"/>
    <x v="1"/>
    <x v="1"/>
    <x v="3"/>
  </r>
  <r>
    <x v="1772"/>
    <x v="253"/>
    <x v="2"/>
    <x v="337"/>
    <x v="6"/>
    <x v="90"/>
    <x v="0"/>
    <x v="1"/>
    <x v="1"/>
    <x v="3"/>
  </r>
  <r>
    <x v="1773"/>
    <x v="263"/>
    <x v="1"/>
    <x v="337"/>
    <x v="6"/>
    <x v="311"/>
    <x v="0"/>
    <x v="2"/>
    <x v="3"/>
    <x v="3"/>
  </r>
  <r>
    <x v="1774"/>
    <x v="186"/>
    <x v="1"/>
    <x v="338"/>
    <x v="6"/>
    <x v="277"/>
    <x v="0"/>
    <x v="2"/>
    <x v="3"/>
    <x v="0"/>
  </r>
  <r>
    <x v="1775"/>
    <x v="19"/>
    <x v="0"/>
    <x v="338"/>
    <x v="6"/>
    <x v="276"/>
    <x v="0"/>
    <x v="1"/>
    <x v="1"/>
    <x v="0"/>
  </r>
  <r>
    <x v="1776"/>
    <x v="135"/>
    <x v="0"/>
    <x v="338"/>
    <x v="6"/>
    <x v="776"/>
    <x v="0"/>
    <x v="1"/>
    <x v="1"/>
    <x v="1"/>
  </r>
  <r>
    <x v="1777"/>
    <x v="135"/>
    <x v="0"/>
    <x v="338"/>
    <x v="6"/>
    <x v="1269"/>
    <x v="1"/>
    <x v="2"/>
    <x v="3"/>
    <x v="1"/>
  </r>
  <r>
    <x v="1778"/>
    <x v="175"/>
    <x v="3"/>
    <x v="339"/>
    <x v="6"/>
    <x v="1242"/>
    <x v="1"/>
    <x v="1"/>
    <x v="1"/>
    <x v="2"/>
  </r>
  <r>
    <x v="1779"/>
    <x v="225"/>
    <x v="0"/>
    <x v="339"/>
    <x v="6"/>
    <x v="1251"/>
    <x v="1"/>
    <x v="2"/>
    <x v="3"/>
    <x v="1"/>
  </r>
  <r>
    <x v="1780"/>
    <x v="175"/>
    <x v="3"/>
    <x v="339"/>
    <x v="6"/>
    <x v="890"/>
    <x v="0"/>
    <x v="2"/>
    <x v="3"/>
    <x v="3"/>
  </r>
  <r>
    <x v="1781"/>
    <x v="175"/>
    <x v="1"/>
    <x v="339"/>
    <x v="6"/>
    <x v="2139"/>
    <x v="1"/>
    <x v="2"/>
    <x v="3"/>
    <x v="3"/>
  </r>
  <r>
    <x v="1782"/>
    <x v="225"/>
    <x v="2"/>
    <x v="339"/>
    <x v="6"/>
    <x v="1790"/>
    <x v="1"/>
    <x v="3"/>
    <x v="2"/>
    <x v="0"/>
  </r>
  <r>
    <x v="1783"/>
    <x v="175"/>
    <x v="1"/>
    <x v="339"/>
    <x v="6"/>
    <x v="1829"/>
    <x v="1"/>
    <x v="1"/>
    <x v="1"/>
    <x v="2"/>
  </r>
  <r>
    <x v="1784"/>
    <x v="225"/>
    <x v="0"/>
    <x v="339"/>
    <x v="6"/>
    <x v="1821"/>
    <x v="1"/>
    <x v="2"/>
    <x v="3"/>
    <x v="3"/>
  </r>
  <r>
    <x v="1785"/>
    <x v="175"/>
    <x v="0"/>
    <x v="339"/>
    <x v="6"/>
    <x v="1782"/>
    <x v="1"/>
    <x v="1"/>
    <x v="1"/>
    <x v="3"/>
  </r>
  <r>
    <x v="1786"/>
    <x v="175"/>
    <x v="0"/>
    <x v="339"/>
    <x v="6"/>
    <x v="1791"/>
    <x v="1"/>
    <x v="0"/>
    <x v="0"/>
    <x v="3"/>
  </r>
  <r>
    <x v="1787"/>
    <x v="175"/>
    <x v="2"/>
    <x v="339"/>
    <x v="6"/>
    <x v="1802"/>
    <x v="1"/>
    <x v="1"/>
    <x v="1"/>
    <x v="1"/>
  </r>
  <r>
    <x v="1788"/>
    <x v="175"/>
    <x v="3"/>
    <x v="339"/>
    <x v="6"/>
    <x v="1997"/>
    <x v="1"/>
    <x v="2"/>
    <x v="3"/>
    <x v="3"/>
  </r>
  <r>
    <x v="1789"/>
    <x v="175"/>
    <x v="0"/>
    <x v="339"/>
    <x v="6"/>
    <x v="1962"/>
    <x v="1"/>
    <x v="1"/>
    <x v="1"/>
    <x v="3"/>
  </r>
  <r>
    <x v="1790"/>
    <x v="175"/>
    <x v="1"/>
    <x v="339"/>
    <x v="6"/>
    <x v="1471"/>
    <x v="1"/>
    <x v="1"/>
    <x v="1"/>
    <x v="2"/>
  </r>
  <r>
    <x v="1791"/>
    <x v="106"/>
    <x v="2"/>
    <x v="340"/>
    <x v="6"/>
    <x v="1339"/>
    <x v="1"/>
    <x v="0"/>
    <x v="0"/>
    <x v="1"/>
  </r>
  <r>
    <x v="1792"/>
    <x v="172"/>
    <x v="3"/>
    <x v="340"/>
    <x v="6"/>
    <x v="1643"/>
    <x v="1"/>
    <x v="4"/>
    <x v="4"/>
    <x v="3"/>
  </r>
  <r>
    <x v="1793"/>
    <x v="248"/>
    <x v="0"/>
    <x v="340"/>
    <x v="6"/>
    <x v="1446"/>
    <x v="1"/>
    <x v="1"/>
    <x v="1"/>
    <x v="1"/>
  </r>
  <r>
    <x v="1794"/>
    <x v="188"/>
    <x v="0"/>
    <x v="340"/>
    <x v="6"/>
    <x v="2189"/>
    <x v="1"/>
    <x v="1"/>
    <x v="1"/>
    <x v="1"/>
  </r>
  <r>
    <x v="1795"/>
    <x v="191"/>
    <x v="2"/>
    <x v="340"/>
    <x v="6"/>
    <x v="1259"/>
    <x v="1"/>
    <x v="1"/>
    <x v="1"/>
    <x v="3"/>
  </r>
  <r>
    <x v="1796"/>
    <x v="151"/>
    <x v="3"/>
    <x v="340"/>
    <x v="6"/>
    <x v="1752"/>
    <x v="1"/>
    <x v="1"/>
    <x v="1"/>
    <x v="3"/>
  </r>
  <r>
    <x v="1797"/>
    <x v="215"/>
    <x v="2"/>
    <x v="340"/>
    <x v="6"/>
    <x v="1726"/>
    <x v="1"/>
    <x v="0"/>
    <x v="0"/>
    <x v="3"/>
  </r>
  <r>
    <x v="1798"/>
    <x v="237"/>
    <x v="0"/>
    <x v="340"/>
    <x v="6"/>
    <x v="1636"/>
    <x v="1"/>
    <x v="1"/>
    <x v="1"/>
    <x v="2"/>
  </r>
  <r>
    <x v="1799"/>
    <x v="209"/>
    <x v="0"/>
    <x v="340"/>
    <x v="6"/>
    <x v="1459"/>
    <x v="1"/>
    <x v="2"/>
    <x v="3"/>
    <x v="3"/>
  </r>
  <r>
    <x v="1800"/>
    <x v="58"/>
    <x v="1"/>
    <x v="340"/>
    <x v="6"/>
    <x v="1304"/>
    <x v="1"/>
    <x v="1"/>
    <x v="1"/>
    <x v="3"/>
  </r>
  <r>
    <x v="1801"/>
    <x v="19"/>
    <x v="1"/>
    <x v="340"/>
    <x v="6"/>
    <x v="1767"/>
    <x v="1"/>
    <x v="1"/>
    <x v="1"/>
    <x v="1"/>
  </r>
  <r>
    <x v="1802"/>
    <x v="137"/>
    <x v="3"/>
    <x v="340"/>
    <x v="6"/>
    <x v="1665"/>
    <x v="1"/>
    <x v="4"/>
    <x v="4"/>
    <x v="1"/>
  </r>
  <r>
    <x v="1803"/>
    <x v="135"/>
    <x v="2"/>
    <x v="340"/>
    <x v="6"/>
    <x v="1639"/>
    <x v="1"/>
    <x v="1"/>
    <x v="1"/>
    <x v="1"/>
  </r>
  <r>
    <x v="1804"/>
    <x v="136"/>
    <x v="2"/>
    <x v="340"/>
    <x v="6"/>
    <x v="463"/>
    <x v="0"/>
    <x v="1"/>
    <x v="1"/>
    <x v="3"/>
  </r>
  <r>
    <x v="1805"/>
    <x v="136"/>
    <x v="1"/>
    <x v="340"/>
    <x v="6"/>
    <x v="957"/>
    <x v="0"/>
    <x v="1"/>
    <x v="1"/>
    <x v="2"/>
  </r>
  <r>
    <x v="1806"/>
    <x v="172"/>
    <x v="3"/>
    <x v="341"/>
    <x v="6"/>
    <x v="848"/>
    <x v="0"/>
    <x v="0"/>
    <x v="0"/>
    <x v="3"/>
  </r>
  <r>
    <x v="1807"/>
    <x v="18"/>
    <x v="1"/>
    <x v="341"/>
    <x v="6"/>
    <x v="1970"/>
    <x v="1"/>
    <x v="1"/>
    <x v="1"/>
    <x v="1"/>
  </r>
  <r>
    <x v="1808"/>
    <x v="173"/>
    <x v="3"/>
    <x v="342"/>
    <x v="6"/>
    <x v="1875"/>
    <x v="1"/>
    <x v="1"/>
    <x v="1"/>
    <x v="0"/>
  </r>
  <r>
    <x v="1809"/>
    <x v="174"/>
    <x v="3"/>
    <x v="342"/>
    <x v="6"/>
    <x v="1487"/>
    <x v="1"/>
    <x v="2"/>
    <x v="3"/>
    <x v="1"/>
  </r>
  <r>
    <x v="1810"/>
    <x v="214"/>
    <x v="0"/>
    <x v="342"/>
    <x v="6"/>
    <x v="1031"/>
    <x v="1"/>
    <x v="1"/>
    <x v="1"/>
    <x v="2"/>
  </r>
  <r>
    <x v="1811"/>
    <x v="222"/>
    <x v="2"/>
    <x v="342"/>
    <x v="6"/>
    <x v="2030"/>
    <x v="1"/>
    <x v="2"/>
    <x v="3"/>
    <x v="0"/>
  </r>
  <r>
    <x v="1812"/>
    <x v="184"/>
    <x v="0"/>
    <x v="342"/>
    <x v="6"/>
    <x v="1031"/>
    <x v="1"/>
    <x v="1"/>
    <x v="1"/>
    <x v="2"/>
  </r>
  <r>
    <x v="1813"/>
    <x v="80"/>
    <x v="0"/>
    <x v="342"/>
    <x v="6"/>
    <x v="1955"/>
    <x v="1"/>
    <x v="4"/>
    <x v="4"/>
    <x v="0"/>
  </r>
  <r>
    <x v="1814"/>
    <x v="80"/>
    <x v="0"/>
    <x v="342"/>
    <x v="6"/>
    <x v="1476"/>
    <x v="1"/>
    <x v="1"/>
    <x v="1"/>
    <x v="0"/>
  </r>
  <r>
    <x v="1815"/>
    <x v="80"/>
    <x v="0"/>
    <x v="342"/>
    <x v="6"/>
    <x v="1957"/>
    <x v="1"/>
    <x v="3"/>
    <x v="2"/>
    <x v="1"/>
  </r>
  <r>
    <x v="1816"/>
    <x v="80"/>
    <x v="0"/>
    <x v="342"/>
    <x v="6"/>
    <x v="1902"/>
    <x v="1"/>
    <x v="1"/>
    <x v="1"/>
    <x v="3"/>
  </r>
  <r>
    <x v="1817"/>
    <x v="80"/>
    <x v="0"/>
    <x v="342"/>
    <x v="6"/>
    <x v="1469"/>
    <x v="1"/>
    <x v="1"/>
    <x v="1"/>
    <x v="3"/>
  </r>
  <r>
    <x v="1818"/>
    <x v="80"/>
    <x v="3"/>
    <x v="342"/>
    <x v="6"/>
    <x v="1031"/>
    <x v="1"/>
    <x v="1"/>
    <x v="1"/>
    <x v="3"/>
  </r>
  <r>
    <x v="1819"/>
    <x v="34"/>
    <x v="3"/>
    <x v="343"/>
    <x v="6"/>
    <x v="1950"/>
    <x v="1"/>
    <x v="2"/>
    <x v="3"/>
    <x v="1"/>
  </r>
  <r>
    <x v="1820"/>
    <x v="45"/>
    <x v="1"/>
    <x v="343"/>
    <x v="6"/>
    <x v="1889"/>
    <x v="1"/>
    <x v="1"/>
    <x v="1"/>
    <x v="3"/>
  </r>
  <r>
    <x v="1821"/>
    <x v="74"/>
    <x v="2"/>
    <x v="343"/>
    <x v="6"/>
    <x v="1413"/>
    <x v="1"/>
    <x v="1"/>
    <x v="1"/>
    <x v="3"/>
  </r>
  <r>
    <x v="1822"/>
    <x v="82"/>
    <x v="2"/>
    <x v="343"/>
    <x v="6"/>
    <x v="1031"/>
    <x v="1"/>
    <x v="4"/>
    <x v="4"/>
    <x v="3"/>
  </r>
  <r>
    <x v="1823"/>
    <x v="138"/>
    <x v="3"/>
    <x v="343"/>
    <x v="6"/>
    <x v="1031"/>
    <x v="1"/>
    <x v="2"/>
    <x v="3"/>
    <x v="3"/>
  </r>
  <r>
    <x v="1824"/>
    <x v="234"/>
    <x v="2"/>
    <x v="343"/>
    <x v="6"/>
    <x v="1900"/>
    <x v="1"/>
    <x v="2"/>
    <x v="3"/>
    <x v="0"/>
  </r>
  <r>
    <x v="1825"/>
    <x v="247"/>
    <x v="1"/>
    <x v="343"/>
    <x v="6"/>
    <x v="1467"/>
    <x v="1"/>
    <x v="1"/>
    <x v="1"/>
    <x v="2"/>
  </r>
  <r>
    <x v="1826"/>
    <x v="153"/>
    <x v="1"/>
    <x v="343"/>
    <x v="6"/>
    <x v="1452"/>
    <x v="1"/>
    <x v="4"/>
    <x v="4"/>
    <x v="3"/>
  </r>
  <r>
    <x v="1827"/>
    <x v="154"/>
    <x v="2"/>
    <x v="343"/>
    <x v="6"/>
    <x v="334"/>
    <x v="0"/>
    <x v="1"/>
    <x v="1"/>
    <x v="1"/>
  </r>
  <r>
    <x v="1828"/>
    <x v="155"/>
    <x v="3"/>
    <x v="343"/>
    <x v="6"/>
    <x v="71"/>
    <x v="0"/>
    <x v="2"/>
    <x v="3"/>
    <x v="1"/>
  </r>
  <r>
    <x v="1829"/>
    <x v="157"/>
    <x v="0"/>
    <x v="343"/>
    <x v="6"/>
    <x v="2202"/>
    <x v="1"/>
    <x v="2"/>
    <x v="3"/>
    <x v="0"/>
  </r>
  <r>
    <x v="1830"/>
    <x v="159"/>
    <x v="0"/>
    <x v="343"/>
    <x v="6"/>
    <x v="0"/>
    <x v="0"/>
    <x v="2"/>
    <x v="3"/>
    <x v="1"/>
  </r>
  <r>
    <x v="1831"/>
    <x v="160"/>
    <x v="2"/>
    <x v="343"/>
    <x v="6"/>
    <x v="838"/>
    <x v="0"/>
    <x v="1"/>
    <x v="1"/>
    <x v="1"/>
  </r>
  <r>
    <x v="1832"/>
    <x v="161"/>
    <x v="2"/>
    <x v="343"/>
    <x v="6"/>
    <x v="419"/>
    <x v="0"/>
    <x v="0"/>
    <x v="0"/>
    <x v="1"/>
  </r>
  <r>
    <x v="1833"/>
    <x v="42"/>
    <x v="3"/>
    <x v="343"/>
    <x v="6"/>
    <x v="642"/>
    <x v="0"/>
    <x v="1"/>
    <x v="1"/>
    <x v="0"/>
  </r>
  <r>
    <x v="1834"/>
    <x v="134"/>
    <x v="3"/>
    <x v="343"/>
    <x v="6"/>
    <x v="523"/>
    <x v="0"/>
    <x v="0"/>
    <x v="0"/>
    <x v="3"/>
  </r>
  <r>
    <x v="1835"/>
    <x v="220"/>
    <x v="3"/>
    <x v="343"/>
    <x v="6"/>
    <x v="370"/>
    <x v="0"/>
    <x v="1"/>
    <x v="1"/>
    <x v="1"/>
  </r>
  <r>
    <x v="1836"/>
    <x v="78"/>
    <x v="0"/>
    <x v="343"/>
    <x v="6"/>
    <x v="698"/>
    <x v="0"/>
    <x v="1"/>
    <x v="1"/>
    <x v="0"/>
  </r>
  <r>
    <x v="1837"/>
    <x v="156"/>
    <x v="0"/>
    <x v="343"/>
    <x v="6"/>
    <x v="119"/>
    <x v="0"/>
    <x v="1"/>
    <x v="1"/>
    <x v="3"/>
  </r>
  <r>
    <x v="1838"/>
    <x v="23"/>
    <x v="0"/>
    <x v="343"/>
    <x v="6"/>
    <x v="445"/>
    <x v="0"/>
    <x v="3"/>
    <x v="2"/>
    <x v="2"/>
  </r>
  <r>
    <x v="1839"/>
    <x v="33"/>
    <x v="2"/>
    <x v="344"/>
    <x v="6"/>
    <x v="460"/>
    <x v="0"/>
    <x v="4"/>
    <x v="4"/>
    <x v="0"/>
  </r>
  <r>
    <x v="1840"/>
    <x v="163"/>
    <x v="0"/>
    <x v="344"/>
    <x v="6"/>
    <x v="450"/>
    <x v="0"/>
    <x v="2"/>
    <x v="3"/>
    <x v="2"/>
  </r>
  <r>
    <x v="1841"/>
    <x v="164"/>
    <x v="2"/>
    <x v="344"/>
    <x v="6"/>
    <x v="1332"/>
    <x v="1"/>
    <x v="1"/>
    <x v="1"/>
    <x v="1"/>
  </r>
  <r>
    <x v="1842"/>
    <x v="165"/>
    <x v="2"/>
    <x v="344"/>
    <x v="6"/>
    <x v="676"/>
    <x v="0"/>
    <x v="1"/>
    <x v="1"/>
    <x v="0"/>
  </r>
  <r>
    <x v="1843"/>
    <x v="23"/>
    <x v="2"/>
    <x v="344"/>
    <x v="6"/>
    <x v="792"/>
    <x v="0"/>
    <x v="4"/>
    <x v="4"/>
    <x v="1"/>
  </r>
  <r>
    <x v="1844"/>
    <x v="23"/>
    <x v="3"/>
    <x v="344"/>
    <x v="6"/>
    <x v="722"/>
    <x v="0"/>
    <x v="4"/>
    <x v="4"/>
    <x v="3"/>
  </r>
  <r>
    <x v="1845"/>
    <x v="15"/>
    <x v="0"/>
    <x v="345"/>
    <x v="6"/>
    <x v="901"/>
    <x v="0"/>
    <x v="1"/>
    <x v="1"/>
    <x v="2"/>
  </r>
  <r>
    <x v="1846"/>
    <x v="106"/>
    <x v="0"/>
    <x v="345"/>
    <x v="6"/>
    <x v="692"/>
    <x v="0"/>
    <x v="1"/>
    <x v="1"/>
    <x v="1"/>
  </r>
  <r>
    <x v="1847"/>
    <x v="231"/>
    <x v="0"/>
    <x v="345"/>
    <x v="6"/>
    <x v="798"/>
    <x v="0"/>
    <x v="2"/>
    <x v="3"/>
    <x v="1"/>
  </r>
  <r>
    <x v="1848"/>
    <x v="180"/>
    <x v="3"/>
    <x v="345"/>
    <x v="6"/>
    <x v="884"/>
    <x v="0"/>
    <x v="1"/>
    <x v="1"/>
    <x v="3"/>
  </r>
  <r>
    <x v="1849"/>
    <x v="158"/>
    <x v="3"/>
    <x v="345"/>
    <x v="6"/>
    <x v="352"/>
    <x v="0"/>
    <x v="4"/>
    <x v="4"/>
    <x v="1"/>
  </r>
  <r>
    <x v="1850"/>
    <x v="162"/>
    <x v="2"/>
    <x v="345"/>
    <x v="6"/>
    <x v="2207"/>
    <x v="1"/>
    <x v="1"/>
    <x v="1"/>
    <x v="1"/>
  </r>
  <r>
    <x v="1851"/>
    <x v="23"/>
    <x v="2"/>
    <x v="345"/>
    <x v="6"/>
    <x v="404"/>
    <x v="0"/>
    <x v="0"/>
    <x v="0"/>
    <x v="1"/>
  </r>
  <r>
    <x v="1852"/>
    <x v="139"/>
    <x v="3"/>
    <x v="345"/>
    <x v="6"/>
    <x v="1048"/>
    <x v="1"/>
    <x v="2"/>
    <x v="3"/>
    <x v="3"/>
  </r>
  <r>
    <x v="1853"/>
    <x v="139"/>
    <x v="2"/>
    <x v="345"/>
    <x v="6"/>
    <x v="1042"/>
    <x v="1"/>
    <x v="1"/>
    <x v="1"/>
    <x v="1"/>
  </r>
  <r>
    <x v="1854"/>
    <x v="252"/>
    <x v="0"/>
    <x v="346"/>
    <x v="6"/>
    <x v="1042"/>
    <x v="1"/>
    <x v="2"/>
    <x v="3"/>
    <x v="3"/>
  </r>
  <r>
    <x v="1855"/>
    <x v="254"/>
    <x v="1"/>
    <x v="346"/>
    <x v="6"/>
    <x v="1048"/>
    <x v="1"/>
    <x v="2"/>
    <x v="3"/>
    <x v="3"/>
  </r>
  <r>
    <x v="1856"/>
    <x v="263"/>
    <x v="0"/>
    <x v="346"/>
    <x v="6"/>
    <x v="1042"/>
    <x v="1"/>
    <x v="1"/>
    <x v="1"/>
    <x v="1"/>
  </r>
  <r>
    <x v="1857"/>
    <x v="252"/>
    <x v="1"/>
    <x v="346"/>
    <x v="6"/>
    <x v="1149"/>
    <x v="1"/>
    <x v="1"/>
    <x v="1"/>
    <x v="1"/>
  </r>
  <r>
    <x v="1858"/>
    <x v="254"/>
    <x v="2"/>
    <x v="346"/>
    <x v="6"/>
    <x v="1042"/>
    <x v="1"/>
    <x v="4"/>
    <x v="4"/>
    <x v="2"/>
  </r>
  <r>
    <x v="1859"/>
    <x v="263"/>
    <x v="1"/>
    <x v="346"/>
    <x v="6"/>
    <x v="1149"/>
    <x v="1"/>
    <x v="1"/>
    <x v="1"/>
    <x v="1"/>
  </r>
  <r>
    <x v="1860"/>
    <x v="136"/>
    <x v="0"/>
    <x v="346"/>
    <x v="6"/>
    <x v="2071"/>
    <x v="1"/>
    <x v="2"/>
    <x v="3"/>
    <x v="3"/>
  </r>
  <r>
    <x v="1861"/>
    <x v="7"/>
    <x v="1"/>
    <x v="347"/>
    <x v="6"/>
    <x v="750"/>
    <x v="0"/>
    <x v="1"/>
    <x v="1"/>
    <x v="2"/>
  </r>
  <r>
    <x v="1862"/>
    <x v="28"/>
    <x v="0"/>
    <x v="347"/>
    <x v="6"/>
    <x v="755"/>
    <x v="0"/>
    <x v="0"/>
    <x v="0"/>
    <x v="0"/>
  </r>
  <r>
    <x v="1863"/>
    <x v="200"/>
    <x v="3"/>
    <x v="347"/>
    <x v="6"/>
    <x v="426"/>
    <x v="0"/>
    <x v="2"/>
    <x v="3"/>
    <x v="2"/>
  </r>
  <r>
    <x v="1864"/>
    <x v="201"/>
    <x v="3"/>
    <x v="347"/>
    <x v="6"/>
    <x v="650"/>
    <x v="0"/>
    <x v="1"/>
    <x v="1"/>
    <x v="1"/>
  </r>
  <r>
    <x v="1865"/>
    <x v="200"/>
    <x v="2"/>
    <x v="347"/>
    <x v="6"/>
    <x v="667"/>
    <x v="0"/>
    <x v="1"/>
    <x v="1"/>
    <x v="1"/>
  </r>
  <r>
    <x v="1866"/>
    <x v="201"/>
    <x v="2"/>
    <x v="347"/>
    <x v="6"/>
    <x v="2226"/>
    <x v="1"/>
    <x v="0"/>
    <x v="0"/>
    <x v="1"/>
  </r>
  <r>
    <x v="1867"/>
    <x v="200"/>
    <x v="1"/>
    <x v="347"/>
    <x v="6"/>
    <x v="515"/>
    <x v="0"/>
    <x v="4"/>
    <x v="4"/>
    <x v="1"/>
  </r>
  <r>
    <x v="1868"/>
    <x v="201"/>
    <x v="0"/>
    <x v="347"/>
    <x v="6"/>
    <x v="678"/>
    <x v="0"/>
    <x v="2"/>
    <x v="3"/>
    <x v="1"/>
  </r>
  <r>
    <x v="1869"/>
    <x v="200"/>
    <x v="3"/>
    <x v="347"/>
    <x v="6"/>
    <x v="1034"/>
    <x v="1"/>
    <x v="2"/>
    <x v="3"/>
    <x v="3"/>
  </r>
  <r>
    <x v="1870"/>
    <x v="201"/>
    <x v="1"/>
    <x v="347"/>
    <x v="6"/>
    <x v="729"/>
    <x v="0"/>
    <x v="2"/>
    <x v="3"/>
    <x v="3"/>
  </r>
  <r>
    <x v="1871"/>
    <x v="200"/>
    <x v="0"/>
    <x v="347"/>
    <x v="6"/>
    <x v="104"/>
    <x v="0"/>
    <x v="1"/>
    <x v="1"/>
    <x v="3"/>
  </r>
  <r>
    <x v="1872"/>
    <x v="201"/>
    <x v="3"/>
    <x v="347"/>
    <x v="6"/>
    <x v="100"/>
    <x v="0"/>
    <x v="0"/>
    <x v="0"/>
    <x v="2"/>
  </r>
  <r>
    <x v="1873"/>
    <x v="237"/>
    <x v="2"/>
    <x v="348"/>
    <x v="6"/>
    <x v="431"/>
    <x v="0"/>
    <x v="0"/>
    <x v="0"/>
    <x v="2"/>
  </r>
  <r>
    <x v="1874"/>
    <x v="180"/>
    <x v="3"/>
    <x v="348"/>
    <x v="6"/>
    <x v="2089"/>
    <x v="1"/>
    <x v="2"/>
    <x v="3"/>
    <x v="3"/>
  </r>
  <r>
    <x v="1875"/>
    <x v="185"/>
    <x v="1"/>
    <x v="348"/>
    <x v="6"/>
    <x v="2049"/>
    <x v="1"/>
    <x v="2"/>
    <x v="3"/>
    <x v="3"/>
  </r>
  <r>
    <x v="1876"/>
    <x v="191"/>
    <x v="3"/>
    <x v="348"/>
    <x v="6"/>
    <x v="1530"/>
    <x v="1"/>
    <x v="0"/>
    <x v="0"/>
    <x v="3"/>
  </r>
  <r>
    <x v="1877"/>
    <x v="80"/>
    <x v="2"/>
    <x v="349"/>
    <x v="6"/>
    <x v="1530"/>
    <x v="1"/>
    <x v="4"/>
    <x v="4"/>
    <x v="1"/>
  </r>
  <r>
    <x v="1878"/>
    <x v="80"/>
    <x v="3"/>
    <x v="349"/>
    <x v="6"/>
    <x v="1530"/>
    <x v="1"/>
    <x v="2"/>
    <x v="3"/>
    <x v="1"/>
  </r>
  <r>
    <x v="1879"/>
    <x v="135"/>
    <x v="3"/>
    <x v="349"/>
    <x v="6"/>
    <x v="1530"/>
    <x v="1"/>
    <x v="4"/>
    <x v="4"/>
    <x v="0"/>
  </r>
  <r>
    <x v="1880"/>
    <x v="135"/>
    <x v="0"/>
    <x v="349"/>
    <x v="6"/>
    <x v="1530"/>
    <x v="1"/>
    <x v="1"/>
    <x v="1"/>
    <x v="1"/>
  </r>
  <r>
    <x v="1881"/>
    <x v="80"/>
    <x v="0"/>
    <x v="349"/>
    <x v="6"/>
    <x v="257"/>
    <x v="0"/>
    <x v="0"/>
    <x v="0"/>
    <x v="2"/>
  </r>
  <r>
    <x v="1882"/>
    <x v="30"/>
    <x v="3"/>
    <x v="350"/>
    <x v="6"/>
    <x v="580"/>
    <x v="0"/>
    <x v="3"/>
    <x v="2"/>
    <x v="3"/>
  </r>
  <r>
    <x v="1883"/>
    <x v="136"/>
    <x v="3"/>
    <x v="350"/>
    <x v="6"/>
    <x v="492"/>
    <x v="0"/>
    <x v="2"/>
    <x v="3"/>
    <x v="1"/>
  </r>
  <r>
    <x v="1884"/>
    <x v="188"/>
    <x v="1"/>
    <x v="351"/>
    <x v="6"/>
    <x v="58"/>
    <x v="0"/>
    <x v="1"/>
    <x v="1"/>
    <x v="1"/>
  </r>
  <r>
    <x v="1885"/>
    <x v="151"/>
    <x v="2"/>
    <x v="351"/>
    <x v="6"/>
    <x v="315"/>
    <x v="0"/>
    <x v="1"/>
    <x v="1"/>
    <x v="1"/>
  </r>
  <r>
    <x v="1886"/>
    <x v="151"/>
    <x v="1"/>
    <x v="351"/>
    <x v="6"/>
    <x v="433"/>
    <x v="0"/>
    <x v="1"/>
    <x v="1"/>
    <x v="3"/>
  </r>
  <r>
    <x v="1887"/>
    <x v="166"/>
    <x v="2"/>
    <x v="351"/>
    <x v="6"/>
    <x v="154"/>
    <x v="0"/>
    <x v="2"/>
    <x v="3"/>
    <x v="0"/>
  </r>
  <r>
    <x v="1888"/>
    <x v="26"/>
    <x v="1"/>
    <x v="351"/>
    <x v="6"/>
    <x v="615"/>
    <x v="0"/>
    <x v="1"/>
    <x v="1"/>
    <x v="2"/>
  </r>
  <r>
    <x v="1889"/>
    <x v="34"/>
    <x v="0"/>
    <x v="351"/>
    <x v="6"/>
    <x v="217"/>
    <x v="0"/>
    <x v="2"/>
    <x v="3"/>
    <x v="3"/>
  </r>
  <r>
    <x v="1890"/>
    <x v="34"/>
    <x v="3"/>
    <x v="351"/>
    <x v="6"/>
    <x v="621"/>
    <x v="0"/>
    <x v="2"/>
    <x v="3"/>
    <x v="1"/>
  </r>
  <r>
    <x v="1891"/>
    <x v="34"/>
    <x v="0"/>
    <x v="351"/>
    <x v="6"/>
    <x v="774"/>
    <x v="0"/>
    <x v="2"/>
    <x v="3"/>
    <x v="1"/>
  </r>
  <r>
    <x v="1892"/>
    <x v="34"/>
    <x v="2"/>
    <x v="351"/>
    <x v="6"/>
    <x v="825"/>
    <x v="0"/>
    <x v="1"/>
    <x v="1"/>
    <x v="3"/>
  </r>
  <r>
    <x v="1893"/>
    <x v="139"/>
    <x v="2"/>
    <x v="352"/>
    <x v="6"/>
    <x v="477"/>
    <x v="0"/>
    <x v="1"/>
    <x v="1"/>
    <x v="1"/>
  </r>
  <r>
    <x v="1894"/>
    <x v="241"/>
    <x v="2"/>
    <x v="352"/>
    <x v="6"/>
    <x v="175"/>
    <x v="0"/>
    <x v="2"/>
    <x v="3"/>
    <x v="3"/>
  </r>
  <r>
    <x v="1895"/>
    <x v="241"/>
    <x v="2"/>
    <x v="352"/>
    <x v="6"/>
    <x v="787"/>
    <x v="0"/>
    <x v="4"/>
    <x v="4"/>
    <x v="3"/>
  </r>
  <r>
    <x v="1896"/>
    <x v="139"/>
    <x v="3"/>
    <x v="352"/>
    <x v="6"/>
    <x v="1397"/>
    <x v="1"/>
    <x v="0"/>
    <x v="0"/>
    <x v="0"/>
  </r>
  <r>
    <x v="1897"/>
    <x v="205"/>
    <x v="3"/>
    <x v="352"/>
    <x v="6"/>
    <x v="1393"/>
    <x v="1"/>
    <x v="4"/>
    <x v="4"/>
    <x v="1"/>
  </r>
  <r>
    <x v="1898"/>
    <x v="139"/>
    <x v="3"/>
    <x v="352"/>
    <x v="6"/>
    <x v="1453"/>
    <x v="1"/>
    <x v="1"/>
    <x v="1"/>
    <x v="0"/>
  </r>
  <r>
    <x v="1899"/>
    <x v="205"/>
    <x v="3"/>
    <x v="352"/>
    <x v="6"/>
    <x v="2215"/>
    <x v="1"/>
    <x v="2"/>
    <x v="3"/>
    <x v="1"/>
  </r>
  <r>
    <x v="1900"/>
    <x v="205"/>
    <x v="2"/>
    <x v="352"/>
    <x v="6"/>
    <x v="1359"/>
    <x v="1"/>
    <x v="1"/>
    <x v="1"/>
    <x v="0"/>
  </r>
  <r>
    <x v="1901"/>
    <x v="205"/>
    <x v="0"/>
    <x v="352"/>
    <x v="6"/>
    <x v="1435"/>
    <x v="1"/>
    <x v="0"/>
    <x v="0"/>
    <x v="2"/>
  </r>
  <r>
    <x v="1902"/>
    <x v="205"/>
    <x v="3"/>
    <x v="352"/>
    <x v="6"/>
    <x v="999"/>
    <x v="1"/>
    <x v="2"/>
    <x v="3"/>
    <x v="1"/>
  </r>
  <r>
    <x v="1903"/>
    <x v="222"/>
    <x v="2"/>
    <x v="353"/>
    <x v="5"/>
    <x v="1373"/>
    <x v="1"/>
    <x v="1"/>
    <x v="1"/>
    <x v="1"/>
  </r>
  <r>
    <x v="1904"/>
    <x v="180"/>
    <x v="2"/>
    <x v="353"/>
    <x v="5"/>
    <x v="2121"/>
    <x v="1"/>
    <x v="0"/>
    <x v="0"/>
    <x v="3"/>
  </r>
  <r>
    <x v="1905"/>
    <x v="151"/>
    <x v="0"/>
    <x v="353"/>
    <x v="5"/>
    <x v="1373"/>
    <x v="1"/>
    <x v="1"/>
    <x v="1"/>
    <x v="1"/>
  </r>
  <r>
    <x v="1906"/>
    <x v="167"/>
    <x v="1"/>
    <x v="353"/>
    <x v="5"/>
    <x v="1373"/>
    <x v="1"/>
    <x v="3"/>
    <x v="2"/>
    <x v="0"/>
  </r>
  <r>
    <x v="1907"/>
    <x v="4"/>
    <x v="2"/>
    <x v="354"/>
    <x v="5"/>
    <x v="1373"/>
    <x v="1"/>
    <x v="1"/>
    <x v="1"/>
    <x v="3"/>
  </r>
  <r>
    <x v="1908"/>
    <x v="196"/>
    <x v="2"/>
    <x v="354"/>
    <x v="5"/>
    <x v="1373"/>
    <x v="1"/>
    <x v="3"/>
    <x v="2"/>
    <x v="1"/>
  </r>
  <r>
    <x v="1909"/>
    <x v="172"/>
    <x v="0"/>
    <x v="354"/>
    <x v="5"/>
    <x v="80"/>
    <x v="0"/>
    <x v="2"/>
    <x v="3"/>
    <x v="3"/>
  </r>
  <r>
    <x v="1910"/>
    <x v="174"/>
    <x v="2"/>
    <x v="354"/>
    <x v="5"/>
    <x v="368"/>
    <x v="0"/>
    <x v="2"/>
    <x v="3"/>
    <x v="3"/>
  </r>
  <r>
    <x v="1911"/>
    <x v="216"/>
    <x v="2"/>
    <x v="354"/>
    <x v="5"/>
    <x v="153"/>
    <x v="0"/>
    <x v="2"/>
    <x v="3"/>
    <x v="1"/>
  </r>
  <r>
    <x v="1912"/>
    <x v="182"/>
    <x v="1"/>
    <x v="354"/>
    <x v="5"/>
    <x v="134"/>
    <x v="0"/>
    <x v="2"/>
    <x v="3"/>
    <x v="1"/>
  </r>
  <r>
    <x v="1913"/>
    <x v="186"/>
    <x v="0"/>
    <x v="354"/>
    <x v="5"/>
    <x v="156"/>
    <x v="0"/>
    <x v="1"/>
    <x v="1"/>
    <x v="3"/>
  </r>
  <r>
    <x v="1914"/>
    <x v="168"/>
    <x v="3"/>
    <x v="354"/>
    <x v="5"/>
    <x v="91"/>
    <x v="0"/>
    <x v="1"/>
    <x v="1"/>
    <x v="3"/>
  </r>
  <r>
    <x v="1915"/>
    <x v="7"/>
    <x v="3"/>
    <x v="354"/>
    <x v="5"/>
    <x v="195"/>
    <x v="0"/>
    <x v="0"/>
    <x v="0"/>
    <x v="1"/>
  </r>
  <r>
    <x v="1916"/>
    <x v="7"/>
    <x v="1"/>
    <x v="354"/>
    <x v="5"/>
    <x v="196"/>
    <x v="0"/>
    <x v="4"/>
    <x v="4"/>
    <x v="1"/>
  </r>
  <r>
    <x v="1917"/>
    <x v="147"/>
    <x v="1"/>
    <x v="355"/>
    <x v="5"/>
    <x v="127"/>
    <x v="0"/>
    <x v="1"/>
    <x v="1"/>
    <x v="3"/>
  </r>
  <r>
    <x v="1918"/>
    <x v="7"/>
    <x v="2"/>
    <x v="356"/>
    <x v="5"/>
    <x v="122"/>
    <x v="0"/>
    <x v="4"/>
    <x v="4"/>
    <x v="1"/>
  </r>
  <r>
    <x v="1919"/>
    <x v="23"/>
    <x v="0"/>
    <x v="356"/>
    <x v="5"/>
    <x v="148"/>
    <x v="0"/>
    <x v="1"/>
    <x v="1"/>
    <x v="3"/>
  </r>
  <r>
    <x v="1920"/>
    <x v="27"/>
    <x v="1"/>
    <x v="356"/>
    <x v="5"/>
    <x v="171"/>
    <x v="0"/>
    <x v="2"/>
    <x v="3"/>
    <x v="3"/>
  </r>
  <r>
    <x v="1921"/>
    <x v="27"/>
    <x v="0"/>
    <x v="356"/>
    <x v="5"/>
    <x v="159"/>
    <x v="0"/>
    <x v="0"/>
    <x v="0"/>
    <x v="3"/>
  </r>
  <r>
    <x v="1922"/>
    <x v="248"/>
    <x v="3"/>
    <x v="357"/>
    <x v="5"/>
    <x v="50"/>
    <x v="0"/>
    <x v="0"/>
    <x v="0"/>
    <x v="1"/>
  </r>
  <r>
    <x v="1923"/>
    <x v="178"/>
    <x v="2"/>
    <x v="358"/>
    <x v="5"/>
    <x v="258"/>
    <x v="0"/>
    <x v="0"/>
    <x v="0"/>
    <x v="3"/>
  </r>
  <r>
    <x v="1924"/>
    <x v="192"/>
    <x v="0"/>
    <x v="358"/>
    <x v="5"/>
    <x v="955"/>
    <x v="0"/>
    <x v="1"/>
    <x v="1"/>
    <x v="1"/>
  </r>
  <r>
    <x v="1925"/>
    <x v="168"/>
    <x v="3"/>
    <x v="358"/>
    <x v="5"/>
    <x v="914"/>
    <x v="0"/>
    <x v="2"/>
    <x v="3"/>
    <x v="1"/>
  </r>
  <r>
    <x v="1926"/>
    <x v="18"/>
    <x v="3"/>
    <x v="358"/>
    <x v="5"/>
    <x v="778"/>
    <x v="0"/>
    <x v="1"/>
    <x v="1"/>
    <x v="3"/>
  </r>
  <r>
    <x v="1927"/>
    <x v="80"/>
    <x v="2"/>
    <x v="358"/>
    <x v="5"/>
    <x v="216"/>
    <x v="0"/>
    <x v="1"/>
    <x v="1"/>
    <x v="3"/>
  </r>
  <r>
    <x v="1928"/>
    <x v="80"/>
    <x v="1"/>
    <x v="358"/>
    <x v="5"/>
    <x v="714"/>
    <x v="0"/>
    <x v="1"/>
    <x v="1"/>
    <x v="2"/>
  </r>
  <r>
    <x v="1929"/>
    <x v="80"/>
    <x v="1"/>
    <x v="358"/>
    <x v="5"/>
    <x v="88"/>
    <x v="0"/>
    <x v="4"/>
    <x v="4"/>
    <x v="1"/>
  </r>
  <r>
    <x v="1930"/>
    <x v="80"/>
    <x v="0"/>
    <x v="358"/>
    <x v="5"/>
    <x v="17"/>
    <x v="0"/>
    <x v="1"/>
    <x v="1"/>
    <x v="1"/>
  </r>
  <r>
    <x v="1931"/>
    <x v="80"/>
    <x v="1"/>
    <x v="358"/>
    <x v="5"/>
    <x v="112"/>
    <x v="0"/>
    <x v="4"/>
    <x v="4"/>
    <x v="3"/>
  </r>
  <r>
    <x v="1932"/>
    <x v="80"/>
    <x v="1"/>
    <x v="358"/>
    <x v="5"/>
    <x v="726"/>
    <x v="0"/>
    <x v="4"/>
    <x v="4"/>
    <x v="0"/>
  </r>
  <r>
    <x v="1933"/>
    <x v="209"/>
    <x v="0"/>
    <x v="359"/>
    <x v="5"/>
    <x v="1061"/>
    <x v="1"/>
    <x v="1"/>
    <x v="1"/>
    <x v="3"/>
  </r>
  <r>
    <x v="1934"/>
    <x v="214"/>
    <x v="2"/>
    <x v="359"/>
    <x v="5"/>
    <x v="1699"/>
    <x v="1"/>
    <x v="4"/>
    <x v="4"/>
    <x v="3"/>
  </r>
  <r>
    <x v="1935"/>
    <x v="221"/>
    <x v="1"/>
    <x v="359"/>
    <x v="5"/>
    <x v="1590"/>
    <x v="1"/>
    <x v="1"/>
    <x v="1"/>
    <x v="2"/>
  </r>
  <r>
    <x v="1936"/>
    <x v="180"/>
    <x v="3"/>
    <x v="359"/>
    <x v="5"/>
    <x v="1067"/>
    <x v="1"/>
    <x v="4"/>
    <x v="4"/>
    <x v="3"/>
  </r>
  <r>
    <x v="1937"/>
    <x v="192"/>
    <x v="3"/>
    <x v="359"/>
    <x v="5"/>
    <x v="1621"/>
    <x v="1"/>
    <x v="1"/>
    <x v="1"/>
    <x v="1"/>
  </r>
  <r>
    <x v="1938"/>
    <x v="28"/>
    <x v="1"/>
    <x v="359"/>
    <x v="5"/>
    <x v="1039"/>
    <x v="1"/>
    <x v="4"/>
    <x v="4"/>
    <x v="3"/>
  </r>
  <r>
    <x v="1939"/>
    <x v="27"/>
    <x v="1"/>
    <x v="359"/>
    <x v="5"/>
    <x v="1043"/>
    <x v="1"/>
    <x v="1"/>
    <x v="1"/>
    <x v="1"/>
  </r>
  <r>
    <x v="1940"/>
    <x v="125"/>
    <x v="1"/>
    <x v="360"/>
    <x v="5"/>
    <x v="1685"/>
    <x v="1"/>
    <x v="1"/>
    <x v="1"/>
    <x v="1"/>
  </r>
  <r>
    <x v="1941"/>
    <x v="23"/>
    <x v="2"/>
    <x v="360"/>
    <x v="5"/>
    <x v="64"/>
    <x v="0"/>
    <x v="4"/>
    <x v="4"/>
    <x v="1"/>
  </r>
  <r>
    <x v="1942"/>
    <x v="174"/>
    <x v="1"/>
    <x v="361"/>
    <x v="5"/>
    <x v="362"/>
    <x v="0"/>
    <x v="2"/>
    <x v="3"/>
    <x v="2"/>
  </r>
  <r>
    <x v="1943"/>
    <x v="123"/>
    <x v="3"/>
    <x v="361"/>
    <x v="5"/>
    <x v="1378"/>
    <x v="1"/>
    <x v="1"/>
    <x v="1"/>
    <x v="1"/>
  </r>
  <r>
    <x v="1944"/>
    <x v="198"/>
    <x v="1"/>
    <x v="361"/>
    <x v="5"/>
    <x v="117"/>
    <x v="0"/>
    <x v="1"/>
    <x v="1"/>
    <x v="0"/>
  </r>
  <r>
    <x v="1945"/>
    <x v="19"/>
    <x v="3"/>
    <x v="361"/>
    <x v="5"/>
    <x v="73"/>
    <x v="0"/>
    <x v="0"/>
    <x v="0"/>
    <x v="1"/>
  </r>
  <r>
    <x v="1946"/>
    <x v="135"/>
    <x v="3"/>
    <x v="361"/>
    <x v="5"/>
    <x v="2109"/>
    <x v="1"/>
    <x v="0"/>
    <x v="0"/>
    <x v="3"/>
  </r>
  <r>
    <x v="1947"/>
    <x v="135"/>
    <x v="1"/>
    <x v="361"/>
    <x v="5"/>
    <x v="1135"/>
    <x v="1"/>
    <x v="3"/>
    <x v="2"/>
    <x v="3"/>
  </r>
  <r>
    <x v="1948"/>
    <x v="27"/>
    <x v="0"/>
    <x v="361"/>
    <x v="5"/>
    <x v="1107"/>
    <x v="1"/>
    <x v="1"/>
    <x v="1"/>
    <x v="1"/>
  </r>
  <r>
    <x v="1949"/>
    <x v="27"/>
    <x v="0"/>
    <x v="361"/>
    <x v="5"/>
    <x v="1117"/>
    <x v="1"/>
    <x v="1"/>
    <x v="1"/>
    <x v="1"/>
  </r>
  <r>
    <x v="1950"/>
    <x v="184"/>
    <x v="1"/>
    <x v="362"/>
    <x v="5"/>
    <x v="1524"/>
    <x v="1"/>
    <x v="2"/>
    <x v="3"/>
    <x v="3"/>
  </r>
  <r>
    <x v="1951"/>
    <x v="251"/>
    <x v="3"/>
    <x v="362"/>
    <x v="5"/>
    <x v="1554"/>
    <x v="1"/>
    <x v="2"/>
    <x v="3"/>
    <x v="1"/>
  </r>
  <r>
    <x v="1952"/>
    <x v="130"/>
    <x v="0"/>
    <x v="362"/>
    <x v="5"/>
    <x v="1464"/>
    <x v="1"/>
    <x v="2"/>
    <x v="3"/>
    <x v="3"/>
  </r>
  <r>
    <x v="1953"/>
    <x v="131"/>
    <x v="1"/>
    <x v="362"/>
    <x v="5"/>
    <x v="1499"/>
    <x v="1"/>
    <x v="1"/>
    <x v="1"/>
    <x v="0"/>
  </r>
  <r>
    <x v="1954"/>
    <x v="35"/>
    <x v="3"/>
    <x v="362"/>
    <x v="5"/>
    <x v="1495"/>
    <x v="1"/>
    <x v="1"/>
    <x v="1"/>
    <x v="3"/>
  </r>
  <r>
    <x v="1955"/>
    <x v="240"/>
    <x v="2"/>
    <x v="362"/>
    <x v="5"/>
    <x v="1144"/>
    <x v="1"/>
    <x v="1"/>
    <x v="1"/>
    <x v="0"/>
  </r>
  <r>
    <x v="1956"/>
    <x v="126"/>
    <x v="0"/>
    <x v="362"/>
    <x v="5"/>
    <x v="427"/>
    <x v="0"/>
    <x v="1"/>
    <x v="1"/>
    <x v="1"/>
  </r>
  <r>
    <x v="1957"/>
    <x v="127"/>
    <x v="3"/>
    <x v="362"/>
    <x v="5"/>
    <x v="246"/>
    <x v="0"/>
    <x v="1"/>
    <x v="1"/>
    <x v="1"/>
  </r>
  <r>
    <x v="1958"/>
    <x v="128"/>
    <x v="0"/>
    <x v="362"/>
    <x v="5"/>
    <x v="423"/>
    <x v="0"/>
    <x v="2"/>
    <x v="3"/>
    <x v="3"/>
  </r>
  <r>
    <x v="1959"/>
    <x v="129"/>
    <x v="0"/>
    <x v="362"/>
    <x v="5"/>
    <x v="143"/>
    <x v="0"/>
    <x v="2"/>
    <x v="3"/>
    <x v="1"/>
  </r>
  <r>
    <x v="1960"/>
    <x v="7"/>
    <x v="1"/>
    <x v="362"/>
    <x v="5"/>
    <x v="1026"/>
    <x v="1"/>
    <x v="0"/>
    <x v="0"/>
    <x v="2"/>
  </r>
  <r>
    <x v="1961"/>
    <x v="132"/>
    <x v="0"/>
    <x v="362"/>
    <x v="5"/>
    <x v="2267"/>
    <x v="1"/>
    <x v="4"/>
    <x v="4"/>
    <x v="3"/>
  </r>
  <r>
    <x v="1962"/>
    <x v="27"/>
    <x v="3"/>
    <x v="362"/>
    <x v="5"/>
    <x v="1317"/>
    <x v="1"/>
    <x v="1"/>
    <x v="1"/>
    <x v="3"/>
  </r>
  <r>
    <x v="1963"/>
    <x v="15"/>
    <x v="3"/>
    <x v="363"/>
    <x v="5"/>
    <x v="1317"/>
    <x v="1"/>
    <x v="4"/>
    <x v="4"/>
    <x v="1"/>
  </r>
  <r>
    <x v="1964"/>
    <x v="124"/>
    <x v="0"/>
    <x v="363"/>
    <x v="5"/>
    <x v="1110"/>
    <x v="1"/>
    <x v="4"/>
    <x v="4"/>
    <x v="3"/>
  </r>
  <r>
    <x v="1965"/>
    <x v="172"/>
    <x v="2"/>
    <x v="363"/>
    <x v="5"/>
    <x v="1042"/>
    <x v="1"/>
    <x v="1"/>
    <x v="1"/>
    <x v="1"/>
  </r>
  <r>
    <x v="1966"/>
    <x v="23"/>
    <x v="3"/>
    <x v="363"/>
    <x v="5"/>
    <x v="1110"/>
    <x v="1"/>
    <x v="1"/>
    <x v="1"/>
    <x v="3"/>
  </r>
  <r>
    <x v="1967"/>
    <x v="27"/>
    <x v="3"/>
    <x v="363"/>
    <x v="5"/>
    <x v="1069"/>
    <x v="1"/>
    <x v="1"/>
    <x v="1"/>
    <x v="0"/>
  </r>
  <r>
    <x v="1968"/>
    <x v="139"/>
    <x v="1"/>
    <x v="364"/>
    <x v="5"/>
    <x v="1069"/>
    <x v="1"/>
    <x v="0"/>
    <x v="0"/>
    <x v="3"/>
  </r>
  <r>
    <x v="1969"/>
    <x v="139"/>
    <x v="2"/>
    <x v="364"/>
    <x v="5"/>
    <x v="2072"/>
    <x v="1"/>
    <x v="2"/>
    <x v="3"/>
    <x v="2"/>
  </r>
  <r>
    <x v="1970"/>
    <x v="50"/>
    <x v="3"/>
    <x v="364"/>
    <x v="5"/>
    <x v="1110"/>
    <x v="1"/>
    <x v="4"/>
    <x v="4"/>
    <x v="1"/>
  </r>
  <r>
    <x v="1971"/>
    <x v="50"/>
    <x v="0"/>
    <x v="364"/>
    <x v="5"/>
    <x v="1042"/>
    <x v="1"/>
    <x v="3"/>
    <x v="2"/>
    <x v="3"/>
  </r>
  <r>
    <x v="1972"/>
    <x v="46"/>
    <x v="3"/>
    <x v="364"/>
    <x v="5"/>
    <x v="1118"/>
    <x v="1"/>
    <x v="3"/>
    <x v="2"/>
    <x v="3"/>
  </r>
  <r>
    <x v="1973"/>
    <x v="46"/>
    <x v="0"/>
    <x v="364"/>
    <x v="5"/>
    <x v="1158"/>
    <x v="1"/>
    <x v="2"/>
    <x v="3"/>
    <x v="2"/>
  </r>
  <r>
    <x v="1974"/>
    <x v="46"/>
    <x v="0"/>
    <x v="364"/>
    <x v="5"/>
    <x v="1150"/>
    <x v="1"/>
    <x v="1"/>
    <x v="1"/>
    <x v="1"/>
  </r>
  <r>
    <x v="1975"/>
    <x v="46"/>
    <x v="0"/>
    <x v="364"/>
    <x v="5"/>
    <x v="576"/>
    <x v="0"/>
    <x v="4"/>
    <x v="4"/>
    <x v="1"/>
  </r>
  <r>
    <x v="1976"/>
    <x v="46"/>
    <x v="3"/>
    <x v="364"/>
    <x v="5"/>
    <x v="546"/>
    <x v="0"/>
    <x v="1"/>
    <x v="1"/>
    <x v="1"/>
  </r>
  <r>
    <x v="1977"/>
    <x v="46"/>
    <x v="1"/>
    <x v="364"/>
    <x v="5"/>
    <x v="562"/>
    <x v="0"/>
    <x v="2"/>
    <x v="3"/>
    <x v="3"/>
  </r>
  <r>
    <x v="1978"/>
    <x v="46"/>
    <x v="3"/>
    <x v="364"/>
    <x v="5"/>
    <x v="578"/>
    <x v="0"/>
    <x v="4"/>
    <x v="4"/>
    <x v="1"/>
  </r>
  <r>
    <x v="1979"/>
    <x v="46"/>
    <x v="1"/>
    <x v="364"/>
    <x v="5"/>
    <x v="560"/>
    <x v="0"/>
    <x v="0"/>
    <x v="0"/>
    <x v="3"/>
  </r>
  <r>
    <x v="1980"/>
    <x v="46"/>
    <x v="2"/>
    <x v="364"/>
    <x v="5"/>
    <x v="596"/>
    <x v="0"/>
    <x v="3"/>
    <x v="2"/>
    <x v="3"/>
  </r>
  <r>
    <x v="1981"/>
    <x v="46"/>
    <x v="3"/>
    <x v="364"/>
    <x v="5"/>
    <x v="572"/>
    <x v="0"/>
    <x v="1"/>
    <x v="1"/>
    <x v="0"/>
  </r>
  <r>
    <x v="1982"/>
    <x v="23"/>
    <x v="1"/>
    <x v="365"/>
    <x v="5"/>
    <x v="312"/>
    <x v="0"/>
    <x v="0"/>
    <x v="0"/>
    <x v="1"/>
  </r>
  <r>
    <x v="1983"/>
    <x v="135"/>
    <x v="3"/>
    <x v="365"/>
    <x v="5"/>
    <x v="2052"/>
    <x v="1"/>
    <x v="2"/>
    <x v="3"/>
    <x v="3"/>
  </r>
  <r>
    <x v="1984"/>
    <x v="116"/>
    <x v="0"/>
    <x v="366"/>
    <x v="5"/>
    <x v="1647"/>
    <x v="1"/>
    <x v="2"/>
    <x v="3"/>
    <x v="3"/>
  </r>
  <r>
    <x v="1985"/>
    <x v="117"/>
    <x v="3"/>
    <x v="366"/>
    <x v="5"/>
    <x v="1647"/>
    <x v="1"/>
    <x v="2"/>
    <x v="3"/>
    <x v="0"/>
  </r>
  <r>
    <x v="1986"/>
    <x v="120"/>
    <x v="0"/>
    <x v="366"/>
    <x v="5"/>
    <x v="2258"/>
    <x v="1"/>
    <x v="1"/>
    <x v="1"/>
    <x v="3"/>
  </r>
  <r>
    <x v="1987"/>
    <x v="121"/>
    <x v="0"/>
    <x v="366"/>
    <x v="5"/>
    <x v="1647"/>
    <x v="1"/>
    <x v="4"/>
    <x v="4"/>
    <x v="3"/>
  </r>
  <r>
    <x v="1988"/>
    <x v="170"/>
    <x v="0"/>
    <x v="366"/>
    <x v="5"/>
    <x v="757"/>
    <x v="0"/>
    <x v="4"/>
    <x v="4"/>
    <x v="2"/>
  </r>
  <r>
    <x v="1989"/>
    <x v="113"/>
    <x v="2"/>
    <x v="366"/>
    <x v="5"/>
    <x v="525"/>
    <x v="0"/>
    <x v="2"/>
    <x v="3"/>
    <x v="3"/>
  </r>
  <r>
    <x v="1990"/>
    <x v="114"/>
    <x v="3"/>
    <x v="366"/>
    <x v="5"/>
    <x v="620"/>
    <x v="0"/>
    <x v="1"/>
    <x v="1"/>
    <x v="3"/>
  </r>
  <r>
    <x v="1991"/>
    <x v="115"/>
    <x v="0"/>
    <x v="366"/>
    <x v="5"/>
    <x v="677"/>
    <x v="0"/>
    <x v="2"/>
    <x v="3"/>
    <x v="2"/>
  </r>
  <r>
    <x v="1992"/>
    <x v="119"/>
    <x v="2"/>
    <x v="366"/>
    <x v="5"/>
    <x v="691"/>
    <x v="0"/>
    <x v="4"/>
    <x v="4"/>
    <x v="1"/>
  </r>
  <r>
    <x v="1993"/>
    <x v="122"/>
    <x v="3"/>
    <x v="366"/>
    <x v="5"/>
    <x v="963"/>
    <x v="0"/>
    <x v="1"/>
    <x v="1"/>
    <x v="0"/>
  </r>
  <r>
    <x v="1994"/>
    <x v="118"/>
    <x v="0"/>
    <x v="367"/>
    <x v="5"/>
    <x v="696"/>
    <x v="0"/>
    <x v="1"/>
    <x v="1"/>
    <x v="3"/>
  </r>
  <r>
    <x v="1995"/>
    <x v="175"/>
    <x v="3"/>
    <x v="367"/>
    <x v="5"/>
    <x v="305"/>
    <x v="0"/>
    <x v="2"/>
    <x v="3"/>
    <x v="1"/>
  </r>
  <r>
    <x v="1996"/>
    <x v="72"/>
    <x v="0"/>
    <x v="367"/>
    <x v="5"/>
    <x v="48"/>
    <x v="0"/>
    <x v="1"/>
    <x v="1"/>
    <x v="0"/>
  </r>
  <r>
    <x v="1997"/>
    <x v="175"/>
    <x v="3"/>
    <x v="367"/>
    <x v="5"/>
    <x v="169"/>
    <x v="0"/>
    <x v="3"/>
    <x v="2"/>
    <x v="2"/>
  </r>
  <r>
    <x v="1998"/>
    <x v="135"/>
    <x v="3"/>
    <x v="367"/>
    <x v="5"/>
    <x v="166"/>
    <x v="0"/>
    <x v="0"/>
    <x v="0"/>
    <x v="3"/>
  </r>
  <r>
    <x v="1999"/>
    <x v="175"/>
    <x v="2"/>
    <x v="367"/>
    <x v="5"/>
    <x v="1803"/>
    <x v="1"/>
    <x v="2"/>
    <x v="3"/>
    <x v="2"/>
  </r>
  <r>
    <x v="2000"/>
    <x v="175"/>
    <x v="2"/>
    <x v="367"/>
    <x v="5"/>
    <x v="1803"/>
    <x v="1"/>
    <x v="3"/>
    <x v="2"/>
    <x v="2"/>
  </r>
  <r>
    <x v="2001"/>
    <x v="175"/>
    <x v="2"/>
    <x v="367"/>
    <x v="5"/>
    <x v="1803"/>
    <x v="1"/>
    <x v="0"/>
    <x v="0"/>
    <x v="1"/>
  </r>
  <r>
    <x v="2002"/>
    <x v="175"/>
    <x v="3"/>
    <x v="367"/>
    <x v="5"/>
    <x v="871"/>
    <x v="0"/>
    <x v="2"/>
    <x v="3"/>
    <x v="3"/>
  </r>
  <r>
    <x v="2003"/>
    <x v="175"/>
    <x v="1"/>
    <x v="367"/>
    <x v="5"/>
    <x v="522"/>
    <x v="0"/>
    <x v="2"/>
    <x v="3"/>
    <x v="3"/>
  </r>
  <r>
    <x v="2004"/>
    <x v="175"/>
    <x v="3"/>
    <x v="367"/>
    <x v="5"/>
    <x v="428"/>
    <x v="0"/>
    <x v="1"/>
    <x v="1"/>
    <x v="1"/>
  </r>
  <r>
    <x v="2005"/>
    <x v="175"/>
    <x v="3"/>
    <x v="367"/>
    <x v="5"/>
    <x v="975"/>
    <x v="0"/>
    <x v="1"/>
    <x v="1"/>
    <x v="1"/>
  </r>
  <r>
    <x v="2006"/>
    <x v="175"/>
    <x v="2"/>
    <x v="367"/>
    <x v="5"/>
    <x v="165"/>
    <x v="0"/>
    <x v="4"/>
    <x v="4"/>
    <x v="1"/>
  </r>
  <r>
    <x v="2007"/>
    <x v="5"/>
    <x v="1"/>
    <x v="368"/>
    <x v="5"/>
    <x v="2127"/>
    <x v="1"/>
    <x v="2"/>
    <x v="3"/>
    <x v="3"/>
  </r>
  <r>
    <x v="2008"/>
    <x v="23"/>
    <x v="3"/>
    <x v="368"/>
    <x v="5"/>
    <x v="2096"/>
    <x v="1"/>
    <x v="4"/>
    <x v="4"/>
    <x v="3"/>
  </r>
  <r>
    <x v="2009"/>
    <x v="225"/>
    <x v="0"/>
    <x v="368"/>
    <x v="5"/>
    <x v="2210"/>
    <x v="1"/>
    <x v="1"/>
    <x v="1"/>
    <x v="1"/>
  </r>
  <r>
    <x v="2010"/>
    <x v="225"/>
    <x v="2"/>
    <x v="368"/>
    <x v="5"/>
    <x v="202"/>
    <x v="0"/>
    <x v="4"/>
    <x v="4"/>
    <x v="3"/>
  </r>
  <r>
    <x v="2011"/>
    <x v="225"/>
    <x v="2"/>
    <x v="368"/>
    <x v="5"/>
    <x v="396"/>
    <x v="0"/>
    <x v="1"/>
    <x v="1"/>
    <x v="1"/>
  </r>
  <r>
    <x v="2012"/>
    <x v="137"/>
    <x v="3"/>
    <x v="369"/>
    <x v="5"/>
    <x v="1683"/>
    <x v="1"/>
    <x v="1"/>
    <x v="1"/>
    <x v="3"/>
  </r>
  <r>
    <x v="2013"/>
    <x v="188"/>
    <x v="0"/>
    <x v="370"/>
    <x v="5"/>
    <x v="1751"/>
    <x v="1"/>
    <x v="2"/>
    <x v="3"/>
    <x v="1"/>
  </r>
  <r>
    <x v="2014"/>
    <x v="123"/>
    <x v="2"/>
    <x v="370"/>
    <x v="5"/>
    <x v="1698"/>
    <x v="1"/>
    <x v="2"/>
    <x v="3"/>
    <x v="2"/>
  </r>
  <r>
    <x v="2015"/>
    <x v="23"/>
    <x v="1"/>
    <x v="370"/>
    <x v="5"/>
    <x v="1710"/>
    <x v="1"/>
    <x v="3"/>
    <x v="2"/>
    <x v="3"/>
  </r>
  <r>
    <x v="2016"/>
    <x v="248"/>
    <x v="0"/>
    <x v="371"/>
    <x v="5"/>
    <x v="1666"/>
    <x v="1"/>
    <x v="1"/>
    <x v="1"/>
    <x v="2"/>
  </r>
  <r>
    <x v="2017"/>
    <x v="222"/>
    <x v="3"/>
    <x v="371"/>
    <x v="5"/>
    <x v="1681"/>
    <x v="1"/>
    <x v="4"/>
    <x v="4"/>
    <x v="3"/>
  </r>
  <r>
    <x v="2018"/>
    <x v="184"/>
    <x v="1"/>
    <x v="371"/>
    <x v="5"/>
    <x v="1670"/>
    <x v="1"/>
    <x v="1"/>
    <x v="1"/>
    <x v="3"/>
  </r>
  <r>
    <x v="2019"/>
    <x v="191"/>
    <x v="0"/>
    <x v="371"/>
    <x v="5"/>
    <x v="1744"/>
    <x v="1"/>
    <x v="1"/>
    <x v="1"/>
    <x v="3"/>
  </r>
  <r>
    <x v="2020"/>
    <x v="168"/>
    <x v="3"/>
    <x v="371"/>
    <x v="5"/>
    <x v="1672"/>
    <x v="1"/>
    <x v="2"/>
    <x v="3"/>
    <x v="0"/>
  </r>
  <r>
    <x v="2021"/>
    <x v="30"/>
    <x v="2"/>
    <x v="371"/>
    <x v="5"/>
    <x v="1659"/>
    <x v="1"/>
    <x v="1"/>
    <x v="1"/>
    <x v="3"/>
  </r>
  <r>
    <x v="2022"/>
    <x v="7"/>
    <x v="0"/>
    <x v="371"/>
    <x v="5"/>
    <x v="1704"/>
    <x v="1"/>
    <x v="4"/>
    <x v="4"/>
    <x v="1"/>
  </r>
  <r>
    <x v="2023"/>
    <x v="19"/>
    <x v="3"/>
    <x v="371"/>
    <x v="5"/>
    <x v="1409"/>
    <x v="1"/>
    <x v="4"/>
    <x v="4"/>
    <x v="1"/>
  </r>
  <r>
    <x v="2024"/>
    <x v="139"/>
    <x v="1"/>
    <x v="371"/>
    <x v="5"/>
    <x v="1597"/>
    <x v="1"/>
    <x v="4"/>
    <x v="4"/>
    <x v="0"/>
  </r>
  <r>
    <x v="2025"/>
    <x v="111"/>
    <x v="0"/>
    <x v="371"/>
    <x v="5"/>
    <x v="1599"/>
    <x v="1"/>
    <x v="2"/>
    <x v="3"/>
    <x v="1"/>
  </r>
  <r>
    <x v="2026"/>
    <x v="200"/>
    <x v="2"/>
    <x v="371"/>
    <x v="5"/>
    <x v="1560"/>
    <x v="1"/>
    <x v="1"/>
    <x v="1"/>
    <x v="1"/>
  </r>
  <r>
    <x v="2027"/>
    <x v="201"/>
    <x v="1"/>
    <x v="371"/>
    <x v="5"/>
    <x v="1595"/>
    <x v="1"/>
    <x v="2"/>
    <x v="3"/>
    <x v="0"/>
  </r>
  <r>
    <x v="2028"/>
    <x v="200"/>
    <x v="3"/>
    <x v="371"/>
    <x v="5"/>
    <x v="1606"/>
    <x v="1"/>
    <x v="2"/>
    <x v="3"/>
    <x v="3"/>
  </r>
  <r>
    <x v="2029"/>
    <x v="201"/>
    <x v="1"/>
    <x v="371"/>
    <x v="5"/>
    <x v="1565"/>
    <x v="1"/>
    <x v="1"/>
    <x v="1"/>
    <x v="3"/>
  </r>
  <r>
    <x v="2030"/>
    <x v="111"/>
    <x v="0"/>
    <x v="371"/>
    <x v="5"/>
    <x v="1609"/>
    <x v="1"/>
    <x v="1"/>
    <x v="1"/>
    <x v="3"/>
  </r>
  <r>
    <x v="2031"/>
    <x v="111"/>
    <x v="3"/>
    <x v="371"/>
    <x v="5"/>
    <x v="1575"/>
    <x v="1"/>
    <x v="1"/>
    <x v="1"/>
    <x v="3"/>
  </r>
  <r>
    <x v="2032"/>
    <x v="200"/>
    <x v="2"/>
    <x v="371"/>
    <x v="5"/>
    <x v="1596"/>
    <x v="1"/>
    <x v="0"/>
    <x v="0"/>
    <x v="0"/>
  </r>
  <r>
    <x v="2033"/>
    <x v="201"/>
    <x v="3"/>
    <x v="371"/>
    <x v="5"/>
    <x v="1604"/>
    <x v="1"/>
    <x v="1"/>
    <x v="1"/>
    <x v="1"/>
  </r>
  <r>
    <x v="2034"/>
    <x v="200"/>
    <x v="1"/>
    <x v="371"/>
    <x v="5"/>
    <x v="557"/>
    <x v="0"/>
    <x v="4"/>
    <x v="4"/>
    <x v="3"/>
  </r>
  <r>
    <x v="2035"/>
    <x v="201"/>
    <x v="3"/>
    <x v="371"/>
    <x v="5"/>
    <x v="1845"/>
    <x v="1"/>
    <x v="2"/>
    <x v="3"/>
    <x v="1"/>
  </r>
  <r>
    <x v="2036"/>
    <x v="111"/>
    <x v="1"/>
    <x v="371"/>
    <x v="5"/>
    <x v="2162"/>
    <x v="1"/>
    <x v="4"/>
    <x v="4"/>
    <x v="3"/>
  </r>
  <r>
    <x v="2037"/>
    <x v="201"/>
    <x v="2"/>
    <x v="371"/>
    <x v="5"/>
    <x v="1860"/>
    <x v="1"/>
    <x v="1"/>
    <x v="1"/>
    <x v="3"/>
  </r>
  <r>
    <x v="2038"/>
    <x v="111"/>
    <x v="0"/>
    <x v="371"/>
    <x v="5"/>
    <x v="1877"/>
    <x v="1"/>
    <x v="1"/>
    <x v="1"/>
    <x v="3"/>
  </r>
  <r>
    <x v="2039"/>
    <x v="106"/>
    <x v="0"/>
    <x v="372"/>
    <x v="5"/>
    <x v="1539"/>
    <x v="1"/>
    <x v="3"/>
    <x v="2"/>
    <x v="1"/>
  </r>
  <r>
    <x v="2040"/>
    <x v="147"/>
    <x v="1"/>
    <x v="372"/>
    <x v="5"/>
    <x v="1551"/>
    <x v="1"/>
    <x v="2"/>
    <x v="3"/>
    <x v="1"/>
  </r>
  <r>
    <x v="2041"/>
    <x v="172"/>
    <x v="1"/>
    <x v="372"/>
    <x v="5"/>
    <x v="2066"/>
    <x v="1"/>
    <x v="1"/>
    <x v="1"/>
    <x v="0"/>
  </r>
  <r>
    <x v="2042"/>
    <x v="178"/>
    <x v="1"/>
    <x v="372"/>
    <x v="5"/>
    <x v="1491"/>
    <x v="1"/>
    <x v="2"/>
    <x v="3"/>
    <x v="1"/>
  </r>
  <r>
    <x v="2043"/>
    <x v="215"/>
    <x v="0"/>
    <x v="372"/>
    <x v="5"/>
    <x v="1581"/>
    <x v="1"/>
    <x v="1"/>
    <x v="1"/>
    <x v="3"/>
  </r>
  <r>
    <x v="2044"/>
    <x v="186"/>
    <x v="3"/>
    <x v="372"/>
    <x v="5"/>
    <x v="1911"/>
    <x v="1"/>
    <x v="1"/>
    <x v="1"/>
    <x v="3"/>
  </r>
  <r>
    <x v="2045"/>
    <x v="241"/>
    <x v="2"/>
    <x v="372"/>
    <x v="5"/>
    <x v="1530"/>
    <x v="1"/>
    <x v="2"/>
    <x v="3"/>
    <x v="1"/>
  </r>
  <r>
    <x v="2046"/>
    <x v="27"/>
    <x v="1"/>
    <x v="372"/>
    <x v="5"/>
    <x v="1722"/>
    <x v="1"/>
    <x v="4"/>
    <x v="4"/>
    <x v="1"/>
  </r>
  <r>
    <x v="2047"/>
    <x v="50"/>
    <x v="0"/>
    <x v="372"/>
    <x v="5"/>
    <x v="1530"/>
    <x v="1"/>
    <x v="4"/>
    <x v="4"/>
    <x v="0"/>
  </r>
  <r>
    <x v="2048"/>
    <x v="50"/>
    <x v="1"/>
    <x v="372"/>
    <x v="5"/>
    <x v="1547"/>
    <x v="1"/>
    <x v="4"/>
    <x v="4"/>
    <x v="3"/>
  </r>
  <r>
    <x v="2049"/>
    <x v="80"/>
    <x v="0"/>
    <x v="372"/>
    <x v="5"/>
    <x v="1530"/>
    <x v="1"/>
    <x v="4"/>
    <x v="4"/>
    <x v="1"/>
  </r>
  <r>
    <x v="2050"/>
    <x v="80"/>
    <x v="2"/>
    <x v="372"/>
    <x v="5"/>
    <x v="1267"/>
    <x v="1"/>
    <x v="4"/>
    <x v="4"/>
    <x v="0"/>
  </r>
  <r>
    <x v="2051"/>
    <x v="195"/>
    <x v="2"/>
    <x v="372"/>
    <x v="5"/>
    <x v="1752"/>
    <x v="1"/>
    <x v="3"/>
    <x v="2"/>
    <x v="3"/>
  </r>
  <r>
    <x v="2052"/>
    <x v="80"/>
    <x v="3"/>
    <x v="372"/>
    <x v="5"/>
    <x v="1530"/>
    <x v="1"/>
    <x v="2"/>
    <x v="3"/>
    <x v="0"/>
  </r>
  <r>
    <x v="2053"/>
    <x v="80"/>
    <x v="1"/>
    <x v="372"/>
    <x v="5"/>
    <x v="1309"/>
    <x v="1"/>
    <x v="1"/>
    <x v="1"/>
    <x v="3"/>
  </r>
  <r>
    <x v="2054"/>
    <x v="195"/>
    <x v="2"/>
    <x v="372"/>
    <x v="5"/>
    <x v="1309"/>
    <x v="1"/>
    <x v="1"/>
    <x v="1"/>
    <x v="3"/>
  </r>
  <r>
    <x v="2055"/>
    <x v="195"/>
    <x v="0"/>
    <x v="372"/>
    <x v="5"/>
    <x v="1756"/>
    <x v="1"/>
    <x v="3"/>
    <x v="2"/>
    <x v="1"/>
  </r>
  <r>
    <x v="2056"/>
    <x v="80"/>
    <x v="0"/>
    <x v="372"/>
    <x v="5"/>
    <x v="1530"/>
    <x v="1"/>
    <x v="1"/>
    <x v="1"/>
    <x v="3"/>
  </r>
  <r>
    <x v="2057"/>
    <x v="80"/>
    <x v="2"/>
    <x v="372"/>
    <x v="5"/>
    <x v="1759"/>
    <x v="1"/>
    <x v="2"/>
    <x v="3"/>
    <x v="1"/>
  </r>
  <r>
    <x v="2058"/>
    <x v="195"/>
    <x v="1"/>
    <x v="372"/>
    <x v="5"/>
    <x v="1309"/>
    <x v="1"/>
    <x v="1"/>
    <x v="1"/>
    <x v="2"/>
  </r>
  <r>
    <x v="2059"/>
    <x v="195"/>
    <x v="2"/>
    <x v="372"/>
    <x v="5"/>
    <x v="1309"/>
    <x v="1"/>
    <x v="1"/>
    <x v="1"/>
    <x v="3"/>
  </r>
  <r>
    <x v="2060"/>
    <x v="195"/>
    <x v="0"/>
    <x v="372"/>
    <x v="5"/>
    <x v="1753"/>
    <x v="1"/>
    <x v="1"/>
    <x v="1"/>
    <x v="3"/>
  </r>
  <r>
    <x v="2061"/>
    <x v="195"/>
    <x v="2"/>
    <x v="372"/>
    <x v="5"/>
    <x v="1789"/>
    <x v="1"/>
    <x v="0"/>
    <x v="0"/>
    <x v="0"/>
  </r>
  <r>
    <x v="2062"/>
    <x v="195"/>
    <x v="1"/>
    <x v="372"/>
    <x v="5"/>
    <x v="1309"/>
    <x v="1"/>
    <x v="1"/>
    <x v="1"/>
    <x v="2"/>
  </r>
  <r>
    <x v="2063"/>
    <x v="195"/>
    <x v="3"/>
    <x v="372"/>
    <x v="5"/>
    <x v="1322"/>
    <x v="1"/>
    <x v="3"/>
    <x v="2"/>
    <x v="0"/>
  </r>
  <r>
    <x v="2064"/>
    <x v="23"/>
    <x v="0"/>
    <x v="373"/>
    <x v="1"/>
    <x v="1322"/>
    <x v="1"/>
    <x v="3"/>
    <x v="2"/>
    <x v="1"/>
  </r>
  <r>
    <x v="2065"/>
    <x v="4"/>
    <x v="3"/>
    <x v="374"/>
    <x v="1"/>
    <x v="1314"/>
    <x v="1"/>
    <x v="4"/>
    <x v="4"/>
    <x v="1"/>
  </r>
  <r>
    <x v="2066"/>
    <x v="8"/>
    <x v="2"/>
    <x v="374"/>
    <x v="1"/>
    <x v="1915"/>
    <x v="1"/>
    <x v="3"/>
    <x v="2"/>
    <x v="3"/>
  </r>
  <r>
    <x v="2067"/>
    <x v="18"/>
    <x v="2"/>
    <x v="374"/>
    <x v="1"/>
    <x v="1167"/>
    <x v="1"/>
    <x v="1"/>
    <x v="1"/>
    <x v="1"/>
  </r>
  <r>
    <x v="2068"/>
    <x v="27"/>
    <x v="3"/>
    <x v="374"/>
    <x v="1"/>
    <x v="1806"/>
    <x v="1"/>
    <x v="2"/>
    <x v="3"/>
    <x v="3"/>
  </r>
  <r>
    <x v="2069"/>
    <x v="124"/>
    <x v="1"/>
    <x v="375"/>
    <x v="1"/>
    <x v="2063"/>
    <x v="1"/>
    <x v="2"/>
    <x v="3"/>
    <x v="3"/>
  </r>
  <r>
    <x v="2070"/>
    <x v="124"/>
    <x v="0"/>
    <x v="375"/>
    <x v="1"/>
    <x v="1917"/>
    <x v="1"/>
    <x v="4"/>
    <x v="4"/>
    <x v="1"/>
  </r>
  <r>
    <x v="2071"/>
    <x v="29"/>
    <x v="3"/>
    <x v="375"/>
    <x v="1"/>
    <x v="1820"/>
    <x v="1"/>
    <x v="1"/>
    <x v="1"/>
    <x v="3"/>
  </r>
  <r>
    <x v="2072"/>
    <x v="29"/>
    <x v="0"/>
    <x v="375"/>
    <x v="1"/>
    <x v="1183"/>
    <x v="1"/>
    <x v="1"/>
    <x v="1"/>
    <x v="2"/>
  </r>
  <r>
    <x v="2073"/>
    <x v="27"/>
    <x v="1"/>
    <x v="375"/>
    <x v="1"/>
    <x v="1312"/>
    <x v="1"/>
    <x v="2"/>
    <x v="3"/>
    <x v="3"/>
  </r>
  <r>
    <x v="2074"/>
    <x v="27"/>
    <x v="1"/>
    <x v="375"/>
    <x v="1"/>
    <x v="1333"/>
    <x v="1"/>
    <x v="2"/>
    <x v="3"/>
    <x v="1"/>
  </r>
  <r>
    <x v="2075"/>
    <x v="18"/>
    <x v="1"/>
    <x v="376"/>
    <x v="1"/>
    <x v="1912"/>
    <x v="1"/>
    <x v="1"/>
    <x v="1"/>
    <x v="3"/>
  </r>
  <r>
    <x v="2076"/>
    <x v="182"/>
    <x v="0"/>
    <x v="377"/>
    <x v="1"/>
    <x v="1818"/>
    <x v="1"/>
    <x v="4"/>
    <x v="4"/>
    <x v="1"/>
  </r>
  <r>
    <x v="2077"/>
    <x v="198"/>
    <x v="3"/>
    <x v="377"/>
    <x v="1"/>
    <x v="1177"/>
    <x v="1"/>
    <x v="1"/>
    <x v="1"/>
    <x v="3"/>
  </r>
  <r>
    <x v="2078"/>
    <x v="28"/>
    <x v="1"/>
    <x v="377"/>
    <x v="1"/>
    <x v="1284"/>
    <x v="1"/>
    <x v="4"/>
    <x v="4"/>
    <x v="3"/>
  </r>
  <r>
    <x v="2079"/>
    <x v="19"/>
    <x v="2"/>
    <x v="377"/>
    <x v="1"/>
    <x v="1532"/>
    <x v="1"/>
    <x v="4"/>
    <x v="4"/>
    <x v="3"/>
  </r>
  <r>
    <x v="2080"/>
    <x v="7"/>
    <x v="0"/>
    <x v="378"/>
    <x v="1"/>
    <x v="2249"/>
    <x v="1"/>
    <x v="2"/>
    <x v="3"/>
    <x v="3"/>
  </r>
  <r>
    <x v="2081"/>
    <x v="136"/>
    <x v="1"/>
    <x v="378"/>
    <x v="1"/>
    <x v="1843"/>
    <x v="1"/>
    <x v="1"/>
    <x v="1"/>
    <x v="0"/>
  </r>
  <r>
    <x v="2082"/>
    <x v="80"/>
    <x v="1"/>
    <x v="379"/>
    <x v="1"/>
    <x v="1338"/>
    <x v="1"/>
    <x v="1"/>
    <x v="1"/>
    <x v="1"/>
  </r>
  <r>
    <x v="2083"/>
    <x v="180"/>
    <x v="1"/>
    <x v="379"/>
    <x v="1"/>
    <x v="1926"/>
    <x v="1"/>
    <x v="0"/>
    <x v="0"/>
    <x v="1"/>
  </r>
  <r>
    <x v="2084"/>
    <x v="188"/>
    <x v="0"/>
    <x v="379"/>
    <x v="1"/>
    <x v="1388"/>
    <x v="1"/>
    <x v="4"/>
    <x v="4"/>
    <x v="3"/>
  </r>
  <r>
    <x v="2085"/>
    <x v="192"/>
    <x v="0"/>
    <x v="379"/>
    <x v="1"/>
    <x v="1843"/>
    <x v="1"/>
    <x v="1"/>
    <x v="1"/>
    <x v="3"/>
  </r>
  <r>
    <x v="2086"/>
    <x v="196"/>
    <x v="1"/>
    <x v="379"/>
    <x v="1"/>
    <x v="1169"/>
    <x v="1"/>
    <x v="0"/>
    <x v="0"/>
    <x v="0"/>
  </r>
  <r>
    <x v="2087"/>
    <x v="151"/>
    <x v="3"/>
    <x v="379"/>
    <x v="1"/>
    <x v="1834"/>
    <x v="1"/>
    <x v="1"/>
    <x v="1"/>
    <x v="2"/>
  </r>
  <r>
    <x v="2088"/>
    <x v="133"/>
    <x v="0"/>
    <x v="379"/>
    <x v="1"/>
    <x v="1540"/>
    <x v="1"/>
    <x v="1"/>
    <x v="1"/>
    <x v="1"/>
  </r>
  <r>
    <x v="2089"/>
    <x v="136"/>
    <x v="2"/>
    <x v="379"/>
    <x v="1"/>
    <x v="2142"/>
    <x v="1"/>
    <x v="1"/>
    <x v="1"/>
    <x v="2"/>
  </r>
  <r>
    <x v="2090"/>
    <x v="214"/>
    <x v="1"/>
    <x v="380"/>
    <x v="1"/>
    <x v="1383"/>
    <x v="1"/>
    <x v="3"/>
    <x v="2"/>
    <x v="1"/>
  </r>
  <r>
    <x v="2091"/>
    <x v="124"/>
    <x v="1"/>
    <x v="380"/>
    <x v="1"/>
    <x v="1843"/>
    <x v="1"/>
    <x v="1"/>
    <x v="1"/>
    <x v="1"/>
  </r>
  <r>
    <x v="2092"/>
    <x v="185"/>
    <x v="0"/>
    <x v="381"/>
    <x v="1"/>
    <x v="1509"/>
    <x v="1"/>
    <x v="4"/>
    <x v="4"/>
    <x v="1"/>
  </r>
  <r>
    <x v="2093"/>
    <x v="166"/>
    <x v="0"/>
    <x v="381"/>
    <x v="1"/>
    <x v="1161"/>
    <x v="1"/>
    <x v="1"/>
    <x v="1"/>
    <x v="0"/>
  </r>
  <r>
    <x v="2094"/>
    <x v="23"/>
    <x v="0"/>
    <x v="381"/>
    <x v="1"/>
    <x v="1766"/>
    <x v="1"/>
    <x v="1"/>
    <x v="1"/>
    <x v="3"/>
  </r>
  <r>
    <x v="2095"/>
    <x v="139"/>
    <x v="0"/>
    <x v="381"/>
    <x v="1"/>
    <x v="1843"/>
    <x v="1"/>
    <x v="4"/>
    <x v="4"/>
    <x v="1"/>
  </r>
  <r>
    <x v="2096"/>
    <x v="27"/>
    <x v="1"/>
    <x v="381"/>
    <x v="1"/>
    <x v="1843"/>
    <x v="1"/>
    <x v="1"/>
    <x v="1"/>
    <x v="2"/>
  </r>
  <r>
    <x v="2097"/>
    <x v="27"/>
    <x v="0"/>
    <x v="381"/>
    <x v="1"/>
    <x v="1842"/>
    <x v="1"/>
    <x v="2"/>
    <x v="3"/>
    <x v="0"/>
  </r>
  <r>
    <x v="2098"/>
    <x v="27"/>
    <x v="2"/>
    <x v="381"/>
    <x v="1"/>
    <x v="1280"/>
    <x v="1"/>
    <x v="4"/>
    <x v="4"/>
    <x v="1"/>
  </r>
  <r>
    <x v="2099"/>
    <x v="27"/>
    <x v="0"/>
    <x v="381"/>
    <x v="1"/>
    <x v="1017"/>
    <x v="1"/>
    <x v="1"/>
    <x v="1"/>
    <x v="1"/>
  </r>
  <r>
    <x v="2100"/>
    <x v="205"/>
    <x v="2"/>
    <x v="382"/>
    <x v="1"/>
    <x v="1202"/>
    <x v="1"/>
    <x v="0"/>
    <x v="0"/>
    <x v="2"/>
  </r>
  <r>
    <x v="2101"/>
    <x v="205"/>
    <x v="3"/>
    <x v="382"/>
    <x v="1"/>
    <x v="586"/>
    <x v="0"/>
    <x v="1"/>
    <x v="1"/>
    <x v="2"/>
  </r>
  <r>
    <x v="2102"/>
    <x v="205"/>
    <x v="2"/>
    <x v="382"/>
    <x v="1"/>
    <x v="976"/>
    <x v="0"/>
    <x v="4"/>
    <x v="4"/>
    <x v="1"/>
  </r>
  <r>
    <x v="2103"/>
    <x v="205"/>
    <x v="2"/>
    <x v="382"/>
    <x v="1"/>
    <x v="705"/>
    <x v="0"/>
    <x v="2"/>
    <x v="3"/>
    <x v="2"/>
  </r>
  <r>
    <x v="2104"/>
    <x v="205"/>
    <x v="0"/>
    <x v="382"/>
    <x v="1"/>
    <x v="686"/>
    <x v="0"/>
    <x v="1"/>
    <x v="1"/>
    <x v="2"/>
  </r>
  <r>
    <x v="2105"/>
    <x v="7"/>
    <x v="3"/>
    <x v="383"/>
    <x v="1"/>
    <x v="665"/>
    <x v="0"/>
    <x v="1"/>
    <x v="1"/>
    <x v="3"/>
  </r>
  <r>
    <x v="2106"/>
    <x v="198"/>
    <x v="0"/>
    <x v="384"/>
    <x v="1"/>
    <x v="574"/>
    <x v="0"/>
    <x v="4"/>
    <x v="4"/>
    <x v="1"/>
  </r>
  <r>
    <x v="2107"/>
    <x v="198"/>
    <x v="0"/>
    <x v="384"/>
    <x v="1"/>
    <x v="704"/>
    <x v="0"/>
    <x v="1"/>
    <x v="1"/>
    <x v="1"/>
  </r>
  <r>
    <x v="2108"/>
    <x v="106"/>
    <x v="1"/>
    <x v="384"/>
    <x v="1"/>
    <x v="502"/>
    <x v="0"/>
    <x v="1"/>
    <x v="1"/>
    <x v="3"/>
  </r>
  <r>
    <x v="2109"/>
    <x v="15"/>
    <x v="0"/>
    <x v="384"/>
    <x v="1"/>
    <x v="767"/>
    <x v="0"/>
    <x v="4"/>
    <x v="4"/>
    <x v="3"/>
  </r>
  <r>
    <x v="2110"/>
    <x v="19"/>
    <x v="1"/>
    <x v="384"/>
    <x v="1"/>
    <x v="709"/>
    <x v="0"/>
    <x v="4"/>
    <x v="4"/>
    <x v="0"/>
  </r>
  <r>
    <x v="2111"/>
    <x v="7"/>
    <x v="0"/>
    <x v="384"/>
    <x v="1"/>
    <x v="387"/>
    <x v="0"/>
    <x v="3"/>
    <x v="2"/>
    <x v="3"/>
  </r>
  <r>
    <x v="2112"/>
    <x v="198"/>
    <x v="2"/>
    <x v="385"/>
    <x v="1"/>
    <x v="109"/>
    <x v="0"/>
    <x v="1"/>
    <x v="1"/>
    <x v="3"/>
  </r>
  <r>
    <x v="2113"/>
    <x v="198"/>
    <x v="0"/>
    <x v="385"/>
    <x v="1"/>
    <x v="113"/>
    <x v="0"/>
    <x v="4"/>
    <x v="4"/>
    <x v="3"/>
  </r>
  <r>
    <x v="2114"/>
    <x v="169"/>
    <x v="1"/>
    <x v="385"/>
    <x v="1"/>
    <x v="1502"/>
    <x v="1"/>
    <x v="1"/>
    <x v="1"/>
    <x v="1"/>
  </r>
  <r>
    <x v="2115"/>
    <x v="86"/>
    <x v="1"/>
    <x v="385"/>
    <x v="1"/>
    <x v="931"/>
    <x v="0"/>
    <x v="1"/>
    <x v="1"/>
    <x v="0"/>
  </r>
  <r>
    <x v="2116"/>
    <x v="87"/>
    <x v="0"/>
    <x v="385"/>
    <x v="1"/>
    <x v="455"/>
    <x v="0"/>
    <x v="1"/>
    <x v="1"/>
    <x v="3"/>
  </r>
  <r>
    <x v="2117"/>
    <x v="87"/>
    <x v="0"/>
    <x v="385"/>
    <x v="1"/>
    <x v="517"/>
    <x v="0"/>
    <x v="2"/>
    <x v="3"/>
    <x v="0"/>
  </r>
  <r>
    <x v="2118"/>
    <x v="88"/>
    <x v="2"/>
    <x v="385"/>
    <x v="1"/>
    <x v="712"/>
    <x v="0"/>
    <x v="1"/>
    <x v="1"/>
    <x v="1"/>
  </r>
  <r>
    <x v="2119"/>
    <x v="89"/>
    <x v="3"/>
    <x v="385"/>
    <x v="1"/>
    <x v="558"/>
    <x v="0"/>
    <x v="2"/>
    <x v="3"/>
    <x v="0"/>
  </r>
  <r>
    <x v="2120"/>
    <x v="89"/>
    <x v="0"/>
    <x v="385"/>
    <x v="1"/>
    <x v="783"/>
    <x v="0"/>
    <x v="1"/>
    <x v="1"/>
    <x v="1"/>
  </r>
  <r>
    <x v="2121"/>
    <x v="90"/>
    <x v="0"/>
    <x v="385"/>
    <x v="1"/>
    <x v="812"/>
    <x v="0"/>
    <x v="4"/>
    <x v="4"/>
    <x v="3"/>
  </r>
  <r>
    <x v="2122"/>
    <x v="91"/>
    <x v="1"/>
    <x v="385"/>
    <x v="1"/>
    <x v="777"/>
    <x v="0"/>
    <x v="4"/>
    <x v="4"/>
    <x v="2"/>
  </r>
  <r>
    <x v="2123"/>
    <x v="92"/>
    <x v="2"/>
    <x v="385"/>
    <x v="1"/>
    <x v="943"/>
    <x v="0"/>
    <x v="0"/>
    <x v="0"/>
    <x v="3"/>
  </r>
  <r>
    <x v="2124"/>
    <x v="245"/>
    <x v="0"/>
    <x v="385"/>
    <x v="1"/>
    <x v="389"/>
    <x v="0"/>
    <x v="4"/>
    <x v="4"/>
    <x v="1"/>
  </r>
  <r>
    <x v="2125"/>
    <x v="50"/>
    <x v="3"/>
    <x v="385"/>
    <x v="1"/>
    <x v="808"/>
    <x v="0"/>
    <x v="0"/>
    <x v="0"/>
    <x v="1"/>
  </r>
  <r>
    <x v="2126"/>
    <x v="34"/>
    <x v="3"/>
    <x v="385"/>
    <x v="1"/>
    <x v="566"/>
    <x v="0"/>
    <x v="2"/>
    <x v="3"/>
    <x v="1"/>
  </r>
  <r>
    <x v="2127"/>
    <x v="34"/>
    <x v="0"/>
    <x v="385"/>
    <x v="1"/>
    <x v="444"/>
    <x v="0"/>
    <x v="2"/>
    <x v="3"/>
    <x v="3"/>
  </r>
  <r>
    <x v="2128"/>
    <x v="34"/>
    <x v="2"/>
    <x v="385"/>
    <x v="1"/>
    <x v="593"/>
    <x v="0"/>
    <x v="1"/>
    <x v="1"/>
    <x v="1"/>
  </r>
  <r>
    <x v="2129"/>
    <x v="34"/>
    <x v="2"/>
    <x v="385"/>
    <x v="1"/>
    <x v="52"/>
    <x v="0"/>
    <x v="4"/>
    <x v="4"/>
    <x v="3"/>
  </r>
  <r>
    <x v="2130"/>
    <x v="94"/>
    <x v="1"/>
    <x v="386"/>
    <x v="1"/>
    <x v="29"/>
    <x v="0"/>
    <x v="1"/>
    <x v="1"/>
    <x v="3"/>
  </r>
  <r>
    <x v="2131"/>
    <x v="122"/>
    <x v="3"/>
    <x v="386"/>
    <x v="1"/>
    <x v="438"/>
    <x v="0"/>
    <x v="0"/>
    <x v="0"/>
    <x v="3"/>
  </r>
  <r>
    <x v="2132"/>
    <x v="231"/>
    <x v="3"/>
    <x v="386"/>
    <x v="1"/>
    <x v="218"/>
    <x v="0"/>
    <x v="1"/>
    <x v="1"/>
    <x v="1"/>
  </r>
  <r>
    <x v="2133"/>
    <x v="139"/>
    <x v="0"/>
    <x v="386"/>
    <x v="1"/>
    <x v="625"/>
    <x v="0"/>
    <x v="1"/>
    <x v="1"/>
    <x v="0"/>
  </r>
  <r>
    <x v="2134"/>
    <x v="94"/>
    <x v="2"/>
    <x v="387"/>
    <x v="1"/>
    <x v="212"/>
    <x v="0"/>
    <x v="1"/>
    <x v="1"/>
    <x v="3"/>
  </r>
  <r>
    <x v="2135"/>
    <x v="94"/>
    <x v="0"/>
    <x v="387"/>
    <x v="1"/>
    <x v="271"/>
    <x v="0"/>
    <x v="2"/>
    <x v="3"/>
    <x v="1"/>
  </r>
  <r>
    <x v="2136"/>
    <x v="106"/>
    <x v="3"/>
    <x v="387"/>
    <x v="1"/>
    <x v="637"/>
    <x v="0"/>
    <x v="2"/>
    <x v="3"/>
    <x v="1"/>
  </r>
  <r>
    <x v="2137"/>
    <x v="93"/>
    <x v="2"/>
    <x v="387"/>
    <x v="1"/>
    <x v="570"/>
    <x v="0"/>
    <x v="2"/>
    <x v="3"/>
    <x v="3"/>
  </r>
  <r>
    <x v="2138"/>
    <x v="170"/>
    <x v="2"/>
    <x v="387"/>
    <x v="1"/>
    <x v="734"/>
    <x v="0"/>
    <x v="0"/>
    <x v="0"/>
    <x v="3"/>
  </r>
  <r>
    <x v="2139"/>
    <x v="113"/>
    <x v="3"/>
    <x v="387"/>
    <x v="1"/>
    <x v="527"/>
    <x v="0"/>
    <x v="1"/>
    <x v="1"/>
    <x v="3"/>
  </r>
  <r>
    <x v="2140"/>
    <x v="114"/>
    <x v="3"/>
    <x v="387"/>
    <x v="1"/>
    <x v="2095"/>
    <x v="1"/>
    <x v="1"/>
    <x v="1"/>
    <x v="3"/>
  </r>
  <r>
    <x v="2141"/>
    <x v="114"/>
    <x v="1"/>
    <x v="387"/>
    <x v="1"/>
    <x v="2248"/>
    <x v="1"/>
    <x v="0"/>
    <x v="0"/>
    <x v="0"/>
  </r>
  <r>
    <x v="2142"/>
    <x v="115"/>
    <x v="1"/>
    <x v="387"/>
    <x v="1"/>
    <x v="1001"/>
    <x v="1"/>
    <x v="4"/>
    <x v="4"/>
    <x v="1"/>
  </r>
  <r>
    <x v="2143"/>
    <x v="116"/>
    <x v="1"/>
    <x v="387"/>
    <x v="1"/>
    <x v="528"/>
    <x v="0"/>
    <x v="2"/>
    <x v="3"/>
    <x v="2"/>
  </r>
  <r>
    <x v="2144"/>
    <x v="118"/>
    <x v="3"/>
    <x v="387"/>
    <x v="1"/>
    <x v="675"/>
    <x v="0"/>
    <x v="4"/>
    <x v="4"/>
    <x v="1"/>
  </r>
  <r>
    <x v="2145"/>
    <x v="119"/>
    <x v="0"/>
    <x v="387"/>
    <x v="1"/>
    <x v="208"/>
    <x v="0"/>
    <x v="0"/>
    <x v="0"/>
    <x v="1"/>
  </r>
  <r>
    <x v="2146"/>
    <x v="120"/>
    <x v="1"/>
    <x v="387"/>
    <x v="1"/>
    <x v="796"/>
    <x v="0"/>
    <x v="0"/>
    <x v="0"/>
    <x v="1"/>
  </r>
  <r>
    <x v="2147"/>
    <x v="121"/>
    <x v="1"/>
    <x v="387"/>
    <x v="1"/>
    <x v="135"/>
    <x v="0"/>
    <x v="4"/>
    <x v="4"/>
    <x v="3"/>
  </r>
  <r>
    <x v="2148"/>
    <x v="215"/>
    <x v="1"/>
    <x v="388"/>
    <x v="1"/>
    <x v="83"/>
    <x v="0"/>
    <x v="2"/>
    <x v="3"/>
    <x v="3"/>
  </r>
  <r>
    <x v="2149"/>
    <x v="221"/>
    <x v="1"/>
    <x v="388"/>
    <x v="1"/>
    <x v="425"/>
    <x v="0"/>
    <x v="0"/>
    <x v="0"/>
    <x v="0"/>
  </r>
  <r>
    <x v="2150"/>
    <x v="196"/>
    <x v="3"/>
    <x v="388"/>
    <x v="1"/>
    <x v="451"/>
    <x v="0"/>
    <x v="1"/>
    <x v="1"/>
    <x v="0"/>
  </r>
  <r>
    <x v="2151"/>
    <x v="7"/>
    <x v="3"/>
    <x v="388"/>
    <x v="1"/>
    <x v="721"/>
    <x v="0"/>
    <x v="1"/>
    <x v="1"/>
    <x v="0"/>
  </r>
  <r>
    <x v="2152"/>
    <x v="19"/>
    <x v="1"/>
    <x v="388"/>
    <x v="1"/>
    <x v="633"/>
    <x v="0"/>
    <x v="4"/>
    <x v="4"/>
    <x v="3"/>
  </r>
  <r>
    <x v="2153"/>
    <x v="139"/>
    <x v="1"/>
    <x v="388"/>
    <x v="1"/>
    <x v="298"/>
    <x v="0"/>
    <x v="2"/>
    <x v="3"/>
    <x v="0"/>
  </r>
  <r>
    <x v="2154"/>
    <x v="139"/>
    <x v="2"/>
    <x v="388"/>
    <x v="1"/>
    <x v="864"/>
    <x v="0"/>
    <x v="2"/>
    <x v="3"/>
    <x v="0"/>
  </r>
  <r>
    <x v="2155"/>
    <x v="139"/>
    <x v="3"/>
    <x v="388"/>
    <x v="1"/>
    <x v="15"/>
    <x v="0"/>
    <x v="4"/>
    <x v="4"/>
    <x v="3"/>
  </r>
  <r>
    <x v="2156"/>
    <x v="172"/>
    <x v="2"/>
    <x v="389"/>
    <x v="1"/>
    <x v="849"/>
    <x v="0"/>
    <x v="0"/>
    <x v="0"/>
    <x v="1"/>
  </r>
  <r>
    <x v="2157"/>
    <x v="167"/>
    <x v="0"/>
    <x v="389"/>
    <x v="1"/>
    <x v="96"/>
    <x v="0"/>
    <x v="1"/>
    <x v="1"/>
    <x v="3"/>
  </r>
  <r>
    <x v="2158"/>
    <x v="117"/>
    <x v="3"/>
    <x v="389"/>
    <x v="1"/>
    <x v="124"/>
    <x v="0"/>
    <x v="1"/>
    <x v="1"/>
    <x v="2"/>
  </r>
  <r>
    <x v="2159"/>
    <x v="200"/>
    <x v="0"/>
    <x v="389"/>
    <x v="1"/>
    <x v="198"/>
    <x v="0"/>
    <x v="1"/>
    <x v="1"/>
    <x v="1"/>
  </r>
  <r>
    <x v="2160"/>
    <x v="201"/>
    <x v="0"/>
    <x v="389"/>
    <x v="1"/>
    <x v="2187"/>
    <x v="1"/>
    <x v="2"/>
    <x v="3"/>
    <x v="3"/>
  </r>
  <r>
    <x v="2161"/>
    <x v="208"/>
    <x v="0"/>
    <x v="389"/>
    <x v="1"/>
    <x v="759"/>
    <x v="0"/>
    <x v="1"/>
    <x v="1"/>
    <x v="3"/>
  </r>
  <r>
    <x v="2162"/>
    <x v="200"/>
    <x v="2"/>
    <x v="389"/>
    <x v="1"/>
    <x v="879"/>
    <x v="0"/>
    <x v="2"/>
    <x v="3"/>
    <x v="2"/>
  </r>
  <r>
    <x v="2163"/>
    <x v="201"/>
    <x v="2"/>
    <x v="389"/>
    <x v="1"/>
    <x v="2009"/>
    <x v="1"/>
    <x v="2"/>
    <x v="3"/>
    <x v="0"/>
  </r>
  <r>
    <x v="2164"/>
    <x v="208"/>
    <x v="3"/>
    <x v="389"/>
    <x v="1"/>
    <x v="1110"/>
    <x v="1"/>
    <x v="4"/>
    <x v="4"/>
    <x v="2"/>
  </r>
  <r>
    <x v="2165"/>
    <x v="200"/>
    <x v="2"/>
    <x v="389"/>
    <x v="1"/>
    <x v="1110"/>
    <x v="1"/>
    <x v="2"/>
    <x v="3"/>
    <x v="1"/>
  </r>
  <r>
    <x v="2166"/>
    <x v="201"/>
    <x v="3"/>
    <x v="389"/>
    <x v="1"/>
    <x v="2144"/>
    <x v="1"/>
    <x v="2"/>
    <x v="3"/>
    <x v="3"/>
  </r>
  <r>
    <x v="2167"/>
    <x v="208"/>
    <x v="0"/>
    <x v="389"/>
    <x v="1"/>
    <x v="605"/>
    <x v="0"/>
    <x v="1"/>
    <x v="1"/>
    <x v="3"/>
  </r>
  <r>
    <x v="2168"/>
    <x v="200"/>
    <x v="1"/>
    <x v="389"/>
    <x v="1"/>
    <x v="121"/>
    <x v="0"/>
    <x v="2"/>
    <x v="3"/>
    <x v="1"/>
  </r>
  <r>
    <x v="2169"/>
    <x v="201"/>
    <x v="2"/>
    <x v="389"/>
    <x v="1"/>
    <x v="956"/>
    <x v="0"/>
    <x v="1"/>
    <x v="1"/>
    <x v="3"/>
  </r>
  <r>
    <x v="2170"/>
    <x v="208"/>
    <x v="2"/>
    <x v="389"/>
    <x v="1"/>
    <x v="500"/>
    <x v="0"/>
    <x v="2"/>
    <x v="3"/>
    <x v="2"/>
  </r>
  <r>
    <x v="2171"/>
    <x v="208"/>
    <x v="0"/>
    <x v="389"/>
    <x v="1"/>
    <x v="506"/>
    <x v="0"/>
    <x v="4"/>
    <x v="4"/>
    <x v="1"/>
  </r>
  <r>
    <x v="2172"/>
    <x v="208"/>
    <x v="1"/>
    <x v="389"/>
    <x v="1"/>
    <x v="845"/>
    <x v="0"/>
    <x v="1"/>
    <x v="1"/>
    <x v="0"/>
  </r>
  <r>
    <x v="2173"/>
    <x v="208"/>
    <x v="0"/>
    <x v="389"/>
    <x v="1"/>
    <x v="2090"/>
    <x v="1"/>
    <x v="2"/>
    <x v="3"/>
    <x v="0"/>
  </r>
  <r>
    <x v="2174"/>
    <x v="208"/>
    <x v="2"/>
    <x v="389"/>
    <x v="1"/>
    <x v="1032"/>
    <x v="1"/>
    <x v="3"/>
    <x v="2"/>
    <x v="0"/>
  </r>
  <r>
    <x v="2175"/>
    <x v="208"/>
    <x v="2"/>
    <x v="389"/>
    <x v="1"/>
    <x v="1032"/>
    <x v="1"/>
    <x v="1"/>
    <x v="1"/>
    <x v="1"/>
  </r>
  <r>
    <x v="2176"/>
    <x v="209"/>
    <x v="2"/>
    <x v="390"/>
    <x v="1"/>
    <x v="2242"/>
    <x v="1"/>
    <x v="1"/>
    <x v="1"/>
    <x v="3"/>
  </r>
  <r>
    <x v="2177"/>
    <x v="18"/>
    <x v="3"/>
    <x v="390"/>
    <x v="1"/>
    <x v="1032"/>
    <x v="1"/>
    <x v="1"/>
    <x v="1"/>
    <x v="1"/>
  </r>
  <r>
    <x v="2178"/>
    <x v="139"/>
    <x v="1"/>
    <x v="390"/>
    <x v="1"/>
    <x v="1032"/>
    <x v="1"/>
    <x v="1"/>
    <x v="1"/>
    <x v="3"/>
  </r>
  <r>
    <x v="2179"/>
    <x v="135"/>
    <x v="2"/>
    <x v="390"/>
    <x v="1"/>
    <x v="1032"/>
    <x v="1"/>
    <x v="1"/>
    <x v="1"/>
    <x v="3"/>
  </r>
  <r>
    <x v="2180"/>
    <x v="197"/>
    <x v="3"/>
    <x v="391"/>
    <x v="1"/>
    <x v="1032"/>
    <x v="1"/>
    <x v="1"/>
    <x v="1"/>
    <x v="2"/>
  </r>
  <r>
    <x v="2181"/>
    <x v="135"/>
    <x v="3"/>
    <x v="391"/>
    <x v="1"/>
    <x v="1032"/>
    <x v="1"/>
    <x v="2"/>
    <x v="3"/>
    <x v="0"/>
  </r>
  <r>
    <x v="2182"/>
    <x v="135"/>
    <x v="3"/>
    <x v="391"/>
    <x v="1"/>
    <x v="670"/>
    <x v="0"/>
    <x v="1"/>
    <x v="1"/>
    <x v="0"/>
  </r>
  <r>
    <x v="2183"/>
    <x v="175"/>
    <x v="3"/>
    <x v="392"/>
    <x v="1"/>
    <x v="2079"/>
    <x v="1"/>
    <x v="4"/>
    <x v="4"/>
    <x v="1"/>
  </r>
  <r>
    <x v="2184"/>
    <x v="175"/>
    <x v="3"/>
    <x v="392"/>
    <x v="1"/>
    <x v="824"/>
    <x v="0"/>
    <x v="0"/>
    <x v="0"/>
    <x v="1"/>
  </r>
  <r>
    <x v="2185"/>
    <x v="175"/>
    <x v="1"/>
    <x v="392"/>
    <x v="1"/>
    <x v="899"/>
    <x v="0"/>
    <x v="2"/>
    <x v="3"/>
    <x v="2"/>
  </r>
  <r>
    <x v="2186"/>
    <x v="175"/>
    <x v="1"/>
    <x v="392"/>
    <x v="1"/>
    <x v="449"/>
    <x v="0"/>
    <x v="1"/>
    <x v="1"/>
    <x v="0"/>
  </r>
  <r>
    <x v="2187"/>
    <x v="175"/>
    <x v="0"/>
    <x v="392"/>
    <x v="1"/>
    <x v="2266"/>
    <x v="1"/>
    <x v="2"/>
    <x v="3"/>
    <x v="3"/>
  </r>
  <r>
    <x v="2188"/>
    <x v="175"/>
    <x v="2"/>
    <x v="392"/>
    <x v="1"/>
    <x v="2034"/>
    <x v="1"/>
    <x v="2"/>
    <x v="3"/>
    <x v="3"/>
  </r>
  <r>
    <x v="2189"/>
    <x v="175"/>
    <x v="3"/>
    <x v="392"/>
    <x v="1"/>
    <x v="191"/>
    <x v="0"/>
    <x v="1"/>
    <x v="1"/>
    <x v="3"/>
  </r>
  <r>
    <x v="2190"/>
    <x v="175"/>
    <x v="0"/>
    <x v="392"/>
    <x v="1"/>
    <x v="307"/>
    <x v="0"/>
    <x v="2"/>
    <x v="3"/>
    <x v="1"/>
  </r>
  <r>
    <x v="2191"/>
    <x v="175"/>
    <x v="3"/>
    <x v="392"/>
    <x v="1"/>
    <x v="549"/>
    <x v="0"/>
    <x v="1"/>
    <x v="1"/>
    <x v="3"/>
  </r>
  <r>
    <x v="2192"/>
    <x v="175"/>
    <x v="3"/>
    <x v="392"/>
    <x v="1"/>
    <x v="470"/>
    <x v="0"/>
    <x v="1"/>
    <x v="1"/>
    <x v="1"/>
  </r>
  <r>
    <x v="2193"/>
    <x v="192"/>
    <x v="0"/>
    <x v="393"/>
    <x v="1"/>
    <x v="397"/>
    <x v="0"/>
    <x v="2"/>
    <x v="3"/>
    <x v="1"/>
  </r>
  <r>
    <x v="2194"/>
    <x v="106"/>
    <x v="3"/>
    <x v="393"/>
    <x v="1"/>
    <x v="354"/>
    <x v="0"/>
    <x v="1"/>
    <x v="1"/>
    <x v="0"/>
  </r>
  <r>
    <x v="2195"/>
    <x v="96"/>
    <x v="0"/>
    <x v="393"/>
    <x v="1"/>
    <x v="2154"/>
    <x v="1"/>
    <x v="1"/>
    <x v="1"/>
    <x v="1"/>
  </r>
  <r>
    <x v="2196"/>
    <x v="18"/>
    <x v="3"/>
    <x v="393"/>
    <x v="1"/>
    <x v="1110"/>
    <x v="1"/>
    <x v="4"/>
    <x v="4"/>
    <x v="1"/>
  </r>
  <r>
    <x v="2197"/>
    <x v="27"/>
    <x v="2"/>
    <x v="393"/>
    <x v="1"/>
    <x v="1337"/>
    <x v="1"/>
    <x v="1"/>
    <x v="1"/>
    <x v="3"/>
  </r>
  <r>
    <x v="2198"/>
    <x v="241"/>
    <x v="3"/>
    <x v="393"/>
    <x v="1"/>
    <x v="1110"/>
    <x v="1"/>
    <x v="1"/>
    <x v="1"/>
    <x v="0"/>
  </r>
  <r>
    <x v="2199"/>
    <x v="222"/>
    <x v="1"/>
    <x v="394"/>
    <x v="1"/>
    <x v="1337"/>
    <x v="1"/>
    <x v="1"/>
    <x v="1"/>
    <x v="1"/>
  </r>
  <r>
    <x v="2200"/>
    <x v="135"/>
    <x v="3"/>
    <x v="394"/>
    <x v="1"/>
    <x v="1173"/>
    <x v="1"/>
    <x v="4"/>
    <x v="4"/>
    <x v="1"/>
  </r>
  <r>
    <x v="2201"/>
    <x v="136"/>
    <x v="0"/>
    <x v="394"/>
    <x v="1"/>
    <x v="1755"/>
    <x v="1"/>
    <x v="3"/>
    <x v="2"/>
    <x v="2"/>
  </r>
  <r>
    <x v="2202"/>
    <x v="30"/>
    <x v="1"/>
    <x v="395"/>
    <x v="1"/>
    <x v="1593"/>
    <x v="1"/>
    <x v="4"/>
    <x v="4"/>
    <x v="1"/>
  </r>
  <r>
    <x v="2203"/>
    <x v="188"/>
    <x v="1"/>
    <x v="395"/>
    <x v="1"/>
    <x v="1175"/>
    <x v="1"/>
    <x v="4"/>
    <x v="4"/>
    <x v="1"/>
  </r>
  <r>
    <x v="2204"/>
    <x v="191"/>
    <x v="2"/>
    <x v="395"/>
    <x v="1"/>
    <x v="2166"/>
    <x v="1"/>
    <x v="1"/>
    <x v="1"/>
    <x v="2"/>
  </r>
  <r>
    <x v="2205"/>
    <x v="133"/>
    <x v="3"/>
    <x v="395"/>
    <x v="1"/>
    <x v="1015"/>
    <x v="1"/>
    <x v="1"/>
    <x v="1"/>
    <x v="3"/>
  </r>
  <r>
    <x v="2206"/>
    <x v="174"/>
    <x v="0"/>
    <x v="395"/>
    <x v="1"/>
    <x v="1366"/>
    <x v="1"/>
    <x v="4"/>
    <x v="4"/>
    <x v="1"/>
  </r>
  <r>
    <x v="2207"/>
    <x v="139"/>
    <x v="0"/>
    <x v="395"/>
    <x v="1"/>
    <x v="344"/>
    <x v="0"/>
    <x v="1"/>
    <x v="1"/>
    <x v="3"/>
  </r>
  <r>
    <x v="2208"/>
    <x v="208"/>
    <x v="0"/>
    <x v="395"/>
    <x v="1"/>
    <x v="536"/>
    <x v="0"/>
    <x v="3"/>
    <x v="2"/>
    <x v="3"/>
  </r>
  <r>
    <x v="2209"/>
    <x v="208"/>
    <x v="0"/>
    <x v="395"/>
    <x v="1"/>
    <x v="61"/>
    <x v="0"/>
    <x v="3"/>
    <x v="2"/>
    <x v="3"/>
  </r>
  <r>
    <x v="2210"/>
    <x v="135"/>
    <x v="2"/>
    <x v="395"/>
    <x v="1"/>
    <x v="136"/>
    <x v="0"/>
    <x v="4"/>
    <x v="4"/>
    <x v="0"/>
  </r>
  <r>
    <x v="2211"/>
    <x v="135"/>
    <x v="1"/>
    <x v="395"/>
    <x v="1"/>
    <x v="160"/>
    <x v="0"/>
    <x v="2"/>
    <x v="3"/>
    <x v="2"/>
  </r>
  <r>
    <x v="2212"/>
    <x v="136"/>
    <x v="1"/>
    <x v="395"/>
    <x v="1"/>
    <x v="163"/>
    <x v="0"/>
    <x v="2"/>
    <x v="3"/>
    <x v="2"/>
  </r>
  <r>
    <x v="2213"/>
    <x v="208"/>
    <x v="1"/>
    <x v="395"/>
    <x v="1"/>
    <x v="2054"/>
    <x v="1"/>
    <x v="2"/>
    <x v="3"/>
    <x v="3"/>
  </r>
  <r>
    <x v="2214"/>
    <x v="208"/>
    <x v="3"/>
    <x v="395"/>
    <x v="1"/>
    <x v="2002"/>
    <x v="1"/>
    <x v="1"/>
    <x v="1"/>
    <x v="3"/>
  </r>
  <r>
    <x v="2215"/>
    <x v="208"/>
    <x v="2"/>
    <x v="395"/>
    <x v="1"/>
    <x v="2067"/>
    <x v="1"/>
    <x v="0"/>
    <x v="0"/>
    <x v="3"/>
  </r>
  <r>
    <x v="2216"/>
    <x v="208"/>
    <x v="2"/>
    <x v="395"/>
    <x v="1"/>
    <x v="2141"/>
    <x v="1"/>
    <x v="0"/>
    <x v="0"/>
    <x v="2"/>
  </r>
  <r>
    <x v="2217"/>
    <x v="208"/>
    <x v="0"/>
    <x v="395"/>
    <x v="1"/>
    <x v="573"/>
    <x v="0"/>
    <x v="1"/>
    <x v="1"/>
    <x v="3"/>
  </r>
  <r>
    <x v="2218"/>
    <x v="208"/>
    <x v="3"/>
    <x v="395"/>
    <x v="1"/>
    <x v="568"/>
    <x v="0"/>
    <x v="3"/>
    <x v="2"/>
    <x v="3"/>
  </r>
  <r>
    <x v="2219"/>
    <x v="208"/>
    <x v="2"/>
    <x v="395"/>
    <x v="1"/>
    <x v="482"/>
    <x v="0"/>
    <x v="4"/>
    <x v="4"/>
    <x v="3"/>
  </r>
  <r>
    <x v="2220"/>
    <x v="185"/>
    <x v="0"/>
    <x v="396"/>
    <x v="1"/>
    <x v="804"/>
    <x v="0"/>
    <x v="2"/>
    <x v="3"/>
    <x v="3"/>
  </r>
  <r>
    <x v="2221"/>
    <x v="50"/>
    <x v="3"/>
    <x v="396"/>
    <x v="1"/>
    <x v="282"/>
    <x v="0"/>
    <x v="1"/>
    <x v="1"/>
    <x v="3"/>
  </r>
  <r>
    <x v="2222"/>
    <x v="46"/>
    <x v="2"/>
    <x v="396"/>
    <x v="1"/>
    <x v="16"/>
    <x v="0"/>
    <x v="4"/>
    <x v="4"/>
    <x v="1"/>
  </r>
  <r>
    <x v="2223"/>
    <x v="46"/>
    <x v="2"/>
    <x v="396"/>
    <x v="1"/>
    <x v="2053"/>
    <x v="1"/>
    <x v="3"/>
    <x v="2"/>
    <x v="3"/>
  </r>
  <r>
    <x v="2224"/>
    <x v="46"/>
    <x v="3"/>
    <x v="396"/>
    <x v="1"/>
    <x v="28"/>
    <x v="0"/>
    <x v="1"/>
    <x v="1"/>
    <x v="0"/>
  </r>
  <r>
    <x v="2225"/>
    <x v="46"/>
    <x v="2"/>
    <x v="396"/>
    <x v="1"/>
    <x v="509"/>
    <x v="0"/>
    <x v="4"/>
    <x v="4"/>
    <x v="2"/>
  </r>
  <r>
    <x v="2226"/>
    <x v="46"/>
    <x v="1"/>
    <x v="396"/>
    <x v="1"/>
    <x v="1809"/>
    <x v="1"/>
    <x v="1"/>
    <x v="1"/>
    <x v="3"/>
  </r>
  <r>
    <x v="2227"/>
    <x v="46"/>
    <x v="0"/>
    <x v="396"/>
    <x v="1"/>
    <x v="1809"/>
    <x v="1"/>
    <x v="1"/>
    <x v="1"/>
    <x v="3"/>
  </r>
  <r>
    <x v="2228"/>
    <x v="186"/>
    <x v="0"/>
    <x v="397"/>
    <x v="1"/>
    <x v="1809"/>
    <x v="1"/>
    <x v="1"/>
    <x v="1"/>
    <x v="1"/>
  </r>
  <r>
    <x v="2229"/>
    <x v="192"/>
    <x v="3"/>
    <x v="397"/>
    <x v="1"/>
    <x v="1110"/>
    <x v="1"/>
    <x v="1"/>
    <x v="1"/>
    <x v="3"/>
  </r>
  <r>
    <x v="2230"/>
    <x v="196"/>
    <x v="1"/>
    <x v="397"/>
    <x v="1"/>
    <x v="1110"/>
    <x v="1"/>
    <x v="4"/>
    <x v="4"/>
    <x v="0"/>
  </r>
  <r>
    <x v="2231"/>
    <x v="241"/>
    <x v="0"/>
    <x v="397"/>
    <x v="1"/>
    <x v="1265"/>
    <x v="1"/>
    <x v="1"/>
    <x v="1"/>
    <x v="3"/>
  </r>
  <r>
    <x v="2232"/>
    <x v="50"/>
    <x v="2"/>
    <x v="397"/>
    <x v="1"/>
    <x v="1110"/>
    <x v="1"/>
    <x v="2"/>
    <x v="3"/>
    <x v="3"/>
  </r>
  <r>
    <x v="2233"/>
    <x v="201"/>
    <x v="0"/>
    <x v="397"/>
    <x v="1"/>
    <x v="1214"/>
    <x v="1"/>
    <x v="0"/>
    <x v="0"/>
    <x v="1"/>
  </r>
  <r>
    <x v="2234"/>
    <x v="205"/>
    <x v="2"/>
    <x v="397"/>
    <x v="1"/>
    <x v="1214"/>
    <x v="1"/>
    <x v="4"/>
    <x v="4"/>
    <x v="1"/>
  </r>
  <r>
    <x v="2235"/>
    <x v="50"/>
    <x v="3"/>
    <x v="397"/>
    <x v="1"/>
    <x v="1110"/>
    <x v="1"/>
    <x v="1"/>
    <x v="1"/>
    <x v="0"/>
  </r>
  <r>
    <x v="2236"/>
    <x v="205"/>
    <x v="0"/>
    <x v="397"/>
    <x v="1"/>
    <x v="1395"/>
    <x v="1"/>
    <x v="1"/>
    <x v="1"/>
    <x v="3"/>
  </r>
  <r>
    <x v="2237"/>
    <x v="34"/>
    <x v="0"/>
    <x v="397"/>
    <x v="1"/>
    <x v="1265"/>
    <x v="1"/>
    <x v="4"/>
    <x v="4"/>
    <x v="1"/>
  </r>
  <r>
    <x v="2238"/>
    <x v="201"/>
    <x v="2"/>
    <x v="397"/>
    <x v="1"/>
    <x v="1110"/>
    <x v="1"/>
    <x v="3"/>
    <x v="2"/>
    <x v="3"/>
  </r>
  <r>
    <x v="2239"/>
    <x v="34"/>
    <x v="2"/>
    <x v="397"/>
    <x v="1"/>
    <x v="1110"/>
    <x v="1"/>
    <x v="3"/>
    <x v="2"/>
    <x v="0"/>
  </r>
  <r>
    <x v="2240"/>
    <x v="80"/>
    <x v="1"/>
    <x v="397"/>
    <x v="1"/>
    <x v="1155"/>
    <x v="1"/>
    <x v="4"/>
    <x v="4"/>
    <x v="1"/>
  </r>
  <r>
    <x v="2241"/>
    <x v="201"/>
    <x v="0"/>
    <x v="397"/>
    <x v="1"/>
    <x v="1154"/>
    <x v="1"/>
    <x v="4"/>
    <x v="4"/>
    <x v="1"/>
  </r>
  <r>
    <x v="2242"/>
    <x v="205"/>
    <x v="2"/>
    <x v="397"/>
    <x v="1"/>
    <x v="224"/>
    <x v="0"/>
    <x v="1"/>
    <x v="1"/>
    <x v="3"/>
  </r>
  <r>
    <x v="2243"/>
    <x v="34"/>
    <x v="2"/>
    <x v="397"/>
    <x v="1"/>
    <x v="576"/>
    <x v="0"/>
    <x v="2"/>
    <x v="3"/>
    <x v="1"/>
  </r>
  <r>
    <x v="2244"/>
    <x v="80"/>
    <x v="1"/>
    <x v="397"/>
    <x v="1"/>
    <x v="603"/>
    <x v="0"/>
    <x v="0"/>
    <x v="0"/>
    <x v="3"/>
  </r>
  <r>
    <x v="2245"/>
    <x v="201"/>
    <x v="3"/>
    <x v="397"/>
    <x v="1"/>
    <x v="582"/>
    <x v="0"/>
    <x v="1"/>
    <x v="1"/>
    <x v="0"/>
  </r>
  <r>
    <x v="2246"/>
    <x v="205"/>
    <x v="0"/>
    <x v="397"/>
    <x v="1"/>
    <x v="596"/>
    <x v="0"/>
    <x v="0"/>
    <x v="0"/>
    <x v="1"/>
  </r>
  <r>
    <x v="2247"/>
    <x v="205"/>
    <x v="3"/>
    <x v="397"/>
    <x v="1"/>
    <x v="606"/>
    <x v="0"/>
    <x v="0"/>
    <x v="0"/>
    <x v="1"/>
  </r>
  <r>
    <x v="2248"/>
    <x v="80"/>
    <x v="1"/>
    <x v="397"/>
    <x v="1"/>
    <x v="590"/>
    <x v="0"/>
    <x v="2"/>
    <x v="3"/>
    <x v="3"/>
  </r>
  <r>
    <x v="2249"/>
    <x v="201"/>
    <x v="0"/>
    <x v="397"/>
    <x v="1"/>
    <x v="585"/>
    <x v="0"/>
    <x v="2"/>
    <x v="3"/>
    <x v="3"/>
  </r>
  <r>
    <x v="2250"/>
    <x v="201"/>
    <x v="2"/>
    <x v="397"/>
    <x v="1"/>
    <x v="599"/>
    <x v="0"/>
    <x v="3"/>
    <x v="2"/>
    <x v="1"/>
  </r>
  <r>
    <x v="2251"/>
    <x v="248"/>
    <x v="2"/>
    <x v="398"/>
    <x v="11"/>
    <x v="584"/>
    <x v="0"/>
    <x v="0"/>
    <x v="0"/>
    <x v="1"/>
  </r>
  <r>
    <x v="2252"/>
    <x v="7"/>
    <x v="3"/>
    <x v="398"/>
    <x v="11"/>
    <x v="816"/>
    <x v="0"/>
    <x v="2"/>
    <x v="3"/>
    <x v="0"/>
  </r>
  <r>
    <x v="2253"/>
    <x v="5"/>
    <x v="3"/>
    <x v="399"/>
    <x v="11"/>
    <x v="2157"/>
    <x v="1"/>
    <x v="0"/>
    <x v="0"/>
    <x v="3"/>
  </r>
  <r>
    <x v="2254"/>
    <x v="106"/>
    <x v="3"/>
    <x v="400"/>
    <x v="11"/>
    <x v="680"/>
    <x v="0"/>
    <x v="1"/>
    <x v="1"/>
    <x v="1"/>
  </r>
  <r>
    <x v="2255"/>
    <x v="209"/>
    <x v="3"/>
    <x v="400"/>
    <x v="11"/>
    <x v="646"/>
    <x v="0"/>
    <x v="2"/>
    <x v="3"/>
    <x v="1"/>
  </r>
  <r>
    <x v="2256"/>
    <x v="214"/>
    <x v="1"/>
    <x v="400"/>
    <x v="11"/>
    <x v="167"/>
    <x v="0"/>
    <x v="2"/>
    <x v="3"/>
    <x v="3"/>
  </r>
  <r>
    <x v="2257"/>
    <x v="192"/>
    <x v="3"/>
    <x v="400"/>
    <x v="11"/>
    <x v="1041"/>
    <x v="1"/>
    <x v="1"/>
    <x v="1"/>
    <x v="0"/>
  </r>
  <r>
    <x v="2258"/>
    <x v="151"/>
    <x v="1"/>
    <x v="400"/>
    <x v="11"/>
    <x v="2137"/>
    <x v="1"/>
    <x v="2"/>
    <x v="3"/>
    <x v="2"/>
  </r>
  <r>
    <x v="2259"/>
    <x v="97"/>
    <x v="0"/>
    <x v="400"/>
    <x v="11"/>
    <x v="1625"/>
    <x v="1"/>
    <x v="4"/>
    <x v="4"/>
    <x v="3"/>
  </r>
  <r>
    <x v="2260"/>
    <x v="13"/>
    <x v="0"/>
    <x v="400"/>
    <x v="11"/>
    <x v="1625"/>
    <x v="1"/>
    <x v="1"/>
    <x v="1"/>
    <x v="1"/>
  </r>
  <r>
    <x v="2261"/>
    <x v="19"/>
    <x v="1"/>
    <x v="400"/>
    <x v="11"/>
    <x v="1625"/>
    <x v="1"/>
    <x v="2"/>
    <x v="3"/>
    <x v="1"/>
  </r>
  <r>
    <x v="2262"/>
    <x v="135"/>
    <x v="3"/>
    <x v="400"/>
    <x v="11"/>
    <x v="990"/>
    <x v="0"/>
    <x v="1"/>
    <x v="1"/>
    <x v="1"/>
  </r>
  <r>
    <x v="2263"/>
    <x v="7"/>
    <x v="3"/>
    <x v="401"/>
    <x v="11"/>
    <x v="693"/>
    <x v="0"/>
    <x v="2"/>
    <x v="3"/>
    <x v="3"/>
  </r>
  <r>
    <x v="2264"/>
    <x v="171"/>
    <x v="3"/>
    <x v="402"/>
    <x v="11"/>
    <x v="760"/>
    <x v="0"/>
    <x v="0"/>
    <x v="0"/>
    <x v="3"/>
  </r>
  <r>
    <x v="2265"/>
    <x v="171"/>
    <x v="2"/>
    <x v="402"/>
    <x v="11"/>
    <x v="666"/>
    <x v="0"/>
    <x v="2"/>
    <x v="3"/>
    <x v="3"/>
  </r>
  <r>
    <x v="2266"/>
    <x v="96"/>
    <x v="2"/>
    <x v="402"/>
    <x v="11"/>
    <x v="82"/>
    <x v="0"/>
    <x v="2"/>
    <x v="3"/>
    <x v="1"/>
  </r>
  <r>
    <x v="2267"/>
    <x v="7"/>
    <x v="0"/>
    <x v="402"/>
    <x v="11"/>
    <x v="87"/>
    <x v="0"/>
    <x v="1"/>
    <x v="1"/>
    <x v="3"/>
  </r>
  <r>
    <x v="2268"/>
    <x v="19"/>
    <x v="2"/>
    <x v="402"/>
    <x v="11"/>
    <x v="1297"/>
    <x v="1"/>
    <x v="3"/>
    <x v="2"/>
    <x v="0"/>
  </r>
  <r>
    <x v="2269"/>
    <x v="136"/>
    <x v="0"/>
    <x v="402"/>
    <x v="11"/>
    <x v="1313"/>
    <x v="1"/>
    <x v="2"/>
    <x v="3"/>
    <x v="3"/>
  </r>
  <r>
    <x v="2270"/>
    <x v="147"/>
    <x v="1"/>
    <x v="403"/>
    <x v="11"/>
    <x v="1299"/>
    <x v="1"/>
    <x v="1"/>
    <x v="1"/>
    <x v="3"/>
  </r>
  <r>
    <x v="2271"/>
    <x v="23"/>
    <x v="2"/>
    <x v="403"/>
    <x v="11"/>
    <x v="1295"/>
    <x v="1"/>
    <x v="1"/>
    <x v="1"/>
    <x v="1"/>
  </r>
  <r>
    <x v="2272"/>
    <x v="140"/>
    <x v="3"/>
    <x v="404"/>
    <x v="11"/>
    <x v="2174"/>
    <x v="1"/>
    <x v="2"/>
    <x v="3"/>
    <x v="1"/>
  </r>
  <r>
    <x v="2273"/>
    <x v="169"/>
    <x v="1"/>
    <x v="404"/>
    <x v="11"/>
    <x v="1340"/>
    <x v="1"/>
    <x v="2"/>
    <x v="3"/>
    <x v="1"/>
  </r>
  <r>
    <x v="2274"/>
    <x v="139"/>
    <x v="1"/>
    <x v="404"/>
    <x v="11"/>
    <x v="1268"/>
    <x v="1"/>
    <x v="1"/>
    <x v="1"/>
    <x v="1"/>
  </r>
  <r>
    <x v="2275"/>
    <x v="139"/>
    <x v="2"/>
    <x v="404"/>
    <x v="11"/>
    <x v="1285"/>
    <x v="1"/>
    <x v="1"/>
    <x v="1"/>
    <x v="1"/>
  </r>
  <r>
    <x v="2276"/>
    <x v="205"/>
    <x v="2"/>
    <x v="404"/>
    <x v="11"/>
    <x v="1264"/>
    <x v="1"/>
    <x v="4"/>
    <x v="4"/>
    <x v="1"/>
  </r>
  <r>
    <x v="2277"/>
    <x v="205"/>
    <x v="1"/>
    <x v="404"/>
    <x v="11"/>
    <x v="1261"/>
    <x v="1"/>
    <x v="2"/>
    <x v="3"/>
    <x v="3"/>
  </r>
  <r>
    <x v="2278"/>
    <x v="205"/>
    <x v="2"/>
    <x v="404"/>
    <x v="11"/>
    <x v="1334"/>
    <x v="1"/>
    <x v="3"/>
    <x v="2"/>
    <x v="3"/>
  </r>
  <r>
    <x v="2279"/>
    <x v="205"/>
    <x v="3"/>
    <x v="404"/>
    <x v="11"/>
    <x v="535"/>
    <x v="0"/>
    <x v="2"/>
    <x v="3"/>
    <x v="3"/>
  </r>
  <r>
    <x v="2280"/>
    <x v="205"/>
    <x v="2"/>
    <x v="404"/>
    <x v="11"/>
    <x v="507"/>
    <x v="0"/>
    <x v="1"/>
    <x v="1"/>
    <x v="3"/>
  </r>
  <r>
    <x v="2281"/>
    <x v="15"/>
    <x v="2"/>
    <x v="405"/>
    <x v="11"/>
    <x v="497"/>
    <x v="0"/>
    <x v="2"/>
    <x v="3"/>
    <x v="3"/>
  </r>
  <r>
    <x v="2282"/>
    <x v="173"/>
    <x v="1"/>
    <x v="405"/>
    <x v="11"/>
    <x v="388"/>
    <x v="0"/>
    <x v="1"/>
    <x v="1"/>
    <x v="1"/>
  </r>
  <r>
    <x v="2283"/>
    <x v="178"/>
    <x v="2"/>
    <x v="405"/>
    <x v="11"/>
    <x v="2128"/>
    <x v="1"/>
    <x v="2"/>
    <x v="3"/>
    <x v="0"/>
  </r>
  <r>
    <x v="2284"/>
    <x v="219"/>
    <x v="0"/>
    <x v="405"/>
    <x v="11"/>
    <x v="2261"/>
    <x v="1"/>
    <x v="1"/>
    <x v="1"/>
    <x v="3"/>
  </r>
  <r>
    <x v="2285"/>
    <x v="166"/>
    <x v="1"/>
    <x v="405"/>
    <x v="11"/>
    <x v="417"/>
    <x v="0"/>
    <x v="1"/>
    <x v="1"/>
    <x v="3"/>
  </r>
  <r>
    <x v="2286"/>
    <x v="133"/>
    <x v="2"/>
    <x v="405"/>
    <x v="11"/>
    <x v="383"/>
    <x v="0"/>
    <x v="1"/>
    <x v="1"/>
    <x v="3"/>
  </r>
  <r>
    <x v="2287"/>
    <x v="124"/>
    <x v="0"/>
    <x v="405"/>
    <x v="11"/>
    <x v="541"/>
    <x v="0"/>
    <x v="1"/>
    <x v="1"/>
    <x v="3"/>
  </r>
  <r>
    <x v="2288"/>
    <x v="124"/>
    <x v="3"/>
    <x v="405"/>
    <x v="11"/>
    <x v="682"/>
    <x v="0"/>
    <x v="1"/>
    <x v="1"/>
    <x v="3"/>
  </r>
  <r>
    <x v="2289"/>
    <x v="5"/>
    <x v="3"/>
    <x v="405"/>
    <x v="11"/>
    <x v="2040"/>
    <x v="1"/>
    <x v="4"/>
    <x v="4"/>
    <x v="1"/>
  </r>
  <r>
    <x v="2290"/>
    <x v="174"/>
    <x v="3"/>
    <x v="405"/>
    <x v="11"/>
    <x v="1682"/>
    <x v="1"/>
    <x v="1"/>
    <x v="1"/>
    <x v="3"/>
  </r>
  <r>
    <x v="2291"/>
    <x v="193"/>
    <x v="2"/>
    <x v="405"/>
    <x v="11"/>
    <x v="1786"/>
    <x v="1"/>
    <x v="2"/>
    <x v="3"/>
    <x v="1"/>
  </r>
  <r>
    <x v="2292"/>
    <x v="168"/>
    <x v="0"/>
    <x v="405"/>
    <x v="11"/>
    <x v="2251"/>
    <x v="1"/>
    <x v="3"/>
    <x v="2"/>
    <x v="3"/>
  </r>
  <r>
    <x v="2293"/>
    <x v="4"/>
    <x v="0"/>
    <x v="406"/>
    <x v="11"/>
    <x v="1733"/>
    <x v="1"/>
    <x v="1"/>
    <x v="1"/>
    <x v="1"/>
  </r>
  <r>
    <x v="2294"/>
    <x v="154"/>
    <x v="1"/>
    <x v="406"/>
    <x v="11"/>
    <x v="1786"/>
    <x v="1"/>
    <x v="4"/>
    <x v="4"/>
    <x v="1"/>
  </r>
  <r>
    <x v="2295"/>
    <x v="221"/>
    <x v="3"/>
    <x v="406"/>
    <x v="11"/>
    <x v="1786"/>
    <x v="1"/>
    <x v="3"/>
    <x v="2"/>
    <x v="0"/>
  </r>
  <r>
    <x v="2296"/>
    <x v="201"/>
    <x v="2"/>
    <x v="406"/>
    <x v="11"/>
    <x v="1706"/>
    <x v="1"/>
    <x v="1"/>
    <x v="1"/>
    <x v="3"/>
  </r>
  <r>
    <x v="2297"/>
    <x v="201"/>
    <x v="1"/>
    <x v="406"/>
    <x v="11"/>
    <x v="329"/>
    <x v="0"/>
    <x v="3"/>
    <x v="2"/>
    <x v="3"/>
  </r>
  <r>
    <x v="2298"/>
    <x v="201"/>
    <x v="3"/>
    <x v="406"/>
    <x v="11"/>
    <x v="661"/>
    <x v="0"/>
    <x v="2"/>
    <x v="3"/>
    <x v="3"/>
  </r>
  <r>
    <x v="2299"/>
    <x v="135"/>
    <x v="3"/>
    <x v="406"/>
    <x v="11"/>
    <x v="416"/>
    <x v="0"/>
    <x v="1"/>
    <x v="1"/>
    <x v="3"/>
  </r>
  <r>
    <x v="2300"/>
    <x v="201"/>
    <x v="1"/>
    <x v="406"/>
    <x v="11"/>
    <x v="1488"/>
    <x v="1"/>
    <x v="1"/>
    <x v="1"/>
    <x v="3"/>
  </r>
  <r>
    <x v="2301"/>
    <x v="201"/>
    <x v="0"/>
    <x v="406"/>
    <x v="11"/>
    <x v="1007"/>
    <x v="1"/>
    <x v="1"/>
    <x v="1"/>
    <x v="1"/>
  </r>
  <r>
    <x v="2302"/>
    <x v="44"/>
    <x v="2"/>
    <x v="407"/>
    <x v="11"/>
    <x v="1013"/>
    <x v="1"/>
    <x v="2"/>
    <x v="3"/>
    <x v="0"/>
  </r>
  <r>
    <x v="2303"/>
    <x v="109"/>
    <x v="1"/>
    <x v="407"/>
    <x v="11"/>
    <x v="1449"/>
    <x v="1"/>
    <x v="1"/>
    <x v="1"/>
    <x v="3"/>
  </r>
  <r>
    <x v="2304"/>
    <x v="236"/>
    <x v="2"/>
    <x v="407"/>
    <x v="11"/>
    <x v="1812"/>
    <x v="1"/>
    <x v="2"/>
    <x v="3"/>
    <x v="1"/>
  </r>
  <r>
    <x v="2305"/>
    <x v="243"/>
    <x v="3"/>
    <x v="407"/>
    <x v="11"/>
    <x v="1010"/>
    <x v="1"/>
    <x v="2"/>
    <x v="3"/>
    <x v="0"/>
  </r>
  <r>
    <x v="2306"/>
    <x v="244"/>
    <x v="3"/>
    <x v="407"/>
    <x v="11"/>
    <x v="1420"/>
    <x v="1"/>
    <x v="0"/>
    <x v="0"/>
    <x v="1"/>
  </r>
  <r>
    <x v="2307"/>
    <x v="232"/>
    <x v="0"/>
    <x v="407"/>
    <x v="11"/>
    <x v="1812"/>
    <x v="1"/>
    <x v="3"/>
    <x v="2"/>
    <x v="1"/>
  </r>
  <r>
    <x v="2308"/>
    <x v="98"/>
    <x v="2"/>
    <x v="407"/>
    <x v="11"/>
    <x v="1012"/>
    <x v="1"/>
    <x v="1"/>
    <x v="1"/>
    <x v="2"/>
  </r>
  <r>
    <x v="2309"/>
    <x v="99"/>
    <x v="3"/>
    <x v="407"/>
    <x v="11"/>
    <x v="1812"/>
    <x v="1"/>
    <x v="2"/>
    <x v="3"/>
    <x v="2"/>
  </r>
  <r>
    <x v="2310"/>
    <x v="100"/>
    <x v="3"/>
    <x v="407"/>
    <x v="11"/>
    <x v="1011"/>
    <x v="1"/>
    <x v="1"/>
    <x v="1"/>
    <x v="3"/>
  </r>
  <r>
    <x v="2311"/>
    <x v="101"/>
    <x v="3"/>
    <x v="407"/>
    <x v="11"/>
    <x v="1463"/>
    <x v="1"/>
    <x v="1"/>
    <x v="1"/>
    <x v="3"/>
  </r>
  <r>
    <x v="2312"/>
    <x v="102"/>
    <x v="2"/>
    <x v="407"/>
    <x v="11"/>
    <x v="1472"/>
    <x v="1"/>
    <x v="1"/>
    <x v="1"/>
    <x v="3"/>
  </r>
  <r>
    <x v="2313"/>
    <x v="103"/>
    <x v="2"/>
    <x v="407"/>
    <x v="11"/>
    <x v="247"/>
    <x v="0"/>
    <x v="1"/>
    <x v="1"/>
    <x v="0"/>
  </r>
  <r>
    <x v="2314"/>
    <x v="104"/>
    <x v="3"/>
    <x v="407"/>
    <x v="11"/>
    <x v="2244"/>
    <x v="1"/>
    <x v="1"/>
    <x v="1"/>
    <x v="0"/>
  </r>
  <r>
    <x v="2315"/>
    <x v="105"/>
    <x v="2"/>
    <x v="407"/>
    <x v="11"/>
    <x v="1473"/>
    <x v="1"/>
    <x v="0"/>
    <x v="0"/>
    <x v="1"/>
  </r>
  <r>
    <x v="2316"/>
    <x v="51"/>
    <x v="3"/>
    <x v="407"/>
    <x v="11"/>
    <x v="1482"/>
    <x v="1"/>
    <x v="1"/>
    <x v="1"/>
    <x v="1"/>
  </r>
  <r>
    <x v="2317"/>
    <x v="192"/>
    <x v="3"/>
    <x v="407"/>
    <x v="11"/>
    <x v="1534"/>
    <x v="1"/>
    <x v="1"/>
    <x v="1"/>
    <x v="3"/>
  </r>
  <r>
    <x v="2318"/>
    <x v="58"/>
    <x v="2"/>
    <x v="407"/>
    <x v="11"/>
    <x v="1511"/>
    <x v="1"/>
    <x v="1"/>
    <x v="1"/>
    <x v="3"/>
  </r>
  <r>
    <x v="2319"/>
    <x v="21"/>
    <x v="2"/>
    <x v="407"/>
    <x v="11"/>
    <x v="2032"/>
    <x v="1"/>
    <x v="2"/>
    <x v="3"/>
    <x v="2"/>
  </r>
  <r>
    <x v="2320"/>
    <x v="15"/>
    <x v="3"/>
    <x v="408"/>
    <x v="11"/>
    <x v="1528"/>
    <x v="1"/>
    <x v="1"/>
    <x v="1"/>
    <x v="3"/>
  </r>
  <r>
    <x v="2321"/>
    <x v="28"/>
    <x v="1"/>
    <x v="408"/>
    <x v="11"/>
    <x v="1561"/>
    <x v="1"/>
    <x v="1"/>
    <x v="1"/>
    <x v="0"/>
  </r>
  <r>
    <x v="2322"/>
    <x v="1"/>
    <x v="3"/>
    <x v="408"/>
    <x v="11"/>
    <x v="967"/>
    <x v="0"/>
    <x v="2"/>
    <x v="3"/>
    <x v="0"/>
  </r>
  <r>
    <x v="2323"/>
    <x v="52"/>
    <x v="3"/>
    <x v="409"/>
    <x v="11"/>
    <x v="526"/>
    <x v="0"/>
    <x v="2"/>
    <x v="3"/>
    <x v="1"/>
  </r>
  <r>
    <x v="2324"/>
    <x v="53"/>
    <x v="2"/>
    <x v="409"/>
    <x v="11"/>
    <x v="537"/>
    <x v="0"/>
    <x v="3"/>
    <x v="2"/>
    <x v="1"/>
  </r>
  <r>
    <x v="2325"/>
    <x v="139"/>
    <x v="0"/>
    <x v="409"/>
    <x v="11"/>
    <x v="877"/>
    <x v="0"/>
    <x v="1"/>
    <x v="1"/>
    <x v="3"/>
  </r>
  <r>
    <x v="2326"/>
    <x v="248"/>
    <x v="0"/>
    <x v="410"/>
    <x v="11"/>
    <x v="735"/>
    <x v="0"/>
    <x v="1"/>
    <x v="1"/>
    <x v="3"/>
  </r>
  <r>
    <x v="2327"/>
    <x v="76"/>
    <x v="1"/>
    <x v="410"/>
    <x v="11"/>
    <x v="888"/>
    <x v="0"/>
    <x v="1"/>
    <x v="1"/>
    <x v="3"/>
  </r>
  <r>
    <x v="2328"/>
    <x v="54"/>
    <x v="3"/>
    <x v="410"/>
    <x v="11"/>
    <x v="978"/>
    <x v="0"/>
    <x v="0"/>
    <x v="0"/>
    <x v="3"/>
  </r>
  <r>
    <x v="2329"/>
    <x v="141"/>
    <x v="2"/>
    <x v="410"/>
    <x v="11"/>
    <x v="2062"/>
    <x v="1"/>
    <x v="4"/>
    <x v="4"/>
    <x v="3"/>
  </r>
  <r>
    <x v="2330"/>
    <x v="170"/>
    <x v="1"/>
    <x v="411"/>
    <x v="11"/>
    <x v="1990"/>
    <x v="1"/>
    <x v="1"/>
    <x v="1"/>
    <x v="3"/>
  </r>
  <r>
    <x v="2331"/>
    <x v="113"/>
    <x v="2"/>
    <x v="411"/>
    <x v="11"/>
    <x v="2112"/>
    <x v="1"/>
    <x v="3"/>
    <x v="2"/>
    <x v="3"/>
  </r>
  <r>
    <x v="2332"/>
    <x v="114"/>
    <x v="0"/>
    <x v="411"/>
    <x v="11"/>
    <x v="2085"/>
    <x v="1"/>
    <x v="1"/>
    <x v="1"/>
    <x v="0"/>
  </r>
  <r>
    <x v="2333"/>
    <x v="115"/>
    <x v="3"/>
    <x v="411"/>
    <x v="11"/>
    <x v="1936"/>
    <x v="1"/>
    <x v="2"/>
    <x v="3"/>
    <x v="3"/>
  </r>
  <r>
    <x v="2334"/>
    <x v="118"/>
    <x v="1"/>
    <x v="411"/>
    <x v="11"/>
    <x v="1797"/>
    <x v="1"/>
    <x v="1"/>
    <x v="1"/>
    <x v="1"/>
  </r>
  <r>
    <x v="2335"/>
    <x v="121"/>
    <x v="3"/>
    <x v="411"/>
    <x v="11"/>
    <x v="990"/>
    <x v="0"/>
    <x v="2"/>
    <x v="3"/>
    <x v="1"/>
  </r>
  <r>
    <x v="2336"/>
    <x v="122"/>
    <x v="1"/>
    <x v="411"/>
    <x v="11"/>
    <x v="990"/>
    <x v="0"/>
    <x v="1"/>
    <x v="1"/>
    <x v="3"/>
  </r>
  <r>
    <x v="2337"/>
    <x v="7"/>
    <x v="0"/>
    <x v="411"/>
    <x v="11"/>
    <x v="1436"/>
    <x v="1"/>
    <x v="1"/>
    <x v="1"/>
    <x v="3"/>
  </r>
  <r>
    <x v="2338"/>
    <x v="139"/>
    <x v="3"/>
    <x v="411"/>
    <x v="11"/>
    <x v="1784"/>
    <x v="1"/>
    <x v="1"/>
    <x v="1"/>
    <x v="1"/>
  </r>
  <r>
    <x v="2339"/>
    <x v="225"/>
    <x v="2"/>
    <x v="411"/>
    <x v="11"/>
    <x v="1620"/>
    <x v="1"/>
    <x v="3"/>
    <x v="2"/>
    <x v="0"/>
  </r>
  <r>
    <x v="2340"/>
    <x v="225"/>
    <x v="0"/>
    <x v="411"/>
    <x v="11"/>
    <x v="1570"/>
    <x v="1"/>
    <x v="2"/>
    <x v="3"/>
    <x v="3"/>
  </r>
  <r>
    <x v="2341"/>
    <x v="136"/>
    <x v="3"/>
    <x v="411"/>
    <x v="11"/>
    <x v="1029"/>
    <x v="1"/>
    <x v="4"/>
    <x v="4"/>
    <x v="3"/>
  </r>
  <r>
    <x v="2342"/>
    <x v="225"/>
    <x v="2"/>
    <x v="411"/>
    <x v="11"/>
    <x v="1438"/>
    <x v="1"/>
    <x v="0"/>
    <x v="0"/>
    <x v="3"/>
  </r>
  <r>
    <x v="2343"/>
    <x v="106"/>
    <x v="1"/>
    <x v="412"/>
    <x v="11"/>
    <x v="1816"/>
    <x v="1"/>
    <x v="2"/>
    <x v="3"/>
    <x v="3"/>
  </r>
  <r>
    <x v="2344"/>
    <x v="248"/>
    <x v="1"/>
    <x v="412"/>
    <x v="11"/>
    <x v="1757"/>
    <x v="1"/>
    <x v="1"/>
    <x v="1"/>
    <x v="3"/>
  </r>
  <r>
    <x v="2345"/>
    <x v="55"/>
    <x v="2"/>
    <x v="412"/>
    <x v="11"/>
    <x v="1592"/>
    <x v="1"/>
    <x v="0"/>
    <x v="0"/>
    <x v="3"/>
  </r>
  <r>
    <x v="2346"/>
    <x v="166"/>
    <x v="1"/>
    <x v="412"/>
    <x v="11"/>
    <x v="1200"/>
    <x v="1"/>
    <x v="2"/>
    <x v="3"/>
    <x v="2"/>
  </r>
  <r>
    <x v="2347"/>
    <x v="23"/>
    <x v="1"/>
    <x v="412"/>
    <x v="11"/>
    <x v="1022"/>
    <x v="1"/>
    <x v="4"/>
    <x v="4"/>
    <x v="1"/>
  </r>
  <r>
    <x v="2348"/>
    <x v="188"/>
    <x v="2"/>
    <x v="413"/>
    <x v="11"/>
    <x v="1541"/>
    <x v="1"/>
    <x v="2"/>
    <x v="3"/>
    <x v="1"/>
  </r>
  <r>
    <x v="2349"/>
    <x v="191"/>
    <x v="0"/>
    <x v="413"/>
    <x v="11"/>
    <x v="1448"/>
    <x v="1"/>
    <x v="2"/>
    <x v="3"/>
    <x v="2"/>
  </r>
  <r>
    <x v="2350"/>
    <x v="123"/>
    <x v="0"/>
    <x v="413"/>
    <x v="11"/>
    <x v="1222"/>
    <x v="1"/>
    <x v="2"/>
    <x v="3"/>
    <x v="1"/>
  </r>
  <r>
    <x v="2351"/>
    <x v="184"/>
    <x v="0"/>
    <x v="413"/>
    <x v="11"/>
    <x v="1644"/>
    <x v="1"/>
    <x v="1"/>
    <x v="1"/>
    <x v="1"/>
  </r>
  <r>
    <x v="2352"/>
    <x v="9"/>
    <x v="2"/>
    <x v="413"/>
    <x v="11"/>
    <x v="1024"/>
    <x v="1"/>
    <x v="2"/>
    <x v="3"/>
    <x v="3"/>
  </r>
  <r>
    <x v="2353"/>
    <x v="139"/>
    <x v="3"/>
    <x v="413"/>
    <x v="11"/>
    <x v="1571"/>
    <x v="1"/>
    <x v="4"/>
    <x v="4"/>
    <x v="3"/>
  </r>
  <r>
    <x v="2354"/>
    <x v="139"/>
    <x v="1"/>
    <x v="413"/>
    <x v="11"/>
    <x v="1601"/>
    <x v="1"/>
    <x v="1"/>
    <x v="1"/>
    <x v="3"/>
  </r>
  <r>
    <x v="2355"/>
    <x v="135"/>
    <x v="1"/>
    <x v="413"/>
    <x v="11"/>
    <x v="1020"/>
    <x v="1"/>
    <x v="2"/>
    <x v="3"/>
    <x v="1"/>
  </r>
  <r>
    <x v="2356"/>
    <x v="175"/>
    <x v="2"/>
    <x v="414"/>
    <x v="11"/>
    <x v="1021"/>
    <x v="1"/>
    <x v="1"/>
    <x v="1"/>
    <x v="0"/>
  </r>
  <r>
    <x v="2357"/>
    <x v="72"/>
    <x v="2"/>
    <x v="414"/>
    <x v="11"/>
    <x v="1578"/>
    <x v="1"/>
    <x v="1"/>
    <x v="1"/>
    <x v="2"/>
  </r>
  <r>
    <x v="2358"/>
    <x v="175"/>
    <x v="0"/>
    <x v="414"/>
    <x v="11"/>
    <x v="2285"/>
    <x v="1"/>
    <x v="2"/>
    <x v="3"/>
    <x v="3"/>
  </r>
  <r>
    <x v="2359"/>
    <x v="175"/>
    <x v="3"/>
    <x v="414"/>
    <x v="11"/>
    <x v="408"/>
    <x v="0"/>
    <x v="1"/>
    <x v="1"/>
    <x v="3"/>
  </r>
  <r>
    <x v="2360"/>
    <x v="175"/>
    <x v="2"/>
    <x v="414"/>
    <x v="11"/>
    <x v="936"/>
    <x v="0"/>
    <x v="0"/>
    <x v="0"/>
    <x v="0"/>
  </r>
  <r>
    <x v="2361"/>
    <x v="175"/>
    <x v="1"/>
    <x v="414"/>
    <x v="11"/>
    <x v="323"/>
    <x v="0"/>
    <x v="2"/>
    <x v="3"/>
    <x v="3"/>
  </r>
  <r>
    <x v="2362"/>
    <x v="175"/>
    <x v="2"/>
    <x v="414"/>
    <x v="11"/>
    <x v="401"/>
    <x v="0"/>
    <x v="0"/>
    <x v="0"/>
    <x v="1"/>
  </r>
  <r>
    <x v="2363"/>
    <x v="175"/>
    <x v="0"/>
    <x v="414"/>
    <x v="11"/>
    <x v="13"/>
    <x v="0"/>
    <x v="2"/>
    <x v="3"/>
    <x v="0"/>
  </r>
  <r>
    <x v="2364"/>
    <x v="175"/>
    <x v="0"/>
    <x v="414"/>
    <x v="11"/>
    <x v="459"/>
    <x v="0"/>
    <x v="1"/>
    <x v="1"/>
    <x v="1"/>
  </r>
  <r>
    <x v="2365"/>
    <x v="175"/>
    <x v="3"/>
    <x v="414"/>
    <x v="11"/>
    <x v="491"/>
    <x v="0"/>
    <x v="1"/>
    <x v="1"/>
    <x v="3"/>
  </r>
  <r>
    <x v="2366"/>
    <x v="175"/>
    <x v="2"/>
    <x v="414"/>
    <x v="11"/>
    <x v="892"/>
    <x v="0"/>
    <x v="4"/>
    <x v="4"/>
    <x v="1"/>
  </r>
  <r>
    <x v="2367"/>
    <x v="215"/>
    <x v="2"/>
    <x v="415"/>
    <x v="11"/>
    <x v="583"/>
    <x v="0"/>
    <x v="2"/>
    <x v="3"/>
    <x v="0"/>
  </r>
  <r>
    <x v="2368"/>
    <x v="80"/>
    <x v="1"/>
    <x v="415"/>
    <x v="11"/>
    <x v="1087"/>
    <x v="1"/>
    <x v="1"/>
    <x v="1"/>
    <x v="3"/>
  </r>
  <r>
    <x v="2369"/>
    <x v="135"/>
    <x v="1"/>
    <x v="415"/>
    <x v="11"/>
    <x v="1085"/>
    <x v="1"/>
    <x v="4"/>
    <x v="4"/>
    <x v="0"/>
  </r>
  <r>
    <x v="2370"/>
    <x v="80"/>
    <x v="3"/>
    <x v="415"/>
    <x v="11"/>
    <x v="1084"/>
    <x v="1"/>
    <x v="3"/>
    <x v="2"/>
    <x v="2"/>
  </r>
  <r>
    <x v="2371"/>
    <x v="80"/>
    <x v="0"/>
    <x v="415"/>
    <x v="11"/>
    <x v="664"/>
    <x v="0"/>
    <x v="4"/>
    <x v="4"/>
    <x v="2"/>
  </r>
  <r>
    <x v="2372"/>
    <x v="50"/>
    <x v="0"/>
    <x v="416"/>
    <x v="11"/>
    <x v="656"/>
    <x v="0"/>
    <x v="4"/>
    <x v="4"/>
    <x v="0"/>
  </r>
  <r>
    <x v="2373"/>
    <x v="50"/>
    <x v="2"/>
    <x v="416"/>
    <x v="11"/>
    <x v="2284"/>
    <x v="1"/>
    <x v="4"/>
    <x v="4"/>
    <x v="2"/>
  </r>
  <r>
    <x v="2374"/>
    <x v="205"/>
    <x v="2"/>
    <x v="416"/>
    <x v="11"/>
    <x v="1872"/>
    <x v="1"/>
    <x v="1"/>
    <x v="1"/>
    <x v="3"/>
  </r>
  <r>
    <x v="2375"/>
    <x v="46"/>
    <x v="2"/>
    <x v="416"/>
    <x v="11"/>
    <x v="1016"/>
    <x v="1"/>
    <x v="3"/>
    <x v="2"/>
    <x v="1"/>
  </r>
  <r>
    <x v="2376"/>
    <x v="205"/>
    <x v="1"/>
    <x v="416"/>
    <x v="11"/>
    <x v="1016"/>
    <x v="1"/>
    <x v="2"/>
    <x v="3"/>
    <x v="3"/>
  </r>
  <r>
    <x v="2377"/>
    <x v="46"/>
    <x v="0"/>
    <x v="416"/>
    <x v="11"/>
    <x v="2184"/>
    <x v="1"/>
    <x v="0"/>
    <x v="0"/>
    <x v="3"/>
  </r>
  <r>
    <x v="2378"/>
    <x v="205"/>
    <x v="2"/>
    <x v="416"/>
    <x v="11"/>
    <x v="1016"/>
    <x v="1"/>
    <x v="1"/>
    <x v="1"/>
    <x v="3"/>
  </r>
  <r>
    <x v="2379"/>
    <x v="195"/>
    <x v="1"/>
    <x v="416"/>
    <x v="11"/>
    <x v="1016"/>
    <x v="1"/>
    <x v="2"/>
    <x v="3"/>
    <x v="3"/>
  </r>
  <r>
    <x v="2380"/>
    <x v="46"/>
    <x v="2"/>
    <x v="416"/>
    <x v="11"/>
    <x v="915"/>
    <x v="0"/>
    <x v="1"/>
    <x v="1"/>
    <x v="3"/>
  </r>
  <r>
    <x v="2381"/>
    <x v="205"/>
    <x v="3"/>
    <x v="416"/>
    <x v="11"/>
    <x v="1246"/>
    <x v="1"/>
    <x v="2"/>
    <x v="3"/>
    <x v="1"/>
  </r>
  <r>
    <x v="2382"/>
    <x v="195"/>
    <x v="2"/>
    <x v="416"/>
    <x v="11"/>
    <x v="1042"/>
    <x v="1"/>
    <x v="1"/>
    <x v="1"/>
    <x v="0"/>
  </r>
  <r>
    <x v="2383"/>
    <x v="195"/>
    <x v="3"/>
    <x v="416"/>
    <x v="11"/>
    <x v="1246"/>
    <x v="1"/>
    <x v="2"/>
    <x v="3"/>
    <x v="0"/>
  </r>
  <r>
    <x v="2384"/>
    <x v="46"/>
    <x v="2"/>
    <x v="416"/>
    <x v="11"/>
    <x v="1042"/>
    <x v="1"/>
    <x v="2"/>
    <x v="3"/>
    <x v="1"/>
  </r>
  <r>
    <x v="2385"/>
    <x v="205"/>
    <x v="3"/>
    <x v="416"/>
    <x v="11"/>
    <x v="758"/>
    <x v="0"/>
    <x v="0"/>
    <x v="0"/>
    <x v="3"/>
  </r>
  <r>
    <x v="2386"/>
    <x v="46"/>
    <x v="0"/>
    <x v="416"/>
    <x v="11"/>
    <x v="718"/>
    <x v="0"/>
    <x v="4"/>
    <x v="4"/>
    <x v="3"/>
  </r>
  <r>
    <x v="2387"/>
    <x v="195"/>
    <x v="0"/>
    <x v="416"/>
    <x v="11"/>
    <x v="745"/>
    <x v="0"/>
    <x v="4"/>
    <x v="4"/>
    <x v="0"/>
  </r>
  <r>
    <x v="2388"/>
    <x v="195"/>
    <x v="2"/>
    <x v="416"/>
    <x v="11"/>
    <x v="791"/>
    <x v="0"/>
    <x v="1"/>
    <x v="1"/>
    <x v="1"/>
  </r>
  <r>
    <x v="2389"/>
    <x v="46"/>
    <x v="2"/>
    <x v="416"/>
    <x v="11"/>
    <x v="830"/>
    <x v="0"/>
    <x v="1"/>
    <x v="1"/>
    <x v="2"/>
  </r>
  <r>
    <x v="2390"/>
    <x v="46"/>
    <x v="0"/>
    <x v="416"/>
    <x v="11"/>
    <x v="790"/>
    <x v="0"/>
    <x v="2"/>
    <x v="3"/>
    <x v="1"/>
  </r>
  <r>
    <x v="2391"/>
    <x v="195"/>
    <x v="0"/>
    <x v="416"/>
    <x v="11"/>
    <x v="103"/>
    <x v="0"/>
    <x v="3"/>
    <x v="2"/>
    <x v="0"/>
  </r>
  <r>
    <x v="2392"/>
    <x v="195"/>
    <x v="2"/>
    <x v="416"/>
    <x v="11"/>
    <x v="2061"/>
    <x v="1"/>
    <x v="1"/>
    <x v="1"/>
    <x v="1"/>
  </r>
  <r>
    <x v="2393"/>
    <x v="195"/>
    <x v="3"/>
    <x v="416"/>
    <x v="11"/>
    <x v="2213"/>
    <x v="1"/>
    <x v="1"/>
    <x v="1"/>
    <x v="3"/>
  </r>
  <r>
    <x v="2394"/>
    <x v="30"/>
    <x v="1"/>
    <x v="417"/>
    <x v="10"/>
    <x v="131"/>
    <x v="0"/>
    <x v="1"/>
    <x v="1"/>
    <x v="1"/>
  </r>
  <r>
    <x v="2395"/>
    <x v="188"/>
    <x v="0"/>
    <x v="417"/>
    <x v="10"/>
    <x v="2156"/>
    <x v="1"/>
    <x v="1"/>
    <x v="1"/>
    <x v="3"/>
  </r>
  <r>
    <x v="2396"/>
    <x v="19"/>
    <x v="0"/>
    <x v="417"/>
    <x v="10"/>
    <x v="1205"/>
    <x v="1"/>
    <x v="1"/>
    <x v="1"/>
    <x v="0"/>
  </r>
  <r>
    <x v="2397"/>
    <x v="80"/>
    <x v="2"/>
    <x v="418"/>
    <x v="10"/>
    <x v="1301"/>
    <x v="1"/>
    <x v="1"/>
    <x v="1"/>
    <x v="1"/>
  </r>
  <r>
    <x v="2398"/>
    <x v="222"/>
    <x v="0"/>
    <x v="418"/>
    <x v="10"/>
    <x v="1191"/>
    <x v="1"/>
    <x v="4"/>
    <x v="4"/>
    <x v="1"/>
  </r>
  <r>
    <x v="2399"/>
    <x v="180"/>
    <x v="1"/>
    <x v="418"/>
    <x v="10"/>
    <x v="1176"/>
    <x v="1"/>
    <x v="1"/>
    <x v="1"/>
    <x v="1"/>
  </r>
  <r>
    <x v="2400"/>
    <x v="223"/>
    <x v="2"/>
    <x v="418"/>
    <x v="10"/>
    <x v="1205"/>
    <x v="1"/>
    <x v="2"/>
    <x v="3"/>
    <x v="0"/>
  </r>
  <r>
    <x v="2401"/>
    <x v="7"/>
    <x v="1"/>
    <x v="418"/>
    <x v="10"/>
    <x v="1301"/>
    <x v="1"/>
    <x v="4"/>
    <x v="4"/>
    <x v="2"/>
  </r>
  <r>
    <x v="2402"/>
    <x v="172"/>
    <x v="1"/>
    <x v="419"/>
    <x v="10"/>
    <x v="1191"/>
    <x v="1"/>
    <x v="0"/>
    <x v="0"/>
    <x v="3"/>
  </r>
  <r>
    <x v="2403"/>
    <x v="186"/>
    <x v="3"/>
    <x v="419"/>
    <x v="10"/>
    <x v="1176"/>
    <x v="1"/>
    <x v="4"/>
    <x v="4"/>
    <x v="1"/>
  </r>
  <r>
    <x v="2404"/>
    <x v="151"/>
    <x v="0"/>
    <x v="419"/>
    <x v="10"/>
    <x v="1122"/>
    <x v="1"/>
    <x v="1"/>
    <x v="1"/>
    <x v="3"/>
  </r>
  <r>
    <x v="2405"/>
    <x v="19"/>
    <x v="2"/>
    <x v="419"/>
    <x v="10"/>
    <x v="1121"/>
    <x v="1"/>
    <x v="4"/>
    <x v="4"/>
    <x v="0"/>
  </r>
  <r>
    <x v="2406"/>
    <x v="97"/>
    <x v="0"/>
    <x v="420"/>
    <x v="10"/>
    <x v="1301"/>
    <x v="1"/>
    <x v="2"/>
    <x v="3"/>
    <x v="3"/>
  </r>
  <r>
    <x v="2407"/>
    <x v="209"/>
    <x v="0"/>
    <x v="420"/>
    <x v="10"/>
    <x v="990"/>
    <x v="0"/>
    <x v="1"/>
    <x v="1"/>
    <x v="1"/>
  </r>
  <r>
    <x v="2408"/>
    <x v="56"/>
    <x v="2"/>
    <x v="420"/>
    <x v="10"/>
    <x v="990"/>
    <x v="0"/>
    <x v="1"/>
    <x v="1"/>
    <x v="1"/>
  </r>
  <r>
    <x v="2409"/>
    <x v="221"/>
    <x v="3"/>
    <x v="420"/>
    <x v="10"/>
    <x v="1301"/>
    <x v="1"/>
    <x v="4"/>
    <x v="4"/>
    <x v="3"/>
  </r>
  <r>
    <x v="2410"/>
    <x v="21"/>
    <x v="2"/>
    <x v="420"/>
    <x v="10"/>
    <x v="1300"/>
    <x v="1"/>
    <x v="1"/>
    <x v="1"/>
    <x v="1"/>
  </r>
  <r>
    <x v="2411"/>
    <x v="21"/>
    <x v="2"/>
    <x v="420"/>
    <x v="10"/>
    <x v="435"/>
    <x v="0"/>
    <x v="4"/>
    <x v="4"/>
    <x v="3"/>
  </r>
  <r>
    <x v="2412"/>
    <x v="120"/>
    <x v="1"/>
    <x v="421"/>
    <x v="10"/>
    <x v="173"/>
    <x v="0"/>
    <x v="1"/>
    <x v="1"/>
    <x v="0"/>
  </r>
  <r>
    <x v="2413"/>
    <x v="96"/>
    <x v="0"/>
    <x v="421"/>
    <x v="10"/>
    <x v="753"/>
    <x v="0"/>
    <x v="1"/>
    <x v="1"/>
    <x v="3"/>
  </r>
  <r>
    <x v="2414"/>
    <x v="7"/>
    <x v="1"/>
    <x v="421"/>
    <x v="10"/>
    <x v="627"/>
    <x v="0"/>
    <x v="1"/>
    <x v="1"/>
    <x v="0"/>
  </r>
  <r>
    <x v="2415"/>
    <x v="174"/>
    <x v="2"/>
    <x v="422"/>
    <x v="10"/>
    <x v="454"/>
    <x v="0"/>
    <x v="1"/>
    <x v="1"/>
    <x v="0"/>
  </r>
  <r>
    <x v="2416"/>
    <x v="106"/>
    <x v="2"/>
    <x v="422"/>
    <x v="10"/>
    <x v="489"/>
    <x v="0"/>
    <x v="0"/>
    <x v="0"/>
    <x v="3"/>
  </r>
  <r>
    <x v="2417"/>
    <x v="171"/>
    <x v="2"/>
    <x v="422"/>
    <x v="10"/>
    <x v="76"/>
    <x v="0"/>
    <x v="3"/>
    <x v="2"/>
    <x v="0"/>
  </r>
  <r>
    <x v="2418"/>
    <x v="214"/>
    <x v="1"/>
    <x v="422"/>
    <x v="10"/>
    <x v="114"/>
    <x v="0"/>
    <x v="1"/>
    <x v="1"/>
    <x v="1"/>
  </r>
  <r>
    <x v="2419"/>
    <x v="7"/>
    <x v="2"/>
    <x v="422"/>
    <x v="10"/>
    <x v="74"/>
    <x v="0"/>
    <x v="2"/>
    <x v="3"/>
    <x v="1"/>
  </r>
  <r>
    <x v="2420"/>
    <x v="139"/>
    <x v="1"/>
    <x v="422"/>
    <x v="10"/>
    <x v="554"/>
    <x v="0"/>
    <x v="4"/>
    <x v="4"/>
    <x v="2"/>
  </r>
  <r>
    <x v="2421"/>
    <x v="136"/>
    <x v="3"/>
    <x v="422"/>
    <x v="10"/>
    <x v="2088"/>
    <x v="1"/>
    <x v="3"/>
    <x v="2"/>
    <x v="0"/>
  </r>
  <r>
    <x v="2422"/>
    <x v="27"/>
    <x v="2"/>
    <x v="422"/>
    <x v="10"/>
    <x v="984"/>
    <x v="0"/>
    <x v="2"/>
    <x v="3"/>
    <x v="1"/>
  </r>
  <r>
    <x v="2423"/>
    <x v="168"/>
    <x v="3"/>
    <x v="423"/>
    <x v="10"/>
    <x v="461"/>
    <x v="0"/>
    <x v="1"/>
    <x v="1"/>
    <x v="3"/>
  </r>
  <r>
    <x v="2424"/>
    <x v="95"/>
    <x v="1"/>
    <x v="423"/>
    <x v="10"/>
    <x v="1939"/>
    <x v="1"/>
    <x v="1"/>
    <x v="1"/>
    <x v="3"/>
  </r>
  <r>
    <x v="2425"/>
    <x v="57"/>
    <x v="1"/>
    <x v="423"/>
    <x v="10"/>
    <x v="2238"/>
    <x v="1"/>
    <x v="3"/>
    <x v="2"/>
    <x v="3"/>
  </r>
  <r>
    <x v="2426"/>
    <x v="58"/>
    <x v="0"/>
    <x v="423"/>
    <x v="10"/>
    <x v="158"/>
    <x v="0"/>
    <x v="1"/>
    <x v="1"/>
    <x v="3"/>
  </r>
  <r>
    <x v="2427"/>
    <x v="178"/>
    <x v="1"/>
    <x v="423"/>
    <x v="10"/>
    <x v="125"/>
    <x v="0"/>
    <x v="1"/>
    <x v="1"/>
    <x v="1"/>
  </r>
  <r>
    <x v="2428"/>
    <x v="192"/>
    <x v="2"/>
    <x v="423"/>
    <x v="10"/>
    <x v="44"/>
    <x v="0"/>
    <x v="1"/>
    <x v="1"/>
    <x v="0"/>
  </r>
  <r>
    <x v="2429"/>
    <x v="196"/>
    <x v="3"/>
    <x v="423"/>
    <x v="10"/>
    <x v="53"/>
    <x v="0"/>
    <x v="1"/>
    <x v="1"/>
    <x v="1"/>
  </r>
  <r>
    <x v="2430"/>
    <x v="124"/>
    <x v="1"/>
    <x v="423"/>
    <x v="10"/>
    <x v="51"/>
    <x v="0"/>
    <x v="1"/>
    <x v="1"/>
    <x v="0"/>
  </r>
  <r>
    <x v="2431"/>
    <x v="133"/>
    <x v="3"/>
    <x v="423"/>
    <x v="10"/>
    <x v="232"/>
    <x v="0"/>
    <x v="4"/>
    <x v="4"/>
    <x v="1"/>
  </r>
  <r>
    <x v="2432"/>
    <x v="58"/>
    <x v="0"/>
    <x v="423"/>
    <x v="10"/>
    <x v="123"/>
    <x v="0"/>
    <x v="2"/>
    <x v="3"/>
    <x v="3"/>
  </r>
  <r>
    <x v="2433"/>
    <x v="28"/>
    <x v="1"/>
    <x v="423"/>
    <x v="10"/>
    <x v="556"/>
    <x v="0"/>
    <x v="0"/>
    <x v="0"/>
    <x v="1"/>
  </r>
  <r>
    <x v="2434"/>
    <x v="5"/>
    <x v="3"/>
    <x v="424"/>
    <x v="10"/>
    <x v="887"/>
    <x v="0"/>
    <x v="1"/>
    <x v="1"/>
    <x v="1"/>
  </r>
  <r>
    <x v="2435"/>
    <x v="23"/>
    <x v="2"/>
    <x v="424"/>
    <x v="10"/>
    <x v="1778"/>
    <x v="1"/>
    <x v="1"/>
    <x v="1"/>
    <x v="1"/>
  </r>
  <r>
    <x v="2436"/>
    <x v="18"/>
    <x v="0"/>
    <x v="424"/>
    <x v="10"/>
    <x v="2068"/>
    <x v="1"/>
    <x v="1"/>
    <x v="1"/>
    <x v="1"/>
  </r>
  <r>
    <x v="2437"/>
    <x v="135"/>
    <x v="3"/>
    <x v="424"/>
    <x v="10"/>
    <x v="2038"/>
    <x v="1"/>
    <x v="4"/>
    <x v="4"/>
    <x v="0"/>
  </r>
  <r>
    <x v="2438"/>
    <x v="147"/>
    <x v="3"/>
    <x v="425"/>
    <x v="10"/>
    <x v="1867"/>
    <x v="1"/>
    <x v="1"/>
    <x v="1"/>
    <x v="3"/>
  </r>
  <r>
    <x v="2439"/>
    <x v="124"/>
    <x v="2"/>
    <x v="425"/>
    <x v="10"/>
    <x v="2194"/>
    <x v="1"/>
    <x v="4"/>
    <x v="4"/>
    <x v="1"/>
  </r>
  <r>
    <x v="2440"/>
    <x v="4"/>
    <x v="3"/>
    <x v="426"/>
    <x v="10"/>
    <x v="951"/>
    <x v="0"/>
    <x v="1"/>
    <x v="1"/>
    <x v="3"/>
  </r>
  <r>
    <x v="2441"/>
    <x v="210"/>
    <x v="1"/>
    <x v="426"/>
    <x v="10"/>
    <x v="231"/>
    <x v="0"/>
    <x v="0"/>
    <x v="0"/>
    <x v="3"/>
  </r>
  <r>
    <x v="2442"/>
    <x v="187"/>
    <x v="3"/>
    <x v="426"/>
    <x v="10"/>
    <x v="343"/>
    <x v="0"/>
    <x v="1"/>
    <x v="1"/>
    <x v="0"/>
  </r>
  <r>
    <x v="2443"/>
    <x v="169"/>
    <x v="2"/>
    <x v="426"/>
    <x v="10"/>
    <x v="2117"/>
    <x v="1"/>
    <x v="1"/>
    <x v="1"/>
    <x v="3"/>
  </r>
  <r>
    <x v="2444"/>
    <x v="124"/>
    <x v="2"/>
    <x v="426"/>
    <x v="10"/>
    <x v="1991"/>
    <x v="1"/>
    <x v="1"/>
    <x v="1"/>
    <x v="1"/>
  </r>
  <r>
    <x v="2445"/>
    <x v="133"/>
    <x v="0"/>
    <x v="426"/>
    <x v="10"/>
    <x v="1166"/>
    <x v="1"/>
    <x v="1"/>
    <x v="1"/>
    <x v="3"/>
  </r>
  <r>
    <x v="2446"/>
    <x v="139"/>
    <x v="3"/>
    <x v="426"/>
    <x v="10"/>
    <x v="1819"/>
    <x v="1"/>
    <x v="1"/>
    <x v="1"/>
    <x v="3"/>
  </r>
  <r>
    <x v="2447"/>
    <x v="208"/>
    <x v="2"/>
    <x v="426"/>
    <x v="10"/>
    <x v="1159"/>
    <x v="1"/>
    <x v="3"/>
    <x v="2"/>
    <x v="1"/>
  </r>
  <r>
    <x v="2448"/>
    <x v="208"/>
    <x v="1"/>
    <x v="426"/>
    <x v="10"/>
    <x v="1823"/>
    <x v="1"/>
    <x v="2"/>
    <x v="3"/>
    <x v="3"/>
  </r>
  <r>
    <x v="2449"/>
    <x v="136"/>
    <x v="3"/>
    <x v="426"/>
    <x v="10"/>
    <x v="1181"/>
    <x v="1"/>
    <x v="1"/>
    <x v="1"/>
    <x v="0"/>
  </r>
  <r>
    <x v="2450"/>
    <x v="208"/>
    <x v="3"/>
    <x v="426"/>
    <x v="10"/>
    <x v="1839"/>
    <x v="1"/>
    <x v="0"/>
    <x v="0"/>
    <x v="3"/>
  </r>
  <r>
    <x v="2451"/>
    <x v="208"/>
    <x v="3"/>
    <x v="426"/>
    <x v="10"/>
    <x v="2039"/>
    <x v="1"/>
    <x v="2"/>
    <x v="3"/>
    <x v="0"/>
  </r>
  <r>
    <x v="2452"/>
    <x v="208"/>
    <x v="0"/>
    <x v="426"/>
    <x v="10"/>
    <x v="1808"/>
    <x v="1"/>
    <x v="2"/>
    <x v="3"/>
    <x v="3"/>
  </r>
  <r>
    <x v="2453"/>
    <x v="208"/>
    <x v="1"/>
    <x v="426"/>
    <x v="10"/>
    <x v="1172"/>
    <x v="1"/>
    <x v="0"/>
    <x v="0"/>
    <x v="3"/>
  </r>
  <r>
    <x v="2454"/>
    <x v="208"/>
    <x v="2"/>
    <x v="426"/>
    <x v="10"/>
    <x v="1799"/>
    <x v="1"/>
    <x v="3"/>
    <x v="2"/>
    <x v="1"/>
  </r>
  <r>
    <x v="2455"/>
    <x v="30"/>
    <x v="1"/>
    <x v="427"/>
    <x v="10"/>
    <x v="1178"/>
    <x v="1"/>
    <x v="0"/>
    <x v="0"/>
    <x v="1"/>
  </r>
  <r>
    <x v="2456"/>
    <x v="42"/>
    <x v="1"/>
    <x v="427"/>
    <x v="10"/>
    <x v="457"/>
    <x v="0"/>
    <x v="4"/>
    <x v="4"/>
    <x v="3"/>
  </r>
  <r>
    <x v="2457"/>
    <x v="97"/>
    <x v="2"/>
    <x v="427"/>
    <x v="10"/>
    <x v="861"/>
    <x v="0"/>
    <x v="2"/>
    <x v="3"/>
    <x v="3"/>
  </r>
  <r>
    <x v="2458"/>
    <x v="179"/>
    <x v="1"/>
    <x v="428"/>
    <x v="10"/>
    <x v="474"/>
    <x v="0"/>
    <x v="1"/>
    <x v="1"/>
    <x v="3"/>
  </r>
  <r>
    <x v="2459"/>
    <x v="59"/>
    <x v="3"/>
    <x v="428"/>
    <x v="10"/>
    <x v="393"/>
    <x v="0"/>
    <x v="2"/>
    <x v="3"/>
    <x v="3"/>
  </r>
  <r>
    <x v="2460"/>
    <x v="135"/>
    <x v="3"/>
    <x v="429"/>
    <x v="10"/>
    <x v="501"/>
    <x v="0"/>
    <x v="2"/>
    <x v="3"/>
    <x v="1"/>
  </r>
  <r>
    <x v="2461"/>
    <x v="135"/>
    <x v="0"/>
    <x v="429"/>
    <x v="10"/>
    <x v="655"/>
    <x v="0"/>
    <x v="2"/>
    <x v="3"/>
    <x v="2"/>
  </r>
  <r>
    <x v="2462"/>
    <x v="151"/>
    <x v="1"/>
    <x v="430"/>
    <x v="10"/>
    <x v="1460"/>
    <x v="1"/>
    <x v="2"/>
    <x v="3"/>
    <x v="0"/>
  </r>
  <r>
    <x v="2463"/>
    <x v="15"/>
    <x v="3"/>
    <x v="430"/>
    <x v="10"/>
    <x v="1430"/>
    <x v="1"/>
    <x v="4"/>
    <x v="4"/>
    <x v="1"/>
  </r>
  <r>
    <x v="2464"/>
    <x v="23"/>
    <x v="3"/>
    <x v="430"/>
    <x v="10"/>
    <x v="1439"/>
    <x v="1"/>
    <x v="2"/>
    <x v="3"/>
    <x v="1"/>
  </r>
  <r>
    <x v="2465"/>
    <x v="106"/>
    <x v="3"/>
    <x v="431"/>
    <x v="10"/>
    <x v="1431"/>
    <x v="1"/>
    <x v="0"/>
    <x v="0"/>
    <x v="0"/>
  </r>
  <r>
    <x v="2466"/>
    <x v="173"/>
    <x v="3"/>
    <x v="431"/>
    <x v="10"/>
    <x v="1468"/>
    <x v="1"/>
    <x v="3"/>
    <x v="2"/>
    <x v="3"/>
  </r>
  <r>
    <x v="2467"/>
    <x v="186"/>
    <x v="3"/>
    <x v="431"/>
    <x v="10"/>
    <x v="1496"/>
    <x v="1"/>
    <x v="1"/>
    <x v="1"/>
    <x v="1"/>
  </r>
  <r>
    <x v="2468"/>
    <x v="133"/>
    <x v="1"/>
    <x v="431"/>
    <x v="10"/>
    <x v="1415"/>
    <x v="1"/>
    <x v="1"/>
    <x v="1"/>
    <x v="3"/>
  </r>
  <r>
    <x v="2469"/>
    <x v="7"/>
    <x v="3"/>
    <x v="431"/>
    <x v="10"/>
    <x v="1450"/>
    <x v="1"/>
    <x v="1"/>
    <x v="1"/>
    <x v="1"/>
  </r>
  <r>
    <x v="2470"/>
    <x v="28"/>
    <x v="3"/>
    <x v="431"/>
    <x v="10"/>
    <x v="197"/>
    <x v="0"/>
    <x v="2"/>
    <x v="3"/>
    <x v="3"/>
  </r>
  <r>
    <x v="2471"/>
    <x v="139"/>
    <x v="3"/>
    <x v="431"/>
    <x v="10"/>
    <x v="616"/>
    <x v="0"/>
    <x v="3"/>
    <x v="2"/>
    <x v="0"/>
  </r>
  <r>
    <x v="2472"/>
    <x v="222"/>
    <x v="3"/>
    <x v="432"/>
    <x v="10"/>
    <x v="516"/>
    <x v="0"/>
    <x v="2"/>
    <x v="3"/>
    <x v="0"/>
  </r>
  <r>
    <x v="2473"/>
    <x v="225"/>
    <x v="2"/>
    <x v="432"/>
    <x v="10"/>
    <x v="495"/>
    <x v="0"/>
    <x v="0"/>
    <x v="0"/>
    <x v="1"/>
  </r>
  <r>
    <x v="2474"/>
    <x v="225"/>
    <x v="1"/>
    <x v="432"/>
    <x v="10"/>
    <x v="347"/>
    <x v="0"/>
    <x v="0"/>
    <x v="0"/>
    <x v="1"/>
  </r>
  <r>
    <x v="2475"/>
    <x v="225"/>
    <x v="3"/>
    <x v="432"/>
    <x v="10"/>
    <x v="424"/>
    <x v="0"/>
    <x v="4"/>
    <x v="4"/>
    <x v="1"/>
  </r>
  <r>
    <x v="2476"/>
    <x v="15"/>
    <x v="1"/>
    <x v="433"/>
    <x v="10"/>
    <x v="192"/>
    <x v="0"/>
    <x v="3"/>
    <x v="2"/>
    <x v="1"/>
  </r>
  <r>
    <x v="2477"/>
    <x v="170"/>
    <x v="1"/>
    <x v="433"/>
    <x v="10"/>
    <x v="1719"/>
    <x v="1"/>
    <x v="3"/>
    <x v="2"/>
    <x v="1"/>
  </r>
  <r>
    <x v="2478"/>
    <x v="113"/>
    <x v="1"/>
    <x v="433"/>
    <x v="10"/>
    <x v="1919"/>
    <x v="1"/>
    <x v="1"/>
    <x v="1"/>
    <x v="0"/>
  </r>
  <r>
    <x v="2479"/>
    <x v="114"/>
    <x v="1"/>
    <x v="433"/>
    <x v="10"/>
    <x v="1065"/>
    <x v="1"/>
    <x v="4"/>
    <x v="4"/>
    <x v="1"/>
  </r>
  <r>
    <x v="2480"/>
    <x v="115"/>
    <x v="3"/>
    <x v="433"/>
    <x v="10"/>
    <x v="25"/>
    <x v="0"/>
    <x v="2"/>
    <x v="3"/>
    <x v="1"/>
  </r>
  <r>
    <x v="2481"/>
    <x v="118"/>
    <x v="0"/>
    <x v="433"/>
    <x v="10"/>
    <x v="2134"/>
    <x v="1"/>
    <x v="4"/>
    <x v="4"/>
    <x v="3"/>
  </r>
  <r>
    <x v="2482"/>
    <x v="120"/>
    <x v="3"/>
    <x v="433"/>
    <x v="10"/>
    <x v="961"/>
    <x v="0"/>
    <x v="4"/>
    <x v="4"/>
    <x v="3"/>
  </r>
  <r>
    <x v="2483"/>
    <x v="121"/>
    <x v="3"/>
    <x v="433"/>
    <x v="10"/>
    <x v="547"/>
    <x v="0"/>
    <x v="0"/>
    <x v="0"/>
    <x v="0"/>
  </r>
  <r>
    <x v="2484"/>
    <x v="122"/>
    <x v="3"/>
    <x v="433"/>
    <x v="10"/>
    <x v="598"/>
    <x v="0"/>
    <x v="2"/>
    <x v="3"/>
    <x v="1"/>
  </r>
  <r>
    <x v="2485"/>
    <x v="55"/>
    <x v="0"/>
    <x v="433"/>
    <x v="10"/>
    <x v="561"/>
    <x v="0"/>
    <x v="2"/>
    <x v="3"/>
    <x v="0"/>
  </r>
  <r>
    <x v="2486"/>
    <x v="19"/>
    <x v="2"/>
    <x v="433"/>
    <x v="10"/>
    <x v="569"/>
    <x v="0"/>
    <x v="1"/>
    <x v="1"/>
    <x v="1"/>
  </r>
  <r>
    <x v="2487"/>
    <x v="139"/>
    <x v="1"/>
    <x v="433"/>
    <x v="10"/>
    <x v="599"/>
    <x v="0"/>
    <x v="2"/>
    <x v="3"/>
    <x v="0"/>
  </r>
  <r>
    <x v="2488"/>
    <x v="124"/>
    <x v="0"/>
    <x v="434"/>
    <x v="10"/>
    <x v="546"/>
    <x v="0"/>
    <x v="2"/>
    <x v="3"/>
    <x v="3"/>
  </r>
  <r>
    <x v="2489"/>
    <x v="18"/>
    <x v="0"/>
    <x v="434"/>
    <x v="10"/>
    <x v="634"/>
    <x v="0"/>
    <x v="1"/>
    <x v="1"/>
    <x v="3"/>
  </r>
  <r>
    <x v="2490"/>
    <x v="135"/>
    <x v="0"/>
    <x v="434"/>
    <x v="10"/>
    <x v="566"/>
    <x v="0"/>
    <x v="1"/>
    <x v="1"/>
    <x v="1"/>
  </r>
  <r>
    <x v="2491"/>
    <x v="135"/>
    <x v="0"/>
    <x v="434"/>
    <x v="10"/>
    <x v="576"/>
    <x v="0"/>
    <x v="4"/>
    <x v="4"/>
    <x v="1"/>
  </r>
  <r>
    <x v="2492"/>
    <x v="205"/>
    <x v="1"/>
    <x v="434"/>
    <x v="10"/>
    <x v="925"/>
    <x v="0"/>
    <x v="2"/>
    <x v="3"/>
    <x v="1"/>
  </r>
  <r>
    <x v="2493"/>
    <x v="205"/>
    <x v="1"/>
    <x v="434"/>
    <x v="10"/>
    <x v="2176"/>
    <x v="1"/>
    <x v="2"/>
    <x v="3"/>
    <x v="3"/>
  </r>
  <r>
    <x v="2494"/>
    <x v="205"/>
    <x v="0"/>
    <x v="434"/>
    <x v="10"/>
    <x v="2126"/>
    <x v="1"/>
    <x v="1"/>
    <x v="1"/>
    <x v="1"/>
  </r>
  <r>
    <x v="2495"/>
    <x v="173"/>
    <x v="3"/>
    <x v="435"/>
    <x v="10"/>
    <x v="1287"/>
    <x v="1"/>
    <x v="2"/>
    <x v="3"/>
    <x v="1"/>
  </r>
  <r>
    <x v="2496"/>
    <x v="188"/>
    <x v="1"/>
    <x v="435"/>
    <x v="10"/>
    <x v="1149"/>
    <x v="1"/>
    <x v="2"/>
    <x v="3"/>
    <x v="1"/>
  </r>
  <r>
    <x v="2497"/>
    <x v="96"/>
    <x v="3"/>
    <x v="435"/>
    <x v="10"/>
    <x v="1376"/>
    <x v="1"/>
    <x v="4"/>
    <x v="4"/>
    <x v="3"/>
  </r>
  <r>
    <x v="2498"/>
    <x v="30"/>
    <x v="3"/>
    <x v="436"/>
    <x v="10"/>
    <x v="1376"/>
    <x v="1"/>
    <x v="4"/>
    <x v="4"/>
    <x v="1"/>
  </r>
  <r>
    <x v="2499"/>
    <x v="191"/>
    <x v="2"/>
    <x v="436"/>
    <x v="10"/>
    <x v="1394"/>
    <x v="1"/>
    <x v="1"/>
    <x v="1"/>
    <x v="3"/>
  </r>
  <r>
    <x v="2500"/>
    <x v="248"/>
    <x v="0"/>
    <x v="436"/>
    <x v="10"/>
    <x v="1287"/>
    <x v="1"/>
    <x v="1"/>
    <x v="1"/>
    <x v="3"/>
  </r>
  <r>
    <x v="2501"/>
    <x v="7"/>
    <x v="3"/>
    <x v="436"/>
    <x v="10"/>
    <x v="1149"/>
    <x v="1"/>
    <x v="2"/>
    <x v="3"/>
    <x v="0"/>
  </r>
  <r>
    <x v="2502"/>
    <x v="139"/>
    <x v="1"/>
    <x v="436"/>
    <x v="10"/>
    <x v="1394"/>
    <x v="1"/>
    <x v="1"/>
    <x v="1"/>
    <x v="1"/>
  </r>
  <r>
    <x v="2503"/>
    <x v="136"/>
    <x v="3"/>
    <x v="436"/>
    <x v="10"/>
    <x v="579"/>
    <x v="0"/>
    <x v="1"/>
    <x v="1"/>
    <x v="1"/>
  </r>
  <r>
    <x v="2504"/>
    <x v="15"/>
    <x v="3"/>
    <x v="437"/>
    <x v="10"/>
    <x v="850"/>
    <x v="0"/>
    <x v="1"/>
    <x v="1"/>
    <x v="0"/>
  </r>
  <r>
    <x v="2505"/>
    <x v="173"/>
    <x v="1"/>
    <x v="437"/>
    <x v="10"/>
    <x v="530"/>
    <x v="0"/>
    <x v="4"/>
    <x v="4"/>
    <x v="3"/>
  </r>
  <r>
    <x v="2506"/>
    <x v="19"/>
    <x v="2"/>
    <x v="437"/>
    <x v="10"/>
    <x v="1170"/>
    <x v="1"/>
    <x v="1"/>
    <x v="1"/>
    <x v="1"/>
  </r>
  <r>
    <x v="2507"/>
    <x v="201"/>
    <x v="2"/>
    <x v="437"/>
    <x v="10"/>
    <x v="2110"/>
    <x v="1"/>
    <x v="2"/>
    <x v="3"/>
    <x v="3"/>
  </r>
  <r>
    <x v="2508"/>
    <x v="200"/>
    <x v="2"/>
    <x v="437"/>
    <x v="10"/>
    <x v="476"/>
    <x v="0"/>
    <x v="1"/>
    <x v="1"/>
    <x v="0"/>
  </r>
  <r>
    <x v="2509"/>
    <x v="200"/>
    <x v="0"/>
    <x v="437"/>
    <x v="10"/>
    <x v="486"/>
    <x v="0"/>
    <x v="1"/>
    <x v="1"/>
    <x v="3"/>
  </r>
  <r>
    <x v="2510"/>
    <x v="201"/>
    <x v="1"/>
    <x v="437"/>
    <x v="10"/>
    <x v="391"/>
    <x v="0"/>
    <x v="4"/>
    <x v="4"/>
    <x v="3"/>
  </r>
  <r>
    <x v="2511"/>
    <x v="225"/>
    <x v="2"/>
    <x v="437"/>
    <x v="10"/>
    <x v="1770"/>
    <x v="1"/>
    <x v="2"/>
    <x v="3"/>
    <x v="0"/>
  </r>
  <r>
    <x v="2512"/>
    <x v="200"/>
    <x v="3"/>
    <x v="437"/>
    <x v="10"/>
    <x v="2043"/>
    <x v="1"/>
    <x v="1"/>
    <x v="1"/>
    <x v="3"/>
  </r>
  <r>
    <x v="2513"/>
    <x v="201"/>
    <x v="3"/>
    <x v="437"/>
    <x v="10"/>
    <x v="429"/>
    <x v="0"/>
    <x v="1"/>
    <x v="1"/>
    <x v="3"/>
  </r>
  <r>
    <x v="2514"/>
    <x v="225"/>
    <x v="0"/>
    <x v="437"/>
    <x v="10"/>
    <x v="669"/>
    <x v="0"/>
    <x v="1"/>
    <x v="1"/>
    <x v="3"/>
  </r>
  <r>
    <x v="2515"/>
    <x v="200"/>
    <x v="3"/>
    <x v="437"/>
    <x v="10"/>
    <x v="2051"/>
    <x v="1"/>
    <x v="1"/>
    <x v="1"/>
    <x v="3"/>
  </r>
  <r>
    <x v="2516"/>
    <x v="225"/>
    <x v="2"/>
    <x v="437"/>
    <x v="10"/>
    <x v="732"/>
    <x v="0"/>
    <x v="1"/>
    <x v="1"/>
    <x v="1"/>
  </r>
  <r>
    <x v="2517"/>
    <x v="200"/>
    <x v="1"/>
    <x v="437"/>
    <x v="10"/>
    <x v="730"/>
    <x v="0"/>
    <x v="1"/>
    <x v="1"/>
    <x v="0"/>
  </r>
  <r>
    <x v="2518"/>
    <x v="201"/>
    <x v="1"/>
    <x v="437"/>
    <x v="10"/>
    <x v="802"/>
    <x v="0"/>
    <x v="2"/>
    <x v="3"/>
    <x v="0"/>
  </r>
  <r>
    <x v="2519"/>
    <x v="201"/>
    <x v="2"/>
    <x v="437"/>
    <x v="10"/>
    <x v="1813"/>
    <x v="1"/>
    <x v="4"/>
    <x v="4"/>
    <x v="2"/>
  </r>
  <r>
    <x v="2520"/>
    <x v="196"/>
    <x v="3"/>
    <x v="438"/>
    <x v="10"/>
    <x v="1746"/>
    <x v="1"/>
    <x v="2"/>
    <x v="3"/>
    <x v="1"/>
  </r>
  <r>
    <x v="2521"/>
    <x v="151"/>
    <x v="2"/>
    <x v="438"/>
    <x v="10"/>
    <x v="1701"/>
    <x v="1"/>
    <x v="3"/>
    <x v="2"/>
    <x v="1"/>
  </r>
  <r>
    <x v="2522"/>
    <x v="169"/>
    <x v="2"/>
    <x v="438"/>
    <x v="10"/>
    <x v="1044"/>
    <x v="1"/>
    <x v="1"/>
    <x v="1"/>
    <x v="3"/>
  </r>
  <r>
    <x v="2523"/>
    <x v="124"/>
    <x v="3"/>
    <x v="438"/>
    <x v="10"/>
    <x v="2191"/>
    <x v="1"/>
    <x v="1"/>
    <x v="1"/>
    <x v="2"/>
  </r>
  <r>
    <x v="2524"/>
    <x v="133"/>
    <x v="3"/>
    <x v="438"/>
    <x v="10"/>
    <x v="937"/>
    <x v="0"/>
    <x v="4"/>
    <x v="4"/>
    <x v="1"/>
  </r>
  <r>
    <x v="2525"/>
    <x v="186"/>
    <x v="0"/>
    <x v="438"/>
    <x v="10"/>
    <x v="898"/>
    <x v="0"/>
    <x v="1"/>
    <x v="1"/>
    <x v="3"/>
  </r>
  <r>
    <x v="2526"/>
    <x v="60"/>
    <x v="3"/>
    <x v="438"/>
    <x v="10"/>
    <x v="959"/>
    <x v="0"/>
    <x v="2"/>
    <x v="3"/>
    <x v="3"/>
  </r>
  <r>
    <x v="2527"/>
    <x v="140"/>
    <x v="2"/>
    <x v="438"/>
    <x v="10"/>
    <x v="2125"/>
    <x v="1"/>
    <x v="1"/>
    <x v="1"/>
    <x v="3"/>
  </r>
  <r>
    <x v="2528"/>
    <x v="139"/>
    <x v="1"/>
    <x v="438"/>
    <x v="10"/>
    <x v="1982"/>
    <x v="1"/>
    <x v="2"/>
    <x v="3"/>
    <x v="2"/>
  </r>
  <r>
    <x v="2529"/>
    <x v="140"/>
    <x v="3"/>
    <x v="438"/>
    <x v="10"/>
    <x v="990"/>
    <x v="0"/>
    <x v="2"/>
    <x v="3"/>
    <x v="1"/>
  </r>
  <r>
    <x v="2530"/>
    <x v="241"/>
    <x v="3"/>
    <x v="438"/>
    <x v="10"/>
    <x v="1517"/>
    <x v="1"/>
    <x v="4"/>
    <x v="4"/>
    <x v="3"/>
  </r>
  <r>
    <x v="2531"/>
    <x v="139"/>
    <x v="1"/>
    <x v="438"/>
    <x v="10"/>
    <x v="2227"/>
    <x v="1"/>
    <x v="2"/>
    <x v="3"/>
    <x v="3"/>
  </r>
  <r>
    <x v="2532"/>
    <x v="34"/>
    <x v="2"/>
    <x v="438"/>
    <x v="10"/>
    <x v="1512"/>
    <x v="1"/>
    <x v="0"/>
    <x v="0"/>
    <x v="1"/>
  </r>
  <r>
    <x v="2533"/>
    <x v="46"/>
    <x v="3"/>
    <x v="438"/>
    <x v="10"/>
    <x v="1901"/>
    <x v="1"/>
    <x v="1"/>
    <x v="1"/>
    <x v="2"/>
  </r>
  <r>
    <x v="2534"/>
    <x v="46"/>
    <x v="2"/>
    <x v="438"/>
    <x v="10"/>
    <x v="1483"/>
    <x v="1"/>
    <x v="0"/>
    <x v="0"/>
    <x v="1"/>
  </r>
  <r>
    <x v="2535"/>
    <x v="112"/>
    <x v="1"/>
    <x v="438"/>
    <x v="10"/>
    <x v="1522"/>
    <x v="1"/>
    <x v="4"/>
    <x v="4"/>
    <x v="3"/>
  </r>
  <r>
    <x v="2536"/>
    <x v="34"/>
    <x v="1"/>
    <x v="438"/>
    <x v="10"/>
    <x v="1477"/>
    <x v="1"/>
    <x v="2"/>
    <x v="3"/>
    <x v="2"/>
  </r>
  <r>
    <x v="2537"/>
    <x v="80"/>
    <x v="0"/>
    <x v="438"/>
    <x v="10"/>
    <x v="1497"/>
    <x v="1"/>
    <x v="1"/>
    <x v="1"/>
    <x v="1"/>
  </r>
  <r>
    <x v="2538"/>
    <x v="175"/>
    <x v="0"/>
    <x v="438"/>
    <x v="10"/>
    <x v="1896"/>
    <x v="1"/>
    <x v="4"/>
    <x v="4"/>
    <x v="3"/>
  </r>
  <r>
    <x v="2539"/>
    <x v="175"/>
    <x v="0"/>
    <x v="438"/>
    <x v="10"/>
    <x v="1521"/>
    <x v="1"/>
    <x v="1"/>
    <x v="1"/>
    <x v="1"/>
  </r>
  <r>
    <x v="2540"/>
    <x v="112"/>
    <x v="2"/>
    <x v="438"/>
    <x v="10"/>
    <x v="1520"/>
    <x v="1"/>
    <x v="1"/>
    <x v="1"/>
    <x v="1"/>
  </r>
  <r>
    <x v="2541"/>
    <x v="34"/>
    <x v="2"/>
    <x v="438"/>
    <x v="10"/>
    <x v="1525"/>
    <x v="1"/>
    <x v="1"/>
    <x v="1"/>
    <x v="3"/>
  </r>
  <r>
    <x v="2542"/>
    <x v="72"/>
    <x v="2"/>
    <x v="438"/>
    <x v="10"/>
    <x v="1478"/>
    <x v="1"/>
    <x v="1"/>
    <x v="1"/>
    <x v="3"/>
  </r>
  <r>
    <x v="2543"/>
    <x v="80"/>
    <x v="2"/>
    <x v="438"/>
    <x v="10"/>
    <x v="1486"/>
    <x v="1"/>
    <x v="4"/>
    <x v="4"/>
    <x v="1"/>
  </r>
  <r>
    <x v="2544"/>
    <x v="46"/>
    <x v="1"/>
    <x v="438"/>
    <x v="10"/>
    <x v="1486"/>
    <x v="1"/>
    <x v="3"/>
    <x v="2"/>
    <x v="3"/>
  </r>
  <r>
    <x v="2545"/>
    <x v="175"/>
    <x v="2"/>
    <x v="438"/>
    <x v="10"/>
    <x v="1519"/>
    <x v="1"/>
    <x v="0"/>
    <x v="0"/>
    <x v="3"/>
  </r>
  <r>
    <x v="2546"/>
    <x v="175"/>
    <x v="3"/>
    <x v="438"/>
    <x v="10"/>
    <x v="744"/>
    <x v="0"/>
    <x v="2"/>
    <x v="3"/>
    <x v="0"/>
  </r>
  <r>
    <x v="2547"/>
    <x v="112"/>
    <x v="1"/>
    <x v="438"/>
    <x v="10"/>
    <x v="950"/>
    <x v="0"/>
    <x v="1"/>
    <x v="1"/>
    <x v="3"/>
  </r>
  <r>
    <x v="2548"/>
    <x v="46"/>
    <x v="0"/>
    <x v="438"/>
    <x v="10"/>
    <x v="1754"/>
    <x v="1"/>
    <x v="1"/>
    <x v="1"/>
    <x v="1"/>
  </r>
  <r>
    <x v="2549"/>
    <x v="80"/>
    <x v="0"/>
    <x v="438"/>
    <x v="10"/>
    <x v="2069"/>
    <x v="1"/>
    <x v="1"/>
    <x v="1"/>
    <x v="3"/>
  </r>
  <r>
    <x v="2550"/>
    <x v="175"/>
    <x v="3"/>
    <x v="438"/>
    <x v="10"/>
    <x v="1033"/>
    <x v="1"/>
    <x v="2"/>
    <x v="3"/>
    <x v="2"/>
  </r>
  <r>
    <x v="2551"/>
    <x v="175"/>
    <x v="3"/>
    <x v="438"/>
    <x v="10"/>
    <x v="1257"/>
    <x v="1"/>
    <x v="4"/>
    <x v="4"/>
    <x v="0"/>
  </r>
  <r>
    <x v="2552"/>
    <x v="175"/>
    <x v="0"/>
    <x v="438"/>
    <x v="10"/>
    <x v="1372"/>
    <x v="1"/>
    <x v="2"/>
    <x v="3"/>
    <x v="2"/>
  </r>
  <r>
    <x v="2553"/>
    <x v="175"/>
    <x v="2"/>
    <x v="438"/>
    <x v="10"/>
    <x v="1002"/>
    <x v="1"/>
    <x v="1"/>
    <x v="1"/>
    <x v="3"/>
  </r>
  <r>
    <x v="2554"/>
    <x v="175"/>
    <x v="2"/>
    <x v="438"/>
    <x v="10"/>
    <x v="1038"/>
    <x v="1"/>
    <x v="1"/>
    <x v="1"/>
    <x v="3"/>
  </r>
  <r>
    <x v="2555"/>
    <x v="175"/>
    <x v="2"/>
    <x v="438"/>
    <x v="10"/>
    <x v="1231"/>
    <x v="1"/>
    <x v="0"/>
    <x v="0"/>
    <x v="1"/>
  </r>
  <r>
    <x v="2556"/>
    <x v="136"/>
    <x v="2"/>
    <x v="439"/>
    <x v="9"/>
    <x v="725"/>
    <x v="0"/>
    <x v="3"/>
    <x v="2"/>
    <x v="1"/>
  </r>
  <r>
    <x v="2557"/>
    <x v="187"/>
    <x v="3"/>
    <x v="440"/>
    <x v="9"/>
    <x v="2113"/>
    <x v="1"/>
    <x v="4"/>
    <x v="4"/>
    <x v="1"/>
  </r>
  <r>
    <x v="2558"/>
    <x v="166"/>
    <x v="1"/>
    <x v="440"/>
    <x v="9"/>
    <x v="876"/>
    <x v="0"/>
    <x v="1"/>
    <x v="1"/>
    <x v="1"/>
  </r>
  <r>
    <x v="2559"/>
    <x v="7"/>
    <x v="1"/>
    <x v="440"/>
    <x v="9"/>
    <x v="534"/>
    <x v="0"/>
    <x v="1"/>
    <x v="1"/>
    <x v="1"/>
  </r>
  <r>
    <x v="2560"/>
    <x v="28"/>
    <x v="2"/>
    <x v="440"/>
    <x v="9"/>
    <x v="828"/>
    <x v="0"/>
    <x v="2"/>
    <x v="3"/>
    <x v="2"/>
  </r>
  <r>
    <x v="2561"/>
    <x v="178"/>
    <x v="3"/>
    <x v="441"/>
    <x v="9"/>
    <x v="405"/>
    <x v="0"/>
    <x v="3"/>
    <x v="2"/>
    <x v="2"/>
  </r>
  <r>
    <x v="2562"/>
    <x v="172"/>
    <x v="3"/>
    <x v="441"/>
    <x v="9"/>
    <x v="514"/>
    <x v="0"/>
    <x v="1"/>
    <x v="1"/>
    <x v="3"/>
  </r>
  <r>
    <x v="2563"/>
    <x v="7"/>
    <x v="3"/>
    <x v="441"/>
    <x v="9"/>
    <x v="908"/>
    <x v="0"/>
    <x v="2"/>
    <x v="3"/>
    <x v="1"/>
  </r>
  <r>
    <x v="2564"/>
    <x v="80"/>
    <x v="1"/>
    <x v="441"/>
    <x v="9"/>
    <x v="2172"/>
    <x v="1"/>
    <x v="1"/>
    <x v="1"/>
    <x v="1"/>
  </r>
  <r>
    <x v="2565"/>
    <x v="80"/>
    <x v="1"/>
    <x v="441"/>
    <x v="9"/>
    <x v="927"/>
    <x v="0"/>
    <x v="4"/>
    <x v="4"/>
    <x v="1"/>
  </r>
  <r>
    <x v="2566"/>
    <x v="80"/>
    <x v="3"/>
    <x v="441"/>
    <x v="9"/>
    <x v="466"/>
    <x v="0"/>
    <x v="2"/>
    <x v="3"/>
    <x v="2"/>
  </r>
  <r>
    <x v="2567"/>
    <x v="140"/>
    <x v="3"/>
    <x v="442"/>
    <x v="9"/>
    <x v="462"/>
    <x v="0"/>
    <x v="4"/>
    <x v="4"/>
    <x v="3"/>
  </r>
  <r>
    <x v="2568"/>
    <x v="140"/>
    <x v="1"/>
    <x v="442"/>
    <x v="9"/>
    <x v="458"/>
    <x v="0"/>
    <x v="1"/>
    <x v="1"/>
    <x v="1"/>
  </r>
  <r>
    <x v="2569"/>
    <x v="208"/>
    <x v="3"/>
    <x v="442"/>
    <x v="9"/>
    <x v="447"/>
    <x v="0"/>
    <x v="2"/>
    <x v="3"/>
    <x v="3"/>
  </r>
  <r>
    <x v="2570"/>
    <x v="208"/>
    <x v="2"/>
    <x v="442"/>
    <x v="9"/>
    <x v="369"/>
    <x v="0"/>
    <x v="1"/>
    <x v="1"/>
    <x v="3"/>
  </r>
  <r>
    <x v="2571"/>
    <x v="135"/>
    <x v="2"/>
    <x v="442"/>
    <x v="9"/>
    <x v="394"/>
    <x v="0"/>
    <x v="2"/>
    <x v="3"/>
    <x v="2"/>
  </r>
  <r>
    <x v="2572"/>
    <x v="208"/>
    <x v="3"/>
    <x v="442"/>
    <x v="9"/>
    <x v="398"/>
    <x v="0"/>
    <x v="1"/>
    <x v="1"/>
    <x v="1"/>
  </r>
  <r>
    <x v="2573"/>
    <x v="208"/>
    <x v="3"/>
    <x v="442"/>
    <x v="9"/>
    <x v="713"/>
    <x v="0"/>
    <x v="2"/>
    <x v="3"/>
    <x v="3"/>
  </r>
  <r>
    <x v="2574"/>
    <x v="209"/>
    <x v="2"/>
    <x v="443"/>
    <x v="9"/>
    <x v="674"/>
    <x v="0"/>
    <x v="0"/>
    <x v="0"/>
    <x v="1"/>
  </r>
  <r>
    <x v="2575"/>
    <x v="214"/>
    <x v="2"/>
    <x v="443"/>
    <x v="9"/>
    <x v="234"/>
    <x v="0"/>
    <x v="1"/>
    <x v="1"/>
    <x v="3"/>
  </r>
  <r>
    <x v="2576"/>
    <x v="147"/>
    <x v="1"/>
    <x v="443"/>
    <x v="9"/>
    <x v="806"/>
    <x v="0"/>
    <x v="1"/>
    <x v="1"/>
    <x v="1"/>
  </r>
  <r>
    <x v="2577"/>
    <x v="171"/>
    <x v="1"/>
    <x v="443"/>
    <x v="9"/>
    <x v="762"/>
    <x v="0"/>
    <x v="1"/>
    <x v="1"/>
    <x v="1"/>
  </r>
  <r>
    <x v="2578"/>
    <x v="133"/>
    <x v="3"/>
    <x v="443"/>
    <x v="9"/>
    <x v="731"/>
    <x v="0"/>
    <x v="4"/>
    <x v="4"/>
    <x v="2"/>
  </r>
  <r>
    <x v="2579"/>
    <x v="61"/>
    <x v="0"/>
    <x v="443"/>
    <x v="9"/>
    <x v="785"/>
    <x v="0"/>
    <x v="1"/>
    <x v="1"/>
    <x v="3"/>
  </r>
  <r>
    <x v="2580"/>
    <x v="23"/>
    <x v="0"/>
    <x v="443"/>
    <x v="9"/>
    <x v="938"/>
    <x v="0"/>
    <x v="2"/>
    <x v="3"/>
    <x v="3"/>
  </r>
  <r>
    <x v="2581"/>
    <x v="140"/>
    <x v="0"/>
    <x v="443"/>
    <x v="9"/>
    <x v="2175"/>
    <x v="1"/>
    <x v="2"/>
    <x v="3"/>
    <x v="2"/>
  </r>
  <r>
    <x v="2582"/>
    <x v="136"/>
    <x v="0"/>
    <x v="443"/>
    <x v="9"/>
    <x v="2116"/>
    <x v="1"/>
    <x v="2"/>
    <x v="3"/>
    <x v="3"/>
  </r>
  <r>
    <x v="2583"/>
    <x v="174"/>
    <x v="2"/>
    <x v="444"/>
    <x v="9"/>
    <x v="2163"/>
    <x v="1"/>
    <x v="2"/>
    <x v="3"/>
    <x v="3"/>
  </r>
  <r>
    <x v="2584"/>
    <x v="196"/>
    <x v="2"/>
    <x v="444"/>
    <x v="9"/>
    <x v="510"/>
    <x v="0"/>
    <x v="2"/>
    <x v="3"/>
    <x v="2"/>
  </r>
  <r>
    <x v="2585"/>
    <x v="151"/>
    <x v="0"/>
    <x v="444"/>
    <x v="9"/>
    <x v="695"/>
    <x v="0"/>
    <x v="1"/>
    <x v="1"/>
    <x v="0"/>
  </r>
  <r>
    <x v="2586"/>
    <x v="97"/>
    <x v="0"/>
    <x v="444"/>
    <x v="9"/>
    <x v="254"/>
    <x v="0"/>
    <x v="1"/>
    <x v="1"/>
    <x v="1"/>
  </r>
  <r>
    <x v="2587"/>
    <x v="7"/>
    <x v="1"/>
    <x v="444"/>
    <x v="9"/>
    <x v="279"/>
    <x v="0"/>
    <x v="1"/>
    <x v="1"/>
    <x v="2"/>
  </r>
  <r>
    <x v="2588"/>
    <x v="30"/>
    <x v="1"/>
    <x v="445"/>
    <x v="9"/>
    <x v="2073"/>
    <x v="1"/>
    <x v="1"/>
    <x v="1"/>
    <x v="3"/>
  </r>
  <r>
    <x v="2589"/>
    <x v="11"/>
    <x v="2"/>
    <x v="445"/>
    <x v="9"/>
    <x v="541"/>
    <x v="0"/>
    <x v="2"/>
    <x v="3"/>
    <x v="3"/>
  </r>
  <r>
    <x v="2590"/>
    <x v="203"/>
    <x v="1"/>
    <x v="446"/>
    <x v="9"/>
    <x v="498"/>
    <x v="0"/>
    <x v="1"/>
    <x v="1"/>
    <x v="3"/>
  </r>
  <r>
    <x v="2591"/>
    <x v="238"/>
    <x v="0"/>
    <x v="446"/>
    <x v="9"/>
    <x v="2239"/>
    <x v="1"/>
    <x v="1"/>
    <x v="1"/>
    <x v="3"/>
  </r>
  <r>
    <x v="2592"/>
    <x v="223"/>
    <x v="2"/>
    <x v="446"/>
    <x v="9"/>
    <x v="35"/>
    <x v="0"/>
    <x v="4"/>
    <x v="4"/>
    <x v="3"/>
  </r>
  <r>
    <x v="2593"/>
    <x v="181"/>
    <x v="3"/>
    <x v="446"/>
    <x v="9"/>
    <x v="34"/>
    <x v="0"/>
    <x v="3"/>
    <x v="2"/>
    <x v="3"/>
  </r>
  <r>
    <x v="2594"/>
    <x v="191"/>
    <x v="0"/>
    <x v="446"/>
    <x v="9"/>
    <x v="185"/>
    <x v="0"/>
    <x v="4"/>
    <x v="4"/>
    <x v="0"/>
  </r>
  <r>
    <x v="2595"/>
    <x v="130"/>
    <x v="0"/>
    <x v="446"/>
    <x v="9"/>
    <x v="985"/>
    <x v="0"/>
    <x v="1"/>
    <x v="1"/>
    <x v="1"/>
  </r>
  <r>
    <x v="2596"/>
    <x v="62"/>
    <x v="2"/>
    <x v="446"/>
    <x v="9"/>
    <x v="841"/>
    <x v="0"/>
    <x v="4"/>
    <x v="4"/>
    <x v="3"/>
  </r>
  <r>
    <x v="2597"/>
    <x v="7"/>
    <x v="0"/>
    <x v="446"/>
    <x v="9"/>
    <x v="330"/>
    <x v="0"/>
    <x v="4"/>
    <x v="4"/>
    <x v="3"/>
  </r>
  <r>
    <x v="2598"/>
    <x v="28"/>
    <x v="0"/>
    <x v="446"/>
    <x v="9"/>
    <x v="715"/>
    <x v="0"/>
    <x v="1"/>
    <x v="1"/>
    <x v="0"/>
  </r>
  <r>
    <x v="2599"/>
    <x v="140"/>
    <x v="1"/>
    <x v="446"/>
    <x v="9"/>
    <x v="919"/>
    <x v="0"/>
    <x v="1"/>
    <x v="1"/>
    <x v="1"/>
  </r>
  <r>
    <x v="2600"/>
    <x v="140"/>
    <x v="0"/>
    <x v="446"/>
    <x v="9"/>
    <x v="155"/>
    <x v="0"/>
    <x v="2"/>
    <x v="3"/>
    <x v="3"/>
  </r>
  <r>
    <x v="2601"/>
    <x v="50"/>
    <x v="0"/>
    <x v="446"/>
    <x v="9"/>
    <x v="589"/>
    <x v="0"/>
    <x v="1"/>
    <x v="1"/>
    <x v="1"/>
  </r>
  <r>
    <x v="2602"/>
    <x v="50"/>
    <x v="3"/>
    <x v="446"/>
    <x v="9"/>
    <x v="504"/>
    <x v="0"/>
    <x v="2"/>
    <x v="3"/>
    <x v="3"/>
  </r>
  <r>
    <x v="2603"/>
    <x v="135"/>
    <x v="1"/>
    <x v="446"/>
    <x v="9"/>
    <x v="403"/>
    <x v="0"/>
    <x v="0"/>
    <x v="0"/>
    <x v="3"/>
  </r>
  <r>
    <x v="2604"/>
    <x v="192"/>
    <x v="1"/>
    <x v="447"/>
    <x v="9"/>
    <x v="310"/>
    <x v="0"/>
    <x v="3"/>
    <x v="2"/>
    <x v="3"/>
  </r>
  <r>
    <x v="2605"/>
    <x v="63"/>
    <x v="2"/>
    <x v="447"/>
    <x v="9"/>
    <x v="255"/>
    <x v="0"/>
    <x v="0"/>
    <x v="0"/>
    <x v="3"/>
  </r>
  <r>
    <x v="2606"/>
    <x v="15"/>
    <x v="3"/>
    <x v="448"/>
    <x v="9"/>
    <x v="710"/>
    <x v="0"/>
    <x v="1"/>
    <x v="1"/>
    <x v="0"/>
  </r>
  <r>
    <x v="2607"/>
    <x v="106"/>
    <x v="0"/>
    <x v="448"/>
    <x v="9"/>
    <x v="968"/>
    <x v="0"/>
    <x v="1"/>
    <x v="1"/>
    <x v="1"/>
  </r>
  <r>
    <x v="2608"/>
    <x v="186"/>
    <x v="3"/>
    <x v="448"/>
    <x v="9"/>
    <x v="974"/>
    <x v="0"/>
    <x v="3"/>
    <x v="2"/>
    <x v="1"/>
  </r>
  <r>
    <x v="2609"/>
    <x v="151"/>
    <x v="2"/>
    <x v="448"/>
    <x v="9"/>
    <x v="2098"/>
    <x v="1"/>
    <x v="1"/>
    <x v="1"/>
    <x v="2"/>
  </r>
  <r>
    <x v="2610"/>
    <x v="84"/>
    <x v="1"/>
    <x v="448"/>
    <x v="9"/>
    <x v="629"/>
    <x v="0"/>
    <x v="1"/>
    <x v="1"/>
    <x v="3"/>
  </r>
  <r>
    <x v="2611"/>
    <x v="64"/>
    <x v="3"/>
    <x v="448"/>
    <x v="9"/>
    <x v="116"/>
    <x v="0"/>
    <x v="4"/>
    <x v="4"/>
    <x v="0"/>
  </r>
  <r>
    <x v="2612"/>
    <x v="230"/>
    <x v="1"/>
    <x v="448"/>
    <x v="9"/>
    <x v="799"/>
    <x v="0"/>
    <x v="0"/>
    <x v="0"/>
    <x v="1"/>
  </r>
  <r>
    <x v="2613"/>
    <x v="72"/>
    <x v="0"/>
    <x v="448"/>
    <x v="9"/>
    <x v="2099"/>
    <x v="1"/>
    <x v="1"/>
    <x v="1"/>
    <x v="1"/>
  </r>
  <r>
    <x v="2614"/>
    <x v="80"/>
    <x v="2"/>
    <x v="448"/>
    <x v="9"/>
    <x v="2106"/>
    <x v="1"/>
    <x v="1"/>
    <x v="1"/>
    <x v="2"/>
  </r>
  <r>
    <x v="2615"/>
    <x v="80"/>
    <x v="2"/>
    <x v="448"/>
    <x v="9"/>
    <x v="2080"/>
    <x v="1"/>
    <x v="1"/>
    <x v="1"/>
    <x v="1"/>
  </r>
  <r>
    <x v="2616"/>
    <x v="181"/>
    <x v="2"/>
    <x v="449"/>
    <x v="9"/>
    <x v="2181"/>
    <x v="1"/>
    <x v="4"/>
    <x v="4"/>
    <x v="3"/>
  </r>
  <r>
    <x v="2617"/>
    <x v="120"/>
    <x v="2"/>
    <x v="449"/>
    <x v="9"/>
    <x v="2230"/>
    <x v="1"/>
    <x v="4"/>
    <x v="4"/>
    <x v="3"/>
  </r>
  <r>
    <x v="2618"/>
    <x v="121"/>
    <x v="1"/>
    <x v="449"/>
    <x v="9"/>
    <x v="2148"/>
    <x v="1"/>
    <x v="1"/>
    <x v="1"/>
    <x v="1"/>
  </r>
  <r>
    <x v="2619"/>
    <x v="55"/>
    <x v="0"/>
    <x v="449"/>
    <x v="9"/>
    <x v="2201"/>
    <x v="1"/>
    <x v="4"/>
    <x v="4"/>
    <x v="1"/>
  </r>
  <r>
    <x v="2620"/>
    <x v="170"/>
    <x v="3"/>
    <x v="449"/>
    <x v="9"/>
    <x v="1110"/>
    <x v="1"/>
    <x v="3"/>
    <x v="2"/>
    <x v="3"/>
  </r>
  <r>
    <x v="2621"/>
    <x v="113"/>
    <x v="2"/>
    <x v="449"/>
    <x v="9"/>
    <x v="1182"/>
    <x v="1"/>
    <x v="1"/>
    <x v="1"/>
    <x v="0"/>
  </r>
  <r>
    <x v="2622"/>
    <x v="114"/>
    <x v="2"/>
    <x v="449"/>
    <x v="9"/>
    <x v="1063"/>
    <x v="1"/>
    <x v="3"/>
    <x v="2"/>
    <x v="3"/>
  </r>
  <r>
    <x v="2623"/>
    <x v="115"/>
    <x v="2"/>
    <x v="449"/>
    <x v="9"/>
    <x v="1152"/>
    <x v="1"/>
    <x v="1"/>
    <x v="1"/>
    <x v="1"/>
  </r>
  <r>
    <x v="2624"/>
    <x v="118"/>
    <x v="3"/>
    <x v="449"/>
    <x v="9"/>
    <x v="1182"/>
    <x v="1"/>
    <x v="3"/>
    <x v="2"/>
    <x v="3"/>
  </r>
  <r>
    <x v="2625"/>
    <x v="122"/>
    <x v="3"/>
    <x v="449"/>
    <x v="9"/>
    <x v="1063"/>
    <x v="1"/>
    <x v="0"/>
    <x v="0"/>
    <x v="3"/>
  </r>
  <r>
    <x v="2626"/>
    <x v="191"/>
    <x v="2"/>
    <x v="450"/>
    <x v="9"/>
    <x v="1119"/>
    <x v="1"/>
    <x v="1"/>
    <x v="1"/>
    <x v="1"/>
  </r>
  <r>
    <x v="2627"/>
    <x v="106"/>
    <x v="0"/>
    <x v="451"/>
    <x v="9"/>
    <x v="1156"/>
    <x v="1"/>
    <x v="2"/>
    <x v="3"/>
    <x v="3"/>
  </r>
  <r>
    <x v="2628"/>
    <x v="80"/>
    <x v="1"/>
    <x v="451"/>
    <x v="9"/>
    <x v="865"/>
    <x v="0"/>
    <x v="1"/>
    <x v="1"/>
    <x v="3"/>
  </r>
  <r>
    <x v="2629"/>
    <x v="222"/>
    <x v="0"/>
    <x v="451"/>
    <x v="9"/>
    <x v="235"/>
    <x v="0"/>
    <x v="2"/>
    <x v="3"/>
    <x v="3"/>
  </r>
  <r>
    <x v="2630"/>
    <x v="248"/>
    <x v="1"/>
    <x v="452"/>
    <x v="9"/>
    <x v="2028"/>
    <x v="1"/>
    <x v="3"/>
    <x v="2"/>
    <x v="1"/>
  </r>
  <r>
    <x v="2631"/>
    <x v="188"/>
    <x v="3"/>
    <x v="452"/>
    <x v="9"/>
    <x v="1968"/>
    <x v="1"/>
    <x v="2"/>
    <x v="3"/>
    <x v="3"/>
  </r>
  <r>
    <x v="2632"/>
    <x v="7"/>
    <x v="3"/>
    <x v="452"/>
    <x v="9"/>
    <x v="934"/>
    <x v="0"/>
    <x v="4"/>
    <x v="4"/>
    <x v="0"/>
  </r>
  <r>
    <x v="2633"/>
    <x v="50"/>
    <x v="0"/>
    <x v="452"/>
    <x v="9"/>
    <x v="1740"/>
    <x v="1"/>
    <x v="2"/>
    <x v="3"/>
    <x v="1"/>
  </r>
  <r>
    <x v="2634"/>
    <x v="50"/>
    <x v="0"/>
    <x v="452"/>
    <x v="9"/>
    <x v="299"/>
    <x v="0"/>
    <x v="1"/>
    <x v="1"/>
    <x v="2"/>
  </r>
  <r>
    <x v="2635"/>
    <x v="33"/>
    <x v="2"/>
    <x v="453"/>
    <x v="9"/>
    <x v="308"/>
    <x v="0"/>
    <x v="1"/>
    <x v="1"/>
    <x v="2"/>
  </r>
  <r>
    <x v="2636"/>
    <x v="221"/>
    <x v="0"/>
    <x v="453"/>
    <x v="9"/>
    <x v="945"/>
    <x v="0"/>
    <x v="2"/>
    <x v="3"/>
    <x v="3"/>
  </r>
  <r>
    <x v="2637"/>
    <x v="34"/>
    <x v="1"/>
    <x v="454"/>
    <x v="9"/>
    <x v="102"/>
    <x v="0"/>
    <x v="2"/>
    <x v="3"/>
    <x v="3"/>
  </r>
  <r>
    <x v="2638"/>
    <x v="46"/>
    <x v="0"/>
    <x v="454"/>
    <x v="9"/>
    <x v="284"/>
    <x v="0"/>
    <x v="3"/>
    <x v="2"/>
    <x v="3"/>
  </r>
  <r>
    <x v="2639"/>
    <x v="175"/>
    <x v="0"/>
    <x v="454"/>
    <x v="9"/>
    <x v="852"/>
    <x v="0"/>
    <x v="2"/>
    <x v="3"/>
    <x v="3"/>
  </r>
  <r>
    <x v="2640"/>
    <x v="187"/>
    <x v="2"/>
    <x v="455"/>
    <x v="9"/>
    <x v="970"/>
    <x v="0"/>
    <x v="1"/>
    <x v="1"/>
    <x v="3"/>
  </r>
  <r>
    <x v="2641"/>
    <x v="30"/>
    <x v="3"/>
    <x v="455"/>
    <x v="9"/>
    <x v="265"/>
    <x v="0"/>
    <x v="2"/>
    <x v="3"/>
    <x v="3"/>
  </r>
  <r>
    <x v="2642"/>
    <x v="178"/>
    <x v="2"/>
    <x v="455"/>
    <x v="9"/>
    <x v="421"/>
    <x v="0"/>
    <x v="1"/>
    <x v="1"/>
    <x v="1"/>
  </r>
  <r>
    <x v="2643"/>
    <x v="147"/>
    <x v="1"/>
    <x v="456"/>
    <x v="9"/>
    <x v="23"/>
    <x v="0"/>
    <x v="2"/>
    <x v="3"/>
    <x v="1"/>
  </r>
  <r>
    <x v="2644"/>
    <x v="187"/>
    <x v="0"/>
    <x v="456"/>
    <x v="9"/>
    <x v="923"/>
    <x v="0"/>
    <x v="2"/>
    <x v="3"/>
    <x v="1"/>
  </r>
  <r>
    <x v="2645"/>
    <x v="50"/>
    <x v="0"/>
    <x v="456"/>
    <x v="9"/>
    <x v="301"/>
    <x v="0"/>
    <x v="1"/>
    <x v="1"/>
    <x v="1"/>
  </r>
  <r>
    <x v="2646"/>
    <x v="50"/>
    <x v="0"/>
    <x v="456"/>
    <x v="9"/>
    <x v="795"/>
    <x v="0"/>
    <x v="0"/>
    <x v="0"/>
    <x v="0"/>
  </r>
  <r>
    <x v="2647"/>
    <x v="200"/>
    <x v="3"/>
    <x v="456"/>
    <x v="9"/>
    <x v="658"/>
    <x v="0"/>
    <x v="1"/>
    <x v="1"/>
    <x v="3"/>
  </r>
  <r>
    <x v="2648"/>
    <x v="201"/>
    <x v="2"/>
    <x v="456"/>
    <x v="9"/>
    <x v="2130"/>
    <x v="1"/>
    <x v="3"/>
    <x v="2"/>
    <x v="3"/>
  </r>
  <r>
    <x v="2649"/>
    <x v="205"/>
    <x v="0"/>
    <x v="456"/>
    <x v="9"/>
    <x v="739"/>
    <x v="0"/>
    <x v="1"/>
    <x v="1"/>
    <x v="3"/>
  </r>
  <r>
    <x v="2650"/>
    <x v="208"/>
    <x v="1"/>
    <x v="456"/>
    <x v="9"/>
    <x v="602"/>
    <x v="0"/>
    <x v="2"/>
    <x v="3"/>
    <x v="1"/>
  </r>
  <r>
    <x v="2651"/>
    <x v="200"/>
    <x v="3"/>
    <x v="456"/>
    <x v="9"/>
    <x v="484"/>
    <x v="0"/>
    <x v="2"/>
    <x v="3"/>
    <x v="2"/>
  </r>
  <r>
    <x v="2652"/>
    <x v="201"/>
    <x v="0"/>
    <x v="456"/>
    <x v="9"/>
    <x v="441"/>
    <x v="0"/>
    <x v="1"/>
    <x v="1"/>
    <x v="3"/>
  </r>
  <r>
    <x v="2653"/>
    <x v="186"/>
    <x v="3"/>
    <x v="457"/>
    <x v="2"/>
    <x v="1244"/>
    <x v="1"/>
    <x v="0"/>
    <x v="0"/>
    <x v="3"/>
  </r>
  <r>
    <x v="2654"/>
    <x v="169"/>
    <x v="1"/>
    <x v="457"/>
    <x v="2"/>
    <x v="1579"/>
    <x v="1"/>
    <x v="1"/>
    <x v="1"/>
    <x v="1"/>
  </r>
  <r>
    <x v="2655"/>
    <x v="61"/>
    <x v="3"/>
    <x v="457"/>
    <x v="2"/>
    <x v="1237"/>
    <x v="1"/>
    <x v="2"/>
    <x v="3"/>
    <x v="3"/>
  </r>
  <r>
    <x v="2656"/>
    <x v="173"/>
    <x v="2"/>
    <x v="458"/>
    <x v="2"/>
    <x v="1307"/>
    <x v="1"/>
    <x v="4"/>
    <x v="4"/>
    <x v="1"/>
  </r>
  <r>
    <x v="2657"/>
    <x v="124"/>
    <x v="1"/>
    <x v="458"/>
    <x v="2"/>
    <x v="1584"/>
    <x v="1"/>
    <x v="2"/>
    <x v="3"/>
    <x v="3"/>
  </r>
  <r>
    <x v="2658"/>
    <x v="180"/>
    <x v="2"/>
    <x v="458"/>
    <x v="2"/>
    <x v="1276"/>
    <x v="1"/>
    <x v="4"/>
    <x v="4"/>
    <x v="2"/>
  </r>
  <r>
    <x v="2659"/>
    <x v="172"/>
    <x v="2"/>
    <x v="459"/>
    <x v="2"/>
    <x v="1804"/>
    <x v="1"/>
    <x v="2"/>
    <x v="3"/>
    <x v="3"/>
  </r>
  <r>
    <x v="2660"/>
    <x v="65"/>
    <x v="0"/>
    <x v="459"/>
    <x v="2"/>
    <x v="1239"/>
    <x v="1"/>
    <x v="1"/>
    <x v="1"/>
    <x v="3"/>
  </r>
  <r>
    <x v="2661"/>
    <x v="96"/>
    <x v="2"/>
    <x v="459"/>
    <x v="2"/>
    <x v="1266"/>
    <x v="1"/>
    <x v="1"/>
    <x v="1"/>
    <x v="3"/>
  </r>
  <r>
    <x v="2662"/>
    <x v="196"/>
    <x v="2"/>
    <x v="460"/>
    <x v="2"/>
    <x v="1652"/>
    <x v="1"/>
    <x v="4"/>
    <x v="4"/>
    <x v="1"/>
  </r>
  <r>
    <x v="2663"/>
    <x v="133"/>
    <x v="0"/>
    <x v="460"/>
    <x v="2"/>
    <x v="2246"/>
    <x v="1"/>
    <x v="2"/>
    <x v="3"/>
    <x v="2"/>
  </r>
  <r>
    <x v="2664"/>
    <x v="174"/>
    <x v="2"/>
    <x v="460"/>
    <x v="2"/>
    <x v="1804"/>
    <x v="1"/>
    <x v="1"/>
    <x v="1"/>
    <x v="3"/>
  </r>
  <r>
    <x v="2665"/>
    <x v="171"/>
    <x v="2"/>
    <x v="460"/>
    <x v="2"/>
    <x v="1225"/>
    <x v="1"/>
    <x v="0"/>
    <x v="0"/>
    <x v="3"/>
  </r>
  <r>
    <x v="2666"/>
    <x v="209"/>
    <x v="0"/>
    <x v="460"/>
    <x v="2"/>
    <x v="1238"/>
    <x v="1"/>
    <x v="1"/>
    <x v="1"/>
    <x v="3"/>
  </r>
  <r>
    <x v="2667"/>
    <x v="214"/>
    <x v="0"/>
    <x v="460"/>
    <x v="2"/>
    <x v="1557"/>
    <x v="1"/>
    <x v="2"/>
    <x v="3"/>
    <x v="2"/>
  </r>
  <r>
    <x v="2668"/>
    <x v="221"/>
    <x v="0"/>
    <x v="460"/>
    <x v="2"/>
    <x v="1805"/>
    <x v="1"/>
    <x v="2"/>
    <x v="3"/>
    <x v="3"/>
  </r>
  <r>
    <x v="2669"/>
    <x v="65"/>
    <x v="0"/>
    <x v="460"/>
    <x v="2"/>
    <x v="1255"/>
    <x v="1"/>
    <x v="1"/>
    <x v="1"/>
    <x v="3"/>
  </r>
  <r>
    <x v="2670"/>
    <x v="140"/>
    <x v="1"/>
    <x v="461"/>
    <x v="2"/>
    <x v="1223"/>
    <x v="1"/>
    <x v="2"/>
    <x v="3"/>
    <x v="0"/>
  </r>
  <r>
    <x v="2671"/>
    <x v="192"/>
    <x v="0"/>
    <x v="462"/>
    <x v="2"/>
    <x v="1556"/>
    <x v="1"/>
    <x v="2"/>
    <x v="3"/>
    <x v="0"/>
  </r>
  <r>
    <x v="2672"/>
    <x v="151"/>
    <x v="0"/>
    <x v="462"/>
    <x v="2"/>
    <x v="537"/>
    <x v="0"/>
    <x v="1"/>
    <x v="1"/>
    <x v="1"/>
  </r>
  <r>
    <x v="2673"/>
    <x v="4"/>
    <x v="1"/>
    <x v="462"/>
    <x v="2"/>
    <x v="500"/>
    <x v="0"/>
    <x v="0"/>
    <x v="0"/>
    <x v="3"/>
  </r>
  <r>
    <x v="2674"/>
    <x v="106"/>
    <x v="1"/>
    <x v="462"/>
    <x v="2"/>
    <x v="699"/>
    <x v="0"/>
    <x v="2"/>
    <x v="3"/>
    <x v="3"/>
  </r>
  <r>
    <x v="2675"/>
    <x v="140"/>
    <x v="0"/>
    <x v="462"/>
    <x v="2"/>
    <x v="511"/>
    <x v="0"/>
    <x v="2"/>
    <x v="3"/>
    <x v="3"/>
  </r>
  <r>
    <x v="2676"/>
    <x v="216"/>
    <x v="1"/>
    <x v="463"/>
    <x v="2"/>
    <x v="2147"/>
    <x v="1"/>
    <x v="2"/>
    <x v="3"/>
    <x v="3"/>
  </r>
  <r>
    <x v="2677"/>
    <x v="216"/>
    <x v="1"/>
    <x v="463"/>
    <x v="2"/>
    <x v="2113"/>
    <x v="1"/>
    <x v="3"/>
    <x v="2"/>
    <x v="3"/>
  </r>
  <r>
    <x v="2678"/>
    <x v="97"/>
    <x v="2"/>
    <x v="463"/>
    <x v="2"/>
    <x v="1500"/>
    <x v="1"/>
    <x v="0"/>
    <x v="0"/>
    <x v="1"/>
  </r>
  <r>
    <x v="2679"/>
    <x v="30"/>
    <x v="1"/>
    <x v="463"/>
    <x v="2"/>
    <x v="1500"/>
    <x v="1"/>
    <x v="0"/>
    <x v="0"/>
    <x v="3"/>
  </r>
  <r>
    <x v="2680"/>
    <x v="56"/>
    <x v="0"/>
    <x v="464"/>
    <x v="2"/>
    <x v="1500"/>
    <x v="1"/>
    <x v="0"/>
    <x v="0"/>
    <x v="3"/>
  </r>
  <r>
    <x v="2681"/>
    <x v="15"/>
    <x v="3"/>
    <x v="465"/>
    <x v="2"/>
    <x v="1500"/>
    <x v="1"/>
    <x v="4"/>
    <x v="4"/>
    <x v="0"/>
  </r>
  <r>
    <x v="2682"/>
    <x v="15"/>
    <x v="3"/>
    <x v="465"/>
    <x v="2"/>
    <x v="1500"/>
    <x v="1"/>
    <x v="0"/>
    <x v="0"/>
    <x v="1"/>
  </r>
  <r>
    <x v="2683"/>
    <x v="15"/>
    <x v="0"/>
    <x v="465"/>
    <x v="2"/>
    <x v="1500"/>
    <x v="1"/>
    <x v="1"/>
    <x v="1"/>
    <x v="3"/>
  </r>
  <r>
    <x v="2684"/>
    <x v="15"/>
    <x v="3"/>
    <x v="465"/>
    <x v="2"/>
    <x v="2133"/>
    <x v="1"/>
    <x v="1"/>
    <x v="1"/>
    <x v="3"/>
  </r>
  <r>
    <x v="2685"/>
    <x v="166"/>
    <x v="1"/>
    <x v="465"/>
    <x v="2"/>
    <x v="2070"/>
    <x v="1"/>
    <x v="2"/>
    <x v="3"/>
    <x v="3"/>
  </r>
  <r>
    <x v="2686"/>
    <x v="5"/>
    <x v="2"/>
    <x v="465"/>
    <x v="2"/>
    <x v="600"/>
    <x v="0"/>
    <x v="1"/>
    <x v="1"/>
    <x v="0"/>
  </r>
  <r>
    <x v="2687"/>
    <x v="33"/>
    <x v="0"/>
    <x v="465"/>
    <x v="2"/>
    <x v="873"/>
    <x v="0"/>
    <x v="0"/>
    <x v="0"/>
    <x v="2"/>
  </r>
  <r>
    <x v="2688"/>
    <x v="33"/>
    <x v="0"/>
    <x v="465"/>
    <x v="2"/>
    <x v="221"/>
    <x v="0"/>
    <x v="4"/>
    <x v="4"/>
    <x v="3"/>
  </r>
  <r>
    <x v="2689"/>
    <x v="216"/>
    <x v="3"/>
    <x v="465"/>
    <x v="2"/>
    <x v="149"/>
    <x v="0"/>
    <x v="2"/>
    <x v="3"/>
    <x v="3"/>
  </r>
  <r>
    <x v="2690"/>
    <x v="193"/>
    <x v="3"/>
    <x v="466"/>
    <x v="2"/>
    <x v="751"/>
    <x v="0"/>
    <x v="1"/>
    <x v="1"/>
    <x v="2"/>
  </r>
  <r>
    <x v="2691"/>
    <x v="140"/>
    <x v="2"/>
    <x v="467"/>
    <x v="2"/>
    <x v="689"/>
    <x v="0"/>
    <x v="2"/>
    <x v="3"/>
    <x v="3"/>
  </r>
  <r>
    <x v="2692"/>
    <x v="187"/>
    <x v="3"/>
    <x v="468"/>
    <x v="2"/>
    <x v="803"/>
    <x v="0"/>
    <x v="3"/>
    <x v="2"/>
    <x v="1"/>
  </r>
  <r>
    <x v="2693"/>
    <x v="123"/>
    <x v="1"/>
    <x v="468"/>
    <x v="2"/>
    <x v="2159"/>
    <x v="1"/>
    <x v="2"/>
    <x v="3"/>
    <x v="1"/>
  </r>
  <r>
    <x v="2694"/>
    <x v="140"/>
    <x v="2"/>
    <x v="468"/>
    <x v="2"/>
    <x v="2158"/>
    <x v="1"/>
    <x v="1"/>
    <x v="1"/>
    <x v="3"/>
  </r>
  <r>
    <x v="2695"/>
    <x v="140"/>
    <x v="3"/>
    <x v="468"/>
    <x v="2"/>
    <x v="2264"/>
    <x v="1"/>
    <x v="0"/>
    <x v="0"/>
    <x v="3"/>
  </r>
  <r>
    <x v="2696"/>
    <x v="16"/>
    <x v="1"/>
    <x v="469"/>
    <x v="2"/>
    <x v="1914"/>
    <x v="1"/>
    <x v="1"/>
    <x v="1"/>
    <x v="1"/>
  </r>
  <r>
    <x v="2697"/>
    <x v="38"/>
    <x v="3"/>
    <x v="469"/>
    <x v="2"/>
    <x v="1387"/>
    <x v="1"/>
    <x v="1"/>
    <x v="1"/>
    <x v="1"/>
  </r>
  <r>
    <x v="2698"/>
    <x v="71"/>
    <x v="1"/>
    <x v="469"/>
    <x v="2"/>
    <x v="1387"/>
    <x v="1"/>
    <x v="1"/>
    <x v="1"/>
    <x v="3"/>
  </r>
  <r>
    <x v="2699"/>
    <x v="81"/>
    <x v="0"/>
    <x v="469"/>
    <x v="2"/>
    <x v="1731"/>
    <x v="1"/>
    <x v="2"/>
    <x v="3"/>
    <x v="0"/>
  </r>
  <r>
    <x v="2700"/>
    <x v="177"/>
    <x v="2"/>
    <x v="469"/>
    <x v="2"/>
    <x v="979"/>
    <x v="0"/>
    <x v="0"/>
    <x v="0"/>
    <x v="0"/>
  </r>
  <r>
    <x v="2701"/>
    <x v="66"/>
    <x v="3"/>
    <x v="469"/>
    <x v="2"/>
    <x v="969"/>
    <x v="0"/>
    <x v="1"/>
    <x v="1"/>
    <x v="1"/>
  </r>
  <r>
    <x v="2702"/>
    <x v="67"/>
    <x v="1"/>
    <x v="469"/>
    <x v="2"/>
    <x v="508"/>
    <x v="0"/>
    <x v="2"/>
    <x v="3"/>
    <x v="1"/>
  </r>
  <r>
    <x v="2703"/>
    <x v="69"/>
    <x v="1"/>
    <x v="469"/>
    <x v="2"/>
    <x v="935"/>
    <x v="0"/>
    <x v="1"/>
    <x v="1"/>
    <x v="0"/>
  </r>
  <r>
    <x v="2704"/>
    <x v="70"/>
    <x v="1"/>
    <x v="469"/>
    <x v="2"/>
    <x v="550"/>
    <x v="0"/>
    <x v="0"/>
    <x v="0"/>
    <x v="3"/>
  </r>
  <r>
    <x v="2705"/>
    <x v="223"/>
    <x v="2"/>
    <x v="470"/>
    <x v="2"/>
    <x v="958"/>
    <x v="0"/>
    <x v="1"/>
    <x v="1"/>
    <x v="1"/>
  </r>
  <r>
    <x v="2706"/>
    <x v="174"/>
    <x v="2"/>
    <x v="470"/>
    <x v="2"/>
    <x v="293"/>
    <x v="0"/>
    <x v="4"/>
    <x v="4"/>
    <x v="3"/>
  </r>
  <r>
    <x v="2707"/>
    <x v="148"/>
    <x v="2"/>
    <x v="470"/>
    <x v="2"/>
    <x v="1798"/>
    <x v="1"/>
    <x v="1"/>
    <x v="1"/>
    <x v="2"/>
  </r>
  <r>
    <x v="2708"/>
    <x v="61"/>
    <x v="2"/>
    <x v="470"/>
    <x v="2"/>
    <x v="1796"/>
    <x v="1"/>
    <x v="1"/>
    <x v="1"/>
    <x v="3"/>
  </r>
  <r>
    <x v="2709"/>
    <x v="140"/>
    <x v="0"/>
    <x v="470"/>
    <x v="2"/>
    <x v="1783"/>
    <x v="1"/>
    <x v="2"/>
    <x v="3"/>
    <x v="1"/>
  </r>
  <r>
    <x v="2710"/>
    <x v="186"/>
    <x v="0"/>
    <x v="471"/>
    <x v="2"/>
    <x v="2196"/>
    <x v="1"/>
    <x v="1"/>
    <x v="1"/>
    <x v="3"/>
  </r>
  <r>
    <x v="2711"/>
    <x v="151"/>
    <x v="0"/>
    <x v="471"/>
    <x v="2"/>
    <x v="971"/>
    <x v="0"/>
    <x v="1"/>
    <x v="1"/>
    <x v="3"/>
  </r>
  <r>
    <x v="2712"/>
    <x v="140"/>
    <x v="0"/>
    <x v="472"/>
    <x v="2"/>
    <x v="1064"/>
    <x v="1"/>
    <x v="1"/>
    <x v="1"/>
    <x v="3"/>
  </r>
  <r>
    <x v="2713"/>
    <x v="140"/>
    <x v="1"/>
    <x v="472"/>
    <x v="2"/>
    <x v="359"/>
    <x v="0"/>
    <x v="1"/>
    <x v="1"/>
    <x v="3"/>
  </r>
  <r>
    <x v="2714"/>
    <x v="148"/>
    <x v="0"/>
    <x v="473"/>
    <x v="2"/>
    <x v="324"/>
    <x v="0"/>
    <x v="3"/>
    <x v="2"/>
    <x v="3"/>
  </r>
  <r>
    <x v="2715"/>
    <x v="217"/>
    <x v="2"/>
    <x v="473"/>
    <x v="2"/>
    <x v="2064"/>
    <x v="1"/>
    <x v="1"/>
    <x v="1"/>
    <x v="0"/>
  </r>
  <r>
    <x v="2716"/>
    <x v="209"/>
    <x v="1"/>
    <x v="474"/>
    <x v="2"/>
    <x v="1201"/>
    <x v="1"/>
    <x v="2"/>
    <x v="3"/>
    <x v="3"/>
  </r>
  <r>
    <x v="2717"/>
    <x v="213"/>
    <x v="3"/>
    <x v="474"/>
    <x v="2"/>
    <x v="1206"/>
    <x v="1"/>
    <x v="0"/>
    <x v="0"/>
    <x v="1"/>
  </r>
  <r>
    <x v="2718"/>
    <x v="188"/>
    <x v="1"/>
    <x v="474"/>
    <x v="2"/>
    <x v="1189"/>
    <x v="1"/>
    <x v="1"/>
    <x v="1"/>
    <x v="0"/>
  </r>
  <r>
    <x v="2719"/>
    <x v="162"/>
    <x v="3"/>
    <x v="474"/>
    <x v="2"/>
    <x v="1199"/>
    <x v="1"/>
    <x v="2"/>
    <x v="3"/>
    <x v="3"/>
  </r>
  <r>
    <x v="2720"/>
    <x v="115"/>
    <x v="2"/>
    <x v="474"/>
    <x v="2"/>
    <x v="1220"/>
    <x v="1"/>
    <x v="1"/>
    <x v="1"/>
    <x v="2"/>
  </r>
  <r>
    <x v="2721"/>
    <x v="96"/>
    <x v="0"/>
    <x v="474"/>
    <x v="2"/>
    <x v="1209"/>
    <x v="1"/>
    <x v="1"/>
    <x v="1"/>
    <x v="3"/>
  </r>
  <r>
    <x v="2722"/>
    <x v="106"/>
    <x v="3"/>
    <x v="474"/>
    <x v="2"/>
    <x v="1484"/>
    <x v="1"/>
    <x v="0"/>
    <x v="0"/>
    <x v="3"/>
  </r>
  <r>
    <x v="2723"/>
    <x v="68"/>
    <x v="1"/>
    <x v="475"/>
    <x v="2"/>
    <x v="1489"/>
    <x v="1"/>
    <x v="2"/>
    <x v="3"/>
    <x v="3"/>
  </r>
  <r>
    <x v="2724"/>
    <x v="26"/>
    <x v="1"/>
    <x v="475"/>
    <x v="2"/>
    <x v="1458"/>
    <x v="1"/>
    <x v="4"/>
    <x v="4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3" firstHeaderRow="1" firstDataRow="1" firstDataCol="1"/>
  <pivotFields count="10"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axis="axisRow" compact="0" outline="0" showAll="0" defaultSubtotal="0">
      <items count="2">
        <item h="1" x="0"/>
        <item x="1"/>
      </items>
    </pivotField>
    <pivotField compact="0" showAll="0"/>
    <pivotField compact="0" showAll="0"/>
    <pivotField compact="0" showAll="0"/>
  </pivotFields>
  <rowFields count="1">
    <field x="6"/>
  </rowFields>
  <rowItems count="2">
    <i>
      <x v="1"/>
    </i>
    <i t="grand">
      <x/>
    </i>
  </rowItems>
  <colItems count="1">
    <i/>
  </colItems>
  <dataFields count="1">
    <dataField name="Soma - Valor da Movimentação" fld="5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D1:E3" firstHeaderRow="1" firstDataRow="1" firstDataCol="1"/>
  <pivotFields count="10"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axis="axisRow" compact="0" outline="0" showAll="0" defaultSubtotal="0">
      <items count="2">
        <item x="0"/>
        <item h="1" x="1"/>
      </items>
    </pivotField>
    <pivotField compact="0" showAll="0"/>
    <pivotField compact="0" showAll="0"/>
    <pivotField compact="0"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Soma - Valor da Movimentação" fld="5" subtotal="sum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 colGrandTotals="0">
  <location ref="A8:C22" firstHeaderRow="1" firstDataRow="2" firstDataCol="1"/>
  <pivotFields count="10">
    <pivotField compact="0" showAll="0"/>
    <pivotField compact="0" showAll="0"/>
    <pivotField compact="0" showAll="0"/>
    <pivotField compact="0" showAll="0"/>
    <pivotField axis="axisRow" compact="0" outline="0" showAll="0" defaultSubtotal="0">
      <items count="12">
        <item x="4"/>
        <item x="3"/>
        <item x="8"/>
        <item x="0"/>
        <item x="7"/>
        <item x="6"/>
        <item x="5"/>
        <item x="1"/>
        <item x="11"/>
        <item x="10"/>
        <item x="9"/>
        <item x="2"/>
      </items>
    </pivotField>
    <pivotField dataField="1" compact="0" outline="0" showAll="0"/>
    <pivotField axis="axisCol" compact="0" outline="0" showAll="0" defaultSubtotal="0">
      <items count="2">
        <item x="0"/>
        <item x="1"/>
      </items>
    </pivotField>
    <pivotField compact="0" showAll="0"/>
    <pivotField compact="0" showAll="0"/>
    <pivotField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2">
    <i>
      <x/>
    </i>
    <i>
      <x v="1"/>
    </i>
  </colItems>
  <dataFields count="1">
    <dataField name="Soma - Valor da Movimentação" fld="5" subtotal="sum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4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 rowGrandTotals="0" colGrandTotals="0">
  <location ref="G6:H11" firstHeaderRow="1" firstDataRow="1" firstDataCol="1"/>
  <pivotFields count="1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showAll="0"/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.ibb.co/DznB5q4/Itau.png" TargetMode="External"/><Relationship Id="rId2" Type="http://schemas.openxmlformats.org/officeDocument/2006/relationships/hyperlink" Target="https://i.ibb.co/LpJM38D/Nubank.png" TargetMode="External"/><Relationship Id="rId3" Type="http://schemas.openxmlformats.org/officeDocument/2006/relationships/hyperlink" Target="https://i.ibb.co/DznB5q4/Itau.png" TargetMode="External"/><Relationship Id="rId4" Type="http://schemas.openxmlformats.org/officeDocument/2006/relationships/hyperlink" Target="https://i.ibb.co/DznB5q4/Itau.png" TargetMode="External"/><Relationship Id="rId5" Type="http://schemas.openxmlformats.org/officeDocument/2006/relationships/hyperlink" Target="https://i.ibb.co/DznB5q4/Itau.png" TargetMode="External"/><Relationship Id="rId6" Type="http://schemas.openxmlformats.org/officeDocument/2006/relationships/hyperlink" Target="https://i.ibb.co/DznB5q4/Itau.png" TargetMode="External"/><Relationship Id="rId7" Type="http://schemas.openxmlformats.org/officeDocument/2006/relationships/hyperlink" Target="https://i.ibb.co/DznB5q4/Itau.png" TargetMode="External"/><Relationship Id="rId8" Type="http://schemas.openxmlformats.org/officeDocument/2006/relationships/hyperlink" Target="https://i.ibb.co/DznB5q4/Itau.png" TargetMode="External"/><Relationship Id="rId9" Type="http://schemas.openxmlformats.org/officeDocument/2006/relationships/hyperlink" Target="https://i.ibb.co/DznB5q4/Itau.png" TargetMode="External"/><Relationship Id="rId10" Type="http://schemas.openxmlformats.org/officeDocument/2006/relationships/hyperlink" Target="https://i.ibb.co/DznB5q4/Itau.png" TargetMode="External"/><Relationship Id="rId11" Type="http://schemas.openxmlformats.org/officeDocument/2006/relationships/hyperlink" Target="https://i.ibb.co/DznB5q4/Itau.png" TargetMode="External"/><Relationship Id="rId12" Type="http://schemas.openxmlformats.org/officeDocument/2006/relationships/hyperlink" Target="https://i.ibb.co/DznB5q4/Itau.png" TargetMode="External"/><Relationship Id="rId13" Type="http://schemas.openxmlformats.org/officeDocument/2006/relationships/hyperlink" Target="https://i.ibb.co/DznB5q4/Itau.png" TargetMode="External"/><Relationship Id="rId14" Type="http://schemas.openxmlformats.org/officeDocument/2006/relationships/hyperlink" Target="https://i.ibb.co/DznB5q4/Itau.png" TargetMode="External"/><Relationship Id="rId15" Type="http://schemas.openxmlformats.org/officeDocument/2006/relationships/hyperlink" Target="https://i.ibb.co/DznB5q4/Itau.png" TargetMode="External"/><Relationship Id="rId16" Type="http://schemas.openxmlformats.org/officeDocument/2006/relationships/hyperlink" Target="https://i.ibb.co/DznB5q4/Itau.png" TargetMode="External"/><Relationship Id="rId17" Type="http://schemas.openxmlformats.org/officeDocument/2006/relationships/hyperlink" Target="https://i.ibb.co/DznB5q4/Itau.png" TargetMode="External"/><Relationship Id="rId18" Type="http://schemas.openxmlformats.org/officeDocument/2006/relationships/hyperlink" Target="https://i.ibb.co/DznB5q4/Itau.png" TargetMode="External"/><Relationship Id="rId19" Type="http://schemas.openxmlformats.org/officeDocument/2006/relationships/hyperlink" Target="https://i.ibb.co/DznB5q4/Itau.png" TargetMode="External"/><Relationship Id="rId20" Type="http://schemas.openxmlformats.org/officeDocument/2006/relationships/hyperlink" Target="https://i.ibb.co/DznB5q4/Itau.png" TargetMode="External"/><Relationship Id="rId21" Type="http://schemas.openxmlformats.org/officeDocument/2006/relationships/hyperlink" Target="https://i.ibb.co/DznB5q4/Itau.png" TargetMode="External"/><Relationship Id="rId22" Type="http://schemas.openxmlformats.org/officeDocument/2006/relationships/hyperlink" Target="https://i.ibb.co/DznB5q4/Itau.png" TargetMode="External"/><Relationship Id="rId23" Type="http://schemas.openxmlformats.org/officeDocument/2006/relationships/hyperlink" Target="https://i.ibb.co/DznB5q4/Itau.png" TargetMode="External"/><Relationship Id="rId24" Type="http://schemas.openxmlformats.org/officeDocument/2006/relationships/hyperlink" Target="https://i.ibb.co/DznB5q4/Itau.png" TargetMode="External"/><Relationship Id="rId25" Type="http://schemas.openxmlformats.org/officeDocument/2006/relationships/hyperlink" Target="https://i.ibb.co/DznB5q4/Itau.png" TargetMode="External"/><Relationship Id="rId26" Type="http://schemas.openxmlformats.org/officeDocument/2006/relationships/hyperlink" Target="https://i.ibb.co/DznB5q4/Itau.png" TargetMode="External"/><Relationship Id="rId27" Type="http://schemas.openxmlformats.org/officeDocument/2006/relationships/hyperlink" Target="https://i.ibb.co/DznB5q4/Itau.png" TargetMode="External"/><Relationship Id="rId28" Type="http://schemas.openxmlformats.org/officeDocument/2006/relationships/hyperlink" Target="https://i.ibb.co/DznB5q4/Itau.png" TargetMode="External"/><Relationship Id="rId29" Type="http://schemas.openxmlformats.org/officeDocument/2006/relationships/hyperlink" Target="https://i.ibb.co/DznB5q4/Itau.png" TargetMode="External"/><Relationship Id="rId30" Type="http://schemas.openxmlformats.org/officeDocument/2006/relationships/hyperlink" Target="https://i.ibb.co/DznB5q4/Itau.png" TargetMode="External"/><Relationship Id="rId31" Type="http://schemas.openxmlformats.org/officeDocument/2006/relationships/hyperlink" Target="https://i.ibb.co/DznB5q4/Itau.png" TargetMode="External"/><Relationship Id="rId32" Type="http://schemas.openxmlformats.org/officeDocument/2006/relationships/hyperlink" Target="https://i.ibb.co/DznB5q4/Itau.png" TargetMode="External"/><Relationship Id="rId33" Type="http://schemas.openxmlformats.org/officeDocument/2006/relationships/hyperlink" Target="https://i.ibb.co/DznB5q4/Itau.png" TargetMode="External"/><Relationship Id="rId34" Type="http://schemas.openxmlformats.org/officeDocument/2006/relationships/hyperlink" Target="https://i.ibb.co/DznB5q4/Itau.png" TargetMode="External"/><Relationship Id="rId35" Type="http://schemas.openxmlformats.org/officeDocument/2006/relationships/hyperlink" Target="https://i.ibb.co/DznB5q4/Itau.png" TargetMode="External"/><Relationship Id="rId36" Type="http://schemas.openxmlformats.org/officeDocument/2006/relationships/hyperlink" Target="https://i.ibb.co/DznB5q4/Itau.png" TargetMode="External"/><Relationship Id="rId37" Type="http://schemas.openxmlformats.org/officeDocument/2006/relationships/hyperlink" Target="https://i.ibb.co/DznB5q4/Itau.png" TargetMode="External"/><Relationship Id="rId38" Type="http://schemas.openxmlformats.org/officeDocument/2006/relationships/hyperlink" Target="https://i.ibb.co/DznB5q4/Itau.png" TargetMode="External"/><Relationship Id="rId39" Type="http://schemas.openxmlformats.org/officeDocument/2006/relationships/hyperlink" Target="https://i.ibb.co/DznB5q4/Itau.png" TargetMode="External"/><Relationship Id="rId40" Type="http://schemas.openxmlformats.org/officeDocument/2006/relationships/hyperlink" Target="https://i.ibb.co/DznB5q4/Itau.png" TargetMode="External"/><Relationship Id="rId41" Type="http://schemas.openxmlformats.org/officeDocument/2006/relationships/hyperlink" Target="https://i.ibb.co/DznB5q4/Itau.png" TargetMode="External"/><Relationship Id="rId42" Type="http://schemas.openxmlformats.org/officeDocument/2006/relationships/hyperlink" Target="https://i.ibb.co/DznB5q4/Itau.png" TargetMode="External"/><Relationship Id="rId43" Type="http://schemas.openxmlformats.org/officeDocument/2006/relationships/hyperlink" Target="https://i.ibb.co/DznB5q4/Itau.png" TargetMode="External"/><Relationship Id="rId44" Type="http://schemas.openxmlformats.org/officeDocument/2006/relationships/hyperlink" Target="https://i.ibb.co/DznB5q4/Itau.png" TargetMode="External"/><Relationship Id="rId45" Type="http://schemas.openxmlformats.org/officeDocument/2006/relationships/hyperlink" Target="https://i.ibb.co/DznB5q4/Itau.png" TargetMode="External"/><Relationship Id="rId46" Type="http://schemas.openxmlformats.org/officeDocument/2006/relationships/hyperlink" Target="https://i.ibb.co/DznB5q4/Itau.png" TargetMode="External"/><Relationship Id="rId47" Type="http://schemas.openxmlformats.org/officeDocument/2006/relationships/hyperlink" Target="https://i.ibb.co/DznB5q4/Itau.png" TargetMode="External"/><Relationship Id="rId48" Type="http://schemas.openxmlformats.org/officeDocument/2006/relationships/hyperlink" Target="https://i.ibb.co/DznB5q4/Itau.png" TargetMode="External"/><Relationship Id="rId49" Type="http://schemas.openxmlformats.org/officeDocument/2006/relationships/hyperlink" Target="https://i.ibb.co/DznB5q4/Itau.png" TargetMode="External"/><Relationship Id="rId50" Type="http://schemas.openxmlformats.org/officeDocument/2006/relationships/hyperlink" Target="https://i.ibb.co/DznB5q4/Itau.png" TargetMode="External"/><Relationship Id="rId51" Type="http://schemas.openxmlformats.org/officeDocument/2006/relationships/hyperlink" Target="https://i.ibb.co/DznB5q4/Itau.png" TargetMode="External"/><Relationship Id="rId52" Type="http://schemas.openxmlformats.org/officeDocument/2006/relationships/hyperlink" Target="https://i.ibb.co/DznB5q4/Itau.png" TargetMode="External"/><Relationship Id="rId53" Type="http://schemas.openxmlformats.org/officeDocument/2006/relationships/hyperlink" Target="https://i.ibb.co/DznB5q4/Itau.png" TargetMode="External"/><Relationship Id="rId54" Type="http://schemas.openxmlformats.org/officeDocument/2006/relationships/hyperlink" Target="https://i.ibb.co/DznB5q4/Itau.png" TargetMode="External"/><Relationship Id="rId55" Type="http://schemas.openxmlformats.org/officeDocument/2006/relationships/hyperlink" Target="https://i.ibb.co/DznB5q4/Itau.png" TargetMode="External"/><Relationship Id="rId56" Type="http://schemas.openxmlformats.org/officeDocument/2006/relationships/hyperlink" Target="https://i.ibb.co/DznB5q4/Itau.png" TargetMode="External"/><Relationship Id="rId57" Type="http://schemas.openxmlformats.org/officeDocument/2006/relationships/hyperlink" Target="https://i.ibb.co/DznB5q4/Itau.png" TargetMode="External"/><Relationship Id="rId58" Type="http://schemas.openxmlformats.org/officeDocument/2006/relationships/hyperlink" Target="https://i.ibb.co/DznB5q4/Itau.png" TargetMode="External"/><Relationship Id="rId59" Type="http://schemas.openxmlformats.org/officeDocument/2006/relationships/hyperlink" Target="https://i.ibb.co/DznB5q4/Itau.png" TargetMode="External"/><Relationship Id="rId60" Type="http://schemas.openxmlformats.org/officeDocument/2006/relationships/hyperlink" Target="https://i.ibb.co/DznB5q4/Itau.png" TargetMode="External"/><Relationship Id="rId61" Type="http://schemas.openxmlformats.org/officeDocument/2006/relationships/hyperlink" Target="https://i.ibb.co/DznB5q4/Itau.png" TargetMode="External"/><Relationship Id="rId62" Type="http://schemas.openxmlformats.org/officeDocument/2006/relationships/hyperlink" Target="https://i.ibb.co/DznB5q4/Itau.png" TargetMode="External"/><Relationship Id="rId63" Type="http://schemas.openxmlformats.org/officeDocument/2006/relationships/hyperlink" Target="https://i.ibb.co/DznB5q4/Itau.png" TargetMode="External"/><Relationship Id="rId64" Type="http://schemas.openxmlformats.org/officeDocument/2006/relationships/hyperlink" Target="https://i.ibb.co/DznB5q4/Itau.png" TargetMode="External"/><Relationship Id="rId65" Type="http://schemas.openxmlformats.org/officeDocument/2006/relationships/hyperlink" Target="https://i.ibb.co/DznB5q4/Itau.png" TargetMode="External"/><Relationship Id="rId66" Type="http://schemas.openxmlformats.org/officeDocument/2006/relationships/hyperlink" Target="https://i.ibb.co/DznB5q4/Itau.png" TargetMode="External"/><Relationship Id="rId67" Type="http://schemas.openxmlformats.org/officeDocument/2006/relationships/hyperlink" Target="https://i.ibb.co/DznB5q4/Itau.png" TargetMode="External"/><Relationship Id="rId68" Type="http://schemas.openxmlformats.org/officeDocument/2006/relationships/hyperlink" Target="https://i.ibb.co/DznB5q4/Itau.png" TargetMode="External"/><Relationship Id="rId69" Type="http://schemas.openxmlformats.org/officeDocument/2006/relationships/hyperlink" Target="https://i.ibb.co/DznB5q4/Itau.png" TargetMode="External"/><Relationship Id="rId70" Type="http://schemas.openxmlformats.org/officeDocument/2006/relationships/hyperlink" Target="https://i.ibb.co/DznB5q4/Itau.png" TargetMode="External"/><Relationship Id="rId71" Type="http://schemas.openxmlformats.org/officeDocument/2006/relationships/hyperlink" Target="https://i.ibb.co/DznB5q4/Itau.png" TargetMode="External"/><Relationship Id="rId72" Type="http://schemas.openxmlformats.org/officeDocument/2006/relationships/hyperlink" Target="https://i.ibb.co/DznB5q4/Itau.png" TargetMode="External"/><Relationship Id="rId73" Type="http://schemas.openxmlformats.org/officeDocument/2006/relationships/hyperlink" Target="https://i.ibb.co/DznB5q4/Itau.png" TargetMode="External"/><Relationship Id="rId74" Type="http://schemas.openxmlformats.org/officeDocument/2006/relationships/hyperlink" Target="https://i.ibb.co/DznB5q4/Itau.png" TargetMode="External"/><Relationship Id="rId75" Type="http://schemas.openxmlformats.org/officeDocument/2006/relationships/hyperlink" Target="https://i.ibb.co/DznB5q4/Itau.png" TargetMode="External"/><Relationship Id="rId76" Type="http://schemas.openxmlformats.org/officeDocument/2006/relationships/hyperlink" Target="https://i.ibb.co/DznB5q4/Itau.png" TargetMode="External"/><Relationship Id="rId77" Type="http://schemas.openxmlformats.org/officeDocument/2006/relationships/hyperlink" Target="https://i.ibb.co/DznB5q4/Itau.png" TargetMode="External"/><Relationship Id="rId78" Type="http://schemas.openxmlformats.org/officeDocument/2006/relationships/hyperlink" Target="https://i.ibb.co/DznB5q4/Itau.png" TargetMode="External"/><Relationship Id="rId79" Type="http://schemas.openxmlformats.org/officeDocument/2006/relationships/hyperlink" Target="https://i.ibb.co/DznB5q4/Itau.png" TargetMode="External"/><Relationship Id="rId80" Type="http://schemas.openxmlformats.org/officeDocument/2006/relationships/hyperlink" Target="https://i.ibb.co/DznB5q4/Itau.png" TargetMode="External"/><Relationship Id="rId81" Type="http://schemas.openxmlformats.org/officeDocument/2006/relationships/hyperlink" Target="https://i.ibb.co/DznB5q4/Itau.png" TargetMode="External"/><Relationship Id="rId82" Type="http://schemas.openxmlformats.org/officeDocument/2006/relationships/hyperlink" Target="https://i.ibb.co/DznB5q4/Itau.png" TargetMode="External"/><Relationship Id="rId83" Type="http://schemas.openxmlformats.org/officeDocument/2006/relationships/hyperlink" Target="https://i.ibb.co/DznB5q4/Itau.png" TargetMode="External"/><Relationship Id="rId84" Type="http://schemas.openxmlformats.org/officeDocument/2006/relationships/hyperlink" Target="https://i.ibb.co/DznB5q4/Itau.png" TargetMode="External"/><Relationship Id="rId85" Type="http://schemas.openxmlformats.org/officeDocument/2006/relationships/hyperlink" Target="https://i.ibb.co/DznB5q4/Itau.png" TargetMode="External"/><Relationship Id="rId86" Type="http://schemas.openxmlformats.org/officeDocument/2006/relationships/hyperlink" Target="https://i.ibb.co/DznB5q4/Itau.png" TargetMode="External"/><Relationship Id="rId87" Type="http://schemas.openxmlformats.org/officeDocument/2006/relationships/hyperlink" Target="https://i.ibb.co/DznB5q4/Itau.png" TargetMode="External"/><Relationship Id="rId88" Type="http://schemas.openxmlformats.org/officeDocument/2006/relationships/hyperlink" Target="https://i.ibb.co/DznB5q4/Itau.png" TargetMode="External"/><Relationship Id="rId89" Type="http://schemas.openxmlformats.org/officeDocument/2006/relationships/hyperlink" Target="https://i.ibb.co/DznB5q4/Itau.png" TargetMode="External"/><Relationship Id="rId90" Type="http://schemas.openxmlformats.org/officeDocument/2006/relationships/hyperlink" Target="https://i.ibb.co/DznB5q4/Itau.png" TargetMode="External"/><Relationship Id="rId91" Type="http://schemas.openxmlformats.org/officeDocument/2006/relationships/hyperlink" Target="https://i.ibb.co/DznB5q4/Itau.png" TargetMode="External"/><Relationship Id="rId92" Type="http://schemas.openxmlformats.org/officeDocument/2006/relationships/hyperlink" Target="https://i.ibb.co/DznB5q4/Itau.png" TargetMode="External"/><Relationship Id="rId93" Type="http://schemas.openxmlformats.org/officeDocument/2006/relationships/hyperlink" Target="https://i.ibb.co/DznB5q4/Itau.png" TargetMode="External"/><Relationship Id="rId94" Type="http://schemas.openxmlformats.org/officeDocument/2006/relationships/hyperlink" Target="https://i.ibb.co/DznB5q4/Itau.png" TargetMode="External"/><Relationship Id="rId95" Type="http://schemas.openxmlformats.org/officeDocument/2006/relationships/hyperlink" Target="https://i.ibb.co/DznB5q4/Itau.png" TargetMode="External"/><Relationship Id="rId96" Type="http://schemas.openxmlformats.org/officeDocument/2006/relationships/hyperlink" Target="https://i.ibb.co/DznB5q4/Itau.png" TargetMode="External"/><Relationship Id="rId97" Type="http://schemas.openxmlformats.org/officeDocument/2006/relationships/hyperlink" Target="https://i.ibb.co/DznB5q4/Itau.png" TargetMode="External"/><Relationship Id="rId98" Type="http://schemas.openxmlformats.org/officeDocument/2006/relationships/hyperlink" Target="https://i.ibb.co/DznB5q4/Itau.png" TargetMode="External"/><Relationship Id="rId99" Type="http://schemas.openxmlformats.org/officeDocument/2006/relationships/hyperlink" Target="https://i.ibb.co/DznB5q4/Itau.png" TargetMode="External"/><Relationship Id="rId100" Type="http://schemas.openxmlformats.org/officeDocument/2006/relationships/hyperlink" Target="https://i.ibb.co/DznB5q4/Itau.png" TargetMode="External"/><Relationship Id="rId101" Type="http://schemas.openxmlformats.org/officeDocument/2006/relationships/hyperlink" Target="https://i.ibb.co/DznB5q4/Itau.png" TargetMode="External"/><Relationship Id="rId102" Type="http://schemas.openxmlformats.org/officeDocument/2006/relationships/hyperlink" Target="https://i.ibb.co/DznB5q4/Itau.png" TargetMode="External"/><Relationship Id="rId103" Type="http://schemas.openxmlformats.org/officeDocument/2006/relationships/hyperlink" Target="https://i.ibb.co/DznB5q4/Itau.png" TargetMode="External"/><Relationship Id="rId104" Type="http://schemas.openxmlformats.org/officeDocument/2006/relationships/hyperlink" Target="https://i.ibb.co/DznB5q4/Itau.png" TargetMode="External"/><Relationship Id="rId105" Type="http://schemas.openxmlformats.org/officeDocument/2006/relationships/hyperlink" Target="https://i.ibb.co/DznB5q4/Itau.png" TargetMode="External"/><Relationship Id="rId106" Type="http://schemas.openxmlformats.org/officeDocument/2006/relationships/hyperlink" Target="https://i.ibb.co/DznB5q4/Itau.png" TargetMode="External"/><Relationship Id="rId107" Type="http://schemas.openxmlformats.org/officeDocument/2006/relationships/hyperlink" Target="https://i.ibb.co/DznB5q4/Itau.png" TargetMode="External"/><Relationship Id="rId108" Type="http://schemas.openxmlformats.org/officeDocument/2006/relationships/hyperlink" Target="https://i.ibb.co/DznB5q4/Itau.png" TargetMode="External"/><Relationship Id="rId109" Type="http://schemas.openxmlformats.org/officeDocument/2006/relationships/hyperlink" Target="https://i.ibb.co/DznB5q4/Itau.png" TargetMode="External"/><Relationship Id="rId110" Type="http://schemas.openxmlformats.org/officeDocument/2006/relationships/hyperlink" Target="https://i.ibb.co/DznB5q4/Itau.png" TargetMode="External"/><Relationship Id="rId111" Type="http://schemas.openxmlformats.org/officeDocument/2006/relationships/hyperlink" Target="https://i.ibb.co/DznB5q4/Itau.png" TargetMode="External"/><Relationship Id="rId112" Type="http://schemas.openxmlformats.org/officeDocument/2006/relationships/hyperlink" Target="https://i.ibb.co/DznB5q4/Itau.png" TargetMode="External"/><Relationship Id="rId113" Type="http://schemas.openxmlformats.org/officeDocument/2006/relationships/hyperlink" Target="https://i.ibb.co/DznB5q4/Itau.png" TargetMode="External"/><Relationship Id="rId114" Type="http://schemas.openxmlformats.org/officeDocument/2006/relationships/hyperlink" Target="https://i.ibb.co/DznB5q4/Itau.png" TargetMode="External"/><Relationship Id="rId115" Type="http://schemas.openxmlformats.org/officeDocument/2006/relationships/hyperlink" Target="https://i.ibb.co/DznB5q4/Itau.png" TargetMode="External"/><Relationship Id="rId116" Type="http://schemas.openxmlformats.org/officeDocument/2006/relationships/hyperlink" Target="https://i.ibb.co/DznB5q4/Itau.png" TargetMode="External"/><Relationship Id="rId117" Type="http://schemas.openxmlformats.org/officeDocument/2006/relationships/hyperlink" Target="https://i.ibb.co/DznB5q4/Itau.png" TargetMode="External"/><Relationship Id="rId118" Type="http://schemas.openxmlformats.org/officeDocument/2006/relationships/hyperlink" Target="https://i.ibb.co/DznB5q4/Itau.png" TargetMode="External"/><Relationship Id="rId119" Type="http://schemas.openxmlformats.org/officeDocument/2006/relationships/hyperlink" Target="https://i.ibb.co/DznB5q4/Itau.png" TargetMode="External"/><Relationship Id="rId120" Type="http://schemas.openxmlformats.org/officeDocument/2006/relationships/hyperlink" Target="https://i.ibb.co/DznB5q4/Itau.png" TargetMode="External"/><Relationship Id="rId121" Type="http://schemas.openxmlformats.org/officeDocument/2006/relationships/hyperlink" Target="https://i.ibb.co/DznB5q4/Itau.png" TargetMode="External"/><Relationship Id="rId122" Type="http://schemas.openxmlformats.org/officeDocument/2006/relationships/hyperlink" Target="https://i.ibb.co/DznB5q4/Itau.png" TargetMode="External"/><Relationship Id="rId123" Type="http://schemas.openxmlformats.org/officeDocument/2006/relationships/hyperlink" Target="https://i.ibb.co/DznB5q4/Itau.png" TargetMode="External"/><Relationship Id="rId124" Type="http://schemas.openxmlformats.org/officeDocument/2006/relationships/hyperlink" Target="https://i.ibb.co/DznB5q4/Itau.png" TargetMode="External"/><Relationship Id="rId125" Type="http://schemas.openxmlformats.org/officeDocument/2006/relationships/hyperlink" Target="https://i.ibb.co/DznB5q4/Itau.png" TargetMode="External"/><Relationship Id="rId126" Type="http://schemas.openxmlformats.org/officeDocument/2006/relationships/hyperlink" Target="https://i.ibb.co/DznB5q4/Itau.png" TargetMode="External"/><Relationship Id="rId127" Type="http://schemas.openxmlformats.org/officeDocument/2006/relationships/hyperlink" Target="https://i.ibb.co/DznB5q4/Itau.png" TargetMode="External"/><Relationship Id="rId128" Type="http://schemas.openxmlformats.org/officeDocument/2006/relationships/hyperlink" Target="https://i.ibb.co/DznB5q4/Itau.png" TargetMode="External"/><Relationship Id="rId129" Type="http://schemas.openxmlformats.org/officeDocument/2006/relationships/hyperlink" Target="https://i.ibb.co/DznB5q4/Itau.png" TargetMode="External"/><Relationship Id="rId130" Type="http://schemas.openxmlformats.org/officeDocument/2006/relationships/hyperlink" Target="https://i.ibb.co/DznB5q4/Itau.png" TargetMode="External"/><Relationship Id="rId131" Type="http://schemas.openxmlformats.org/officeDocument/2006/relationships/hyperlink" Target="https://i.ibb.co/DznB5q4/Itau.png" TargetMode="External"/><Relationship Id="rId132" Type="http://schemas.openxmlformats.org/officeDocument/2006/relationships/hyperlink" Target="https://i.ibb.co/DznB5q4/Itau.png" TargetMode="External"/><Relationship Id="rId133" Type="http://schemas.openxmlformats.org/officeDocument/2006/relationships/hyperlink" Target="https://i.ibb.co/DznB5q4/Itau.png" TargetMode="External"/><Relationship Id="rId134" Type="http://schemas.openxmlformats.org/officeDocument/2006/relationships/hyperlink" Target="https://i.ibb.co/DznB5q4/Itau.png" TargetMode="External"/><Relationship Id="rId135" Type="http://schemas.openxmlformats.org/officeDocument/2006/relationships/hyperlink" Target="https://i.ibb.co/DznB5q4/Itau.png" TargetMode="External"/><Relationship Id="rId136" Type="http://schemas.openxmlformats.org/officeDocument/2006/relationships/hyperlink" Target="https://i.ibb.co/DznB5q4/Itau.png" TargetMode="External"/><Relationship Id="rId137" Type="http://schemas.openxmlformats.org/officeDocument/2006/relationships/hyperlink" Target="https://i.ibb.co/DznB5q4/Itau.png" TargetMode="External"/><Relationship Id="rId138" Type="http://schemas.openxmlformats.org/officeDocument/2006/relationships/hyperlink" Target="https://i.ibb.co/DznB5q4/Itau.png" TargetMode="External"/><Relationship Id="rId139" Type="http://schemas.openxmlformats.org/officeDocument/2006/relationships/hyperlink" Target="https://i.ibb.co/DznB5q4/Itau.png" TargetMode="External"/><Relationship Id="rId140" Type="http://schemas.openxmlformats.org/officeDocument/2006/relationships/hyperlink" Target="https://i.ibb.co/DznB5q4/Itau.png" TargetMode="External"/><Relationship Id="rId141" Type="http://schemas.openxmlformats.org/officeDocument/2006/relationships/hyperlink" Target="https://i.ibb.co/DznB5q4/Itau.png" TargetMode="External"/><Relationship Id="rId142" Type="http://schemas.openxmlformats.org/officeDocument/2006/relationships/hyperlink" Target="https://i.ibb.co/DznB5q4/Itau.png" TargetMode="External"/><Relationship Id="rId143" Type="http://schemas.openxmlformats.org/officeDocument/2006/relationships/hyperlink" Target="https://i.ibb.co/DznB5q4/Itau.png" TargetMode="External"/><Relationship Id="rId144" Type="http://schemas.openxmlformats.org/officeDocument/2006/relationships/hyperlink" Target="https://i.ibb.co/DznB5q4/Itau.png" TargetMode="External"/><Relationship Id="rId145" Type="http://schemas.openxmlformats.org/officeDocument/2006/relationships/hyperlink" Target="https://i.ibb.co/DznB5q4/Itau.png" TargetMode="External"/><Relationship Id="rId146" Type="http://schemas.openxmlformats.org/officeDocument/2006/relationships/hyperlink" Target="https://i.ibb.co/DznB5q4/Itau.png" TargetMode="External"/><Relationship Id="rId147" Type="http://schemas.openxmlformats.org/officeDocument/2006/relationships/hyperlink" Target="https://i.ibb.co/DznB5q4/Itau.png" TargetMode="External"/><Relationship Id="rId148" Type="http://schemas.openxmlformats.org/officeDocument/2006/relationships/hyperlink" Target="https://i.ibb.co/DznB5q4/Itau.png" TargetMode="External"/><Relationship Id="rId149" Type="http://schemas.openxmlformats.org/officeDocument/2006/relationships/hyperlink" Target="https://i.ibb.co/DznB5q4/Itau.png" TargetMode="External"/><Relationship Id="rId150" Type="http://schemas.openxmlformats.org/officeDocument/2006/relationships/hyperlink" Target="https://i.ibb.co/DznB5q4/Itau.png" TargetMode="External"/><Relationship Id="rId151" Type="http://schemas.openxmlformats.org/officeDocument/2006/relationships/hyperlink" Target="https://i.ibb.co/DznB5q4/Itau.png" TargetMode="External"/><Relationship Id="rId152" Type="http://schemas.openxmlformats.org/officeDocument/2006/relationships/hyperlink" Target="https://i.ibb.co/DznB5q4/Itau.png" TargetMode="External"/><Relationship Id="rId153" Type="http://schemas.openxmlformats.org/officeDocument/2006/relationships/hyperlink" Target="https://i.ibb.co/DznB5q4/Itau.png" TargetMode="External"/><Relationship Id="rId154" Type="http://schemas.openxmlformats.org/officeDocument/2006/relationships/hyperlink" Target="https://i.ibb.co/DznB5q4/Itau.png" TargetMode="External"/><Relationship Id="rId155" Type="http://schemas.openxmlformats.org/officeDocument/2006/relationships/hyperlink" Target="https://i.ibb.co/DznB5q4/Itau.png" TargetMode="External"/><Relationship Id="rId156" Type="http://schemas.openxmlformats.org/officeDocument/2006/relationships/hyperlink" Target="https://i.ibb.co/DznB5q4/Itau.png" TargetMode="External"/><Relationship Id="rId157" Type="http://schemas.openxmlformats.org/officeDocument/2006/relationships/hyperlink" Target="https://i.ibb.co/DznB5q4/Itau.png" TargetMode="External"/><Relationship Id="rId158" Type="http://schemas.openxmlformats.org/officeDocument/2006/relationships/hyperlink" Target="https://i.ibb.co/DznB5q4/Itau.png" TargetMode="External"/><Relationship Id="rId159" Type="http://schemas.openxmlformats.org/officeDocument/2006/relationships/hyperlink" Target="https://i.ibb.co/DznB5q4/Itau.png" TargetMode="External"/><Relationship Id="rId160" Type="http://schemas.openxmlformats.org/officeDocument/2006/relationships/hyperlink" Target="https://i.ibb.co/DznB5q4/Itau.png" TargetMode="External"/><Relationship Id="rId161" Type="http://schemas.openxmlformats.org/officeDocument/2006/relationships/hyperlink" Target="https://i.ibb.co/DznB5q4/Itau.png" TargetMode="External"/><Relationship Id="rId162" Type="http://schemas.openxmlformats.org/officeDocument/2006/relationships/hyperlink" Target="https://i.ibb.co/DznB5q4/Itau.png" TargetMode="External"/><Relationship Id="rId163" Type="http://schemas.openxmlformats.org/officeDocument/2006/relationships/hyperlink" Target="https://i.ibb.co/DznB5q4/Itau.png" TargetMode="External"/><Relationship Id="rId164" Type="http://schemas.openxmlformats.org/officeDocument/2006/relationships/hyperlink" Target="https://i.ibb.co/DznB5q4/Itau.png" TargetMode="External"/><Relationship Id="rId165" Type="http://schemas.openxmlformats.org/officeDocument/2006/relationships/hyperlink" Target="https://i.ibb.co/DznB5q4/Itau.png" TargetMode="External"/><Relationship Id="rId166" Type="http://schemas.openxmlformats.org/officeDocument/2006/relationships/hyperlink" Target="https://i.ibb.co/DznB5q4/Itau.png" TargetMode="External"/><Relationship Id="rId167" Type="http://schemas.openxmlformats.org/officeDocument/2006/relationships/hyperlink" Target="https://i.ibb.co/DznB5q4/Itau.png" TargetMode="External"/><Relationship Id="rId168" Type="http://schemas.openxmlformats.org/officeDocument/2006/relationships/hyperlink" Target="https://i.ibb.co/DznB5q4/Itau.png" TargetMode="External"/><Relationship Id="rId169" Type="http://schemas.openxmlformats.org/officeDocument/2006/relationships/hyperlink" Target="https://i.ibb.co/DznB5q4/Itau.png" TargetMode="External"/><Relationship Id="rId170" Type="http://schemas.openxmlformats.org/officeDocument/2006/relationships/hyperlink" Target="https://i.ibb.co/DznB5q4/Itau.png" TargetMode="External"/><Relationship Id="rId171" Type="http://schemas.openxmlformats.org/officeDocument/2006/relationships/hyperlink" Target="https://i.ibb.co/DznB5q4/Itau.png" TargetMode="External"/><Relationship Id="rId172" Type="http://schemas.openxmlformats.org/officeDocument/2006/relationships/hyperlink" Target="https://i.ibb.co/DznB5q4/Itau.png" TargetMode="External"/><Relationship Id="rId173" Type="http://schemas.openxmlformats.org/officeDocument/2006/relationships/hyperlink" Target="https://i.ibb.co/DznB5q4/Itau.png" TargetMode="External"/><Relationship Id="rId174" Type="http://schemas.openxmlformats.org/officeDocument/2006/relationships/hyperlink" Target="https://i.ibb.co/DznB5q4/Itau.png" TargetMode="External"/><Relationship Id="rId175" Type="http://schemas.openxmlformats.org/officeDocument/2006/relationships/hyperlink" Target="https://i.ibb.co/DznB5q4/Itau.png" TargetMode="External"/><Relationship Id="rId176" Type="http://schemas.openxmlformats.org/officeDocument/2006/relationships/hyperlink" Target="https://i.ibb.co/DznB5q4/Itau.png" TargetMode="External"/><Relationship Id="rId177" Type="http://schemas.openxmlformats.org/officeDocument/2006/relationships/hyperlink" Target="https://i.ibb.co/DznB5q4/Itau.png" TargetMode="External"/><Relationship Id="rId178" Type="http://schemas.openxmlformats.org/officeDocument/2006/relationships/hyperlink" Target="https://i.ibb.co/DznB5q4/Itau.png" TargetMode="External"/><Relationship Id="rId179" Type="http://schemas.openxmlformats.org/officeDocument/2006/relationships/hyperlink" Target="https://i.ibb.co/DznB5q4/Itau.png" TargetMode="External"/><Relationship Id="rId180" Type="http://schemas.openxmlformats.org/officeDocument/2006/relationships/hyperlink" Target="https://i.ibb.co/DznB5q4/Itau.png" TargetMode="External"/><Relationship Id="rId181" Type="http://schemas.openxmlformats.org/officeDocument/2006/relationships/hyperlink" Target="https://i.ibb.co/DznB5q4/Itau.png" TargetMode="External"/><Relationship Id="rId182" Type="http://schemas.openxmlformats.org/officeDocument/2006/relationships/hyperlink" Target="https://i.ibb.co/DznB5q4/Itau.png" TargetMode="External"/><Relationship Id="rId183" Type="http://schemas.openxmlformats.org/officeDocument/2006/relationships/hyperlink" Target="https://i.ibb.co/DznB5q4/Itau.png" TargetMode="External"/><Relationship Id="rId184" Type="http://schemas.openxmlformats.org/officeDocument/2006/relationships/hyperlink" Target="https://i.ibb.co/DznB5q4/Itau.png" TargetMode="External"/><Relationship Id="rId185" Type="http://schemas.openxmlformats.org/officeDocument/2006/relationships/hyperlink" Target="https://i.ibb.co/DznB5q4/Itau.png" TargetMode="External"/><Relationship Id="rId186" Type="http://schemas.openxmlformats.org/officeDocument/2006/relationships/hyperlink" Target="https://i.ibb.co/DznB5q4/Itau.png" TargetMode="External"/><Relationship Id="rId187" Type="http://schemas.openxmlformats.org/officeDocument/2006/relationships/hyperlink" Target="https://i.ibb.co/DznB5q4/Itau.png" TargetMode="External"/><Relationship Id="rId188" Type="http://schemas.openxmlformats.org/officeDocument/2006/relationships/hyperlink" Target="https://i.ibb.co/DznB5q4/Itau.png" TargetMode="External"/><Relationship Id="rId189" Type="http://schemas.openxmlformats.org/officeDocument/2006/relationships/hyperlink" Target="https://i.ibb.co/DznB5q4/Itau.png" TargetMode="External"/><Relationship Id="rId190" Type="http://schemas.openxmlformats.org/officeDocument/2006/relationships/hyperlink" Target="https://i.ibb.co/DznB5q4/Itau.png" TargetMode="External"/><Relationship Id="rId191" Type="http://schemas.openxmlformats.org/officeDocument/2006/relationships/hyperlink" Target="https://i.ibb.co/DznB5q4/Itau.png" TargetMode="External"/><Relationship Id="rId192" Type="http://schemas.openxmlformats.org/officeDocument/2006/relationships/hyperlink" Target="https://i.ibb.co/DznB5q4/Itau.png" TargetMode="External"/><Relationship Id="rId193" Type="http://schemas.openxmlformats.org/officeDocument/2006/relationships/hyperlink" Target="https://i.ibb.co/DznB5q4/Itau.png" TargetMode="External"/><Relationship Id="rId194" Type="http://schemas.openxmlformats.org/officeDocument/2006/relationships/hyperlink" Target="https://i.ibb.co/DznB5q4/Itau.png" TargetMode="External"/><Relationship Id="rId195" Type="http://schemas.openxmlformats.org/officeDocument/2006/relationships/hyperlink" Target="https://i.ibb.co/DznB5q4/Itau.png" TargetMode="External"/><Relationship Id="rId196" Type="http://schemas.openxmlformats.org/officeDocument/2006/relationships/hyperlink" Target="https://i.ibb.co/DznB5q4/Itau.png" TargetMode="External"/><Relationship Id="rId197" Type="http://schemas.openxmlformats.org/officeDocument/2006/relationships/hyperlink" Target="https://i.ibb.co/DznB5q4/Itau.png" TargetMode="External"/><Relationship Id="rId198" Type="http://schemas.openxmlformats.org/officeDocument/2006/relationships/hyperlink" Target="https://i.ibb.co/DznB5q4/Itau.png" TargetMode="External"/><Relationship Id="rId199" Type="http://schemas.openxmlformats.org/officeDocument/2006/relationships/hyperlink" Target="https://i.ibb.co/DznB5q4/Itau.png" TargetMode="External"/><Relationship Id="rId200" Type="http://schemas.openxmlformats.org/officeDocument/2006/relationships/hyperlink" Target="https://i.ibb.co/DznB5q4/Itau.png" TargetMode="External"/><Relationship Id="rId201" Type="http://schemas.openxmlformats.org/officeDocument/2006/relationships/hyperlink" Target="https://i.ibb.co/DznB5q4/Itau.png" TargetMode="External"/><Relationship Id="rId202" Type="http://schemas.openxmlformats.org/officeDocument/2006/relationships/hyperlink" Target="https://i.ibb.co/DznB5q4/Itau.png" TargetMode="External"/><Relationship Id="rId203" Type="http://schemas.openxmlformats.org/officeDocument/2006/relationships/hyperlink" Target="https://i.ibb.co/DznB5q4/Itau.png" TargetMode="External"/><Relationship Id="rId204" Type="http://schemas.openxmlformats.org/officeDocument/2006/relationships/hyperlink" Target="https://i.ibb.co/DznB5q4/Itau.png" TargetMode="External"/><Relationship Id="rId205" Type="http://schemas.openxmlformats.org/officeDocument/2006/relationships/hyperlink" Target="https://i.ibb.co/DznB5q4/Itau.png" TargetMode="External"/><Relationship Id="rId206" Type="http://schemas.openxmlformats.org/officeDocument/2006/relationships/hyperlink" Target="https://i.ibb.co/DznB5q4/Itau.png" TargetMode="External"/><Relationship Id="rId207" Type="http://schemas.openxmlformats.org/officeDocument/2006/relationships/hyperlink" Target="https://i.ibb.co/DznB5q4/Itau.png" TargetMode="External"/><Relationship Id="rId208" Type="http://schemas.openxmlformats.org/officeDocument/2006/relationships/hyperlink" Target="https://i.ibb.co/DznB5q4/Itau.png" TargetMode="External"/><Relationship Id="rId209" Type="http://schemas.openxmlformats.org/officeDocument/2006/relationships/hyperlink" Target="https://i.ibb.co/DznB5q4/Itau.png" TargetMode="External"/><Relationship Id="rId210" Type="http://schemas.openxmlformats.org/officeDocument/2006/relationships/hyperlink" Target="https://i.ibb.co/DznB5q4/Itau.png" TargetMode="External"/><Relationship Id="rId211" Type="http://schemas.openxmlformats.org/officeDocument/2006/relationships/hyperlink" Target="https://i.ibb.co/DznB5q4/Itau.png" TargetMode="External"/><Relationship Id="rId212" Type="http://schemas.openxmlformats.org/officeDocument/2006/relationships/hyperlink" Target="https://i.ibb.co/DznB5q4/Itau.png" TargetMode="External"/><Relationship Id="rId213" Type="http://schemas.openxmlformats.org/officeDocument/2006/relationships/hyperlink" Target="https://i.ibb.co/DznB5q4/Itau.png" TargetMode="External"/><Relationship Id="rId214" Type="http://schemas.openxmlformats.org/officeDocument/2006/relationships/hyperlink" Target="https://i.ibb.co/DznB5q4/Itau.png" TargetMode="External"/><Relationship Id="rId215" Type="http://schemas.openxmlformats.org/officeDocument/2006/relationships/hyperlink" Target="https://i.ibb.co/DznB5q4/Itau.png" TargetMode="External"/><Relationship Id="rId216" Type="http://schemas.openxmlformats.org/officeDocument/2006/relationships/hyperlink" Target="https://i.ibb.co/DznB5q4/Itau.png" TargetMode="External"/><Relationship Id="rId217" Type="http://schemas.openxmlformats.org/officeDocument/2006/relationships/hyperlink" Target="https://i.ibb.co/DznB5q4/Itau.png" TargetMode="External"/><Relationship Id="rId218" Type="http://schemas.openxmlformats.org/officeDocument/2006/relationships/hyperlink" Target="https://i.ibb.co/DznB5q4/Itau.png" TargetMode="External"/><Relationship Id="rId219" Type="http://schemas.openxmlformats.org/officeDocument/2006/relationships/hyperlink" Target="https://i.ibb.co/DznB5q4/Itau.png" TargetMode="External"/><Relationship Id="rId220" Type="http://schemas.openxmlformats.org/officeDocument/2006/relationships/hyperlink" Target="https://i.ibb.co/DznB5q4/Itau.png" TargetMode="External"/><Relationship Id="rId221" Type="http://schemas.openxmlformats.org/officeDocument/2006/relationships/hyperlink" Target="https://i.ibb.co/DznB5q4/Itau.png" TargetMode="External"/><Relationship Id="rId222" Type="http://schemas.openxmlformats.org/officeDocument/2006/relationships/hyperlink" Target="https://i.ibb.co/DznB5q4/Itau.png" TargetMode="External"/><Relationship Id="rId223" Type="http://schemas.openxmlformats.org/officeDocument/2006/relationships/hyperlink" Target="https://i.ibb.co/DznB5q4/Itau.png" TargetMode="External"/><Relationship Id="rId224" Type="http://schemas.openxmlformats.org/officeDocument/2006/relationships/hyperlink" Target="https://i.ibb.co/DznB5q4/Itau.png" TargetMode="External"/><Relationship Id="rId225" Type="http://schemas.openxmlformats.org/officeDocument/2006/relationships/hyperlink" Target="https://i.ibb.co/DznB5q4/Itau.png" TargetMode="External"/><Relationship Id="rId226" Type="http://schemas.openxmlformats.org/officeDocument/2006/relationships/hyperlink" Target="https://i.ibb.co/DznB5q4/Itau.png" TargetMode="External"/><Relationship Id="rId227" Type="http://schemas.openxmlformats.org/officeDocument/2006/relationships/hyperlink" Target="https://i.ibb.co/DznB5q4/Itau.png" TargetMode="External"/><Relationship Id="rId228" Type="http://schemas.openxmlformats.org/officeDocument/2006/relationships/hyperlink" Target="https://i.ibb.co/DznB5q4/Itau.png" TargetMode="External"/><Relationship Id="rId229" Type="http://schemas.openxmlformats.org/officeDocument/2006/relationships/hyperlink" Target="https://i.ibb.co/DznB5q4/Itau.png" TargetMode="External"/><Relationship Id="rId230" Type="http://schemas.openxmlformats.org/officeDocument/2006/relationships/hyperlink" Target="https://i.ibb.co/DznB5q4/Itau.png" TargetMode="External"/><Relationship Id="rId231" Type="http://schemas.openxmlformats.org/officeDocument/2006/relationships/hyperlink" Target="https://i.ibb.co/DznB5q4/Itau.png" TargetMode="External"/><Relationship Id="rId232" Type="http://schemas.openxmlformats.org/officeDocument/2006/relationships/hyperlink" Target="https://i.ibb.co/DznB5q4/Itau.png" TargetMode="External"/><Relationship Id="rId233" Type="http://schemas.openxmlformats.org/officeDocument/2006/relationships/hyperlink" Target="https://i.ibb.co/DznB5q4/Itau.png" TargetMode="External"/><Relationship Id="rId234" Type="http://schemas.openxmlformats.org/officeDocument/2006/relationships/hyperlink" Target="https://i.ibb.co/DznB5q4/Itau.png" TargetMode="External"/><Relationship Id="rId235" Type="http://schemas.openxmlformats.org/officeDocument/2006/relationships/hyperlink" Target="https://i.ibb.co/DznB5q4/Itau.png" TargetMode="External"/><Relationship Id="rId236" Type="http://schemas.openxmlformats.org/officeDocument/2006/relationships/hyperlink" Target="https://i.ibb.co/DznB5q4/Itau.png" TargetMode="External"/><Relationship Id="rId237" Type="http://schemas.openxmlformats.org/officeDocument/2006/relationships/hyperlink" Target="https://i.ibb.co/DznB5q4/Itau.png" TargetMode="External"/><Relationship Id="rId238" Type="http://schemas.openxmlformats.org/officeDocument/2006/relationships/hyperlink" Target="https://i.ibb.co/DznB5q4/Itau.png" TargetMode="External"/><Relationship Id="rId239" Type="http://schemas.openxmlformats.org/officeDocument/2006/relationships/hyperlink" Target="https://i.ibb.co/DznB5q4/Itau.png" TargetMode="External"/><Relationship Id="rId240" Type="http://schemas.openxmlformats.org/officeDocument/2006/relationships/hyperlink" Target="https://i.ibb.co/DznB5q4/Itau.png" TargetMode="External"/><Relationship Id="rId241" Type="http://schemas.openxmlformats.org/officeDocument/2006/relationships/hyperlink" Target="https://i.ibb.co/DznB5q4/Itau.png" TargetMode="External"/><Relationship Id="rId242" Type="http://schemas.openxmlformats.org/officeDocument/2006/relationships/hyperlink" Target="https://i.ibb.co/DznB5q4/Itau.png" TargetMode="External"/><Relationship Id="rId243" Type="http://schemas.openxmlformats.org/officeDocument/2006/relationships/hyperlink" Target="https://i.ibb.co/DznB5q4/Itau.png" TargetMode="External"/><Relationship Id="rId244" Type="http://schemas.openxmlformats.org/officeDocument/2006/relationships/hyperlink" Target="https://i.ibb.co/DznB5q4/Itau.png" TargetMode="External"/><Relationship Id="rId245" Type="http://schemas.openxmlformats.org/officeDocument/2006/relationships/hyperlink" Target="https://i.ibb.co/DznB5q4/Itau.png" TargetMode="External"/><Relationship Id="rId246" Type="http://schemas.openxmlformats.org/officeDocument/2006/relationships/hyperlink" Target="https://i.ibb.co/DznB5q4/Itau.png" TargetMode="External"/><Relationship Id="rId247" Type="http://schemas.openxmlformats.org/officeDocument/2006/relationships/hyperlink" Target="https://i.ibb.co/DznB5q4/Itau.png" TargetMode="External"/><Relationship Id="rId248" Type="http://schemas.openxmlformats.org/officeDocument/2006/relationships/hyperlink" Target="https://i.ibb.co/DznB5q4/Itau.png" TargetMode="External"/><Relationship Id="rId249" Type="http://schemas.openxmlformats.org/officeDocument/2006/relationships/hyperlink" Target="https://i.ibb.co/DznB5q4/Itau.png" TargetMode="External"/><Relationship Id="rId250" Type="http://schemas.openxmlformats.org/officeDocument/2006/relationships/hyperlink" Target="https://i.ibb.co/DznB5q4/Itau.png" TargetMode="External"/><Relationship Id="rId251" Type="http://schemas.openxmlformats.org/officeDocument/2006/relationships/hyperlink" Target="https://i.ibb.co/DznB5q4/Itau.png" TargetMode="External"/><Relationship Id="rId252" Type="http://schemas.openxmlformats.org/officeDocument/2006/relationships/hyperlink" Target="https://i.ibb.co/DznB5q4/Itau.png" TargetMode="External"/><Relationship Id="rId253" Type="http://schemas.openxmlformats.org/officeDocument/2006/relationships/hyperlink" Target="https://i.ibb.co/DznB5q4/Itau.png" TargetMode="External"/><Relationship Id="rId254" Type="http://schemas.openxmlformats.org/officeDocument/2006/relationships/hyperlink" Target="https://i.ibb.co/DznB5q4/Itau.png" TargetMode="External"/><Relationship Id="rId255" Type="http://schemas.openxmlformats.org/officeDocument/2006/relationships/hyperlink" Target="https://i.ibb.co/DznB5q4/Itau.png" TargetMode="External"/><Relationship Id="rId256" Type="http://schemas.openxmlformats.org/officeDocument/2006/relationships/hyperlink" Target="https://i.ibb.co/DznB5q4/Itau.png" TargetMode="External"/><Relationship Id="rId257" Type="http://schemas.openxmlformats.org/officeDocument/2006/relationships/hyperlink" Target="https://i.ibb.co/DznB5q4/Itau.png" TargetMode="External"/><Relationship Id="rId258" Type="http://schemas.openxmlformats.org/officeDocument/2006/relationships/hyperlink" Target="https://i.ibb.co/DznB5q4/Itau.png" TargetMode="External"/><Relationship Id="rId259" Type="http://schemas.openxmlformats.org/officeDocument/2006/relationships/hyperlink" Target="https://i.ibb.co/DznB5q4/Itau.png" TargetMode="External"/><Relationship Id="rId260" Type="http://schemas.openxmlformats.org/officeDocument/2006/relationships/hyperlink" Target="https://i.ibb.co/DznB5q4/Itau.png" TargetMode="External"/><Relationship Id="rId261" Type="http://schemas.openxmlformats.org/officeDocument/2006/relationships/hyperlink" Target="https://i.ibb.co/DznB5q4/Itau.png" TargetMode="External"/><Relationship Id="rId262" Type="http://schemas.openxmlformats.org/officeDocument/2006/relationships/hyperlink" Target="https://i.ibb.co/DznB5q4/Itau.png" TargetMode="External"/><Relationship Id="rId263" Type="http://schemas.openxmlformats.org/officeDocument/2006/relationships/hyperlink" Target="https://i.ibb.co/DznB5q4/Itau.png" TargetMode="External"/><Relationship Id="rId264" Type="http://schemas.openxmlformats.org/officeDocument/2006/relationships/hyperlink" Target="https://i.ibb.co/DznB5q4/Itau.png" TargetMode="External"/><Relationship Id="rId265" Type="http://schemas.openxmlformats.org/officeDocument/2006/relationships/hyperlink" Target="https://i.ibb.co/DznB5q4/Itau.png" TargetMode="External"/><Relationship Id="rId266" Type="http://schemas.openxmlformats.org/officeDocument/2006/relationships/hyperlink" Target="https://i.ibb.co/DznB5q4/Itau.png" TargetMode="External"/><Relationship Id="rId267" Type="http://schemas.openxmlformats.org/officeDocument/2006/relationships/hyperlink" Target="https://i.ibb.co/DznB5q4/Itau.png" TargetMode="External"/><Relationship Id="rId268" Type="http://schemas.openxmlformats.org/officeDocument/2006/relationships/hyperlink" Target="https://i.ibb.co/DznB5q4/Itau.png" TargetMode="External"/><Relationship Id="rId269" Type="http://schemas.openxmlformats.org/officeDocument/2006/relationships/hyperlink" Target="https://i.ibb.co/DznB5q4/Itau.png" TargetMode="External"/><Relationship Id="rId270" Type="http://schemas.openxmlformats.org/officeDocument/2006/relationships/hyperlink" Target="https://i.ibb.co/DznB5q4/Itau.png" TargetMode="External"/><Relationship Id="rId271" Type="http://schemas.openxmlformats.org/officeDocument/2006/relationships/hyperlink" Target="https://i.ibb.co/DznB5q4/Itau.png" TargetMode="External"/><Relationship Id="rId272" Type="http://schemas.openxmlformats.org/officeDocument/2006/relationships/hyperlink" Target="https://i.ibb.co/DznB5q4/Itau.png" TargetMode="External"/><Relationship Id="rId273" Type="http://schemas.openxmlformats.org/officeDocument/2006/relationships/hyperlink" Target="https://i.ibb.co/DznB5q4/Itau.png" TargetMode="External"/><Relationship Id="rId274" Type="http://schemas.openxmlformats.org/officeDocument/2006/relationships/hyperlink" Target="https://i.ibb.co/DznB5q4/Itau.png" TargetMode="External"/><Relationship Id="rId275" Type="http://schemas.openxmlformats.org/officeDocument/2006/relationships/hyperlink" Target="https://i.ibb.co/DznB5q4/Itau.png" TargetMode="External"/><Relationship Id="rId276" Type="http://schemas.openxmlformats.org/officeDocument/2006/relationships/hyperlink" Target="https://i.ibb.co/DznB5q4/Itau.png" TargetMode="External"/><Relationship Id="rId277" Type="http://schemas.openxmlformats.org/officeDocument/2006/relationships/hyperlink" Target="https://i.ibb.co/DznB5q4/Itau.png" TargetMode="External"/><Relationship Id="rId278" Type="http://schemas.openxmlformats.org/officeDocument/2006/relationships/hyperlink" Target="https://i.ibb.co/DznB5q4/Itau.png" TargetMode="External"/><Relationship Id="rId279" Type="http://schemas.openxmlformats.org/officeDocument/2006/relationships/hyperlink" Target="https://i.ibb.co/DznB5q4/Itau.png" TargetMode="External"/><Relationship Id="rId280" Type="http://schemas.openxmlformats.org/officeDocument/2006/relationships/hyperlink" Target="https://i.ibb.co/DznB5q4/Itau.png" TargetMode="External"/><Relationship Id="rId281" Type="http://schemas.openxmlformats.org/officeDocument/2006/relationships/hyperlink" Target="https://i.ibb.co/DznB5q4/Itau.png" TargetMode="External"/><Relationship Id="rId282" Type="http://schemas.openxmlformats.org/officeDocument/2006/relationships/hyperlink" Target="https://i.ibb.co/DznB5q4/Itau.png" TargetMode="External"/><Relationship Id="rId283" Type="http://schemas.openxmlformats.org/officeDocument/2006/relationships/hyperlink" Target="https://i.ibb.co/DznB5q4/Itau.png" TargetMode="External"/><Relationship Id="rId284" Type="http://schemas.openxmlformats.org/officeDocument/2006/relationships/hyperlink" Target="https://i.ibb.co/DznB5q4/Itau.png" TargetMode="External"/><Relationship Id="rId285" Type="http://schemas.openxmlformats.org/officeDocument/2006/relationships/hyperlink" Target="https://i.ibb.co/DznB5q4/Itau.png" TargetMode="External"/><Relationship Id="rId286" Type="http://schemas.openxmlformats.org/officeDocument/2006/relationships/hyperlink" Target="https://i.ibb.co/DznB5q4/Itau.png" TargetMode="External"/><Relationship Id="rId287" Type="http://schemas.openxmlformats.org/officeDocument/2006/relationships/hyperlink" Target="https://i.ibb.co/DznB5q4/Itau.png" TargetMode="External"/><Relationship Id="rId288" Type="http://schemas.openxmlformats.org/officeDocument/2006/relationships/hyperlink" Target="https://i.ibb.co/DznB5q4/Itau.png" TargetMode="External"/><Relationship Id="rId289" Type="http://schemas.openxmlformats.org/officeDocument/2006/relationships/hyperlink" Target="https://i.ibb.co/DznB5q4/Itau.png" TargetMode="External"/><Relationship Id="rId290" Type="http://schemas.openxmlformats.org/officeDocument/2006/relationships/hyperlink" Target="https://i.ibb.co/DznB5q4/Itau.png" TargetMode="External"/><Relationship Id="rId291" Type="http://schemas.openxmlformats.org/officeDocument/2006/relationships/hyperlink" Target="https://i.ibb.co/DznB5q4/Itau.png" TargetMode="External"/><Relationship Id="rId292" Type="http://schemas.openxmlformats.org/officeDocument/2006/relationships/hyperlink" Target="https://i.ibb.co/DznB5q4/Itau.png" TargetMode="External"/><Relationship Id="rId293" Type="http://schemas.openxmlformats.org/officeDocument/2006/relationships/hyperlink" Target="https://i.ibb.co/DznB5q4/Itau.png" TargetMode="External"/><Relationship Id="rId294" Type="http://schemas.openxmlformats.org/officeDocument/2006/relationships/hyperlink" Target="https://i.ibb.co/DznB5q4/Itau.png" TargetMode="External"/><Relationship Id="rId295" Type="http://schemas.openxmlformats.org/officeDocument/2006/relationships/hyperlink" Target="https://i.ibb.co/DznB5q4/Itau.png" TargetMode="External"/><Relationship Id="rId296" Type="http://schemas.openxmlformats.org/officeDocument/2006/relationships/hyperlink" Target="https://i.ibb.co/DznB5q4/Itau.png" TargetMode="External"/><Relationship Id="rId297" Type="http://schemas.openxmlformats.org/officeDocument/2006/relationships/hyperlink" Target="https://i.ibb.co/DznB5q4/Itau.png" TargetMode="External"/><Relationship Id="rId298" Type="http://schemas.openxmlformats.org/officeDocument/2006/relationships/hyperlink" Target="https://i.ibb.co/DznB5q4/Itau.png" TargetMode="External"/><Relationship Id="rId299" Type="http://schemas.openxmlformats.org/officeDocument/2006/relationships/hyperlink" Target="https://i.ibb.co/DznB5q4/Itau.png" TargetMode="External"/><Relationship Id="rId300" Type="http://schemas.openxmlformats.org/officeDocument/2006/relationships/hyperlink" Target="https://i.ibb.co/DznB5q4/Itau.png" TargetMode="External"/><Relationship Id="rId301" Type="http://schemas.openxmlformats.org/officeDocument/2006/relationships/hyperlink" Target="https://i.ibb.co/DznB5q4/Itau.png" TargetMode="External"/><Relationship Id="rId302" Type="http://schemas.openxmlformats.org/officeDocument/2006/relationships/hyperlink" Target="https://i.ibb.co/DznB5q4/Itau.png" TargetMode="External"/><Relationship Id="rId303" Type="http://schemas.openxmlformats.org/officeDocument/2006/relationships/hyperlink" Target="https://i.ibb.co/DznB5q4/Itau.png" TargetMode="External"/><Relationship Id="rId304" Type="http://schemas.openxmlformats.org/officeDocument/2006/relationships/hyperlink" Target="https://i.ibb.co/DznB5q4/Itau.png" TargetMode="External"/><Relationship Id="rId305" Type="http://schemas.openxmlformats.org/officeDocument/2006/relationships/hyperlink" Target="https://i.ibb.co/DznB5q4/Itau.png" TargetMode="External"/><Relationship Id="rId306" Type="http://schemas.openxmlformats.org/officeDocument/2006/relationships/hyperlink" Target="https://i.ibb.co/DznB5q4/Itau.png" TargetMode="External"/><Relationship Id="rId307" Type="http://schemas.openxmlformats.org/officeDocument/2006/relationships/hyperlink" Target="https://i.ibb.co/DznB5q4/Itau.png" TargetMode="External"/><Relationship Id="rId308" Type="http://schemas.openxmlformats.org/officeDocument/2006/relationships/hyperlink" Target="https://i.ibb.co/DznB5q4/Itau.png" TargetMode="External"/><Relationship Id="rId309" Type="http://schemas.openxmlformats.org/officeDocument/2006/relationships/hyperlink" Target="https://i.ibb.co/DznB5q4/Itau.png" TargetMode="External"/><Relationship Id="rId310" Type="http://schemas.openxmlformats.org/officeDocument/2006/relationships/hyperlink" Target="https://i.ibb.co/DznB5q4/Itau.png" TargetMode="External"/><Relationship Id="rId311" Type="http://schemas.openxmlformats.org/officeDocument/2006/relationships/hyperlink" Target="https://i.ibb.co/DznB5q4/Itau.png" TargetMode="External"/><Relationship Id="rId312" Type="http://schemas.openxmlformats.org/officeDocument/2006/relationships/hyperlink" Target="https://i.ibb.co/DznB5q4/Itau.png" TargetMode="External"/><Relationship Id="rId313" Type="http://schemas.openxmlformats.org/officeDocument/2006/relationships/hyperlink" Target="https://i.ibb.co/DznB5q4/Itau.png" TargetMode="External"/><Relationship Id="rId314" Type="http://schemas.openxmlformats.org/officeDocument/2006/relationships/hyperlink" Target="https://i.ibb.co/DznB5q4/Itau.png" TargetMode="External"/><Relationship Id="rId315" Type="http://schemas.openxmlformats.org/officeDocument/2006/relationships/hyperlink" Target="https://i.ibb.co/DznB5q4/Itau.png" TargetMode="External"/><Relationship Id="rId316" Type="http://schemas.openxmlformats.org/officeDocument/2006/relationships/hyperlink" Target="https://i.ibb.co/DznB5q4/Itau.png" TargetMode="External"/><Relationship Id="rId317" Type="http://schemas.openxmlformats.org/officeDocument/2006/relationships/hyperlink" Target="https://i.ibb.co/DznB5q4/Itau.png" TargetMode="External"/><Relationship Id="rId318" Type="http://schemas.openxmlformats.org/officeDocument/2006/relationships/hyperlink" Target="https://i.ibb.co/DznB5q4/Itau.png" TargetMode="External"/><Relationship Id="rId319" Type="http://schemas.openxmlformats.org/officeDocument/2006/relationships/hyperlink" Target="https://i.ibb.co/DznB5q4/Itau.png" TargetMode="External"/><Relationship Id="rId320" Type="http://schemas.openxmlformats.org/officeDocument/2006/relationships/hyperlink" Target="https://i.ibb.co/DznB5q4/Itau.png" TargetMode="External"/><Relationship Id="rId321" Type="http://schemas.openxmlformats.org/officeDocument/2006/relationships/hyperlink" Target="https://i.ibb.co/DznB5q4/Itau.png" TargetMode="External"/><Relationship Id="rId322" Type="http://schemas.openxmlformats.org/officeDocument/2006/relationships/hyperlink" Target="https://i.ibb.co/DznB5q4/Itau.png" TargetMode="External"/><Relationship Id="rId323" Type="http://schemas.openxmlformats.org/officeDocument/2006/relationships/hyperlink" Target="https://i.ibb.co/DznB5q4/Itau.png" TargetMode="External"/><Relationship Id="rId324" Type="http://schemas.openxmlformats.org/officeDocument/2006/relationships/hyperlink" Target="https://i.ibb.co/DznB5q4/Itau.png" TargetMode="External"/><Relationship Id="rId325" Type="http://schemas.openxmlformats.org/officeDocument/2006/relationships/hyperlink" Target="https://i.ibb.co/DznB5q4/Itau.png" TargetMode="External"/><Relationship Id="rId326" Type="http://schemas.openxmlformats.org/officeDocument/2006/relationships/hyperlink" Target="https://i.ibb.co/DznB5q4/Itau.png" TargetMode="External"/><Relationship Id="rId327" Type="http://schemas.openxmlformats.org/officeDocument/2006/relationships/hyperlink" Target="https://i.ibb.co/DznB5q4/Itau.png" TargetMode="External"/><Relationship Id="rId328" Type="http://schemas.openxmlformats.org/officeDocument/2006/relationships/hyperlink" Target="https://i.ibb.co/DznB5q4/Itau.png" TargetMode="External"/><Relationship Id="rId329" Type="http://schemas.openxmlformats.org/officeDocument/2006/relationships/hyperlink" Target="https://i.ibb.co/DznB5q4/Itau.png" TargetMode="External"/><Relationship Id="rId330" Type="http://schemas.openxmlformats.org/officeDocument/2006/relationships/hyperlink" Target="https://i.ibb.co/DznB5q4/Itau.png" TargetMode="External"/><Relationship Id="rId331" Type="http://schemas.openxmlformats.org/officeDocument/2006/relationships/hyperlink" Target="https://i.ibb.co/DznB5q4/Itau.png" TargetMode="External"/><Relationship Id="rId332" Type="http://schemas.openxmlformats.org/officeDocument/2006/relationships/hyperlink" Target="https://i.ibb.co/DznB5q4/Itau.png" TargetMode="External"/><Relationship Id="rId333" Type="http://schemas.openxmlformats.org/officeDocument/2006/relationships/hyperlink" Target="https://i.ibb.co/DznB5q4/Itau.png" TargetMode="External"/><Relationship Id="rId334" Type="http://schemas.openxmlformats.org/officeDocument/2006/relationships/hyperlink" Target="https://i.ibb.co/DznB5q4/Itau.png" TargetMode="External"/><Relationship Id="rId335" Type="http://schemas.openxmlformats.org/officeDocument/2006/relationships/hyperlink" Target="https://i.ibb.co/DznB5q4/Itau.png" TargetMode="External"/><Relationship Id="rId336" Type="http://schemas.openxmlformats.org/officeDocument/2006/relationships/hyperlink" Target="https://i.ibb.co/DznB5q4/Itau.png" TargetMode="External"/><Relationship Id="rId337" Type="http://schemas.openxmlformats.org/officeDocument/2006/relationships/hyperlink" Target="https://i.ibb.co/DznB5q4/Itau.png" TargetMode="External"/><Relationship Id="rId338" Type="http://schemas.openxmlformats.org/officeDocument/2006/relationships/hyperlink" Target="https://i.ibb.co/DznB5q4/Itau.png" TargetMode="External"/><Relationship Id="rId339" Type="http://schemas.openxmlformats.org/officeDocument/2006/relationships/hyperlink" Target="https://i.ibb.co/DznB5q4/Itau.png" TargetMode="External"/><Relationship Id="rId340" Type="http://schemas.openxmlformats.org/officeDocument/2006/relationships/hyperlink" Target="https://i.ibb.co/DznB5q4/Itau.png" TargetMode="External"/><Relationship Id="rId341" Type="http://schemas.openxmlformats.org/officeDocument/2006/relationships/hyperlink" Target="https://i.ibb.co/DznB5q4/Itau.png" TargetMode="External"/><Relationship Id="rId342" Type="http://schemas.openxmlformats.org/officeDocument/2006/relationships/hyperlink" Target="https://i.ibb.co/DznB5q4/Itau.png" TargetMode="External"/><Relationship Id="rId343" Type="http://schemas.openxmlformats.org/officeDocument/2006/relationships/hyperlink" Target="https://i.ibb.co/DznB5q4/Itau.png" TargetMode="External"/><Relationship Id="rId344" Type="http://schemas.openxmlformats.org/officeDocument/2006/relationships/hyperlink" Target="https://i.ibb.co/DznB5q4/Itau.png" TargetMode="External"/><Relationship Id="rId345" Type="http://schemas.openxmlformats.org/officeDocument/2006/relationships/hyperlink" Target="https://i.ibb.co/DznB5q4/Itau.png" TargetMode="External"/><Relationship Id="rId346" Type="http://schemas.openxmlformats.org/officeDocument/2006/relationships/hyperlink" Target="https://i.ibb.co/DznB5q4/Itau.png" TargetMode="External"/><Relationship Id="rId347" Type="http://schemas.openxmlformats.org/officeDocument/2006/relationships/hyperlink" Target="https://i.ibb.co/DznB5q4/Itau.png" TargetMode="External"/><Relationship Id="rId348" Type="http://schemas.openxmlformats.org/officeDocument/2006/relationships/hyperlink" Target="https://i.ibb.co/DznB5q4/Itau.png" TargetMode="External"/><Relationship Id="rId349" Type="http://schemas.openxmlformats.org/officeDocument/2006/relationships/hyperlink" Target="https://i.ibb.co/DznB5q4/Itau.png" TargetMode="External"/><Relationship Id="rId350" Type="http://schemas.openxmlformats.org/officeDocument/2006/relationships/hyperlink" Target="https://i.ibb.co/DznB5q4/Itau.png" TargetMode="External"/><Relationship Id="rId351" Type="http://schemas.openxmlformats.org/officeDocument/2006/relationships/hyperlink" Target="https://i.ibb.co/DznB5q4/Itau.png" TargetMode="External"/><Relationship Id="rId352" Type="http://schemas.openxmlformats.org/officeDocument/2006/relationships/hyperlink" Target="https://i.ibb.co/DznB5q4/Itau.png" TargetMode="External"/><Relationship Id="rId353" Type="http://schemas.openxmlformats.org/officeDocument/2006/relationships/hyperlink" Target="https://i.ibb.co/DznB5q4/Itau.png" TargetMode="External"/><Relationship Id="rId354" Type="http://schemas.openxmlformats.org/officeDocument/2006/relationships/hyperlink" Target="https://i.ibb.co/DznB5q4/Itau.png" TargetMode="External"/><Relationship Id="rId355" Type="http://schemas.openxmlformats.org/officeDocument/2006/relationships/hyperlink" Target="https://i.ibb.co/DznB5q4/Itau.png" TargetMode="External"/><Relationship Id="rId356" Type="http://schemas.openxmlformats.org/officeDocument/2006/relationships/hyperlink" Target="https://i.ibb.co/DznB5q4/Itau.png" TargetMode="External"/><Relationship Id="rId357" Type="http://schemas.openxmlformats.org/officeDocument/2006/relationships/hyperlink" Target="https://i.ibb.co/DznB5q4/Itau.png" TargetMode="External"/><Relationship Id="rId358" Type="http://schemas.openxmlformats.org/officeDocument/2006/relationships/hyperlink" Target="https://i.ibb.co/DznB5q4/Itau.png" TargetMode="External"/><Relationship Id="rId359" Type="http://schemas.openxmlformats.org/officeDocument/2006/relationships/hyperlink" Target="https://i.ibb.co/DznB5q4/Itau.png" TargetMode="External"/><Relationship Id="rId360" Type="http://schemas.openxmlformats.org/officeDocument/2006/relationships/hyperlink" Target="https://i.ibb.co/DznB5q4/Itau.png" TargetMode="External"/><Relationship Id="rId361" Type="http://schemas.openxmlformats.org/officeDocument/2006/relationships/hyperlink" Target="https://i.ibb.co/DznB5q4/Itau.png" TargetMode="External"/><Relationship Id="rId362" Type="http://schemas.openxmlformats.org/officeDocument/2006/relationships/hyperlink" Target="https://i.ibb.co/DznB5q4/Itau.png" TargetMode="External"/><Relationship Id="rId363" Type="http://schemas.openxmlformats.org/officeDocument/2006/relationships/hyperlink" Target="https://i.ibb.co/DznB5q4/Itau.png" TargetMode="External"/><Relationship Id="rId364" Type="http://schemas.openxmlformats.org/officeDocument/2006/relationships/hyperlink" Target="https://i.ibb.co/DznB5q4/Itau.png" TargetMode="External"/><Relationship Id="rId365" Type="http://schemas.openxmlformats.org/officeDocument/2006/relationships/hyperlink" Target="https://i.ibb.co/DznB5q4/Itau.png" TargetMode="External"/><Relationship Id="rId366" Type="http://schemas.openxmlformats.org/officeDocument/2006/relationships/hyperlink" Target="https://i.ibb.co/DznB5q4/Itau.png" TargetMode="External"/><Relationship Id="rId367" Type="http://schemas.openxmlformats.org/officeDocument/2006/relationships/hyperlink" Target="https://i.ibb.co/DznB5q4/Itau.png" TargetMode="External"/><Relationship Id="rId368" Type="http://schemas.openxmlformats.org/officeDocument/2006/relationships/hyperlink" Target="https://i.ibb.co/DznB5q4/Itau.png" TargetMode="External"/><Relationship Id="rId369" Type="http://schemas.openxmlformats.org/officeDocument/2006/relationships/hyperlink" Target="https://i.ibb.co/DznB5q4/Itau.png" TargetMode="External"/><Relationship Id="rId370" Type="http://schemas.openxmlformats.org/officeDocument/2006/relationships/hyperlink" Target="https://i.ibb.co/DznB5q4/Itau.png" TargetMode="External"/><Relationship Id="rId371" Type="http://schemas.openxmlformats.org/officeDocument/2006/relationships/hyperlink" Target="https://i.ibb.co/DznB5q4/Itau.png" TargetMode="External"/><Relationship Id="rId372" Type="http://schemas.openxmlformats.org/officeDocument/2006/relationships/hyperlink" Target="https://i.ibb.co/DznB5q4/Itau.png" TargetMode="External"/><Relationship Id="rId373" Type="http://schemas.openxmlformats.org/officeDocument/2006/relationships/hyperlink" Target="https://i.ibb.co/DznB5q4/Itau.png" TargetMode="External"/><Relationship Id="rId374" Type="http://schemas.openxmlformats.org/officeDocument/2006/relationships/hyperlink" Target="https://i.ibb.co/DznB5q4/Itau.png" TargetMode="External"/><Relationship Id="rId375" Type="http://schemas.openxmlformats.org/officeDocument/2006/relationships/hyperlink" Target="https://i.ibb.co/DznB5q4/Itau.png" TargetMode="External"/><Relationship Id="rId376" Type="http://schemas.openxmlformats.org/officeDocument/2006/relationships/hyperlink" Target="https://i.ibb.co/DznB5q4/Itau.png" TargetMode="External"/><Relationship Id="rId377" Type="http://schemas.openxmlformats.org/officeDocument/2006/relationships/hyperlink" Target="https://i.ibb.co/DznB5q4/Itau.png" TargetMode="External"/><Relationship Id="rId378" Type="http://schemas.openxmlformats.org/officeDocument/2006/relationships/hyperlink" Target="https://i.ibb.co/DznB5q4/Itau.png" TargetMode="External"/><Relationship Id="rId379" Type="http://schemas.openxmlformats.org/officeDocument/2006/relationships/hyperlink" Target="https://i.ibb.co/DznB5q4/Itau.png" TargetMode="External"/><Relationship Id="rId380" Type="http://schemas.openxmlformats.org/officeDocument/2006/relationships/hyperlink" Target="https://i.ibb.co/DznB5q4/Itau.png" TargetMode="External"/><Relationship Id="rId381" Type="http://schemas.openxmlformats.org/officeDocument/2006/relationships/hyperlink" Target="https://i.ibb.co/DznB5q4/Itau.png" TargetMode="External"/><Relationship Id="rId382" Type="http://schemas.openxmlformats.org/officeDocument/2006/relationships/hyperlink" Target="https://i.ibb.co/DznB5q4/Itau.png" TargetMode="External"/><Relationship Id="rId383" Type="http://schemas.openxmlformats.org/officeDocument/2006/relationships/hyperlink" Target="https://i.ibb.co/DznB5q4/Itau.png" TargetMode="External"/><Relationship Id="rId384" Type="http://schemas.openxmlformats.org/officeDocument/2006/relationships/hyperlink" Target="https://i.ibb.co/DznB5q4/Itau.png" TargetMode="External"/><Relationship Id="rId385" Type="http://schemas.openxmlformats.org/officeDocument/2006/relationships/hyperlink" Target="https://i.ibb.co/DznB5q4/Itau.png" TargetMode="External"/><Relationship Id="rId386" Type="http://schemas.openxmlformats.org/officeDocument/2006/relationships/hyperlink" Target="https://i.ibb.co/DznB5q4/Itau.png" TargetMode="External"/><Relationship Id="rId387" Type="http://schemas.openxmlformats.org/officeDocument/2006/relationships/hyperlink" Target="https://i.ibb.co/DznB5q4/Itau.png" TargetMode="External"/><Relationship Id="rId388" Type="http://schemas.openxmlformats.org/officeDocument/2006/relationships/hyperlink" Target="https://i.ibb.co/DznB5q4/Itau.png" TargetMode="External"/><Relationship Id="rId389" Type="http://schemas.openxmlformats.org/officeDocument/2006/relationships/hyperlink" Target="https://i.ibb.co/DznB5q4/Itau.png" TargetMode="External"/><Relationship Id="rId390" Type="http://schemas.openxmlformats.org/officeDocument/2006/relationships/hyperlink" Target="https://i.ibb.co/DznB5q4/Itau.png" TargetMode="External"/><Relationship Id="rId391" Type="http://schemas.openxmlformats.org/officeDocument/2006/relationships/hyperlink" Target="https://i.ibb.co/DznB5q4/Itau.png" TargetMode="External"/><Relationship Id="rId392" Type="http://schemas.openxmlformats.org/officeDocument/2006/relationships/hyperlink" Target="https://i.ibb.co/DznB5q4/Itau.png" TargetMode="External"/><Relationship Id="rId393" Type="http://schemas.openxmlformats.org/officeDocument/2006/relationships/hyperlink" Target="https://i.ibb.co/DznB5q4/Itau.png" TargetMode="External"/><Relationship Id="rId394" Type="http://schemas.openxmlformats.org/officeDocument/2006/relationships/hyperlink" Target="https://i.ibb.co/DznB5q4/Itau.png" TargetMode="External"/><Relationship Id="rId395" Type="http://schemas.openxmlformats.org/officeDocument/2006/relationships/hyperlink" Target="https://i.ibb.co/DznB5q4/Itau.png" TargetMode="External"/><Relationship Id="rId396" Type="http://schemas.openxmlformats.org/officeDocument/2006/relationships/hyperlink" Target="https://i.ibb.co/DznB5q4/Itau.png" TargetMode="External"/><Relationship Id="rId397" Type="http://schemas.openxmlformats.org/officeDocument/2006/relationships/hyperlink" Target="https://i.ibb.co/DznB5q4/Itau.png" TargetMode="External"/><Relationship Id="rId398" Type="http://schemas.openxmlformats.org/officeDocument/2006/relationships/hyperlink" Target="https://i.ibb.co/DznB5q4/Itau.png" TargetMode="External"/><Relationship Id="rId399" Type="http://schemas.openxmlformats.org/officeDocument/2006/relationships/hyperlink" Target="https://i.ibb.co/DznB5q4/Itau.png" TargetMode="External"/><Relationship Id="rId400" Type="http://schemas.openxmlformats.org/officeDocument/2006/relationships/hyperlink" Target="https://i.ibb.co/DznB5q4/Itau.png" TargetMode="External"/><Relationship Id="rId401" Type="http://schemas.openxmlformats.org/officeDocument/2006/relationships/hyperlink" Target="https://i.ibb.co/DznB5q4/Itau.png" TargetMode="External"/><Relationship Id="rId402" Type="http://schemas.openxmlformats.org/officeDocument/2006/relationships/hyperlink" Target="https://i.ibb.co/DznB5q4/Itau.png" TargetMode="External"/><Relationship Id="rId403" Type="http://schemas.openxmlformats.org/officeDocument/2006/relationships/hyperlink" Target="https://i.ibb.co/DznB5q4/Itau.png" TargetMode="External"/><Relationship Id="rId404" Type="http://schemas.openxmlformats.org/officeDocument/2006/relationships/hyperlink" Target="https://i.ibb.co/DznB5q4/Itau.png" TargetMode="External"/><Relationship Id="rId405" Type="http://schemas.openxmlformats.org/officeDocument/2006/relationships/hyperlink" Target="https://i.ibb.co/DznB5q4/Itau.png" TargetMode="External"/><Relationship Id="rId406" Type="http://schemas.openxmlformats.org/officeDocument/2006/relationships/hyperlink" Target="https://i.ibb.co/DznB5q4/Itau.png" TargetMode="External"/><Relationship Id="rId407" Type="http://schemas.openxmlformats.org/officeDocument/2006/relationships/hyperlink" Target="https://i.ibb.co/DznB5q4/Itau.png" TargetMode="External"/><Relationship Id="rId408" Type="http://schemas.openxmlformats.org/officeDocument/2006/relationships/hyperlink" Target="https://i.ibb.co/DznB5q4/Itau.png" TargetMode="External"/><Relationship Id="rId409" Type="http://schemas.openxmlformats.org/officeDocument/2006/relationships/hyperlink" Target="https://i.ibb.co/DznB5q4/Itau.png" TargetMode="External"/><Relationship Id="rId410" Type="http://schemas.openxmlformats.org/officeDocument/2006/relationships/hyperlink" Target="https://i.ibb.co/DznB5q4/Itau.png" TargetMode="External"/><Relationship Id="rId411" Type="http://schemas.openxmlformats.org/officeDocument/2006/relationships/hyperlink" Target="https://i.ibb.co/DznB5q4/Itau.png" TargetMode="External"/><Relationship Id="rId412" Type="http://schemas.openxmlformats.org/officeDocument/2006/relationships/hyperlink" Target="https://i.ibb.co/DznB5q4/Itau.png" TargetMode="External"/><Relationship Id="rId413" Type="http://schemas.openxmlformats.org/officeDocument/2006/relationships/hyperlink" Target="https://i.ibb.co/DznB5q4/Itau.png" TargetMode="External"/><Relationship Id="rId414" Type="http://schemas.openxmlformats.org/officeDocument/2006/relationships/hyperlink" Target="https://i.ibb.co/DznB5q4/Itau.png" TargetMode="External"/><Relationship Id="rId415" Type="http://schemas.openxmlformats.org/officeDocument/2006/relationships/hyperlink" Target="https://i.ibb.co/DznB5q4/Itau.png" TargetMode="External"/><Relationship Id="rId416" Type="http://schemas.openxmlformats.org/officeDocument/2006/relationships/hyperlink" Target="https://i.ibb.co/DznB5q4/Itau.png" TargetMode="External"/><Relationship Id="rId417" Type="http://schemas.openxmlformats.org/officeDocument/2006/relationships/hyperlink" Target="https://i.ibb.co/DznB5q4/Itau.png" TargetMode="External"/><Relationship Id="rId418" Type="http://schemas.openxmlformats.org/officeDocument/2006/relationships/hyperlink" Target="https://i.ibb.co/DznB5q4/Itau.png" TargetMode="External"/><Relationship Id="rId419" Type="http://schemas.openxmlformats.org/officeDocument/2006/relationships/hyperlink" Target="https://i.ibb.co/DznB5q4/Itau.png" TargetMode="External"/><Relationship Id="rId420" Type="http://schemas.openxmlformats.org/officeDocument/2006/relationships/hyperlink" Target="https://i.ibb.co/DznB5q4/Itau.png" TargetMode="External"/><Relationship Id="rId421" Type="http://schemas.openxmlformats.org/officeDocument/2006/relationships/hyperlink" Target="https://i.ibb.co/DznB5q4/Itau.png" TargetMode="External"/><Relationship Id="rId422" Type="http://schemas.openxmlformats.org/officeDocument/2006/relationships/hyperlink" Target="https://i.ibb.co/DznB5q4/Itau.png" TargetMode="External"/><Relationship Id="rId423" Type="http://schemas.openxmlformats.org/officeDocument/2006/relationships/hyperlink" Target="https://i.ibb.co/DznB5q4/Itau.png" TargetMode="External"/><Relationship Id="rId424" Type="http://schemas.openxmlformats.org/officeDocument/2006/relationships/hyperlink" Target="https://i.ibb.co/DznB5q4/Itau.png" TargetMode="External"/><Relationship Id="rId425" Type="http://schemas.openxmlformats.org/officeDocument/2006/relationships/hyperlink" Target="https://i.ibb.co/DznB5q4/Itau.png" TargetMode="External"/><Relationship Id="rId426" Type="http://schemas.openxmlformats.org/officeDocument/2006/relationships/hyperlink" Target="https://i.ibb.co/DznB5q4/Itau.png" TargetMode="External"/><Relationship Id="rId427" Type="http://schemas.openxmlformats.org/officeDocument/2006/relationships/hyperlink" Target="https://i.ibb.co/DznB5q4/Itau.png" TargetMode="External"/><Relationship Id="rId428" Type="http://schemas.openxmlformats.org/officeDocument/2006/relationships/hyperlink" Target="https://i.ibb.co/DznB5q4/Itau.png" TargetMode="External"/><Relationship Id="rId429" Type="http://schemas.openxmlformats.org/officeDocument/2006/relationships/hyperlink" Target="https://i.ibb.co/DznB5q4/Itau.png" TargetMode="External"/><Relationship Id="rId430" Type="http://schemas.openxmlformats.org/officeDocument/2006/relationships/hyperlink" Target="https://i.ibb.co/DznB5q4/Itau.png" TargetMode="External"/><Relationship Id="rId431" Type="http://schemas.openxmlformats.org/officeDocument/2006/relationships/hyperlink" Target="https://i.ibb.co/DznB5q4/Itau.png" TargetMode="External"/><Relationship Id="rId432" Type="http://schemas.openxmlformats.org/officeDocument/2006/relationships/hyperlink" Target="https://i.ibb.co/DznB5q4/Itau.png" TargetMode="External"/><Relationship Id="rId433" Type="http://schemas.openxmlformats.org/officeDocument/2006/relationships/hyperlink" Target="https://i.ibb.co/DznB5q4/Itau.png" TargetMode="External"/><Relationship Id="rId434" Type="http://schemas.openxmlformats.org/officeDocument/2006/relationships/hyperlink" Target="https://i.ibb.co/DznB5q4/Itau.png" TargetMode="External"/><Relationship Id="rId435" Type="http://schemas.openxmlformats.org/officeDocument/2006/relationships/hyperlink" Target="https://i.ibb.co/DznB5q4/Itau.png" TargetMode="External"/><Relationship Id="rId436" Type="http://schemas.openxmlformats.org/officeDocument/2006/relationships/hyperlink" Target="https://i.ibb.co/DznB5q4/Itau.png" TargetMode="External"/><Relationship Id="rId437" Type="http://schemas.openxmlformats.org/officeDocument/2006/relationships/hyperlink" Target="https://i.ibb.co/DznB5q4/Itau.png" TargetMode="External"/><Relationship Id="rId438" Type="http://schemas.openxmlformats.org/officeDocument/2006/relationships/hyperlink" Target="https://i.ibb.co/DznB5q4/Itau.png" TargetMode="External"/><Relationship Id="rId439" Type="http://schemas.openxmlformats.org/officeDocument/2006/relationships/hyperlink" Target="https://i.ibb.co/DznB5q4/Itau.png" TargetMode="External"/><Relationship Id="rId440" Type="http://schemas.openxmlformats.org/officeDocument/2006/relationships/hyperlink" Target="https://i.ibb.co/DznB5q4/Itau.png" TargetMode="External"/><Relationship Id="rId441" Type="http://schemas.openxmlformats.org/officeDocument/2006/relationships/hyperlink" Target="https://i.ibb.co/DznB5q4/Itau.png" TargetMode="External"/><Relationship Id="rId442" Type="http://schemas.openxmlformats.org/officeDocument/2006/relationships/hyperlink" Target="https://i.ibb.co/DznB5q4/Itau.png" TargetMode="External"/><Relationship Id="rId443" Type="http://schemas.openxmlformats.org/officeDocument/2006/relationships/hyperlink" Target="https://i.ibb.co/DznB5q4/Itau.png" TargetMode="External"/><Relationship Id="rId444" Type="http://schemas.openxmlformats.org/officeDocument/2006/relationships/hyperlink" Target="https://i.ibb.co/DznB5q4/Itau.png" TargetMode="External"/><Relationship Id="rId445" Type="http://schemas.openxmlformats.org/officeDocument/2006/relationships/hyperlink" Target="https://i.ibb.co/DznB5q4/Itau.png" TargetMode="External"/><Relationship Id="rId446" Type="http://schemas.openxmlformats.org/officeDocument/2006/relationships/hyperlink" Target="https://i.ibb.co/DznB5q4/Itau.png" TargetMode="External"/><Relationship Id="rId447" Type="http://schemas.openxmlformats.org/officeDocument/2006/relationships/hyperlink" Target="https://i.ibb.co/DznB5q4/Itau.png" TargetMode="External"/><Relationship Id="rId448" Type="http://schemas.openxmlformats.org/officeDocument/2006/relationships/hyperlink" Target="https://i.ibb.co/DznB5q4/Itau.png" TargetMode="External"/><Relationship Id="rId449" Type="http://schemas.openxmlformats.org/officeDocument/2006/relationships/hyperlink" Target="https://i.ibb.co/DznB5q4/Itau.png" TargetMode="External"/><Relationship Id="rId450" Type="http://schemas.openxmlformats.org/officeDocument/2006/relationships/hyperlink" Target="https://i.ibb.co/DznB5q4/Itau.png" TargetMode="External"/><Relationship Id="rId451" Type="http://schemas.openxmlformats.org/officeDocument/2006/relationships/hyperlink" Target="https://i.ibb.co/DznB5q4/Itau.png" TargetMode="External"/><Relationship Id="rId452" Type="http://schemas.openxmlformats.org/officeDocument/2006/relationships/hyperlink" Target="https://i.ibb.co/DznB5q4/Itau.png" TargetMode="External"/><Relationship Id="rId453" Type="http://schemas.openxmlformats.org/officeDocument/2006/relationships/hyperlink" Target="https://i.ibb.co/DznB5q4/Itau.png" TargetMode="External"/><Relationship Id="rId454" Type="http://schemas.openxmlformats.org/officeDocument/2006/relationships/hyperlink" Target="https://i.ibb.co/DznB5q4/Itau.png" TargetMode="External"/><Relationship Id="rId455" Type="http://schemas.openxmlformats.org/officeDocument/2006/relationships/hyperlink" Target="https://i.ibb.co/DznB5q4/Itau.png" TargetMode="External"/><Relationship Id="rId456" Type="http://schemas.openxmlformats.org/officeDocument/2006/relationships/hyperlink" Target="https://i.ibb.co/DznB5q4/Itau.png" TargetMode="External"/><Relationship Id="rId457" Type="http://schemas.openxmlformats.org/officeDocument/2006/relationships/hyperlink" Target="https://i.ibb.co/DznB5q4/Itau.png" TargetMode="External"/><Relationship Id="rId458" Type="http://schemas.openxmlformats.org/officeDocument/2006/relationships/hyperlink" Target="https://i.ibb.co/DznB5q4/Itau.png" TargetMode="External"/><Relationship Id="rId459" Type="http://schemas.openxmlformats.org/officeDocument/2006/relationships/hyperlink" Target="https://i.ibb.co/DznB5q4/Itau.png" TargetMode="External"/><Relationship Id="rId460" Type="http://schemas.openxmlformats.org/officeDocument/2006/relationships/hyperlink" Target="https://i.ibb.co/DznB5q4/Itau.png" TargetMode="External"/><Relationship Id="rId461" Type="http://schemas.openxmlformats.org/officeDocument/2006/relationships/hyperlink" Target="https://i.ibb.co/DznB5q4/Itau.png" TargetMode="External"/><Relationship Id="rId462" Type="http://schemas.openxmlformats.org/officeDocument/2006/relationships/hyperlink" Target="https://i.ibb.co/DznB5q4/Itau.png" TargetMode="External"/><Relationship Id="rId463" Type="http://schemas.openxmlformats.org/officeDocument/2006/relationships/hyperlink" Target="https://i.ibb.co/DznB5q4/Itau.png" TargetMode="External"/><Relationship Id="rId464" Type="http://schemas.openxmlformats.org/officeDocument/2006/relationships/hyperlink" Target="https://i.ibb.co/DznB5q4/Itau.png" TargetMode="External"/><Relationship Id="rId465" Type="http://schemas.openxmlformats.org/officeDocument/2006/relationships/hyperlink" Target="https://i.ibb.co/DznB5q4/Itau.png" TargetMode="External"/><Relationship Id="rId466" Type="http://schemas.openxmlformats.org/officeDocument/2006/relationships/hyperlink" Target="https://i.ibb.co/DznB5q4/Itau.png" TargetMode="External"/><Relationship Id="rId467" Type="http://schemas.openxmlformats.org/officeDocument/2006/relationships/hyperlink" Target="https://i.ibb.co/DznB5q4/Itau.png" TargetMode="External"/><Relationship Id="rId468" Type="http://schemas.openxmlformats.org/officeDocument/2006/relationships/hyperlink" Target="https://i.ibb.co/DznB5q4/Itau.png" TargetMode="External"/><Relationship Id="rId469" Type="http://schemas.openxmlformats.org/officeDocument/2006/relationships/hyperlink" Target="https://i.ibb.co/DznB5q4/Itau.png" TargetMode="External"/><Relationship Id="rId470" Type="http://schemas.openxmlformats.org/officeDocument/2006/relationships/hyperlink" Target="https://i.ibb.co/DznB5q4/Itau.png" TargetMode="External"/><Relationship Id="rId471" Type="http://schemas.openxmlformats.org/officeDocument/2006/relationships/hyperlink" Target="https://i.ibb.co/DznB5q4/Itau.png" TargetMode="External"/><Relationship Id="rId472" Type="http://schemas.openxmlformats.org/officeDocument/2006/relationships/hyperlink" Target="https://i.ibb.co/DznB5q4/Itau.png" TargetMode="External"/><Relationship Id="rId473" Type="http://schemas.openxmlformats.org/officeDocument/2006/relationships/hyperlink" Target="https://i.ibb.co/DznB5q4/Itau.png" TargetMode="External"/><Relationship Id="rId474" Type="http://schemas.openxmlformats.org/officeDocument/2006/relationships/hyperlink" Target="https://i.ibb.co/DznB5q4/Itau.png" TargetMode="External"/><Relationship Id="rId475" Type="http://schemas.openxmlformats.org/officeDocument/2006/relationships/hyperlink" Target="https://i.ibb.co/DznB5q4/Itau.png" TargetMode="External"/><Relationship Id="rId476" Type="http://schemas.openxmlformats.org/officeDocument/2006/relationships/hyperlink" Target="https://i.ibb.co/DznB5q4/Itau.png" TargetMode="External"/><Relationship Id="rId477" Type="http://schemas.openxmlformats.org/officeDocument/2006/relationships/hyperlink" Target="https://i.ibb.co/DznB5q4/Itau.png" TargetMode="External"/><Relationship Id="rId478" Type="http://schemas.openxmlformats.org/officeDocument/2006/relationships/hyperlink" Target="https://i.ibb.co/DznB5q4/Itau.png" TargetMode="External"/><Relationship Id="rId479" Type="http://schemas.openxmlformats.org/officeDocument/2006/relationships/hyperlink" Target="https://i.ibb.co/DznB5q4/Itau.png" TargetMode="External"/><Relationship Id="rId480" Type="http://schemas.openxmlformats.org/officeDocument/2006/relationships/hyperlink" Target="https://i.ibb.co/DznB5q4/Itau.png" TargetMode="External"/><Relationship Id="rId481" Type="http://schemas.openxmlformats.org/officeDocument/2006/relationships/hyperlink" Target="https://i.ibb.co/DznB5q4/Itau.png" TargetMode="External"/><Relationship Id="rId482" Type="http://schemas.openxmlformats.org/officeDocument/2006/relationships/hyperlink" Target="https://i.ibb.co/DznB5q4/Itau.png" TargetMode="External"/><Relationship Id="rId483" Type="http://schemas.openxmlformats.org/officeDocument/2006/relationships/hyperlink" Target="https://i.ibb.co/DznB5q4/Itau.png" TargetMode="External"/><Relationship Id="rId484" Type="http://schemas.openxmlformats.org/officeDocument/2006/relationships/hyperlink" Target="https://i.ibb.co/DznB5q4/Itau.png" TargetMode="External"/><Relationship Id="rId485" Type="http://schemas.openxmlformats.org/officeDocument/2006/relationships/hyperlink" Target="https://i.ibb.co/DznB5q4/Itau.png" TargetMode="External"/><Relationship Id="rId486" Type="http://schemas.openxmlformats.org/officeDocument/2006/relationships/hyperlink" Target="https://i.ibb.co/DznB5q4/Itau.png" TargetMode="External"/><Relationship Id="rId487" Type="http://schemas.openxmlformats.org/officeDocument/2006/relationships/hyperlink" Target="https://i.ibb.co/DznB5q4/Itau.png" TargetMode="External"/><Relationship Id="rId488" Type="http://schemas.openxmlformats.org/officeDocument/2006/relationships/hyperlink" Target="https://i.ibb.co/DznB5q4/Itau.png" TargetMode="External"/><Relationship Id="rId489" Type="http://schemas.openxmlformats.org/officeDocument/2006/relationships/hyperlink" Target="https://i.ibb.co/DznB5q4/Itau.png" TargetMode="External"/><Relationship Id="rId490" Type="http://schemas.openxmlformats.org/officeDocument/2006/relationships/hyperlink" Target="https://i.ibb.co/DznB5q4/Itau.png" TargetMode="External"/><Relationship Id="rId491" Type="http://schemas.openxmlformats.org/officeDocument/2006/relationships/hyperlink" Target="https://i.ibb.co/DznB5q4/Itau.png" TargetMode="External"/><Relationship Id="rId492" Type="http://schemas.openxmlformats.org/officeDocument/2006/relationships/hyperlink" Target="https://i.ibb.co/DznB5q4/Itau.png" TargetMode="External"/><Relationship Id="rId493" Type="http://schemas.openxmlformats.org/officeDocument/2006/relationships/hyperlink" Target="https://i.ibb.co/DznB5q4/Itau.png" TargetMode="External"/><Relationship Id="rId494" Type="http://schemas.openxmlformats.org/officeDocument/2006/relationships/hyperlink" Target="https://i.ibb.co/DznB5q4/Itau.png" TargetMode="External"/><Relationship Id="rId495" Type="http://schemas.openxmlformats.org/officeDocument/2006/relationships/hyperlink" Target="https://i.ibb.co/DznB5q4/Itau.png" TargetMode="External"/><Relationship Id="rId496" Type="http://schemas.openxmlformats.org/officeDocument/2006/relationships/hyperlink" Target="https://i.ibb.co/DznB5q4/Itau.png" TargetMode="External"/><Relationship Id="rId497" Type="http://schemas.openxmlformats.org/officeDocument/2006/relationships/hyperlink" Target="https://i.ibb.co/DznB5q4/Itau.png" TargetMode="External"/><Relationship Id="rId498" Type="http://schemas.openxmlformats.org/officeDocument/2006/relationships/hyperlink" Target="https://i.ibb.co/DznB5q4/Itau.png" TargetMode="External"/><Relationship Id="rId499" Type="http://schemas.openxmlformats.org/officeDocument/2006/relationships/hyperlink" Target="https://i.ibb.co/DznB5q4/Itau.png" TargetMode="External"/><Relationship Id="rId500" Type="http://schemas.openxmlformats.org/officeDocument/2006/relationships/hyperlink" Target="https://i.ibb.co/DznB5q4/Itau.png" TargetMode="External"/><Relationship Id="rId501" Type="http://schemas.openxmlformats.org/officeDocument/2006/relationships/hyperlink" Target="https://i.ibb.co/DznB5q4/Itau.png" TargetMode="External"/><Relationship Id="rId502" Type="http://schemas.openxmlformats.org/officeDocument/2006/relationships/hyperlink" Target="https://i.ibb.co/DznB5q4/Itau.png" TargetMode="External"/><Relationship Id="rId503" Type="http://schemas.openxmlformats.org/officeDocument/2006/relationships/hyperlink" Target="https://i.ibb.co/DznB5q4/Itau.png" TargetMode="External"/><Relationship Id="rId504" Type="http://schemas.openxmlformats.org/officeDocument/2006/relationships/hyperlink" Target="https://i.ibb.co/DznB5q4/Itau.png" TargetMode="External"/><Relationship Id="rId505" Type="http://schemas.openxmlformats.org/officeDocument/2006/relationships/hyperlink" Target="https://i.ibb.co/DznB5q4/Itau.png" TargetMode="External"/><Relationship Id="rId506" Type="http://schemas.openxmlformats.org/officeDocument/2006/relationships/hyperlink" Target="https://i.ibb.co/DznB5q4/Itau.png" TargetMode="External"/><Relationship Id="rId507" Type="http://schemas.openxmlformats.org/officeDocument/2006/relationships/hyperlink" Target="https://i.ibb.co/DznB5q4/Itau.png" TargetMode="External"/><Relationship Id="rId508" Type="http://schemas.openxmlformats.org/officeDocument/2006/relationships/hyperlink" Target="https://i.ibb.co/DznB5q4/Itau.png" TargetMode="External"/><Relationship Id="rId509" Type="http://schemas.openxmlformats.org/officeDocument/2006/relationships/hyperlink" Target="https://i.ibb.co/DznB5q4/Itau.png" TargetMode="External"/><Relationship Id="rId510" Type="http://schemas.openxmlformats.org/officeDocument/2006/relationships/hyperlink" Target="https://i.ibb.co/DznB5q4/Itau.png" TargetMode="External"/><Relationship Id="rId511" Type="http://schemas.openxmlformats.org/officeDocument/2006/relationships/hyperlink" Target="https://i.ibb.co/DznB5q4/Itau.png" TargetMode="External"/><Relationship Id="rId512" Type="http://schemas.openxmlformats.org/officeDocument/2006/relationships/hyperlink" Target="https://i.ibb.co/DznB5q4/Itau.png" TargetMode="External"/><Relationship Id="rId513" Type="http://schemas.openxmlformats.org/officeDocument/2006/relationships/hyperlink" Target="https://i.ibb.co/DznB5q4/Itau.png" TargetMode="External"/><Relationship Id="rId514" Type="http://schemas.openxmlformats.org/officeDocument/2006/relationships/hyperlink" Target="https://i.ibb.co/DznB5q4/Itau.png" TargetMode="External"/><Relationship Id="rId515" Type="http://schemas.openxmlformats.org/officeDocument/2006/relationships/hyperlink" Target="https://i.ibb.co/DznB5q4/Itau.png" TargetMode="External"/><Relationship Id="rId516" Type="http://schemas.openxmlformats.org/officeDocument/2006/relationships/hyperlink" Target="https://i.ibb.co/DznB5q4/Itau.png" TargetMode="External"/><Relationship Id="rId517" Type="http://schemas.openxmlformats.org/officeDocument/2006/relationships/hyperlink" Target="https://i.ibb.co/DznB5q4/Itau.png" TargetMode="External"/><Relationship Id="rId518" Type="http://schemas.openxmlformats.org/officeDocument/2006/relationships/hyperlink" Target="https://i.ibb.co/DznB5q4/Itau.png" TargetMode="External"/><Relationship Id="rId519" Type="http://schemas.openxmlformats.org/officeDocument/2006/relationships/hyperlink" Target="https://i.ibb.co/DznB5q4/Itau.png" TargetMode="External"/><Relationship Id="rId520" Type="http://schemas.openxmlformats.org/officeDocument/2006/relationships/hyperlink" Target="https://i.ibb.co/DznB5q4/Itau.png" TargetMode="External"/><Relationship Id="rId521" Type="http://schemas.openxmlformats.org/officeDocument/2006/relationships/hyperlink" Target="https://i.ibb.co/DznB5q4/Itau.png" TargetMode="External"/><Relationship Id="rId522" Type="http://schemas.openxmlformats.org/officeDocument/2006/relationships/hyperlink" Target="https://i.ibb.co/DznB5q4/Itau.png" TargetMode="External"/><Relationship Id="rId523" Type="http://schemas.openxmlformats.org/officeDocument/2006/relationships/hyperlink" Target="https://i.ibb.co/DznB5q4/Itau.png" TargetMode="External"/><Relationship Id="rId524" Type="http://schemas.openxmlformats.org/officeDocument/2006/relationships/hyperlink" Target="https://i.ibb.co/DznB5q4/Itau.png" TargetMode="External"/><Relationship Id="rId525" Type="http://schemas.openxmlformats.org/officeDocument/2006/relationships/hyperlink" Target="https://i.ibb.co/DznB5q4/Itau.png" TargetMode="External"/><Relationship Id="rId526" Type="http://schemas.openxmlformats.org/officeDocument/2006/relationships/hyperlink" Target="https://i.ibb.co/DznB5q4/Itau.png" TargetMode="External"/><Relationship Id="rId527" Type="http://schemas.openxmlformats.org/officeDocument/2006/relationships/hyperlink" Target="https://i.ibb.co/DznB5q4/Itau.png" TargetMode="External"/><Relationship Id="rId528" Type="http://schemas.openxmlformats.org/officeDocument/2006/relationships/hyperlink" Target="https://i.ibb.co/DznB5q4/Itau.png" TargetMode="External"/><Relationship Id="rId529" Type="http://schemas.openxmlformats.org/officeDocument/2006/relationships/hyperlink" Target="https://i.ibb.co/DznB5q4/Itau.png" TargetMode="External"/><Relationship Id="rId530" Type="http://schemas.openxmlformats.org/officeDocument/2006/relationships/hyperlink" Target="https://i.ibb.co/DznB5q4/Itau.png" TargetMode="External"/><Relationship Id="rId531" Type="http://schemas.openxmlformats.org/officeDocument/2006/relationships/hyperlink" Target="https://i.ibb.co/DznB5q4/Itau.png" TargetMode="External"/><Relationship Id="rId532" Type="http://schemas.openxmlformats.org/officeDocument/2006/relationships/hyperlink" Target="https://i.ibb.co/DznB5q4/Itau.png" TargetMode="External"/><Relationship Id="rId533" Type="http://schemas.openxmlformats.org/officeDocument/2006/relationships/hyperlink" Target="https://i.ibb.co/DznB5q4/Itau.png" TargetMode="External"/><Relationship Id="rId534" Type="http://schemas.openxmlformats.org/officeDocument/2006/relationships/hyperlink" Target="https://i.ibb.co/DznB5q4/Itau.png" TargetMode="External"/><Relationship Id="rId535" Type="http://schemas.openxmlformats.org/officeDocument/2006/relationships/hyperlink" Target="https://i.ibb.co/DznB5q4/Itau.png" TargetMode="External"/><Relationship Id="rId536" Type="http://schemas.openxmlformats.org/officeDocument/2006/relationships/hyperlink" Target="https://i.ibb.co/DznB5q4/Itau.png" TargetMode="External"/><Relationship Id="rId537" Type="http://schemas.openxmlformats.org/officeDocument/2006/relationships/hyperlink" Target="https://i.ibb.co/DznB5q4/Itau.png" TargetMode="External"/><Relationship Id="rId538" Type="http://schemas.openxmlformats.org/officeDocument/2006/relationships/hyperlink" Target="https://i.ibb.co/DznB5q4/Itau.png" TargetMode="External"/><Relationship Id="rId539" Type="http://schemas.openxmlformats.org/officeDocument/2006/relationships/hyperlink" Target="https://i.ibb.co/DznB5q4/Itau.png" TargetMode="External"/><Relationship Id="rId540" Type="http://schemas.openxmlformats.org/officeDocument/2006/relationships/hyperlink" Target="https://i.ibb.co/DznB5q4/Itau.png" TargetMode="External"/><Relationship Id="rId541" Type="http://schemas.openxmlformats.org/officeDocument/2006/relationships/hyperlink" Target="https://i.ibb.co/DznB5q4/Itau.png" TargetMode="External"/><Relationship Id="rId542" Type="http://schemas.openxmlformats.org/officeDocument/2006/relationships/hyperlink" Target="https://i.ibb.co/DznB5q4/Itau.png" TargetMode="External"/><Relationship Id="rId543" Type="http://schemas.openxmlformats.org/officeDocument/2006/relationships/hyperlink" Target="https://i.ibb.co/DznB5q4/Itau.png" TargetMode="External"/><Relationship Id="rId544" Type="http://schemas.openxmlformats.org/officeDocument/2006/relationships/hyperlink" Target="https://i.ibb.co/DznB5q4/Itau.png" TargetMode="External"/><Relationship Id="rId545" Type="http://schemas.openxmlformats.org/officeDocument/2006/relationships/hyperlink" Target="https://i.ibb.co/DznB5q4/Itau.png" TargetMode="External"/><Relationship Id="rId546" Type="http://schemas.openxmlformats.org/officeDocument/2006/relationships/hyperlink" Target="https://i.ibb.co/DznB5q4/Itau.png" TargetMode="External"/><Relationship Id="rId547" Type="http://schemas.openxmlformats.org/officeDocument/2006/relationships/hyperlink" Target="https://i.ibb.co/DznB5q4/Itau.png" TargetMode="External"/><Relationship Id="rId548" Type="http://schemas.openxmlformats.org/officeDocument/2006/relationships/hyperlink" Target="https://i.ibb.co/DznB5q4/Itau.png" TargetMode="External"/><Relationship Id="rId549" Type="http://schemas.openxmlformats.org/officeDocument/2006/relationships/hyperlink" Target="https://i.ibb.co/DznB5q4/Itau.png" TargetMode="External"/><Relationship Id="rId550" Type="http://schemas.openxmlformats.org/officeDocument/2006/relationships/hyperlink" Target="https://i.ibb.co/DznB5q4/Itau.png" TargetMode="External"/><Relationship Id="rId551" Type="http://schemas.openxmlformats.org/officeDocument/2006/relationships/hyperlink" Target="https://i.ibb.co/DznB5q4/Itau.png" TargetMode="External"/><Relationship Id="rId552" Type="http://schemas.openxmlformats.org/officeDocument/2006/relationships/hyperlink" Target="https://i.ibb.co/DznB5q4/Itau.png" TargetMode="External"/><Relationship Id="rId553" Type="http://schemas.openxmlformats.org/officeDocument/2006/relationships/hyperlink" Target="https://i.ibb.co/DznB5q4/Itau.png" TargetMode="External"/><Relationship Id="rId554" Type="http://schemas.openxmlformats.org/officeDocument/2006/relationships/hyperlink" Target="https://i.ibb.co/DznB5q4/Itau.png" TargetMode="External"/><Relationship Id="rId555" Type="http://schemas.openxmlformats.org/officeDocument/2006/relationships/hyperlink" Target="https://i.ibb.co/DznB5q4/Itau.png" TargetMode="External"/><Relationship Id="rId556" Type="http://schemas.openxmlformats.org/officeDocument/2006/relationships/hyperlink" Target="https://i.ibb.co/DznB5q4/Itau.png" TargetMode="External"/><Relationship Id="rId557" Type="http://schemas.openxmlformats.org/officeDocument/2006/relationships/hyperlink" Target="https://i.ibb.co/DznB5q4/Itau.png" TargetMode="External"/><Relationship Id="rId558" Type="http://schemas.openxmlformats.org/officeDocument/2006/relationships/hyperlink" Target="https://i.ibb.co/DznB5q4/Itau.png" TargetMode="External"/><Relationship Id="rId559" Type="http://schemas.openxmlformats.org/officeDocument/2006/relationships/hyperlink" Target="https://i.ibb.co/DznB5q4/Itau.png" TargetMode="External"/><Relationship Id="rId560" Type="http://schemas.openxmlformats.org/officeDocument/2006/relationships/hyperlink" Target="https://i.ibb.co/DznB5q4/Itau.png" TargetMode="External"/><Relationship Id="rId561" Type="http://schemas.openxmlformats.org/officeDocument/2006/relationships/hyperlink" Target="https://i.ibb.co/DznB5q4/Itau.png" TargetMode="External"/><Relationship Id="rId562" Type="http://schemas.openxmlformats.org/officeDocument/2006/relationships/hyperlink" Target="https://i.ibb.co/DznB5q4/Itau.png" TargetMode="External"/><Relationship Id="rId563" Type="http://schemas.openxmlformats.org/officeDocument/2006/relationships/hyperlink" Target="https://i.ibb.co/DznB5q4/Itau.png" TargetMode="External"/><Relationship Id="rId564" Type="http://schemas.openxmlformats.org/officeDocument/2006/relationships/hyperlink" Target="https://i.ibb.co/DznB5q4/Itau.png" TargetMode="External"/><Relationship Id="rId565" Type="http://schemas.openxmlformats.org/officeDocument/2006/relationships/hyperlink" Target="https://i.ibb.co/DznB5q4/Itau.png" TargetMode="External"/><Relationship Id="rId566" Type="http://schemas.openxmlformats.org/officeDocument/2006/relationships/hyperlink" Target="https://i.ibb.co/DznB5q4/Itau.png" TargetMode="External"/><Relationship Id="rId567" Type="http://schemas.openxmlformats.org/officeDocument/2006/relationships/hyperlink" Target="https://i.ibb.co/DznB5q4/Itau.png" TargetMode="External"/><Relationship Id="rId568" Type="http://schemas.openxmlformats.org/officeDocument/2006/relationships/hyperlink" Target="https://i.ibb.co/DznB5q4/Itau.png" TargetMode="External"/><Relationship Id="rId569" Type="http://schemas.openxmlformats.org/officeDocument/2006/relationships/hyperlink" Target="https://i.ibb.co/DznB5q4/Itau.png" TargetMode="External"/><Relationship Id="rId570" Type="http://schemas.openxmlformats.org/officeDocument/2006/relationships/hyperlink" Target="https://i.ibb.co/DznB5q4/Itau.png" TargetMode="External"/><Relationship Id="rId571" Type="http://schemas.openxmlformats.org/officeDocument/2006/relationships/hyperlink" Target="https://i.ibb.co/DznB5q4/Itau.png" TargetMode="External"/><Relationship Id="rId572" Type="http://schemas.openxmlformats.org/officeDocument/2006/relationships/hyperlink" Target="https://i.ibb.co/DznB5q4/Itau.png" TargetMode="External"/><Relationship Id="rId573" Type="http://schemas.openxmlformats.org/officeDocument/2006/relationships/hyperlink" Target="https://i.ibb.co/DznB5q4/Itau.png" TargetMode="External"/><Relationship Id="rId574" Type="http://schemas.openxmlformats.org/officeDocument/2006/relationships/hyperlink" Target="https://i.ibb.co/DznB5q4/Itau.png" TargetMode="External"/><Relationship Id="rId575" Type="http://schemas.openxmlformats.org/officeDocument/2006/relationships/hyperlink" Target="https://i.ibb.co/DznB5q4/Itau.png" TargetMode="External"/><Relationship Id="rId576" Type="http://schemas.openxmlformats.org/officeDocument/2006/relationships/hyperlink" Target="https://i.ibb.co/DznB5q4/Itau.png" TargetMode="External"/><Relationship Id="rId577" Type="http://schemas.openxmlformats.org/officeDocument/2006/relationships/hyperlink" Target="https://i.ibb.co/DznB5q4/Itau.png" TargetMode="External"/><Relationship Id="rId578" Type="http://schemas.openxmlformats.org/officeDocument/2006/relationships/hyperlink" Target="https://i.ibb.co/DznB5q4/Itau.png" TargetMode="External"/><Relationship Id="rId579" Type="http://schemas.openxmlformats.org/officeDocument/2006/relationships/hyperlink" Target="https://i.ibb.co/DznB5q4/Itau.png" TargetMode="External"/><Relationship Id="rId580" Type="http://schemas.openxmlformats.org/officeDocument/2006/relationships/hyperlink" Target="https://i.ibb.co/DznB5q4/Itau.png" TargetMode="External"/><Relationship Id="rId581" Type="http://schemas.openxmlformats.org/officeDocument/2006/relationships/hyperlink" Target="https://i.ibb.co/DznB5q4/Itau.png" TargetMode="External"/><Relationship Id="rId582" Type="http://schemas.openxmlformats.org/officeDocument/2006/relationships/hyperlink" Target="https://i.ibb.co/DznB5q4/Itau.png" TargetMode="External"/><Relationship Id="rId583" Type="http://schemas.openxmlformats.org/officeDocument/2006/relationships/hyperlink" Target="https://i.ibb.co/DznB5q4/Itau.png" TargetMode="External"/><Relationship Id="rId584" Type="http://schemas.openxmlformats.org/officeDocument/2006/relationships/hyperlink" Target="https://i.ibb.co/DznB5q4/Itau.png" TargetMode="External"/><Relationship Id="rId585" Type="http://schemas.openxmlformats.org/officeDocument/2006/relationships/hyperlink" Target="https://i.ibb.co/DznB5q4/Itau.png" TargetMode="External"/><Relationship Id="rId586" Type="http://schemas.openxmlformats.org/officeDocument/2006/relationships/hyperlink" Target="https://i.ibb.co/DznB5q4/Itau.png" TargetMode="External"/><Relationship Id="rId587" Type="http://schemas.openxmlformats.org/officeDocument/2006/relationships/hyperlink" Target="https://i.ibb.co/DznB5q4/Itau.png" TargetMode="External"/><Relationship Id="rId588" Type="http://schemas.openxmlformats.org/officeDocument/2006/relationships/hyperlink" Target="https://i.ibb.co/DznB5q4/Itau.png" TargetMode="External"/><Relationship Id="rId589" Type="http://schemas.openxmlformats.org/officeDocument/2006/relationships/hyperlink" Target="https://i.ibb.co/DznB5q4/Itau.png" TargetMode="External"/><Relationship Id="rId590" Type="http://schemas.openxmlformats.org/officeDocument/2006/relationships/hyperlink" Target="https://i.ibb.co/DznB5q4/Itau.png" TargetMode="External"/><Relationship Id="rId591" Type="http://schemas.openxmlformats.org/officeDocument/2006/relationships/hyperlink" Target="https://i.ibb.co/DznB5q4/Itau.png" TargetMode="External"/><Relationship Id="rId592" Type="http://schemas.openxmlformats.org/officeDocument/2006/relationships/hyperlink" Target="https://i.ibb.co/DznB5q4/Itau.png" TargetMode="External"/><Relationship Id="rId593" Type="http://schemas.openxmlformats.org/officeDocument/2006/relationships/hyperlink" Target="https://i.ibb.co/DznB5q4/Itau.png" TargetMode="External"/><Relationship Id="rId594" Type="http://schemas.openxmlformats.org/officeDocument/2006/relationships/hyperlink" Target="https://i.ibb.co/DznB5q4/Itau.png" TargetMode="External"/><Relationship Id="rId595" Type="http://schemas.openxmlformats.org/officeDocument/2006/relationships/hyperlink" Target="https://i.ibb.co/DznB5q4/Itau.png" TargetMode="External"/><Relationship Id="rId596" Type="http://schemas.openxmlformats.org/officeDocument/2006/relationships/hyperlink" Target="https://i.ibb.co/DznB5q4/Itau.png" TargetMode="External"/><Relationship Id="rId597" Type="http://schemas.openxmlformats.org/officeDocument/2006/relationships/hyperlink" Target="https://i.ibb.co/DznB5q4/Itau.png" TargetMode="External"/><Relationship Id="rId598" Type="http://schemas.openxmlformats.org/officeDocument/2006/relationships/hyperlink" Target="https://i.ibb.co/DznB5q4/Itau.png" TargetMode="External"/><Relationship Id="rId599" Type="http://schemas.openxmlformats.org/officeDocument/2006/relationships/hyperlink" Target="https://i.ibb.co/DznB5q4/Itau.png" TargetMode="External"/><Relationship Id="rId600" Type="http://schemas.openxmlformats.org/officeDocument/2006/relationships/hyperlink" Target="https://i.ibb.co/DznB5q4/Itau.png" TargetMode="External"/><Relationship Id="rId601" Type="http://schemas.openxmlformats.org/officeDocument/2006/relationships/hyperlink" Target="https://i.ibb.co/DznB5q4/Itau.png" TargetMode="External"/><Relationship Id="rId602" Type="http://schemas.openxmlformats.org/officeDocument/2006/relationships/hyperlink" Target="https://i.ibb.co/DznB5q4/Itau.png" TargetMode="External"/><Relationship Id="rId603" Type="http://schemas.openxmlformats.org/officeDocument/2006/relationships/hyperlink" Target="https://i.ibb.co/DznB5q4/Itau.png" TargetMode="External"/><Relationship Id="rId604" Type="http://schemas.openxmlformats.org/officeDocument/2006/relationships/hyperlink" Target="https://i.ibb.co/DznB5q4/Itau.png" TargetMode="External"/><Relationship Id="rId605" Type="http://schemas.openxmlformats.org/officeDocument/2006/relationships/hyperlink" Target="https://i.ibb.co/DznB5q4/Itau.png" TargetMode="External"/><Relationship Id="rId606" Type="http://schemas.openxmlformats.org/officeDocument/2006/relationships/hyperlink" Target="https://i.ibb.co/DznB5q4/Itau.png" TargetMode="External"/><Relationship Id="rId607" Type="http://schemas.openxmlformats.org/officeDocument/2006/relationships/hyperlink" Target="https://i.ibb.co/DznB5q4/Itau.png" TargetMode="External"/><Relationship Id="rId608" Type="http://schemas.openxmlformats.org/officeDocument/2006/relationships/hyperlink" Target="https://i.ibb.co/DznB5q4/Itau.png" TargetMode="External"/><Relationship Id="rId609" Type="http://schemas.openxmlformats.org/officeDocument/2006/relationships/hyperlink" Target="https://i.ibb.co/DznB5q4/Itau.png" TargetMode="External"/><Relationship Id="rId610" Type="http://schemas.openxmlformats.org/officeDocument/2006/relationships/hyperlink" Target="https://i.ibb.co/DznB5q4/Itau.png" TargetMode="External"/><Relationship Id="rId611" Type="http://schemas.openxmlformats.org/officeDocument/2006/relationships/hyperlink" Target="https://i.ibb.co/DznB5q4/Itau.png" TargetMode="External"/><Relationship Id="rId612" Type="http://schemas.openxmlformats.org/officeDocument/2006/relationships/hyperlink" Target="https://i.ibb.co/DznB5q4/Itau.png" TargetMode="External"/><Relationship Id="rId613" Type="http://schemas.openxmlformats.org/officeDocument/2006/relationships/hyperlink" Target="https://i.ibb.co/DznB5q4/Itau.png" TargetMode="External"/><Relationship Id="rId614" Type="http://schemas.openxmlformats.org/officeDocument/2006/relationships/hyperlink" Target="https://i.ibb.co/DznB5q4/Itau.png" TargetMode="External"/><Relationship Id="rId615" Type="http://schemas.openxmlformats.org/officeDocument/2006/relationships/hyperlink" Target="https://i.ibb.co/DznB5q4/Itau.png" TargetMode="External"/><Relationship Id="rId616" Type="http://schemas.openxmlformats.org/officeDocument/2006/relationships/hyperlink" Target="https://i.ibb.co/DznB5q4/Itau.png" TargetMode="External"/><Relationship Id="rId617" Type="http://schemas.openxmlformats.org/officeDocument/2006/relationships/hyperlink" Target="https://i.ibb.co/DznB5q4/Itau.png" TargetMode="External"/><Relationship Id="rId618" Type="http://schemas.openxmlformats.org/officeDocument/2006/relationships/hyperlink" Target="https://i.ibb.co/DznB5q4/Itau.png" TargetMode="External"/><Relationship Id="rId619" Type="http://schemas.openxmlformats.org/officeDocument/2006/relationships/hyperlink" Target="https://i.ibb.co/DznB5q4/Itau.png" TargetMode="External"/><Relationship Id="rId620" Type="http://schemas.openxmlformats.org/officeDocument/2006/relationships/hyperlink" Target="https://i.ibb.co/DznB5q4/Itau.png" TargetMode="External"/><Relationship Id="rId621" Type="http://schemas.openxmlformats.org/officeDocument/2006/relationships/hyperlink" Target="https://i.ibb.co/DznB5q4/Itau.png" TargetMode="External"/><Relationship Id="rId622" Type="http://schemas.openxmlformats.org/officeDocument/2006/relationships/hyperlink" Target="https://i.ibb.co/DznB5q4/Itau.png" TargetMode="External"/><Relationship Id="rId623" Type="http://schemas.openxmlformats.org/officeDocument/2006/relationships/hyperlink" Target="https://i.ibb.co/DznB5q4/Itau.png" TargetMode="External"/><Relationship Id="rId624" Type="http://schemas.openxmlformats.org/officeDocument/2006/relationships/hyperlink" Target="https://i.ibb.co/DznB5q4/Itau.png" TargetMode="External"/><Relationship Id="rId625" Type="http://schemas.openxmlformats.org/officeDocument/2006/relationships/hyperlink" Target="https://i.ibb.co/DznB5q4/Itau.png" TargetMode="External"/><Relationship Id="rId626" Type="http://schemas.openxmlformats.org/officeDocument/2006/relationships/hyperlink" Target="https://i.ibb.co/DznB5q4/Itau.png" TargetMode="External"/><Relationship Id="rId627" Type="http://schemas.openxmlformats.org/officeDocument/2006/relationships/hyperlink" Target="https://i.ibb.co/DznB5q4/Itau.png" TargetMode="External"/><Relationship Id="rId628" Type="http://schemas.openxmlformats.org/officeDocument/2006/relationships/hyperlink" Target="https://i.ibb.co/DznB5q4/Itau.png" TargetMode="External"/><Relationship Id="rId629" Type="http://schemas.openxmlformats.org/officeDocument/2006/relationships/hyperlink" Target="https://i.ibb.co/DznB5q4/Itau.png" TargetMode="External"/><Relationship Id="rId630" Type="http://schemas.openxmlformats.org/officeDocument/2006/relationships/hyperlink" Target="https://i.ibb.co/DznB5q4/Itau.png" TargetMode="External"/><Relationship Id="rId631" Type="http://schemas.openxmlformats.org/officeDocument/2006/relationships/hyperlink" Target="https://i.ibb.co/DznB5q4/Itau.png" TargetMode="External"/><Relationship Id="rId632" Type="http://schemas.openxmlformats.org/officeDocument/2006/relationships/hyperlink" Target="https://i.ibb.co/DznB5q4/Itau.png" TargetMode="External"/><Relationship Id="rId633" Type="http://schemas.openxmlformats.org/officeDocument/2006/relationships/hyperlink" Target="https://i.ibb.co/DznB5q4/Itau.png" TargetMode="External"/><Relationship Id="rId634" Type="http://schemas.openxmlformats.org/officeDocument/2006/relationships/hyperlink" Target="https://i.ibb.co/DznB5q4/Itau.png" TargetMode="External"/><Relationship Id="rId635" Type="http://schemas.openxmlformats.org/officeDocument/2006/relationships/hyperlink" Target="https://i.ibb.co/DznB5q4/Itau.png" TargetMode="External"/><Relationship Id="rId636" Type="http://schemas.openxmlformats.org/officeDocument/2006/relationships/hyperlink" Target="https://i.ibb.co/DznB5q4/Itau.png" TargetMode="External"/><Relationship Id="rId637" Type="http://schemas.openxmlformats.org/officeDocument/2006/relationships/hyperlink" Target="https://i.ibb.co/DznB5q4/Itau.png" TargetMode="External"/><Relationship Id="rId638" Type="http://schemas.openxmlformats.org/officeDocument/2006/relationships/hyperlink" Target="https://i.ibb.co/DznB5q4/Itau.png" TargetMode="External"/><Relationship Id="rId639" Type="http://schemas.openxmlformats.org/officeDocument/2006/relationships/hyperlink" Target="https://i.ibb.co/DznB5q4/Itau.png" TargetMode="External"/><Relationship Id="rId640" Type="http://schemas.openxmlformats.org/officeDocument/2006/relationships/hyperlink" Target="https://i.ibb.co/DznB5q4/Itau.png" TargetMode="External"/><Relationship Id="rId641" Type="http://schemas.openxmlformats.org/officeDocument/2006/relationships/hyperlink" Target="https://i.ibb.co/DznB5q4/Itau.png" TargetMode="External"/><Relationship Id="rId642" Type="http://schemas.openxmlformats.org/officeDocument/2006/relationships/hyperlink" Target="https://i.ibb.co/DznB5q4/Itau.png" TargetMode="External"/><Relationship Id="rId643" Type="http://schemas.openxmlformats.org/officeDocument/2006/relationships/hyperlink" Target="https://i.ibb.co/DznB5q4/Itau.png" TargetMode="External"/><Relationship Id="rId644" Type="http://schemas.openxmlformats.org/officeDocument/2006/relationships/hyperlink" Target="https://i.ibb.co/DznB5q4/Itau.png" TargetMode="External"/><Relationship Id="rId645" Type="http://schemas.openxmlformats.org/officeDocument/2006/relationships/hyperlink" Target="https://i.ibb.co/DznB5q4/Itau.png" TargetMode="External"/><Relationship Id="rId646" Type="http://schemas.openxmlformats.org/officeDocument/2006/relationships/hyperlink" Target="https://i.ibb.co/DznB5q4/Itau.png" TargetMode="External"/><Relationship Id="rId647" Type="http://schemas.openxmlformats.org/officeDocument/2006/relationships/hyperlink" Target="https://i.ibb.co/DznB5q4/Itau.png" TargetMode="External"/><Relationship Id="rId648" Type="http://schemas.openxmlformats.org/officeDocument/2006/relationships/hyperlink" Target="https://i.ibb.co/DznB5q4/Itau.png" TargetMode="External"/><Relationship Id="rId649" Type="http://schemas.openxmlformats.org/officeDocument/2006/relationships/hyperlink" Target="https://i.ibb.co/DznB5q4/Itau.png" TargetMode="External"/><Relationship Id="rId650" Type="http://schemas.openxmlformats.org/officeDocument/2006/relationships/hyperlink" Target="https://i.ibb.co/DznB5q4/Itau.png" TargetMode="External"/><Relationship Id="rId651" Type="http://schemas.openxmlformats.org/officeDocument/2006/relationships/hyperlink" Target="https://i.ibb.co/DznB5q4/Itau.png" TargetMode="External"/><Relationship Id="rId652" Type="http://schemas.openxmlformats.org/officeDocument/2006/relationships/hyperlink" Target="https://i.ibb.co/DznB5q4/Itau.png" TargetMode="External"/><Relationship Id="rId653" Type="http://schemas.openxmlformats.org/officeDocument/2006/relationships/hyperlink" Target="https://i.ibb.co/DznB5q4/Itau.png" TargetMode="External"/><Relationship Id="rId654" Type="http://schemas.openxmlformats.org/officeDocument/2006/relationships/hyperlink" Target="https://i.ibb.co/DznB5q4/Itau.png" TargetMode="External"/><Relationship Id="rId655" Type="http://schemas.openxmlformats.org/officeDocument/2006/relationships/hyperlink" Target="https://i.ibb.co/DznB5q4/Itau.png" TargetMode="External"/><Relationship Id="rId656" Type="http://schemas.openxmlformats.org/officeDocument/2006/relationships/hyperlink" Target="https://i.ibb.co/DznB5q4/Itau.png" TargetMode="External"/><Relationship Id="rId657" Type="http://schemas.openxmlformats.org/officeDocument/2006/relationships/hyperlink" Target="https://i.ibb.co/DznB5q4/Itau.png" TargetMode="External"/><Relationship Id="rId658" Type="http://schemas.openxmlformats.org/officeDocument/2006/relationships/hyperlink" Target="https://i.ibb.co/DznB5q4/Itau.png" TargetMode="External"/><Relationship Id="rId659" Type="http://schemas.openxmlformats.org/officeDocument/2006/relationships/hyperlink" Target="https://i.ibb.co/DznB5q4/Itau.png" TargetMode="External"/><Relationship Id="rId660" Type="http://schemas.openxmlformats.org/officeDocument/2006/relationships/hyperlink" Target="https://i.ibb.co/DznB5q4/Itau.png" TargetMode="External"/><Relationship Id="rId661" Type="http://schemas.openxmlformats.org/officeDocument/2006/relationships/hyperlink" Target="https://i.ibb.co/DznB5q4/Itau.png" TargetMode="External"/><Relationship Id="rId662" Type="http://schemas.openxmlformats.org/officeDocument/2006/relationships/hyperlink" Target="https://i.ibb.co/DznB5q4/Itau.png" TargetMode="External"/><Relationship Id="rId663" Type="http://schemas.openxmlformats.org/officeDocument/2006/relationships/hyperlink" Target="https://i.ibb.co/DznB5q4/Itau.png" TargetMode="External"/><Relationship Id="rId664" Type="http://schemas.openxmlformats.org/officeDocument/2006/relationships/hyperlink" Target="https://i.ibb.co/DznB5q4/Itau.png" TargetMode="External"/><Relationship Id="rId665" Type="http://schemas.openxmlformats.org/officeDocument/2006/relationships/hyperlink" Target="https://i.ibb.co/DznB5q4/Itau.png" TargetMode="External"/><Relationship Id="rId666" Type="http://schemas.openxmlformats.org/officeDocument/2006/relationships/hyperlink" Target="https://i.ibb.co/DznB5q4/Itau.png" TargetMode="External"/><Relationship Id="rId667" Type="http://schemas.openxmlformats.org/officeDocument/2006/relationships/hyperlink" Target="https://i.ibb.co/DznB5q4/Itau.png" TargetMode="External"/><Relationship Id="rId668" Type="http://schemas.openxmlformats.org/officeDocument/2006/relationships/hyperlink" Target="https://i.ibb.co/DznB5q4/Itau.png" TargetMode="External"/><Relationship Id="rId669" Type="http://schemas.openxmlformats.org/officeDocument/2006/relationships/hyperlink" Target="https://i.ibb.co/DznB5q4/Itau.png" TargetMode="External"/><Relationship Id="rId670" Type="http://schemas.openxmlformats.org/officeDocument/2006/relationships/hyperlink" Target="https://i.ibb.co/DznB5q4/Itau.png" TargetMode="External"/><Relationship Id="rId671" Type="http://schemas.openxmlformats.org/officeDocument/2006/relationships/hyperlink" Target="https://i.ibb.co/DznB5q4/Itau.png" TargetMode="External"/><Relationship Id="rId672" Type="http://schemas.openxmlformats.org/officeDocument/2006/relationships/hyperlink" Target="https://i.ibb.co/DznB5q4/Itau.png" TargetMode="External"/><Relationship Id="rId673" Type="http://schemas.openxmlformats.org/officeDocument/2006/relationships/hyperlink" Target="https://i.ibb.co/DznB5q4/Itau.png" TargetMode="External"/><Relationship Id="rId674" Type="http://schemas.openxmlformats.org/officeDocument/2006/relationships/hyperlink" Target="https://i.ibb.co/DznB5q4/Itau.png" TargetMode="External"/><Relationship Id="rId675" Type="http://schemas.openxmlformats.org/officeDocument/2006/relationships/hyperlink" Target="https://i.ibb.co/DznB5q4/Itau.png" TargetMode="External"/><Relationship Id="rId676" Type="http://schemas.openxmlformats.org/officeDocument/2006/relationships/hyperlink" Target="https://i.ibb.co/DznB5q4/Itau.png" TargetMode="External"/><Relationship Id="rId677" Type="http://schemas.openxmlformats.org/officeDocument/2006/relationships/hyperlink" Target="https://i.ibb.co/DznB5q4/Itau.png" TargetMode="External"/><Relationship Id="rId678" Type="http://schemas.openxmlformats.org/officeDocument/2006/relationships/hyperlink" Target="https://i.ibb.co/DznB5q4/Itau.png" TargetMode="External"/><Relationship Id="rId679" Type="http://schemas.openxmlformats.org/officeDocument/2006/relationships/hyperlink" Target="https://i.ibb.co/DznB5q4/Itau.png" TargetMode="External"/><Relationship Id="rId680" Type="http://schemas.openxmlformats.org/officeDocument/2006/relationships/hyperlink" Target="https://i.ibb.co/DznB5q4/Itau.png" TargetMode="External"/><Relationship Id="rId681" Type="http://schemas.openxmlformats.org/officeDocument/2006/relationships/hyperlink" Target="https://i.ibb.co/DznB5q4/Itau.png" TargetMode="External"/><Relationship Id="rId682" Type="http://schemas.openxmlformats.org/officeDocument/2006/relationships/hyperlink" Target="https://i.ibb.co/DznB5q4/Itau.png" TargetMode="External"/><Relationship Id="rId683" Type="http://schemas.openxmlformats.org/officeDocument/2006/relationships/hyperlink" Target="https://i.ibb.co/DznB5q4/Itau.png" TargetMode="External"/><Relationship Id="rId684" Type="http://schemas.openxmlformats.org/officeDocument/2006/relationships/hyperlink" Target="https://i.ibb.co/DznB5q4/Itau.png" TargetMode="External"/><Relationship Id="rId685" Type="http://schemas.openxmlformats.org/officeDocument/2006/relationships/hyperlink" Target="https://i.ibb.co/DznB5q4/Itau.png" TargetMode="External"/><Relationship Id="rId686" Type="http://schemas.openxmlformats.org/officeDocument/2006/relationships/hyperlink" Target="https://i.ibb.co/DznB5q4/Itau.png" TargetMode="External"/><Relationship Id="rId687" Type="http://schemas.openxmlformats.org/officeDocument/2006/relationships/hyperlink" Target="https://i.ibb.co/DznB5q4/Itau.png" TargetMode="External"/><Relationship Id="rId688" Type="http://schemas.openxmlformats.org/officeDocument/2006/relationships/hyperlink" Target="https://i.ibb.co/DznB5q4/Itau.png" TargetMode="External"/><Relationship Id="rId689" Type="http://schemas.openxmlformats.org/officeDocument/2006/relationships/hyperlink" Target="https://i.ibb.co/DznB5q4/Itau.png" TargetMode="External"/><Relationship Id="rId690" Type="http://schemas.openxmlformats.org/officeDocument/2006/relationships/hyperlink" Target="https://i.ibb.co/DznB5q4/Itau.png" TargetMode="External"/><Relationship Id="rId691" Type="http://schemas.openxmlformats.org/officeDocument/2006/relationships/hyperlink" Target="https://i.ibb.co/DznB5q4/Itau.png" TargetMode="External"/><Relationship Id="rId692" Type="http://schemas.openxmlformats.org/officeDocument/2006/relationships/hyperlink" Target="https://i.ibb.co/DznB5q4/Itau.png" TargetMode="External"/><Relationship Id="rId693" Type="http://schemas.openxmlformats.org/officeDocument/2006/relationships/hyperlink" Target="https://i.ibb.co/DznB5q4/Itau.png" TargetMode="External"/><Relationship Id="rId694" Type="http://schemas.openxmlformats.org/officeDocument/2006/relationships/hyperlink" Target="https://i.ibb.co/DznB5q4/Itau.png" TargetMode="External"/><Relationship Id="rId695" Type="http://schemas.openxmlformats.org/officeDocument/2006/relationships/hyperlink" Target="https://i.ibb.co/DznB5q4/Itau.png" TargetMode="External"/><Relationship Id="rId696" Type="http://schemas.openxmlformats.org/officeDocument/2006/relationships/hyperlink" Target="https://i.ibb.co/DznB5q4/Itau.png" TargetMode="External"/><Relationship Id="rId697" Type="http://schemas.openxmlformats.org/officeDocument/2006/relationships/hyperlink" Target="https://i.ibb.co/DznB5q4/Itau.png" TargetMode="External"/><Relationship Id="rId698" Type="http://schemas.openxmlformats.org/officeDocument/2006/relationships/hyperlink" Target="https://i.ibb.co/DznB5q4/Itau.png" TargetMode="External"/><Relationship Id="rId699" Type="http://schemas.openxmlformats.org/officeDocument/2006/relationships/hyperlink" Target="https://i.ibb.co/DznB5q4/Itau.png" TargetMode="External"/><Relationship Id="rId700" Type="http://schemas.openxmlformats.org/officeDocument/2006/relationships/hyperlink" Target="https://i.ibb.co/DznB5q4/Itau.png" TargetMode="External"/><Relationship Id="rId701" Type="http://schemas.openxmlformats.org/officeDocument/2006/relationships/hyperlink" Target="https://i.ibb.co/DznB5q4/Itau.png" TargetMode="External"/><Relationship Id="rId702" Type="http://schemas.openxmlformats.org/officeDocument/2006/relationships/hyperlink" Target="https://i.ibb.co/DznB5q4/Itau.png" TargetMode="External"/><Relationship Id="rId703" Type="http://schemas.openxmlformats.org/officeDocument/2006/relationships/hyperlink" Target="https://i.ibb.co/DznB5q4/Itau.png" TargetMode="External"/><Relationship Id="rId704" Type="http://schemas.openxmlformats.org/officeDocument/2006/relationships/hyperlink" Target="https://i.ibb.co/DznB5q4/Itau.png" TargetMode="External"/><Relationship Id="rId705" Type="http://schemas.openxmlformats.org/officeDocument/2006/relationships/hyperlink" Target="https://i.ibb.co/DznB5q4/Itau.png" TargetMode="External"/><Relationship Id="rId706" Type="http://schemas.openxmlformats.org/officeDocument/2006/relationships/hyperlink" Target="https://i.ibb.co/DznB5q4/Itau.png" TargetMode="External"/><Relationship Id="rId707" Type="http://schemas.openxmlformats.org/officeDocument/2006/relationships/hyperlink" Target="https://i.ibb.co/DznB5q4/Itau.png" TargetMode="External"/><Relationship Id="rId708" Type="http://schemas.openxmlformats.org/officeDocument/2006/relationships/hyperlink" Target="https://i.ibb.co/DznB5q4/Itau.png" TargetMode="External"/><Relationship Id="rId709" Type="http://schemas.openxmlformats.org/officeDocument/2006/relationships/hyperlink" Target="https://i.ibb.co/DznB5q4/Itau.png" TargetMode="External"/><Relationship Id="rId710" Type="http://schemas.openxmlformats.org/officeDocument/2006/relationships/hyperlink" Target="https://i.ibb.co/DznB5q4/Itau.png" TargetMode="External"/><Relationship Id="rId711" Type="http://schemas.openxmlformats.org/officeDocument/2006/relationships/hyperlink" Target="https://i.ibb.co/DznB5q4/Itau.png" TargetMode="External"/><Relationship Id="rId712" Type="http://schemas.openxmlformats.org/officeDocument/2006/relationships/hyperlink" Target="https://i.ibb.co/DznB5q4/Itau.png" TargetMode="External"/><Relationship Id="rId713" Type="http://schemas.openxmlformats.org/officeDocument/2006/relationships/hyperlink" Target="https://i.ibb.co/DznB5q4/Itau.png" TargetMode="External"/><Relationship Id="rId714" Type="http://schemas.openxmlformats.org/officeDocument/2006/relationships/hyperlink" Target="https://i.ibb.co/DznB5q4/Itau.png" TargetMode="External"/><Relationship Id="rId715" Type="http://schemas.openxmlformats.org/officeDocument/2006/relationships/hyperlink" Target="https://i.ibb.co/DznB5q4/Itau.png" TargetMode="External"/><Relationship Id="rId716" Type="http://schemas.openxmlformats.org/officeDocument/2006/relationships/hyperlink" Target="https://i.ibb.co/DznB5q4/Itau.png" TargetMode="External"/><Relationship Id="rId717" Type="http://schemas.openxmlformats.org/officeDocument/2006/relationships/hyperlink" Target="https://i.ibb.co/DznB5q4/Itau.png" TargetMode="External"/><Relationship Id="rId718" Type="http://schemas.openxmlformats.org/officeDocument/2006/relationships/hyperlink" Target="https://i.ibb.co/DznB5q4/Itau.png" TargetMode="External"/><Relationship Id="rId719" Type="http://schemas.openxmlformats.org/officeDocument/2006/relationships/hyperlink" Target="https://i.ibb.co/DznB5q4/Itau.png" TargetMode="External"/><Relationship Id="rId720" Type="http://schemas.openxmlformats.org/officeDocument/2006/relationships/hyperlink" Target="https://i.ibb.co/DznB5q4/Itau.png" TargetMode="External"/><Relationship Id="rId721" Type="http://schemas.openxmlformats.org/officeDocument/2006/relationships/hyperlink" Target="https://i.ibb.co/DznB5q4/Itau.png" TargetMode="External"/><Relationship Id="rId722" Type="http://schemas.openxmlformats.org/officeDocument/2006/relationships/hyperlink" Target="https://i.ibb.co/DznB5q4/Itau.png" TargetMode="External"/><Relationship Id="rId723" Type="http://schemas.openxmlformats.org/officeDocument/2006/relationships/hyperlink" Target="https://i.ibb.co/DznB5q4/Itau.png" TargetMode="External"/><Relationship Id="rId724" Type="http://schemas.openxmlformats.org/officeDocument/2006/relationships/hyperlink" Target="https://i.ibb.co/DznB5q4/Itau.png" TargetMode="External"/><Relationship Id="rId725" Type="http://schemas.openxmlformats.org/officeDocument/2006/relationships/hyperlink" Target="https://i.ibb.co/DznB5q4/Itau.png" TargetMode="External"/><Relationship Id="rId726" Type="http://schemas.openxmlformats.org/officeDocument/2006/relationships/hyperlink" Target="https://i.ibb.co/DznB5q4/Itau.png" TargetMode="External"/><Relationship Id="rId727" Type="http://schemas.openxmlformats.org/officeDocument/2006/relationships/hyperlink" Target="https://i.ibb.co/DznB5q4/Itau.png" TargetMode="External"/><Relationship Id="rId728" Type="http://schemas.openxmlformats.org/officeDocument/2006/relationships/hyperlink" Target="https://i.ibb.co/DznB5q4/Itau.png" TargetMode="External"/><Relationship Id="rId729" Type="http://schemas.openxmlformats.org/officeDocument/2006/relationships/hyperlink" Target="https://i.ibb.co/DznB5q4/Itau.png" TargetMode="External"/><Relationship Id="rId730" Type="http://schemas.openxmlformats.org/officeDocument/2006/relationships/hyperlink" Target="https://i.ibb.co/DznB5q4/Itau.png" TargetMode="External"/><Relationship Id="rId731" Type="http://schemas.openxmlformats.org/officeDocument/2006/relationships/hyperlink" Target="https://i.ibb.co/DznB5q4/Itau.png" TargetMode="External"/><Relationship Id="rId732" Type="http://schemas.openxmlformats.org/officeDocument/2006/relationships/hyperlink" Target="https://i.ibb.co/DznB5q4/Itau.png" TargetMode="External"/><Relationship Id="rId733" Type="http://schemas.openxmlformats.org/officeDocument/2006/relationships/hyperlink" Target="https://i.ibb.co/DznB5q4/Itau.png" TargetMode="External"/><Relationship Id="rId734" Type="http://schemas.openxmlformats.org/officeDocument/2006/relationships/hyperlink" Target="https://i.ibb.co/DznB5q4/Itau.png" TargetMode="External"/><Relationship Id="rId735" Type="http://schemas.openxmlformats.org/officeDocument/2006/relationships/hyperlink" Target="https://i.ibb.co/DznB5q4/Itau.png" TargetMode="External"/><Relationship Id="rId736" Type="http://schemas.openxmlformats.org/officeDocument/2006/relationships/hyperlink" Target="https://i.ibb.co/DznB5q4/Itau.png" TargetMode="External"/><Relationship Id="rId737" Type="http://schemas.openxmlformats.org/officeDocument/2006/relationships/hyperlink" Target="https://i.ibb.co/DznB5q4/Itau.png" TargetMode="External"/><Relationship Id="rId738" Type="http://schemas.openxmlformats.org/officeDocument/2006/relationships/hyperlink" Target="https://i.ibb.co/DznB5q4/Itau.png" TargetMode="External"/><Relationship Id="rId739" Type="http://schemas.openxmlformats.org/officeDocument/2006/relationships/hyperlink" Target="https://i.ibb.co/DznB5q4/Itau.png" TargetMode="External"/><Relationship Id="rId740" Type="http://schemas.openxmlformats.org/officeDocument/2006/relationships/hyperlink" Target="https://i.ibb.co/DznB5q4/Itau.png" TargetMode="External"/><Relationship Id="rId741" Type="http://schemas.openxmlformats.org/officeDocument/2006/relationships/hyperlink" Target="https://i.ibb.co/DznB5q4/Itau.png" TargetMode="External"/><Relationship Id="rId742" Type="http://schemas.openxmlformats.org/officeDocument/2006/relationships/hyperlink" Target="https://i.ibb.co/DznB5q4/Itau.png" TargetMode="External"/><Relationship Id="rId743" Type="http://schemas.openxmlformats.org/officeDocument/2006/relationships/hyperlink" Target="https://i.ibb.co/DznB5q4/Itau.png" TargetMode="External"/><Relationship Id="rId744" Type="http://schemas.openxmlformats.org/officeDocument/2006/relationships/hyperlink" Target="https://i.ibb.co/DznB5q4/Itau.png" TargetMode="External"/><Relationship Id="rId745" Type="http://schemas.openxmlformats.org/officeDocument/2006/relationships/hyperlink" Target="https://i.ibb.co/DznB5q4/Itau.png" TargetMode="External"/><Relationship Id="rId746" Type="http://schemas.openxmlformats.org/officeDocument/2006/relationships/hyperlink" Target="https://i.ibb.co/DznB5q4/Itau.png" TargetMode="External"/><Relationship Id="rId747" Type="http://schemas.openxmlformats.org/officeDocument/2006/relationships/hyperlink" Target="https://i.ibb.co/DznB5q4/Itau.png" TargetMode="External"/><Relationship Id="rId748" Type="http://schemas.openxmlformats.org/officeDocument/2006/relationships/hyperlink" Target="https://i.ibb.co/DznB5q4/Itau.png" TargetMode="External"/><Relationship Id="rId749" Type="http://schemas.openxmlformats.org/officeDocument/2006/relationships/hyperlink" Target="https://i.ibb.co/DznB5q4/Itau.png" TargetMode="External"/><Relationship Id="rId750" Type="http://schemas.openxmlformats.org/officeDocument/2006/relationships/hyperlink" Target="https://i.ibb.co/DznB5q4/Itau.png" TargetMode="External"/><Relationship Id="rId751" Type="http://schemas.openxmlformats.org/officeDocument/2006/relationships/hyperlink" Target="https://i.ibb.co/DznB5q4/Itau.png" TargetMode="External"/><Relationship Id="rId752" Type="http://schemas.openxmlformats.org/officeDocument/2006/relationships/hyperlink" Target="https://i.ibb.co/DznB5q4/Itau.png" TargetMode="External"/><Relationship Id="rId753" Type="http://schemas.openxmlformats.org/officeDocument/2006/relationships/hyperlink" Target="https://i.ibb.co/DznB5q4/Itau.png" TargetMode="External"/><Relationship Id="rId754" Type="http://schemas.openxmlformats.org/officeDocument/2006/relationships/hyperlink" Target="https://i.ibb.co/DznB5q4/Itau.png" TargetMode="External"/><Relationship Id="rId755" Type="http://schemas.openxmlformats.org/officeDocument/2006/relationships/hyperlink" Target="https://i.ibb.co/DznB5q4/Itau.png" TargetMode="External"/><Relationship Id="rId756" Type="http://schemas.openxmlformats.org/officeDocument/2006/relationships/hyperlink" Target="https://i.ibb.co/DznB5q4/Itau.png" TargetMode="External"/><Relationship Id="rId757" Type="http://schemas.openxmlformats.org/officeDocument/2006/relationships/hyperlink" Target="https://i.ibb.co/DznB5q4/Itau.png" TargetMode="External"/><Relationship Id="rId758" Type="http://schemas.openxmlformats.org/officeDocument/2006/relationships/hyperlink" Target="https://i.ibb.co/DznB5q4/Itau.png" TargetMode="External"/><Relationship Id="rId759" Type="http://schemas.openxmlformats.org/officeDocument/2006/relationships/hyperlink" Target="https://i.ibb.co/DznB5q4/Itau.png" TargetMode="External"/><Relationship Id="rId760" Type="http://schemas.openxmlformats.org/officeDocument/2006/relationships/hyperlink" Target="https://i.ibb.co/DznB5q4/Itau.png" TargetMode="External"/><Relationship Id="rId761" Type="http://schemas.openxmlformats.org/officeDocument/2006/relationships/hyperlink" Target="https://i.ibb.co/DznB5q4/Itau.png" TargetMode="External"/><Relationship Id="rId762" Type="http://schemas.openxmlformats.org/officeDocument/2006/relationships/hyperlink" Target="https://i.ibb.co/DznB5q4/Itau.png" TargetMode="External"/><Relationship Id="rId763" Type="http://schemas.openxmlformats.org/officeDocument/2006/relationships/hyperlink" Target="https://i.ibb.co/DznB5q4/Itau.png" TargetMode="External"/><Relationship Id="rId764" Type="http://schemas.openxmlformats.org/officeDocument/2006/relationships/hyperlink" Target="https://i.ibb.co/DznB5q4/Itau.png" TargetMode="External"/><Relationship Id="rId765" Type="http://schemas.openxmlformats.org/officeDocument/2006/relationships/hyperlink" Target="https://i.ibb.co/DznB5q4/Itau.png" TargetMode="External"/><Relationship Id="rId766" Type="http://schemas.openxmlformats.org/officeDocument/2006/relationships/hyperlink" Target="https://i.ibb.co/DznB5q4/Itau.png" TargetMode="External"/><Relationship Id="rId767" Type="http://schemas.openxmlformats.org/officeDocument/2006/relationships/hyperlink" Target="https://i.ibb.co/DznB5q4/Itau.png" TargetMode="External"/><Relationship Id="rId768" Type="http://schemas.openxmlformats.org/officeDocument/2006/relationships/hyperlink" Target="https://i.ibb.co/DznB5q4/Itau.png" TargetMode="External"/><Relationship Id="rId769" Type="http://schemas.openxmlformats.org/officeDocument/2006/relationships/hyperlink" Target="https://i.ibb.co/DznB5q4/Itau.png" TargetMode="External"/><Relationship Id="rId770" Type="http://schemas.openxmlformats.org/officeDocument/2006/relationships/hyperlink" Target="https://i.ibb.co/DznB5q4/Itau.png" TargetMode="External"/><Relationship Id="rId771" Type="http://schemas.openxmlformats.org/officeDocument/2006/relationships/hyperlink" Target="https://i.ibb.co/DznB5q4/Itau.png" TargetMode="External"/><Relationship Id="rId772" Type="http://schemas.openxmlformats.org/officeDocument/2006/relationships/hyperlink" Target="https://i.ibb.co/DznB5q4/Itau.png" TargetMode="External"/><Relationship Id="rId773" Type="http://schemas.openxmlformats.org/officeDocument/2006/relationships/hyperlink" Target="https://i.ibb.co/DznB5q4/Itau.png" TargetMode="External"/><Relationship Id="rId774" Type="http://schemas.openxmlformats.org/officeDocument/2006/relationships/hyperlink" Target="https://i.ibb.co/DznB5q4/Itau.png" TargetMode="External"/><Relationship Id="rId775" Type="http://schemas.openxmlformats.org/officeDocument/2006/relationships/hyperlink" Target="https://i.ibb.co/DznB5q4/Itau.png" TargetMode="External"/><Relationship Id="rId776" Type="http://schemas.openxmlformats.org/officeDocument/2006/relationships/hyperlink" Target="https://i.ibb.co/DznB5q4/Itau.png" TargetMode="External"/><Relationship Id="rId777" Type="http://schemas.openxmlformats.org/officeDocument/2006/relationships/hyperlink" Target="https://i.ibb.co/DznB5q4/Itau.png" TargetMode="External"/><Relationship Id="rId778" Type="http://schemas.openxmlformats.org/officeDocument/2006/relationships/hyperlink" Target="https://i.ibb.co/DznB5q4/Itau.png" TargetMode="External"/><Relationship Id="rId779" Type="http://schemas.openxmlformats.org/officeDocument/2006/relationships/hyperlink" Target="https://i.ibb.co/DznB5q4/Itau.png" TargetMode="External"/><Relationship Id="rId780" Type="http://schemas.openxmlformats.org/officeDocument/2006/relationships/hyperlink" Target="https://i.ibb.co/DznB5q4/Itau.png" TargetMode="External"/><Relationship Id="rId781" Type="http://schemas.openxmlformats.org/officeDocument/2006/relationships/hyperlink" Target="https://i.ibb.co/DznB5q4/Itau.png" TargetMode="External"/><Relationship Id="rId782" Type="http://schemas.openxmlformats.org/officeDocument/2006/relationships/hyperlink" Target="https://i.ibb.co/DznB5q4/Itau.png" TargetMode="External"/><Relationship Id="rId783" Type="http://schemas.openxmlformats.org/officeDocument/2006/relationships/hyperlink" Target="https://i.ibb.co/DznB5q4/Itau.png" TargetMode="External"/><Relationship Id="rId784" Type="http://schemas.openxmlformats.org/officeDocument/2006/relationships/hyperlink" Target="https://i.ibb.co/DznB5q4/Itau.png" TargetMode="External"/><Relationship Id="rId785" Type="http://schemas.openxmlformats.org/officeDocument/2006/relationships/hyperlink" Target="https://i.ibb.co/DznB5q4/Itau.png" TargetMode="External"/><Relationship Id="rId786" Type="http://schemas.openxmlformats.org/officeDocument/2006/relationships/hyperlink" Target="https://i.ibb.co/DznB5q4/Itau.png" TargetMode="External"/><Relationship Id="rId787" Type="http://schemas.openxmlformats.org/officeDocument/2006/relationships/hyperlink" Target="https://i.ibb.co/DznB5q4/Itau.png" TargetMode="External"/><Relationship Id="rId788" Type="http://schemas.openxmlformats.org/officeDocument/2006/relationships/hyperlink" Target="https://i.ibb.co/DznB5q4/Itau.png" TargetMode="External"/><Relationship Id="rId789" Type="http://schemas.openxmlformats.org/officeDocument/2006/relationships/hyperlink" Target="https://i.ibb.co/DznB5q4/Itau.png" TargetMode="External"/><Relationship Id="rId790" Type="http://schemas.openxmlformats.org/officeDocument/2006/relationships/hyperlink" Target="https://i.ibb.co/DznB5q4/Itau.png" TargetMode="External"/><Relationship Id="rId791" Type="http://schemas.openxmlformats.org/officeDocument/2006/relationships/hyperlink" Target="https://i.ibb.co/DznB5q4/Itau.png" TargetMode="External"/><Relationship Id="rId792" Type="http://schemas.openxmlformats.org/officeDocument/2006/relationships/hyperlink" Target="https://i.ibb.co/DznB5q4/Itau.png" TargetMode="External"/><Relationship Id="rId793" Type="http://schemas.openxmlformats.org/officeDocument/2006/relationships/hyperlink" Target="https://i.ibb.co/DznB5q4/Itau.png" TargetMode="External"/><Relationship Id="rId794" Type="http://schemas.openxmlformats.org/officeDocument/2006/relationships/hyperlink" Target="https://i.ibb.co/DznB5q4/Itau.png" TargetMode="External"/><Relationship Id="rId795" Type="http://schemas.openxmlformats.org/officeDocument/2006/relationships/hyperlink" Target="https://i.ibb.co/DznB5q4/Itau.png" TargetMode="External"/><Relationship Id="rId796" Type="http://schemas.openxmlformats.org/officeDocument/2006/relationships/hyperlink" Target="https://i.ibb.co/DznB5q4/Itau.png" TargetMode="External"/><Relationship Id="rId797" Type="http://schemas.openxmlformats.org/officeDocument/2006/relationships/hyperlink" Target="https://i.ibb.co/DznB5q4/Itau.png" TargetMode="External"/><Relationship Id="rId798" Type="http://schemas.openxmlformats.org/officeDocument/2006/relationships/hyperlink" Target="https://i.ibb.co/DznB5q4/Itau.png" TargetMode="External"/><Relationship Id="rId799" Type="http://schemas.openxmlformats.org/officeDocument/2006/relationships/hyperlink" Target="https://i.ibb.co/DznB5q4/Itau.png" TargetMode="External"/><Relationship Id="rId800" Type="http://schemas.openxmlformats.org/officeDocument/2006/relationships/hyperlink" Target="https://i.ibb.co/DznB5q4/Itau.png" TargetMode="External"/><Relationship Id="rId801" Type="http://schemas.openxmlformats.org/officeDocument/2006/relationships/hyperlink" Target="https://i.ibb.co/DznB5q4/Itau.png" TargetMode="External"/><Relationship Id="rId802" Type="http://schemas.openxmlformats.org/officeDocument/2006/relationships/hyperlink" Target="https://i.ibb.co/DznB5q4/Itau.png" TargetMode="External"/><Relationship Id="rId803" Type="http://schemas.openxmlformats.org/officeDocument/2006/relationships/hyperlink" Target="https://i.ibb.co/DznB5q4/Itau.png" TargetMode="External"/><Relationship Id="rId804" Type="http://schemas.openxmlformats.org/officeDocument/2006/relationships/hyperlink" Target="https://i.ibb.co/DznB5q4/Itau.png" TargetMode="External"/><Relationship Id="rId805" Type="http://schemas.openxmlformats.org/officeDocument/2006/relationships/hyperlink" Target="https://i.ibb.co/DznB5q4/Itau.png" TargetMode="External"/><Relationship Id="rId806" Type="http://schemas.openxmlformats.org/officeDocument/2006/relationships/hyperlink" Target="https://i.ibb.co/DznB5q4/Itau.png" TargetMode="External"/><Relationship Id="rId807" Type="http://schemas.openxmlformats.org/officeDocument/2006/relationships/hyperlink" Target="https://i.ibb.co/DznB5q4/Itau.png" TargetMode="External"/><Relationship Id="rId808" Type="http://schemas.openxmlformats.org/officeDocument/2006/relationships/hyperlink" Target="https://i.ibb.co/DznB5q4/Itau.png" TargetMode="External"/><Relationship Id="rId809" Type="http://schemas.openxmlformats.org/officeDocument/2006/relationships/hyperlink" Target="https://i.ibb.co/DznB5q4/Itau.png" TargetMode="External"/><Relationship Id="rId810" Type="http://schemas.openxmlformats.org/officeDocument/2006/relationships/hyperlink" Target="https://i.ibb.co/DznB5q4/Itau.png" TargetMode="External"/><Relationship Id="rId811" Type="http://schemas.openxmlformats.org/officeDocument/2006/relationships/hyperlink" Target="https://i.ibb.co/DznB5q4/Itau.png" TargetMode="External"/><Relationship Id="rId812" Type="http://schemas.openxmlformats.org/officeDocument/2006/relationships/hyperlink" Target="https://i.ibb.co/DznB5q4/Itau.png" TargetMode="External"/><Relationship Id="rId813" Type="http://schemas.openxmlformats.org/officeDocument/2006/relationships/hyperlink" Target="https://i.ibb.co/DznB5q4/Itau.png" TargetMode="External"/><Relationship Id="rId814" Type="http://schemas.openxmlformats.org/officeDocument/2006/relationships/hyperlink" Target="https://i.ibb.co/DznB5q4/Itau.png" TargetMode="External"/><Relationship Id="rId815" Type="http://schemas.openxmlformats.org/officeDocument/2006/relationships/hyperlink" Target="https://i.ibb.co/DznB5q4/Itau.png" TargetMode="External"/><Relationship Id="rId816" Type="http://schemas.openxmlformats.org/officeDocument/2006/relationships/hyperlink" Target="https://i.ibb.co/DznB5q4/Itau.png" TargetMode="External"/><Relationship Id="rId817" Type="http://schemas.openxmlformats.org/officeDocument/2006/relationships/hyperlink" Target="https://i.ibb.co/DznB5q4/Itau.png" TargetMode="External"/><Relationship Id="rId818" Type="http://schemas.openxmlformats.org/officeDocument/2006/relationships/hyperlink" Target="https://i.ibb.co/DznB5q4/Itau.png" TargetMode="External"/><Relationship Id="rId819" Type="http://schemas.openxmlformats.org/officeDocument/2006/relationships/hyperlink" Target="https://i.ibb.co/DznB5q4/Itau.png" TargetMode="External"/><Relationship Id="rId820" Type="http://schemas.openxmlformats.org/officeDocument/2006/relationships/hyperlink" Target="https://i.ibb.co/DznB5q4/Itau.png" TargetMode="External"/><Relationship Id="rId821" Type="http://schemas.openxmlformats.org/officeDocument/2006/relationships/hyperlink" Target="https://i.ibb.co/DznB5q4/Itau.png" TargetMode="External"/><Relationship Id="rId822" Type="http://schemas.openxmlformats.org/officeDocument/2006/relationships/hyperlink" Target="https://i.ibb.co/DznB5q4/Itau.png" TargetMode="External"/><Relationship Id="rId823" Type="http://schemas.openxmlformats.org/officeDocument/2006/relationships/hyperlink" Target="https://i.ibb.co/DznB5q4/Itau.png" TargetMode="External"/><Relationship Id="rId824" Type="http://schemas.openxmlformats.org/officeDocument/2006/relationships/hyperlink" Target="https://i.ibb.co/DznB5q4/Itau.png" TargetMode="External"/><Relationship Id="rId825" Type="http://schemas.openxmlformats.org/officeDocument/2006/relationships/hyperlink" Target="https://i.ibb.co/DznB5q4/Itau.png" TargetMode="External"/><Relationship Id="rId826" Type="http://schemas.openxmlformats.org/officeDocument/2006/relationships/hyperlink" Target="https://i.ibb.co/DznB5q4/Itau.png" TargetMode="External"/><Relationship Id="rId827" Type="http://schemas.openxmlformats.org/officeDocument/2006/relationships/hyperlink" Target="https://i.ibb.co/DznB5q4/Itau.png" TargetMode="External"/><Relationship Id="rId828" Type="http://schemas.openxmlformats.org/officeDocument/2006/relationships/hyperlink" Target="https://i.ibb.co/DznB5q4/Itau.png" TargetMode="External"/><Relationship Id="rId829" Type="http://schemas.openxmlformats.org/officeDocument/2006/relationships/hyperlink" Target="https://i.ibb.co/DznB5q4/Itau.png" TargetMode="External"/><Relationship Id="rId830" Type="http://schemas.openxmlformats.org/officeDocument/2006/relationships/hyperlink" Target="https://i.ibb.co/DznB5q4/Itau.png" TargetMode="External"/><Relationship Id="rId831" Type="http://schemas.openxmlformats.org/officeDocument/2006/relationships/hyperlink" Target="https://i.ibb.co/DznB5q4/Itau.png" TargetMode="External"/><Relationship Id="rId832" Type="http://schemas.openxmlformats.org/officeDocument/2006/relationships/hyperlink" Target="https://i.ibb.co/DznB5q4/Itau.png" TargetMode="External"/><Relationship Id="rId833" Type="http://schemas.openxmlformats.org/officeDocument/2006/relationships/hyperlink" Target="https://i.ibb.co/DznB5q4/Itau.png" TargetMode="External"/><Relationship Id="rId834" Type="http://schemas.openxmlformats.org/officeDocument/2006/relationships/hyperlink" Target="https://i.ibb.co/DznB5q4/Itau.png" TargetMode="External"/><Relationship Id="rId835" Type="http://schemas.openxmlformats.org/officeDocument/2006/relationships/hyperlink" Target="https://i.ibb.co/DznB5q4/Itau.png" TargetMode="External"/><Relationship Id="rId836" Type="http://schemas.openxmlformats.org/officeDocument/2006/relationships/hyperlink" Target="https://i.ibb.co/DznB5q4/Itau.png" TargetMode="External"/><Relationship Id="rId837" Type="http://schemas.openxmlformats.org/officeDocument/2006/relationships/hyperlink" Target="https://i.ibb.co/DznB5q4/Itau.png" TargetMode="External"/><Relationship Id="rId838" Type="http://schemas.openxmlformats.org/officeDocument/2006/relationships/hyperlink" Target="https://i.ibb.co/DznB5q4/Itau.png" TargetMode="External"/><Relationship Id="rId839" Type="http://schemas.openxmlformats.org/officeDocument/2006/relationships/hyperlink" Target="https://i.ibb.co/DznB5q4/Itau.png" TargetMode="External"/><Relationship Id="rId840" Type="http://schemas.openxmlformats.org/officeDocument/2006/relationships/hyperlink" Target="https://i.ibb.co/DznB5q4/Itau.png" TargetMode="External"/><Relationship Id="rId841" Type="http://schemas.openxmlformats.org/officeDocument/2006/relationships/hyperlink" Target="https://i.ibb.co/DznB5q4/Itau.png" TargetMode="External"/><Relationship Id="rId842" Type="http://schemas.openxmlformats.org/officeDocument/2006/relationships/hyperlink" Target="https://i.ibb.co/DznB5q4/Itau.png" TargetMode="External"/><Relationship Id="rId843" Type="http://schemas.openxmlformats.org/officeDocument/2006/relationships/hyperlink" Target="https://i.ibb.co/DznB5q4/Itau.png" TargetMode="External"/><Relationship Id="rId844" Type="http://schemas.openxmlformats.org/officeDocument/2006/relationships/hyperlink" Target="https://i.ibb.co/DznB5q4/Itau.png" TargetMode="External"/><Relationship Id="rId845" Type="http://schemas.openxmlformats.org/officeDocument/2006/relationships/hyperlink" Target="https://i.ibb.co/DznB5q4/Itau.png" TargetMode="External"/><Relationship Id="rId846" Type="http://schemas.openxmlformats.org/officeDocument/2006/relationships/hyperlink" Target="https://i.ibb.co/DznB5q4/Itau.png" TargetMode="External"/><Relationship Id="rId847" Type="http://schemas.openxmlformats.org/officeDocument/2006/relationships/hyperlink" Target="https://i.ibb.co/DznB5q4/Itau.png" TargetMode="External"/><Relationship Id="rId848" Type="http://schemas.openxmlformats.org/officeDocument/2006/relationships/hyperlink" Target="https://i.ibb.co/DznB5q4/Itau.png" TargetMode="External"/><Relationship Id="rId849" Type="http://schemas.openxmlformats.org/officeDocument/2006/relationships/hyperlink" Target="https://i.ibb.co/DznB5q4/Itau.png" TargetMode="External"/><Relationship Id="rId850" Type="http://schemas.openxmlformats.org/officeDocument/2006/relationships/hyperlink" Target="https://i.ibb.co/DznB5q4/Itau.png" TargetMode="External"/><Relationship Id="rId851" Type="http://schemas.openxmlformats.org/officeDocument/2006/relationships/hyperlink" Target="https://i.ibb.co/DznB5q4/Itau.png" TargetMode="External"/><Relationship Id="rId852" Type="http://schemas.openxmlformats.org/officeDocument/2006/relationships/hyperlink" Target="https://i.ibb.co/DznB5q4/Itau.png" TargetMode="External"/><Relationship Id="rId853" Type="http://schemas.openxmlformats.org/officeDocument/2006/relationships/hyperlink" Target="https://i.ibb.co/DznB5q4/Itau.png" TargetMode="External"/><Relationship Id="rId854" Type="http://schemas.openxmlformats.org/officeDocument/2006/relationships/hyperlink" Target="https://i.ibb.co/DznB5q4/Itau.png" TargetMode="External"/><Relationship Id="rId855" Type="http://schemas.openxmlformats.org/officeDocument/2006/relationships/hyperlink" Target="https://i.ibb.co/DznB5q4/Itau.png" TargetMode="External"/><Relationship Id="rId856" Type="http://schemas.openxmlformats.org/officeDocument/2006/relationships/hyperlink" Target="https://i.ibb.co/DznB5q4/Itau.png" TargetMode="External"/><Relationship Id="rId857" Type="http://schemas.openxmlformats.org/officeDocument/2006/relationships/hyperlink" Target="https://i.ibb.co/DznB5q4/Itau.png" TargetMode="External"/><Relationship Id="rId858" Type="http://schemas.openxmlformats.org/officeDocument/2006/relationships/hyperlink" Target="https://i.ibb.co/DznB5q4/Itau.png" TargetMode="External"/><Relationship Id="rId859" Type="http://schemas.openxmlformats.org/officeDocument/2006/relationships/hyperlink" Target="https://i.ibb.co/DznB5q4/Itau.png" TargetMode="External"/><Relationship Id="rId860" Type="http://schemas.openxmlformats.org/officeDocument/2006/relationships/hyperlink" Target="https://i.ibb.co/DznB5q4/Itau.png" TargetMode="External"/><Relationship Id="rId861" Type="http://schemas.openxmlformats.org/officeDocument/2006/relationships/hyperlink" Target="https://i.ibb.co/DznB5q4/Itau.png" TargetMode="External"/><Relationship Id="rId862" Type="http://schemas.openxmlformats.org/officeDocument/2006/relationships/hyperlink" Target="https://i.ibb.co/DznB5q4/Itau.png" TargetMode="External"/><Relationship Id="rId863" Type="http://schemas.openxmlformats.org/officeDocument/2006/relationships/hyperlink" Target="https://i.ibb.co/DznB5q4/Itau.png" TargetMode="External"/><Relationship Id="rId864" Type="http://schemas.openxmlformats.org/officeDocument/2006/relationships/hyperlink" Target="https://i.ibb.co/DznB5q4/Itau.png" TargetMode="External"/><Relationship Id="rId865" Type="http://schemas.openxmlformats.org/officeDocument/2006/relationships/hyperlink" Target="https://i.ibb.co/DznB5q4/Itau.png" TargetMode="External"/><Relationship Id="rId866" Type="http://schemas.openxmlformats.org/officeDocument/2006/relationships/hyperlink" Target="https://i.ibb.co/DznB5q4/Itau.png" TargetMode="External"/><Relationship Id="rId867" Type="http://schemas.openxmlformats.org/officeDocument/2006/relationships/hyperlink" Target="https://i.ibb.co/DznB5q4/Itau.png" TargetMode="External"/><Relationship Id="rId868" Type="http://schemas.openxmlformats.org/officeDocument/2006/relationships/hyperlink" Target="https://i.ibb.co/DznB5q4/Itau.png" TargetMode="External"/><Relationship Id="rId869" Type="http://schemas.openxmlformats.org/officeDocument/2006/relationships/hyperlink" Target="https://i.ibb.co/DznB5q4/Itau.png" TargetMode="External"/><Relationship Id="rId870" Type="http://schemas.openxmlformats.org/officeDocument/2006/relationships/hyperlink" Target="https://i.ibb.co/DznB5q4/Itau.png" TargetMode="External"/><Relationship Id="rId871" Type="http://schemas.openxmlformats.org/officeDocument/2006/relationships/hyperlink" Target="https://i.ibb.co/DznB5q4/Itau.png" TargetMode="External"/><Relationship Id="rId872" Type="http://schemas.openxmlformats.org/officeDocument/2006/relationships/hyperlink" Target="https://i.ibb.co/DznB5q4/Itau.png" TargetMode="External"/><Relationship Id="rId873" Type="http://schemas.openxmlformats.org/officeDocument/2006/relationships/hyperlink" Target="https://i.ibb.co/DznB5q4/Itau.png" TargetMode="External"/><Relationship Id="rId874" Type="http://schemas.openxmlformats.org/officeDocument/2006/relationships/hyperlink" Target="https://i.ibb.co/DznB5q4/Itau.png" TargetMode="External"/><Relationship Id="rId875" Type="http://schemas.openxmlformats.org/officeDocument/2006/relationships/hyperlink" Target="https://i.ibb.co/DznB5q4/Itau.png" TargetMode="External"/><Relationship Id="rId876" Type="http://schemas.openxmlformats.org/officeDocument/2006/relationships/hyperlink" Target="https://i.ibb.co/DznB5q4/Itau.png" TargetMode="External"/><Relationship Id="rId877" Type="http://schemas.openxmlformats.org/officeDocument/2006/relationships/hyperlink" Target="https://i.ibb.co/DznB5q4/Itau.png" TargetMode="External"/><Relationship Id="rId878" Type="http://schemas.openxmlformats.org/officeDocument/2006/relationships/hyperlink" Target="https://i.ibb.co/DznB5q4/Itau.png" TargetMode="External"/><Relationship Id="rId879" Type="http://schemas.openxmlformats.org/officeDocument/2006/relationships/hyperlink" Target="https://i.ibb.co/DznB5q4/Itau.png" TargetMode="External"/><Relationship Id="rId880" Type="http://schemas.openxmlformats.org/officeDocument/2006/relationships/hyperlink" Target="https://i.ibb.co/DznB5q4/Itau.png" TargetMode="External"/><Relationship Id="rId881" Type="http://schemas.openxmlformats.org/officeDocument/2006/relationships/hyperlink" Target="https://i.ibb.co/DznB5q4/Itau.png" TargetMode="External"/><Relationship Id="rId882" Type="http://schemas.openxmlformats.org/officeDocument/2006/relationships/hyperlink" Target="https://i.ibb.co/DznB5q4/Itau.png" TargetMode="External"/><Relationship Id="rId883" Type="http://schemas.openxmlformats.org/officeDocument/2006/relationships/hyperlink" Target="https://i.ibb.co/DznB5q4/Itau.png" TargetMode="External"/><Relationship Id="rId884" Type="http://schemas.openxmlformats.org/officeDocument/2006/relationships/hyperlink" Target="https://i.ibb.co/DznB5q4/Itau.png" TargetMode="External"/><Relationship Id="rId885" Type="http://schemas.openxmlformats.org/officeDocument/2006/relationships/hyperlink" Target="https://i.ibb.co/DznB5q4/Itau.png" TargetMode="External"/><Relationship Id="rId886" Type="http://schemas.openxmlformats.org/officeDocument/2006/relationships/hyperlink" Target="https://i.ibb.co/DznB5q4/Itau.png" TargetMode="External"/><Relationship Id="rId887" Type="http://schemas.openxmlformats.org/officeDocument/2006/relationships/hyperlink" Target="https://i.ibb.co/DznB5q4/Itau.png" TargetMode="External"/><Relationship Id="rId888" Type="http://schemas.openxmlformats.org/officeDocument/2006/relationships/hyperlink" Target="https://i.ibb.co/DznB5q4/Itau.png" TargetMode="External"/><Relationship Id="rId889" Type="http://schemas.openxmlformats.org/officeDocument/2006/relationships/hyperlink" Target="https://i.ibb.co/DznB5q4/Itau.png" TargetMode="External"/><Relationship Id="rId890" Type="http://schemas.openxmlformats.org/officeDocument/2006/relationships/hyperlink" Target="https://i.ibb.co/DznB5q4/Itau.png" TargetMode="External"/><Relationship Id="rId891" Type="http://schemas.openxmlformats.org/officeDocument/2006/relationships/hyperlink" Target="https://i.ibb.co/DznB5q4/Itau.png" TargetMode="External"/><Relationship Id="rId892" Type="http://schemas.openxmlformats.org/officeDocument/2006/relationships/hyperlink" Target="https://i.ibb.co/DznB5q4/Itau.png" TargetMode="External"/><Relationship Id="rId893" Type="http://schemas.openxmlformats.org/officeDocument/2006/relationships/hyperlink" Target="https://i.ibb.co/DznB5q4/Itau.png" TargetMode="External"/><Relationship Id="rId894" Type="http://schemas.openxmlformats.org/officeDocument/2006/relationships/hyperlink" Target="https://i.ibb.co/DznB5q4/Itau.png" TargetMode="External"/><Relationship Id="rId895" Type="http://schemas.openxmlformats.org/officeDocument/2006/relationships/hyperlink" Target="https://i.ibb.co/DznB5q4/Itau.png" TargetMode="External"/><Relationship Id="rId896" Type="http://schemas.openxmlformats.org/officeDocument/2006/relationships/hyperlink" Target="https://i.ibb.co/DznB5q4/Itau.png" TargetMode="External"/><Relationship Id="rId897" Type="http://schemas.openxmlformats.org/officeDocument/2006/relationships/hyperlink" Target="https://i.ibb.co/DznB5q4/Itau.png" TargetMode="External"/><Relationship Id="rId898" Type="http://schemas.openxmlformats.org/officeDocument/2006/relationships/hyperlink" Target="https://i.ibb.co/DznB5q4/Itau.png" TargetMode="External"/><Relationship Id="rId899" Type="http://schemas.openxmlformats.org/officeDocument/2006/relationships/hyperlink" Target="https://i.ibb.co/DznB5q4/Itau.png" TargetMode="External"/><Relationship Id="rId900" Type="http://schemas.openxmlformats.org/officeDocument/2006/relationships/hyperlink" Target="https://i.ibb.co/DznB5q4/Itau.png" TargetMode="External"/><Relationship Id="rId901" Type="http://schemas.openxmlformats.org/officeDocument/2006/relationships/hyperlink" Target="https://i.ibb.co/DznB5q4/Itau.png" TargetMode="External"/><Relationship Id="rId902" Type="http://schemas.openxmlformats.org/officeDocument/2006/relationships/hyperlink" Target="https://i.ibb.co/DznB5q4/Itau.png" TargetMode="External"/><Relationship Id="rId903" Type="http://schemas.openxmlformats.org/officeDocument/2006/relationships/hyperlink" Target="https://i.ibb.co/DznB5q4/Itau.png" TargetMode="External"/><Relationship Id="rId904" Type="http://schemas.openxmlformats.org/officeDocument/2006/relationships/hyperlink" Target="https://i.ibb.co/DznB5q4/Itau.png" TargetMode="External"/><Relationship Id="rId905" Type="http://schemas.openxmlformats.org/officeDocument/2006/relationships/hyperlink" Target="https://i.ibb.co/DznB5q4/Itau.png" TargetMode="External"/><Relationship Id="rId906" Type="http://schemas.openxmlformats.org/officeDocument/2006/relationships/hyperlink" Target="https://i.ibb.co/DznB5q4/Itau.png" TargetMode="External"/><Relationship Id="rId907" Type="http://schemas.openxmlformats.org/officeDocument/2006/relationships/hyperlink" Target="https://i.ibb.co/DznB5q4/Itau.png" TargetMode="External"/><Relationship Id="rId908" Type="http://schemas.openxmlformats.org/officeDocument/2006/relationships/hyperlink" Target="https://i.ibb.co/DznB5q4/Itau.png" TargetMode="External"/><Relationship Id="rId909" Type="http://schemas.openxmlformats.org/officeDocument/2006/relationships/hyperlink" Target="https://i.ibb.co/DznB5q4/Itau.png" TargetMode="External"/><Relationship Id="rId910" Type="http://schemas.openxmlformats.org/officeDocument/2006/relationships/hyperlink" Target="https://i.ibb.co/DznB5q4/Itau.png" TargetMode="External"/><Relationship Id="rId911" Type="http://schemas.openxmlformats.org/officeDocument/2006/relationships/hyperlink" Target="https://i.ibb.co/DznB5q4/Itau.png" TargetMode="External"/><Relationship Id="rId912" Type="http://schemas.openxmlformats.org/officeDocument/2006/relationships/hyperlink" Target="https://i.ibb.co/DznB5q4/Itau.png" TargetMode="External"/><Relationship Id="rId913" Type="http://schemas.openxmlformats.org/officeDocument/2006/relationships/hyperlink" Target="https://i.ibb.co/DznB5q4/Itau.png" TargetMode="External"/><Relationship Id="rId914" Type="http://schemas.openxmlformats.org/officeDocument/2006/relationships/hyperlink" Target="https://i.ibb.co/DznB5q4/Itau.png" TargetMode="External"/><Relationship Id="rId915" Type="http://schemas.openxmlformats.org/officeDocument/2006/relationships/hyperlink" Target="https://i.ibb.co/DznB5q4/Itau.png" TargetMode="External"/><Relationship Id="rId916" Type="http://schemas.openxmlformats.org/officeDocument/2006/relationships/hyperlink" Target="https://i.ibb.co/DznB5q4/Itau.png" TargetMode="External"/><Relationship Id="rId917" Type="http://schemas.openxmlformats.org/officeDocument/2006/relationships/hyperlink" Target="https://i.ibb.co/DznB5q4/Itau.png" TargetMode="External"/><Relationship Id="rId918" Type="http://schemas.openxmlformats.org/officeDocument/2006/relationships/hyperlink" Target="https://i.ibb.co/DznB5q4/Itau.png" TargetMode="External"/><Relationship Id="rId919" Type="http://schemas.openxmlformats.org/officeDocument/2006/relationships/hyperlink" Target="https://i.ibb.co/DznB5q4/Itau.png" TargetMode="External"/><Relationship Id="rId920" Type="http://schemas.openxmlformats.org/officeDocument/2006/relationships/hyperlink" Target="https://i.ibb.co/DznB5q4/Itau.png" TargetMode="External"/><Relationship Id="rId921" Type="http://schemas.openxmlformats.org/officeDocument/2006/relationships/hyperlink" Target="https://i.ibb.co/DznB5q4/Itau.png" TargetMode="External"/><Relationship Id="rId922" Type="http://schemas.openxmlformats.org/officeDocument/2006/relationships/hyperlink" Target="https://i.ibb.co/DznB5q4/Itau.png" TargetMode="External"/><Relationship Id="rId923" Type="http://schemas.openxmlformats.org/officeDocument/2006/relationships/hyperlink" Target="https://i.ibb.co/DznB5q4/Itau.png" TargetMode="External"/><Relationship Id="rId924" Type="http://schemas.openxmlformats.org/officeDocument/2006/relationships/hyperlink" Target="https://i.ibb.co/DznB5q4/Itau.png" TargetMode="External"/><Relationship Id="rId925" Type="http://schemas.openxmlformats.org/officeDocument/2006/relationships/hyperlink" Target="https://i.ibb.co/DznB5q4/Itau.png" TargetMode="External"/><Relationship Id="rId926" Type="http://schemas.openxmlformats.org/officeDocument/2006/relationships/hyperlink" Target="https://i.ibb.co/DznB5q4/Itau.png" TargetMode="External"/><Relationship Id="rId927" Type="http://schemas.openxmlformats.org/officeDocument/2006/relationships/hyperlink" Target="https://i.ibb.co/DznB5q4/Itau.png" TargetMode="External"/><Relationship Id="rId928" Type="http://schemas.openxmlformats.org/officeDocument/2006/relationships/hyperlink" Target="https://i.ibb.co/DznB5q4/Itau.png" TargetMode="External"/><Relationship Id="rId929" Type="http://schemas.openxmlformats.org/officeDocument/2006/relationships/hyperlink" Target="https://i.ibb.co/DznB5q4/Itau.png" TargetMode="External"/><Relationship Id="rId930" Type="http://schemas.openxmlformats.org/officeDocument/2006/relationships/hyperlink" Target="https://i.ibb.co/DznB5q4/Itau.png" TargetMode="External"/><Relationship Id="rId931" Type="http://schemas.openxmlformats.org/officeDocument/2006/relationships/hyperlink" Target="https://i.ibb.co/DznB5q4/Itau.png" TargetMode="External"/><Relationship Id="rId932" Type="http://schemas.openxmlformats.org/officeDocument/2006/relationships/hyperlink" Target="https://i.ibb.co/DznB5q4/Itau.png" TargetMode="External"/><Relationship Id="rId933" Type="http://schemas.openxmlformats.org/officeDocument/2006/relationships/hyperlink" Target="https://i.ibb.co/DznB5q4/Itau.png" TargetMode="External"/><Relationship Id="rId934" Type="http://schemas.openxmlformats.org/officeDocument/2006/relationships/hyperlink" Target="https://i.ibb.co/DznB5q4/Itau.png" TargetMode="External"/><Relationship Id="rId935" Type="http://schemas.openxmlformats.org/officeDocument/2006/relationships/hyperlink" Target="https://i.ibb.co/DznB5q4/Itau.png" TargetMode="External"/><Relationship Id="rId936" Type="http://schemas.openxmlformats.org/officeDocument/2006/relationships/hyperlink" Target="https://i.ibb.co/DznB5q4/Itau.png" TargetMode="External"/><Relationship Id="rId937" Type="http://schemas.openxmlformats.org/officeDocument/2006/relationships/hyperlink" Target="https://i.ibb.co/DznB5q4/Itau.png" TargetMode="External"/><Relationship Id="rId938" Type="http://schemas.openxmlformats.org/officeDocument/2006/relationships/hyperlink" Target="https://i.ibb.co/DznB5q4/Itau.png" TargetMode="External"/><Relationship Id="rId939" Type="http://schemas.openxmlformats.org/officeDocument/2006/relationships/hyperlink" Target="https://i.ibb.co/DznB5q4/Itau.png" TargetMode="External"/><Relationship Id="rId940" Type="http://schemas.openxmlformats.org/officeDocument/2006/relationships/hyperlink" Target="https://i.ibb.co/DznB5q4/Itau.png" TargetMode="External"/><Relationship Id="rId941" Type="http://schemas.openxmlformats.org/officeDocument/2006/relationships/hyperlink" Target="https://i.ibb.co/DznB5q4/Itau.png" TargetMode="External"/><Relationship Id="rId942" Type="http://schemas.openxmlformats.org/officeDocument/2006/relationships/hyperlink" Target="https://i.ibb.co/DznB5q4/Itau.png" TargetMode="External"/><Relationship Id="rId943" Type="http://schemas.openxmlformats.org/officeDocument/2006/relationships/hyperlink" Target="https://i.ibb.co/DznB5q4/Itau.png" TargetMode="External"/><Relationship Id="rId944" Type="http://schemas.openxmlformats.org/officeDocument/2006/relationships/hyperlink" Target="https://i.ibb.co/DznB5q4/Itau.png" TargetMode="External"/><Relationship Id="rId945" Type="http://schemas.openxmlformats.org/officeDocument/2006/relationships/hyperlink" Target="https://i.ibb.co/DznB5q4/Itau.png" TargetMode="External"/><Relationship Id="rId946" Type="http://schemas.openxmlformats.org/officeDocument/2006/relationships/hyperlink" Target="https://i.ibb.co/DznB5q4/Itau.png" TargetMode="External"/><Relationship Id="rId947" Type="http://schemas.openxmlformats.org/officeDocument/2006/relationships/hyperlink" Target="https://i.ibb.co/DznB5q4/Itau.png" TargetMode="External"/><Relationship Id="rId948" Type="http://schemas.openxmlformats.org/officeDocument/2006/relationships/hyperlink" Target="https://i.ibb.co/DznB5q4/Itau.png" TargetMode="External"/><Relationship Id="rId949" Type="http://schemas.openxmlformats.org/officeDocument/2006/relationships/hyperlink" Target="https://i.ibb.co/DznB5q4/Itau.png" TargetMode="External"/><Relationship Id="rId950" Type="http://schemas.openxmlformats.org/officeDocument/2006/relationships/hyperlink" Target="https://i.ibb.co/DznB5q4/Itau.png" TargetMode="External"/><Relationship Id="rId951" Type="http://schemas.openxmlformats.org/officeDocument/2006/relationships/hyperlink" Target="https://i.ibb.co/DznB5q4/Itau.png" TargetMode="External"/><Relationship Id="rId952" Type="http://schemas.openxmlformats.org/officeDocument/2006/relationships/hyperlink" Target="https://i.ibb.co/DznB5q4/Itau.png" TargetMode="External"/><Relationship Id="rId953" Type="http://schemas.openxmlformats.org/officeDocument/2006/relationships/hyperlink" Target="https://i.ibb.co/DznB5q4/Itau.png" TargetMode="External"/><Relationship Id="rId954" Type="http://schemas.openxmlformats.org/officeDocument/2006/relationships/hyperlink" Target="https://i.ibb.co/DznB5q4/Itau.png" TargetMode="External"/><Relationship Id="rId955" Type="http://schemas.openxmlformats.org/officeDocument/2006/relationships/hyperlink" Target="https://i.ibb.co/DznB5q4/Itau.png" TargetMode="External"/><Relationship Id="rId956" Type="http://schemas.openxmlformats.org/officeDocument/2006/relationships/hyperlink" Target="https://i.ibb.co/DznB5q4/Itau.png" TargetMode="External"/><Relationship Id="rId957" Type="http://schemas.openxmlformats.org/officeDocument/2006/relationships/hyperlink" Target="https://i.ibb.co/DznB5q4/Itau.png" TargetMode="External"/><Relationship Id="rId958" Type="http://schemas.openxmlformats.org/officeDocument/2006/relationships/hyperlink" Target="https://i.ibb.co/DznB5q4/Itau.png" TargetMode="External"/><Relationship Id="rId959" Type="http://schemas.openxmlformats.org/officeDocument/2006/relationships/hyperlink" Target="https://i.ibb.co/DznB5q4/Itau.png" TargetMode="External"/><Relationship Id="rId960" Type="http://schemas.openxmlformats.org/officeDocument/2006/relationships/hyperlink" Target="https://i.ibb.co/DznB5q4/Itau.png" TargetMode="External"/><Relationship Id="rId961" Type="http://schemas.openxmlformats.org/officeDocument/2006/relationships/hyperlink" Target="https://i.ibb.co/DznB5q4/Itau.png" TargetMode="External"/><Relationship Id="rId962" Type="http://schemas.openxmlformats.org/officeDocument/2006/relationships/hyperlink" Target="https://i.ibb.co/DznB5q4/Itau.png" TargetMode="External"/><Relationship Id="rId963" Type="http://schemas.openxmlformats.org/officeDocument/2006/relationships/hyperlink" Target="https://i.ibb.co/DznB5q4/Itau.png" TargetMode="External"/><Relationship Id="rId964" Type="http://schemas.openxmlformats.org/officeDocument/2006/relationships/hyperlink" Target="https://i.ibb.co/DznB5q4/Itau.png" TargetMode="External"/><Relationship Id="rId965" Type="http://schemas.openxmlformats.org/officeDocument/2006/relationships/hyperlink" Target="https://i.ibb.co/DznB5q4/Itau.png" TargetMode="External"/><Relationship Id="rId966" Type="http://schemas.openxmlformats.org/officeDocument/2006/relationships/hyperlink" Target="https://i.ibb.co/DznB5q4/Itau.png" TargetMode="External"/><Relationship Id="rId967" Type="http://schemas.openxmlformats.org/officeDocument/2006/relationships/hyperlink" Target="https://i.ibb.co/DznB5q4/Itau.png" TargetMode="External"/><Relationship Id="rId968" Type="http://schemas.openxmlformats.org/officeDocument/2006/relationships/hyperlink" Target="https://i.ibb.co/DznB5q4/Itau.png" TargetMode="External"/><Relationship Id="rId969" Type="http://schemas.openxmlformats.org/officeDocument/2006/relationships/hyperlink" Target="https://i.ibb.co/DznB5q4/Itau.png" TargetMode="External"/><Relationship Id="rId970" Type="http://schemas.openxmlformats.org/officeDocument/2006/relationships/hyperlink" Target="https://i.ibb.co/DznB5q4/Itau.png" TargetMode="External"/><Relationship Id="rId971" Type="http://schemas.openxmlformats.org/officeDocument/2006/relationships/hyperlink" Target="https://i.ibb.co/DznB5q4/Itau.png" TargetMode="External"/><Relationship Id="rId972" Type="http://schemas.openxmlformats.org/officeDocument/2006/relationships/hyperlink" Target="https://i.ibb.co/DznB5q4/Itau.png" TargetMode="External"/><Relationship Id="rId973" Type="http://schemas.openxmlformats.org/officeDocument/2006/relationships/hyperlink" Target="https://i.ibb.co/DznB5q4/Itau.png" TargetMode="External"/><Relationship Id="rId974" Type="http://schemas.openxmlformats.org/officeDocument/2006/relationships/hyperlink" Target="https://i.ibb.co/DznB5q4/Itau.png" TargetMode="External"/><Relationship Id="rId975" Type="http://schemas.openxmlformats.org/officeDocument/2006/relationships/hyperlink" Target="https://i.ibb.co/DznB5q4/Itau.png" TargetMode="External"/><Relationship Id="rId976" Type="http://schemas.openxmlformats.org/officeDocument/2006/relationships/hyperlink" Target="https://i.ibb.co/DznB5q4/Itau.png" TargetMode="External"/><Relationship Id="rId977" Type="http://schemas.openxmlformats.org/officeDocument/2006/relationships/hyperlink" Target="https://i.ibb.co/DznB5q4/Itau.png" TargetMode="External"/><Relationship Id="rId978" Type="http://schemas.openxmlformats.org/officeDocument/2006/relationships/hyperlink" Target="https://i.ibb.co/DznB5q4/Itau.png" TargetMode="External"/><Relationship Id="rId979" Type="http://schemas.openxmlformats.org/officeDocument/2006/relationships/hyperlink" Target="https://i.ibb.co/DznB5q4/Itau.png" TargetMode="External"/><Relationship Id="rId980" Type="http://schemas.openxmlformats.org/officeDocument/2006/relationships/hyperlink" Target="https://i.ibb.co/DznB5q4/Itau.png" TargetMode="External"/><Relationship Id="rId981" Type="http://schemas.openxmlformats.org/officeDocument/2006/relationships/hyperlink" Target="https://i.ibb.co/DznB5q4/Itau.png" TargetMode="External"/><Relationship Id="rId982" Type="http://schemas.openxmlformats.org/officeDocument/2006/relationships/hyperlink" Target="https://i.ibb.co/DznB5q4/Itau.png" TargetMode="External"/><Relationship Id="rId983" Type="http://schemas.openxmlformats.org/officeDocument/2006/relationships/hyperlink" Target="https://i.ibb.co/DznB5q4/Itau.png" TargetMode="External"/><Relationship Id="rId984" Type="http://schemas.openxmlformats.org/officeDocument/2006/relationships/hyperlink" Target="https://i.ibb.co/DznB5q4/Itau.png" TargetMode="External"/><Relationship Id="rId985" Type="http://schemas.openxmlformats.org/officeDocument/2006/relationships/hyperlink" Target="https://i.ibb.co/DznB5q4/Itau.png" TargetMode="External"/><Relationship Id="rId986" Type="http://schemas.openxmlformats.org/officeDocument/2006/relationships/hyperlink" Target="https://i.ibb.co/DznB5q4/Itau.png" TargetMode="External"/><Relationship Id="rId987" Type="http://schemas.openxmlformats.org/officeDocument/2006/relationships/hyperlink" Target="https://i.ibb.co/DznB5q4/Itau.png" TargetMode="External"/><Relationship Id="rId988" Type="http://schemas.openxmlformats.org/officeDocument/2006/relationships/hyperlink" Target="https://i.ibb.co/DznB5q4/Itau.png" TargetMode="External"/><Relationship Id="rId989" Type="http://schemas.openxmlformats.org/officeDocument/2006/relationships/hyperlink" Target="https://i.ibb.co/DznB5q4/Itau.png" TargetMode="External"/><Relationship Id="rId990" Type="http://schemas.openxmlformats.org/officeDocument/2006/relationships/hyperlink" Target="https://i.ibb.co/DznB5q4/Itau.png" TargetMode="External"/><Relationship Id="rId991" Type="http://schemas.openxmlformats.org/officeDocument/2006/relationships/hyperlink" Target="https://i.ibb.co/DznB5q4/Itau.png" TargetMode="External"/><Relationship Id="rId992" Type="http://schemas.openxmlformats.org/officeDocument/2006/relationships/hyperlink" Target="https://i.ibb.co/DznB5q4/Itau.png" TargetMode="External"/><Relationship Id="rId993" Type="http://schemas.openxmlformats.org/officeDocument/2006/relationships/hyperlink" Target="https://i.ibb.co/DznB5q4/Itau.png" TargetMode="External"/><Relationship Id="rId994" Type="http://schemas.openxmlformats.org/officeDocument/2006/relationships/hyperlink" Target="https://i.ibb.co/DznB5q4/Itau.png" TargetMode="External"/><Relationship Id="rId995" Type="http://schemas.openxmlformats.org/officeDocument/2006/relationships/hyperlink" Target="https://i.ibb.co/DznB5q4/Itau.png" TargetMode="External"/><Relationship Id="rId996" Type="http://schemas.openxmlformats.org/officeDocument/2006/relationships/hyperlink" Target="https://i.ibb.co/DznB5q4/Itau.png" TargetMode="External"/><Relationship Id="rId997" Type="http://schemas.openxmlformats.org/officeDocument/2006/relationships/hyperlink" Target="https://i.ibb.co/DznB5q4/Itau.png" TargetMode="External"/><Relationship Id="rId998" Type="http://schemas.openxmlformats.org/officeDocument/2006/relationships/hyperlink" Target="https://i.ibb.co/DznB5q4/Itau.png" TargetMode="External"/><Relationship Id="rId999" Type="http://schemas.openxmlformats.org/officeDocument/2006/relationships/hyperlink" Target="https://i.ibb.co/DznB5q4/Itau.png" TargetMode="External"/><Relationship Id="rId1000" Type="http://schemas.openxmlformats.org/officeDocument/2006/relationships/hyperlink" Target="https://i.ibb.co/DznB5q4/Itau.png" TargetMode="External"/><Relationship Id="rId1001" Type="http://schemas.openxmlformats.org/officeDocument/2006/relationships/hyperlink" Target="https://i.ibb.co/DznB5q4/Itau.png" TargetMode="External"/><Relationship Id="rId1002" Type="http://schemas.openxmlformats.org/officeDocument/2006/relationships/hyperlink" Target="https://i.ibb.co/DznB5q4/Itau.png" TargetMode="External"/><Relationship Id="rId1003" Type="http://schemas.openxmlformats.org/officeDocument/2006/relationships/hyperlink" Target="https://i.ibb.co/DznB5q4/Itau.png" TargetMode="External"/><Relationship Id="rId1004" Type="http://schemas.openxmlformats.org/officeDocument/2006/relationships/hyperlink" Target="https://i.ibb.co/DznB5q4/Itau.png" TargetMode="External"/><Relationship Id="rId1005" Type="http://schemas.openxmlformats.org/officeDocument/2006/relationships/hyperlink" Target="https://i.ibb.co/DznB5q4/Itau.png" TargetMode="External"/><Relationship Id="rId1006" Type="http://schemas.openxmlformats.org/officeDocument/2006/relationships/hyperlink" Target="https://i.ibb.co/DznB5q4/Itau.png" TargetMode="External"/><Relationship Id="rId1007" Type="http://schemas.openxmlformats.org/officeDocument/2006/relationships/hyperlink" Target="https://i.ibb.co/DznB5q4/Itau.png" TargetMode="External"/><Relationship Id="rId1008" Type="http://schemas.openxmlformats.org/officeDocument/2006/relationships/hyperlink" Target="https://i.ibb.co/DznB5q4/Itau.png" TargetMode="External"/><Relationship Id="rId1009" Type="http://schemas.openxmlformats.org/officeDocument/2006/relationships/hyperlink" Target="https://i.ibb.co/DznB5q4/Itau.png" TargetMode="External"/><Relationship Id="rId1010" Type="http://schemas.openxmlformats.org/officeDocument/2006/relationships/hyperlink" Target="https://i.ibb.co/DznB5q4/Itau.png" TargetMode="External"/><Relationship Id="rId1011" Type="http://schemas.openxmlformats.org/officeDocument/2006/relationships/hyperlink" Target="https://i.ibb.co/DznB5q4/Itau.png" TargetMode="External"/><Relationship Id="rId1012" Type="http://schemas.openxmlformats.org/officeDocument/2006/relationships/hyperlink" Target="https://i.ibb.co/DznB5q4/Itau.png" TargetMode="External"/><Relationship Id="rId1013" Type="http://schemas.openxmlformats.org/officeDocument/2006/relationships/hyperlink" Target="https://i.ibb.co/DznB5q4/Itau.png" TargetMode="External"/><Relationship Id="rId1014" Type="http://schemas.openxmlformats.org/officeDocument/2006/relationships/hyperlink" Target="https://i.ibb.co/DznB5q4/Itau.png" TargetMode="External"/><Relationship Id="rId1015" Type="http://schemas.openxmlformats.org/officeDocument/2006/relationships/hyperlink" Target="https://i.ibb.co/DznB5q4/Itau.png" TargetMode="External"/><Relationship Id="rId1016" Type="http://schemas.openxmlformats.org/officeDocument/2006/relationships/hyperlink" Target="https://i.ibb.co/DznB5q4/Itau.png" TargetMode="External"/><Relationship Id="rId1017" Type="http://schemas.openxmlformats.org/officeDocument/2006/relationships/hyperlink" Target="https://i.ibb.co/DznB5q4/Itau.png" TargetMode="External"/><Relationship Id="rId1018" Type="http://schemas.openxmlformats.org/officeDocument/2006/relationships/hyperlink" Target="https://i.ibb.co/DznB5q4/Itau.png" TargetMode="External"/><Relationship Id="rId1019" Type="http://schemas.openxmlformats.org/officeDocument/2006/relationships/hyperlink" Target="https://i.ibb.co/DznB5q4/Itau.png" TargetMode="External"/><Relationship Id="rId1020" Type="http://schemas.openxmlformats.org/officeDocument/2006/relationships/hyperlink" Target="https://i.ibb.co/DznB5q4/Itau.png" TargetMode="External"/><Relationship Id="rId1021" Type="http://schemas.openxmlformats.org/officeDocument/2006/relationships/hyperlink" Target="https://i.ibb.co/DznB5q4/Itau.png" TargetMode="External"/><Relationship Id="rId1022" Type="http://schemas.openxmlformats.org/officeDocument/2006/relationships/hyperlink" Target="https://i.ibb.co/DznB5q4/Itau.png" TargetMode="External"/><Relationship Id="rId1023" Type="http://schemas.openxmlformats.org/officeDocument/2006/relationships/hyperlink" Target="https://i.ibb.co/DznB5q4/Itau.png" TargetMode="External"/><Relationship Id="rId1024" Type="http://schemas.openxmlformats.org/officeDocument/2006/relationships/hyperlink" Target="https://i.ibb.co/DznB5q4/Itau.png" TargetMode="External"/><Relationship Id="rId1025" Type="http://schemas.openxmlformats.org/officeDocument/2006/relationships/hyperlink" Target="https://i.ibb.co/DznB5q4/Itau.png" TargetMode="External"/><Relationship Id="rId1026" Type="http://schemas.openxmlformats.org/officeDocument/2006/relationships/hyperlink" Target="https://i.ibb.co/DznB5q4/Itau.png" TargetMode="External"/><Relationship Id="rId1027" Type="http://schemas.openxmlformats.org/officeDocument/2006/relationships/hyperlink" Target="https://i.ibb.co/DznB5q4/Itau.png" TargetMode="External"/><Relationship Id="rId1028" Type="http://schemas.openxmlformats.org/officeDocument/2006/relationships/hyperlink" Target="https://i.ibb.co/DznB5q4/Itau.png" TargetMode="External"/><Relationship Id="rId1029" Type="http://schemas.openxmlformats.org/officeDocument/2006/relationships/hyperlink" Target="https://i.ibb.co/DznB5q4/Itau.png" TargetMode="External"/><Relationship Id="rId1030" Type="http://schemas.openxmlformats.org/officeDocument/2006/relationships/hyperlink" Target="https://i.ibb.co/DznB5q4/Itau.png" TargetMode="External"/><Relationship Id="rId1031" Type="http://schemas.openxmlformats.org/officeDocument/2006/relationships/hyperlink" Target="https://i.ibb.co/DznB5q4/Itau.png" TargetMode="External"/><Relationship Id="rId1032" Type="http://schemas.openxmlformats.org/officeDocument/2006/relationships/hyperlink" Target="https://i.ibb.co/DznB5q4/Itau.png" TargetMode="External"/><Relationship Id="rId1033" Type="http://schemas.openxmlformats.org/officeDocument/2006/relationships/hyperlink" Target="https://i.ibb.co/DznB5q4/Itau.png" TargetMode="External"/><Relationship Id="rId1034" Type="http://schemas.openxmlformats.org/officeDocument/2006/relationships/hyperlink" Target="https://i.ibb.co/DznB5q4/Itau.png" TargetMode="External"/><Relationship Id="rId1035" Type="http://schemas.openxmlformats.org/officeDocument/2006/relationships/hyperlink" Target="https://i.ibb.co/DznB5q4/Itau.png" TargetMode="External"/><Relationship Id="rId1036" Type="http://schemas.openxmlformats.org/officeDocument/2006/relationships/hyperlink" Target="https://i.ibb.co/DznB5q4/Itau.png" TargetMode="External"/><Relationship Id="rId1037" Type="http://schemas.openxmlformats.org/officeDocument/2006/relationships/hyperlink" Target="https://i.ibb.co/DznB5q4/Itau.png" TargetMode="External"/><Relationship Id="rId1038" Type="http://schemas.openxmlformats.org/officeDocument/2006/relationships/hyperlink" Target="https://i.ibb.co/DznB5q4/Itau.png" TargetMode="External"/><Relationship Id="rId1039" Type="http://schemas.openxmlformats.org/officeDocument/2006/relationships/hyperlink" Target="https://i.ibb.co/DznB5q4/Itau.png" TargetMode="External"/><Relationship Id="rId1040" Type="http://schemas.openxmlformats.org/officeDocument/2006/relationships/hyperlink" Target="https://i.ibb.co/DznB5q4/Itau.png" TargetMode="External"/><Relationship Id="rId1041" Type="http://schemas.openxmlformats.org/officeDocument/2006/relationships/hyperlink" Target="https://i.ibb.co/DznB5q4/Itau.png" TargetMode="External"/><Relationship Id="rId1042" Type="http://schemas.openxmlformats.org/officeDocument/2006/relationships/hyperlink" Target="https://i.ibb.co/DznB5q4/Itau.png" TargetMode="External"/><Relationship Id="rId1043" Type="http://schemas.openxmlformats.org/officeDocument/2006/relationships/hyperlink" Target="https://i.ibb.co/DznB5q4/Itau.png" TargetMode="External"/><Relationship Id="rId1044" Type="http://schemas.openxmlformats.org/officeDocument/2006/relationships/hyperlink" Target="https://i.ibb.co/DznB5q4/Itau.png" TargetMode="External"/><Relationship Id="rId1045" Type="http://schemas.openxmlformats.org/officeDocument/2006/relationships/hyperlink" Target="https://i.ibb.co/DznB5q4/Itau.png" TargetMode="External"/><Relationship Id="rId1046" Type="http://schemas.openxmlformats.org/officeDocument/2006/relationships/hyperlink" Target="https://i.ibb.co/DznB5q4/Itau.png" TargetMode="External"/><Relationship Id="rId1047" Type="http://schemas.openxmlformats.org/officeDocument/2006/relationships/hyperlink" Target="https://i.ibb.co/DznB5q4/Itau.png" TargetMode="External"/><Relationship Id="rId1048" Type="http://schemas.openxmlformats.org/officeDocument/2006/relationships/hyperlink" Target="https://i.ibb.co/DznB5q4/Itau.png" TargetMode="External"/><Relationship Id="rId1049" Type="http://schemas.openxmlformats.org/officeDocument/2006/relationships/hyperlink" Target="https://i.ibb.co/DznB5q4/Itau.png" TargetMode="External"/><Relationship Id="rId1050" Type="http://schemas.openxmlformats.org/officeDocument/2006/relationships/hyperlink" Target="https://i.ibb.co/DznB5q4/Itau.png" TargetMode="External"/><Relationship Id="rId1051" Type="http://schemas.openxmlformats.org/officeDocument/2006/relationships/hyperlink" Target="https://i.ibb.co/DznB5q4/Itau.png" TargetMode="External"/><Relationship Id="rId1052" Type="http://schemas.openxmlformats.org/officeDocument/2006/relationships/hyperlink" Target="https://i.ibb.co/DznB5q4/Itau.png" TargetMode="External"/><Relationship Id="rId1053" Type="http://schemas.openxmlformats.org/officeDocument/2006/relationships/hyperlink" Target="https://i.ibb.co/DznB5q4/Itau.png" TargetMode="External"/><Relationship Id="rId1054" Type="http://schemas.openxmlformats.org/officeDocument/2006/relationships/hyperlink" Target="https://i.ibb.co/DznB5q4/Itau.png" TargetMode="External"/><Relationship Id="rId1055" Type="http://schemas.openxmlformats.org/officeDocument/2006/relationships/hyperlink" Target="https://i.ibb.co/DznB5q4/Itau.png" TargetMode="External"/><Relationship Id="rId1056" Type="http://schemas.openxmlformats.org/officeDocument/2006/relationships/hyperlink" Target="https://i.ibb.co/DznB5q4/Itau.png" TargetMode="External"/><Relationship Id="rId1057" Type="http://schemas.openxmlformats.org/officeDocument/2006/relationships/hyperlink" Target="https://i.ibb.co/DznB5q4/Itau.png" TargetMode="External"/><Relationship Id="rId1058" Type="http://schemas.openxmlformats.org/officeDocument/2006/relationships/hyperlink" Target="https://i.ibb.co/DznB5q4/Itau.png" TargetMode="External"/><Relationship Id="rId1059" Type="http://schemas.openxmlformats.org/officeDocument/2006/relationships/hyperlink" Target="https://i.ibb.co/DznB5q4/Itau.png" TargetMode="External"/><Relationship Id="rId1060" Type="http://schemas.openxmlformats.org/officeDocument/2006/relationships/hyperlink" Target="https://i.ibb.co/DznB5q4/Itau.png" TargetMode="External"/><Relationship Id="rId1061" Type="http://schemas.openxmlformats.org/officeDocument/2006/relationships/hyperlink" Target="https://i.ibb.co/DznB5q4/Itau.png" TargetMode="External"/><Relationship Id="rId1062" Type="http://schemas.openxmlformats.org/officeDocument/2006/relationships/hyperlink" Target="https://i.ibb.co/DznB5q4/Itau.png" TargetMode="External"/><Relationship Id="rId1063" Type="http://schemas.openxmlformats.org/officeDocument/2006/relationships/hyperlink" Target="https://i.ibb.co/DznB5q4/Itau.png" TargetMode="External"/><Relationship Id="rId1064" Type="http://schemas.openxmlformats.org/officeDocument/2006/relationships/hyperlink" Target="https://i.ibb.co/DznB5q4/Itau.png" TargetMode="External"/><Relationship Id="rId1065" Type="http://schemas.openxmlformats.org/officeDocument/2006/relationships/hyperlink" Target="https://i.ibb.co/DznB5q4/Itau.png" TargetMode="External"/><Relationship Id="rId1066" Type="http://schemas.openxmlformats.org/officeDocument/2006/relationships/hyperlink" Target="https://i.ibb.co/DznB5q4/Itau.png" TargetMode="External"/><Relationship Id="rId1067" Type="http://schemas.openxmlformats.org/officeDocument/2006/relationships/hyperlink" Target="https://i.ibb.co/DznB5q4/Itau.png" TargetMode="External"/><Relationship Id="rId1068" Type="http://schemas.openxmlformats.org/officeDocument/2006/relationships/hyperlink" Target="https://i.ibb.co/DznB5q4/Itau.png" TargetMode="External"/><Relationship Id="rId1069" Type="http://schemas.openxmlformats.org/officeDocument/2006/relationships/hyperlink" Target="https://i.ibb.co/DznB5q4/Itau.png" TargetMode="External"/><Relationship Id="rId1070" Type="http://schemas.openxmlformats.org/officeDocument/2006/relationships/hyperlink" Target="https://i.ibb.co/DznB5q4/Itau.png" TargetMode="External"/><Relationship Id="rId1071" Type="http://schemas.openxmlformats.org/officeDocument/2006/relationships/hyperlink" Target="https://i.ibb.co/DznB5q4/Itau.png" TargetMode="External"/><Relationship Id="rId1072" Type="http://schemas.openxmlformats.org/officeDocument/2006/relationships/hyperlink" Target="https://i.ibb.co/DznB5q4/Itau.png" TargetMode="External"/><Relationship Id="rId1073" Type="http://schemas.openxmlformats.org/officeDocument/2006/relationships/hyperlink" Target="https://i.ibb.co/DznB5q4/Itau.png" TargetMode="External"/><Relationship Id="rId1074" Type="http://schemas.openxmlformats.org/officeDocument/2006/relationships/hyperlink" Target="https://i.ibb.co/DznB5q4/Itau.png" TargetMode="External"/><Relationship Id="rId1075" Type="http://schemas.openxmlformats.org/officeDocument/2006/relationships/hyperlink" Target="https://i.ibb.co/DznB5q4/Itau.png" TargetMode="External"/><Relationship Id="rId1076" Type="http://schemas.openxmlformats.org/officeDocument/2006/relationships/hyperlink" Target="https://i.ibb.co/DznB5q4/Itau.png" TargetMode="External"/><Relationship Id="rId1077" Type="http://schemas.openxmlformats.org/officeDocument/2006/relationships/hyperlink" Target="https://i.ibb.co/DznB5q4/Itau.png" TargetMode="External"/><Relationship Id="rId1078" Type="http://schemas.openxmlformats.org/officeDocument/2006/relationships/hyperlink" Target="https://i.ibb.co/DznB5q4/Itau.png" TargetMode="External"/><Relationship Id="rId1079" Type="http://schemas.openxmlformats.org/officeDocument/2006/relationships/hyperlink" Target="https://i.ibb.co/DznB5q4/Itau.png" TargetMode="External"/><Relationship Id="rId1080" Type="http://schemas.openxmlformats.org/officeDocument/2006/relationships/hyperlink" Target="https://i.ibb.co/DznB5q4/Itau.png" TargetMode="External"/><Relationship Id="rId1081" Type="http://schemas.openxmlformats.org/officeDocument/2006/relationships/hyperlink" Target="https://i.ibb.co/DznB5q4/Itau.png" TargetMode="External"/><Relationship Id="rId1082" Type="http://schemas.openxmlformats.org/officeDocument/2006/relationships/hyperlink" Target="https://i.ibb.co/DznB5q4/Itau.png" TargetMode="External"/><Relationship Id="rId1083" Type="http://schemas.openxmlformats.org/officeDocument/2006/relationships/hyperlink" Target="https://i.ibb.co/DznB5q4/Itau.png" TargetMode="External"/><Relationship Id="rId1084" Type="http://schemas.openxmlformats.org/officeDocument/2006/relationships/hyperlink" Target="https://i.ibb.co/DznB5q4/Itau.png" TargetMode="External"/><Relationship Id="rId1085" Type="http://schemas.openxmlformats.org/officeDocument/2006/relationships/hyperlink" Target="https://i.ibb.co/DznB5q4/Itau.png" TargetMode="External"/><Relationship Id="rId1086" Type="http://schemas.openxmlformats.org/officeDocument/2006/relationships/hyperlink" Target="https://i.ibb.co/DznB5q4/Itau.png" TargetMode="External"/><Relationship Id="rId1087" Type="http://schemas.openxmlformats.org/officeDocument/2006/relationships/hyperlink" Target="https://i.ibb.co/DznB5q4/Itau.png" TargetMode="External"/><Relationship Id="rId1088" Type="http://schemas.openxmlformats.org/officeDocument/2006/relationships/hyperlink" Target="https://i.ibb.co/DznB5q4/Itau.png" TargetMode="External"/><Relationship Id="rId1089" Type="http://schemas.openxmlformats.org/officeDocument/2006/relationships/hyperlink" Target="https://i.ibb.co/DznB5q4/Itau.png" TargetMode="External"/><Relationship Id="rId1090" Type="http://schemas.openxmlformats.org/officeDocument/2006/relationships/hyperlink" Target="https://i.ibb.co/DznB5q4/Itau.png" TargetMode="External"/><Relationship Id="rId1091" Type="http://schemas.openxmlformats.org/officeDocument/2006/relationships/hyperlink" Target="https://i.ibb.co/DznB5q4/Itau.png" TargetMode="External"/><Relationship Id="rId1092" Type="http://schemas.openxmlformats.org/officeDocument/2006/relationships/hyperlink" Target="https://i.ibb.co/DznB5q4/Itau.png" TargetMode="External"/><Relationship Id="rId1093" Type="http://schemas.openxmlformats.org/officeDocument/2006/relationships/hyperlink" Target="https://i.ibb.co/DznB5q4/Itau.png" TargetMode="External"/><Relationship Id="rId1094" Type="http://schemas.openxmlformats.org/officeDocument/2006/relationships/hyperlink" Target="https://i.ibb.co/DznB5q4/Itau.png" TargetMode="External"/><Relationship Id="rId1095" Type="http://schemas.openxmlformats.org/officeDocument/2006/relationships/hyperlink" Target="https://i.ibb.co/DznB5q4/Itau.png" TargetMode="External"/><Relationship Id="rId1096" Type="http://schemas.openxmlformats.org/officeDocument/2006/relationships/hyperlink" Target="https://i.ibb.co/DznB5q4/Itau.png" TargetMode="External"/><Relationship Id="rId1097" Type="http://schemas.openxmlformats.org/officeDocument/2006/relationships/hyperlink" Target="https://i.ibb.co/DznB5q4/Itau.png" TargetMode="External"/><Relationship Id="rId1098" Type="http://schemas.openxmlformats.org/officeDocument/2006/relationships/hyperlink" Target="https://i.ibb.co/DznB5q4/Itau.png" TargetMode="External"/><Relationship Id="rId1099" Type="http://schemas.openxmlformats.org/officeDocument/2006/relationships/hyperlink" Target="https://i.ibb.co/DznB5q4/Itau.png" TargetMode="External"/><Relationship Id="rId1100" Type="http://schemas.openxmlformats.org/officeDocument/2006/relationships/hyperlink" Target="https://i.ibb.co/DznB5q4/Itau.png" TargetMode="External"/><Relationship Id="rId1101" Type="http://schemas.openxmlformats.org/officeDocument/2006/relationships/hyperlink" Target="https://i.ibb.co/DznB5q4/Itau.png" TargetMode="External"/><Relationship Id="rId1102" Type="http://schemas.openxmlformats.org/officeDocument/2006/relationships/hyperlink" Target="https://i.ibb.co/DznB5q4/Itau.png" TargetMode="External"/><Relationship Id="rId1103" Type="http://schemas.openxmlformats.org/officeDocument/2006/relationships/hyperlink" Target="https://i.ibb.co/DznB5q4/Itau.png" TargetMode="External"/><Relationship Id="rId1104" Type="http://schemas.openxmlformats.org/officeDocument/2006/relationships/hyperlink" Target="https://i.ibb.co/DznB5q4/Itau.png" TargetMode="External"/><Relationship Id="rId1105" Type="http://schemas.openxmlformats.org/officeDocument/2006/relationships/hyperlink" Target="https://i.ibb.co/DznB5q4/Itau.png" TargetMode="External"/><Relationship Id="rId1106" Type="http://schemas.openxmlformats.org/officeDocument/2006/relationships/hyperlink" Target="https://i.ibb.co/DznB5q4/Itau.png" TargetMode="External"/><Relationship Id="rId1107" Type="http://schemas.openxmlformats.org/officeDocument/2006/relationships/hyperlink" Target="https://i.ibb.co/DznB5q4/Itau.png" TargetMode="External"/><Relationship Id="rId1108" Type="http://schemas.openxmlformats.org/officeDocument/2006/relationships/hyperlink" Target="https://i.ibb.co/DznB5q4/Itau.png" TargetMode="External"/><Relationship Id="rId1109" Type="http://schemas.openxmlformats.org/officeDocument/2006/relationships/hyperlink" Target="https://i.ibb.co/DznB5q4/Itau.png" TargetMode="External"/><Relationship Id="rId1110" Type="http://schemas.openxmlformats.org/officeDocument/2006/relationships/hyperlink" Target="https://i.ibb.co/DznB5q4/Itau.png" TargetMode="External"/><Relationship Id="rId1111" Type="http://schemas.openxmlformats.org/officeDocument/2006/relationships/hyperlink" Target="https://i.ibb.co/DznB5q4/Itau.png" TargetMode="External"/><Relationship Id="rId1112" Type="http://schemas.openxmlformats.org/officeDocument/2006/relationships/hyperlink" Target="https://i.ibb.co/DznB5q4/Itau.png" TargetMode="External"/><Relationship Id="rId1113" Type="http://schemas.openxmlformats.org/officeDocument/2006/relationships/hyperlink" Target="https://i.ibb.co/DznB5q4/Itau.png" TargetMode="External"/><Relationship Id="rId1114" Type="http://schemas.openxmlformats.org/officeDocument/2006/relationships/hyperlink" Target="https://i.ibb.co/DznB5q4/Itau.png" TargetMode="External"/><Relationship Id="rId1115" Type="http://schemas.openxmlformats.org/officeDocument/2006/relationships/hyperlink" Target="https://i.ibb.co/DznB5q4/Itau.png" TargetMode="External"/><Relationship Id="rId1116" Type="http://schemas.openxmlformats.org/officeDocument/2006/relationships/hyperlink" Target="https://i.ibb.co/DznB5q4/Itau.png" TargetMode="External"/><Relationship Id="rId1117" Type="http://schemas.openxmlformats.org/officeDocument/2006/relationships/hyperlink" Target="https://i.ibb.co/DznB5q4/Itau.png" TargetMode="External"/><Relationship Id="rId1118" Type="http://schemas.openxmlformats.org/officeDocument/2006/relationships/hyperlink" Target="https://i.ibb.co/DznB5q4/Itau.png" TargetMode="External"/><Relationship Id="rId1119" Type="http://schemas.openxmlformats.org/officeDocument/2006/relationships/hyperlink" Target="https://i.ibb.co/DznB5q4/Itau.png" TargetMode="External"/><Relationship Id="rId1120" Type="http://schemas.openxmlformats.org/officeDocument/2006/relationships/hyperlink" Target="https://i.ibb.co/DznB5q4/Itau.png" TargetMode="External"/><Relationship Id="rId1121" Type="http://schemas.openxmlformats.org/officeDocument/2006/relationships/hyperlink" Target="https://i.ibb.co/DznB5q4/Itau.png" TargetMode="External"/><Relationship Id="rId1122" Type="http://schemas.openxmlformats.org/officeDocument/2006/relationships/hyperlink" Target="https://i.ibb.co/DznB5q4/Itau.png" TargetMode="External"/><Relationship Id="rId1123" Type="http://schemas.openxmlformats.org/officeDocument/2006/relationships/hyperlink" Target="https://i.ibb.co/DznB5q4/Itau.png" TargetMode="External"/><Relationship Id="rId1124" Type="http://schemas.openxmlformats.org/officeDocument/2006/relationships/hyperlink" Target="https://i.ibb.co/DznB5q4/Itau.png" TargetMode="External"/><Relationship Id="rId1125" Type="http://schemas.openxmlformats.org/officeDocument/2006/relationships/hyperlink" Target="https://i.ibb.co/DznB5q4/Itau.png" TargetMode="External"/><Relationship Id="rId1126" Type="http://schemas.openxmlformats.org/officeDocument/2006/relationships/hyperlink" Target="https://i.ibb.co/DznB5q4/Itau.png" TargetMode="External"/><Relationship Id="rId1127" Type="http://schemas.openxmlformats.org/officeDocument/2006/relationships/hyperlink" Target="https://i.ibb.co/DznB5q4/Itau.png" TargetMode="External"/><Relationship Id="rId1128" Type="http://schemas.openxmlformats.org/officeDocument/2006/relationships/hyperlink" Target="https://i.ibb.co/DznB5q4/Itau.png" TargetMode="External"/><Relationship Id="rId1129" Type="http://schemas.openxmlformats.org/officeDocument/2006/relationships/hyperlink" Target="https://i.ibb.co/DznB5q4/Itau.png" TargetMode="External"/><Relationship Id="rId1130" Type="http://schemas.openxmlformats.org/officeDocument/2006/relationships/hyperlink" Target="https://i.ibb.co/DznB5q4/Itau.png" TargetMode="External"/><Relationship Id="rId1131" Type="http://schemas.openxmlformats.org/officeDocument/2006/relationships/hyperlink" Target="https://i.ibb.co/DznB5q4/Itau.png" TargetMode="External"/><Relationship Id="rId1132" Type="http://schemas.openxmlformats.org/officeDocument/2006/relationships/hyperlink" Target="https://i.ibb.co/DznB5q4/Itau.png" TargetMode="External"/><Relationship Id="rId1133" Type="http://schemas.openxmlformats.org/officeDocument/2006/relationships/hyperlink" Target="https://i.ibb.co/DznB5q4/Itau.png" TargetMode="External"/><Relationship Id="rId1134" Type="http://schemas.openxmlformats.org/officeDocument/2006/relationships/hyperlink" Target="https://i.ibb.co/DznB5q4/Itau.png" TargetMode="External"/><Relationship Id="rId1135" Type="http://schemas.openxmlformats.org/officeDocument/2006/relationships/hyperlink" Target="https://i.ibb.co/DznB5q4/Itau.png" TargetMode="External"/><Relationship Id="rId1136" Type="http://schemas.openxmlformats.org/officeDocument/2006/relationships/hyperlink" Target="https://i.ibb.co/DznB5q4/Itau.png" TargetMode="External"/><Relationship Id="rId1137" Type="http://schemas.openxmlformats.org/officeDocument/2006/relationships/hyperlink" Target="https://i.ibb.co/DznB5q4/Itau.png" TargetMode="External"/><Relationship Id="rId1138" Type="http://schemas.openxmlformats.org/officeDocument/2006/relationships/hyperlink" Target="https://i.ibb.co/DznB5q4/Itau.png" TargetMode="External"/><Relationship Id="rId1139" Type="http://schemas.openxmlformats.org/officeDocument/2006/relationships/hyperlink" Target="https://i.ibb.co/DznB5q4/Itau.png" TargetMode="External"/><Relationship Id="rId1140" Type="http://schemas.openxmlformats.org/officeDocument/2006/relationships/hyperlink" Target="https://i.ibb.co/DznB5q4/Itau.png" TargetMode="External"/><Relationship Id="rId1141" Type="http://schemas.openxmlformats.org/officeDocument/2006/relationships/hyperlink" Target="https://i.ibb.co/DznB5q4/Itau.png" TargetMode="External"/><Relationship Id="rId1142" Type="http://schemas.openxmlformats.org/officeDocument/2006/relationships/hyperlink" Target="https://i.ibb.co/DznB5q4/Itau.png" TargetMode="External"/><Relationship Id="rId1143" Type="http://schemas.openxmlformats.org/officeDocument/2006/relationships/hyperlink" Target="https://i.ibb.co/DznB5q4/Itau.png" TargetMode="External"/><Relationship Id="rId1144" Type="http://schemas.openxmlformats.org/officeDocument/2006/relationships/hyperlink" Target="https://i.ibb.co/DznB5q4/Itau.png" TargetMode="External"/><Relationship Id="rId1145" Type="http://schemas.openxmlformats.org/officeDocument/2006/relationships/hyperlink" Target="https://i.ibb.co/DznB5q4/Itau.png" TargetMode="External"/><Relationship Id="rId1146" Type="http://schemas.openxmlformats.org/officeDocument/2006/relationships/hyperlink" Target="https://i.ibb.co/DznB5q4/Itau.png" TargetMode="External"/><Relationship Id="rId1147" Type="http://schemas.openxmlformats.org/officeDocument/2006/relationships/hyperlink" Target="https://i.ibb.co/DznB5q4/Itau.png" TargetMode="External"/><Relationship Id="rId1148" Type="http://schemas.openxmlformats.org/officeDocument/2006/relationships/hyperlink" Target="https://i.ibb.co/DznB5q4/Itau.png" TargetMode="External"/><Relationship Id="rId1149" Type="http://schemas.openxmlformats.org/officeDocument/2006/relationships/hyperlink" Target="https://i.ibb.co/DznB5q4/Itau.png" TargetMode="External"/><Relationship Id="rId1150" Type="http://schemas.openxmlformats.org/officeDocument/2006/relationships/hyperlink" Target="https://i.ibb.co/DznB5q4/Itau.png" TargetMode="External"/><Relationship Id="rId1151" Type="http://schemas.openxmlformats.org/officeDocument/2006/relationships/hyperlink" Target="https://i.ibb.co/DznB5q4/Itau.png" TargetMode="External"/><Relationship Id="rId1152" Type="http://schemas.openxmlformats.org/officeDocument/2006/relationships/hyperlink" Target="https://i.ibb.co/DznB5q4/Itau.png" TargetMode="External"/><Relationship Id="rId1153" Type="http://schemas.openxmlformats.org/officeDocument/2006/relationships/hyperlink" Target="https://i.ibb.co/DznB5q4/Itau.png" TargetMode="External"/><Relationship Id="rId1154" Type="http://schemas.openxmlformats.org/officeDocument/2006/relationships/hyperlink" Target="https://i.ibb.co/DznB5q4/Itau.png" TargetMode="External"/><Relationship Id="rId1155" Type="http://schemas.openxmlformats.org/officeDocument/2006/relationships/hyperlink" Target="https://i.ibb.co/DznB5q4/Itau.png" TargetMode="External"/><Relationship Id="rId1156" Type="http://schemas.openxmlformats.org/officeDocument/2006/relationships/hyperlink" Target="https://i.ibb.co/DznB5q4/Itau.png" TargetMode="External"/><Relationship Id="rId1157" Type="http://schemas.openxmlformats.org/officeDocument/2006/relationships/hyperlink" Target="https://i.ibb.co/DznB5q4/Itau.png" TargetMode="External"/><Relationship Id="rId1158" Type="http://schemas.openxmlformats.org/officeDocument/2006/relationships/hyperlink" Target="https://i.ibb.co/DznB5q4/Itau.png" TargetMode="External"/><Relationship Id="rId1159" Type="http://schemas.openxmlformats.org/officeDocument/2006/relationships/hyperlink" Target="https://i.ibb.co/DznB5q4/Itau.png" TargetMode="External"/><Relationship Id="rId1160" Type="http://schemas.openxmlformats.org/officeDocument/2006/relationships/hyperlink" Target="https://i.ibb.co/DznB5q4/Itau.png" TargetMode="External"/><Relationship Id="rId1161" Type="http://schemas.openxmlformats.org/officeDocument/2006/relationships/hyperlink" Target="https://i.ibb.co/DznB5q4/Itau.png" TargetMode="External"/><Relationship Id="rId1162" Type="http://schemas.openxmlformats.org/officeDocument/2006/relationships/hyperlink" Target="https://i.ibb.co/DznB5q4/Itau.png" TargetMode="External"/><Relationship Id="rId1163" Type="http://schemas.openxmlformats.org/officeDocument/2006/relationships/hyperlink" Target="https://i.ibb.co/DznB5q4/Itau.png" TargetMode="External"/><Relationship Id="rId1164" Type="http://schemas.openxmlformats.org/officeDocument/2006/relationships/hyperlink" Target="https://i.ibb.co/DznB5q4/Itau.png" TargetMode="External"/><Relationship Id="rId1165" Type="http://schemas.openxmlformats.org/officeDocument/2006/relationships/hyperlink" Target="https://i.ibb.co/DznB5q4/Itau.png" TargetMode="External"/><Relationship Id="rId1166" Type="http://schemas.openxmlformats.org/officeDocument/2006/relationships/hyperlink" Target="https://i.ibb.co/DznB5q4/Itau.png" TargetMode="External"/><Relationship Id="rId1167" Type="http://schemas.openxmlformats.org/officeDocument/2006/relationships/hyperlink" Target="https://i.ibb.co/DznB5q4/Itau.png" TargetMode="External"/><Relationship Id="rId1168" Type="http://schemas.openxmlformats.org/officeDocument/2006/relationships/hyperlink" Target="https://i.ibb.co/DznB5q4/Itau.png" TargetMode="External"/><Relationship Id="rId1169" Type="http://schemas.openxmlformats.org/officeDocument/2006/relationships/hyperlink" Target="https://i.ibb.co/DznB5q4/Itau.png" TargetMode="External"/><Relationship Id="rId1170" Type="http://schemas.openxmlformats.org/officeDocument/2006/relationships/hyperlink" Target="https://i.ibb.co/DznB5q4/Itau.png" TargetMode="External"/><Relationship Id="rId1171" Type="http://schemas.openxmlformats.org/officeDocument/2006/relationships/hyperlink" Target="https://i.ibb.co/DznB5q4/Itau.png" TargetMode="External"/><Relationship Id="rId1172" Type="http://schemas.openxmlformats.org/officeDocument/2006/relationships/hyperlink" Target="https://i.ibb.co/DznB5q4/Itau.png" TargetMode="External"/><Relationship Id="rId1173" Type="http://schemas.openxmlformats.org/officeDocument/2006/relationships/hyperlink" Target="https://i.ibb.co/DznB5q4/Itau.png" TargetMode="External"/><Relationship Id="rId1174" Type="http://schemas.openxmlformats.org/officeDocument/2006/relationships/hyperlink" Target="https://i.ibb.co/DznB5q4/Itau.png" TargetMode="External"/><Relationship Id="rId1175" Type="http://schemas.openxmlformats.org/officeDocument/2006/relationships/hyperlink" Target="https://i.ibb.co/DznB5q4/Itau.png" TargetMode="External"/><Relationship Id="rId1176" Type="http://schemas.openxmlformats.org/officeDocument/2006/relationships/hyperlink" Target="https://i.ibb.co/DznB5q4/Itau.png" TargetMode="External"/><Relationship Id="rId1177" Type="http://schemas.openxmlformats.org/officeDocument/2006/relationships/hyperlink" Target="https://i.ibb.co/DznB5q4/Itau.png" TargetMode="External"/><Relationship Id="rId1178" Type="http://schemas.openxmlformats.org/officeDocument/2006/relationships/hyperlink" Target="https://i.ibb.co/DznB5q4/Itau.png" TargetMode="External"/><Relationship Id="rId1179" Type="http://schemas.openxmlformats.org/officeDocument/2006/relationships/hyperlink" Target="https://i.ibb.co/DznB5q4/Itau.png" TargetMode="External"/><Relationship Id="rId1180" Type="http://schemas.openxmlformats.org/officeDocument/2006/relationships/hyperlink" Target="https://i.ibb.co/DznB5q4/Itau.png" TargetMode="External"/><Relationship Id="rId1181" Type="http://schemas.openxmlformats.org/officeDocument/2006/relationships/hyperlink" Target="https://i.ibb.co/DznB5q4/Itau.png" TargetMode="External"/><Relationship Id="rId1182" Type="http://schemas.openxmlformats.org/officeDocument/2006/relationships/hyperlink" Target="https://i.ibb.co/DznB5q4/Itau.png" TargetMode="External"/><Relationship Id="rId1183" Type="http://schemas.openxmlformats.org/officeDocument/2006/relationships/hyperlink" Target="https://i.ibb.co/DznB5q4/Itau.png" TargetMode="External"/><Relationship Id="rId1184" Type="http://schemas.openxmlformats.org/officeDocument/2006/relationships/hyperlink" Target="https://i.ibb.co/DznB5q4/Itau.png" TargetMode="External"/><Relationship Id="rId1185" Type="http://schemas.openxmlformats.org/officeDocument/2006/relationships/hyperlink" Target="https://i.ibb.co/DznB5q4/Itau.png" TargetMode="External"/><Relationship Id="rId1186" Type="http://schemas.openxmlformats.org/officeDocument/2006/relationships/hyperlink" Target="https://i.ibb.co/DznB5q4/Itau.png" TargetMode="External"/><Relationship Id="rId1187" Type="http://schemas.openxmlformats.org/officeDocument/2006/relationships/hyperlink" Target="https://i.ibb.co/DznB5q4/Itau.png" TargetMode="External"/><Relationship Id="rId1188" Type="http://schemas.openxmlformats.org/officeDocument/2006/relationships/hyperlink" Target="https://i.ibb.co/DznB5q4/Itau.png" TargetMode="External"/><Relationship Id="rId1189" Type="http://schemas.openxmlformats.org/officeDocument/2006/relationships/hyperlink" Target="https://i.ibb.co/DznB5q4/Itau.png" TargetMode="External"/><Relationship Id="rId1190" Type="http://schemas.openxmlformats.org/officeDocument/2006/relationships/hyperlink" Target="https://i.ibb.co/DznB5q4/Itau.png" TargetMode="External"/><Relationship Id="rId1191" Type="http://schemas.openxmlformats.org/officeDocument/2006/relationships/hyperlink" Target="https://i.ibb.co/DznB5q4/Itau.png" TargetMode="External"/><Relationship Id="rId1192" Type="http://schemas.openxmlformats.org/officeDocument/2006/relationships/hyperlink" Target="https://i.ibb.co/DznB5q4/Itau.png" TargetMode="External"/><Relationship Id="rId1193" Type="http://schemas.openxmlformats.org/officeDocument/2006/relationships/hyperlink" Target="https://i.ibb.co/DznB5q4/Itau.png" TargetMode="External"/><Relationship Id="rId1194" Type="http://schemas.openxmlformats.org/officeDocument/2006/relationships/hyperlink" Target="https://i.ibb.co/DznB5q4/Itau.png" TargetMode="External"/><Relationship Id="rId1195" Type="http://schemas.openxmlformats.org/officeDocument/2006/relationships/hyperlink" Target="https://i.ibb.co/DznB5q4/Itau.png" TargetMode="External"/><Relationship Id="rId1196" Type="http://schemas.openxmlformats.org/officeDocument/2006/relationships/hyperlink" Target="https://i.ibb.co/DznB5q4/Itau.png" TargetMode="External"/><Relationship Id="rId1197" Type="http://schemas.openxmlformats.org/officeDocument/2006/relationships/hyperlink" Target="https://i.ibb.co/DznB5q4/Itau.png" TargetMode="External"/><Relationship Id="rId1198" Type="http://schemas.openxmlformats.org/officeDocument/2006/relationships/hyperlink" Target="https://i.ibb.co/DznB5q4/Itau.png" TargetMode="External"/><Relationship Id="rId1199" Type="http://schemas.openxmlformats.org/officeDocument/2006/relationships/hyperlink" Target="https://i.ibb.co/DznB5q4/Itau.png" TargetMode="External"/><Relationship Id="rId1200" Type="http://schemas.openxmlformats.org/officeDocument/2006/relationships/hyperlink" Target="https://i.ibb.co/DznB5q4/Itau.png" TargetMode="External"/><Relationship Id="rId1201" Type="http://schemas.openxmlformats.org/officeDocument/2006/relationships/hyperlink" Target="https://i.ibb.co/DznB5q4/Itau.png" TargetMode="External"/><Relationship Id="rId1202" Type="http://schemas.openxmlformats.org/officeDocument/2006/relationships/hyperlink" Target="https://i.ibb.co/DznB5q4/Itau.png" TargetMode="External"/><Relationship Id="rId1203" Type="http://schemas.openxmlformats.org/officeDocument/2006/relationships/hyperlink" Target="https://i.ibb.co/DznB5q4/Itau.png" TargetMode="External"/><Relationship Id="rId1204" Type="http://schemas.openxmlformats.org/officeDocument/2006/relationships/hyperlink" Target="https://i.ibb.co/DznB5q4/Itau.png" TargetMode="External"/><Relationship Id="rId1205" Type="http://schemas.openxmlformats.org/officeDocument/2006/relationships/hyperlink" Target="https://i.ibb.co/DznB5q4/Itau.png" TargetMode="External"/><Relationship Id="rId1206" Type="http://schemas.openxmlformats.org/officeDocument/2006/relationships/hyperlink" Target="https://i.ibb.co/DznB5q4/Itau.png" TargetMode="External"/><Relationship Id="rId1207" Type="http://schemas.openxmlformats.org/officeDocument/2006/relationships/hyperlink" Target="https://i.ibb.co/DznB5q4/Itau.png" TargetMode="External"/><Relationship Id="rId1208" Type="http://schemas.openxmlformats.org/officeDocument/2006/relationships/hyperlink" Target="https://i.ibb.co/DznB5q4/Itau.png" TargetMode="External"/><Relationship Id="rId1209" Type="http://schemas.openxmlformats.org/officeDocument/2006/relationships/hyperlink" Target="https://i.ibb.co/DznB5q4/Itau.png" TargetMode="External"/><Relationship Id="rId1210" Type="http://schemas.openxmlformats.org/officeDocument/2006/relationships/hyperlink" Target="https://i.ibb.co/DznB5q4/Itau.png" TargetMode="External"/><Relationship Id="rId1211" Type="http://schemas.openxmlformats.org/officeDocument/2006/relationships/hyperlink" Target="https://i.ibb.co/DznB5q4/Itau.png" TargetMode="External"/><Relationship Id="rId1212" Type="http://schemas.openxmlformats.org/officeDocument/2006/relationships/hyperlink" Target="https://i.ibb.co/DznB5q4/Itau.png" TargetMode="External"/><Relationship Id="rId1213" Type="http://schemas.openxmlformats.org/officeDocument/2006/relationships/hyperlink" Target="https://i.ibb.co/DznB5q4/Itau.png" TargetMode="External"/><Relationship Id="rId1214" Type="http://schemas.openxmlformats.org/officeDocument/2006/relationships/hyperlink" Target="https://i.ibb.co/DznB5q4/Itau.png" TargetMode="External"/><Relationship Id="rId1215" Type="http://schemas.openxmlformats.org/officeDocument/2006/relationships/hyperlink" Target="https://i.ibb.co/DznB5q4/Itau.png" TargetMode="External"/><Relationship Id="rId1216" Type="http://schemas.openxmlformats.org/officeDocument/2006/relationships/hyperlink" Target="https://i.ibb.co/DznB5q4/Itau.png" TargetMode="External"/><Relationship Id="rId1217" Type="http://schemas.openxmlformats.org/officeDocument/2006/relationships/hyperlink" Target="https://i.ibb.co/DznB5q4/Itau.png" TargetMode="External"/><Relationship Id="rId1218" Type="http://schemas.openxmlformats.org/officeDocument/2006/relationships/hyperlink" Target="https://i.ibb.co/DznB5q4/Itau.png" TargetMode="External"/><Relationship Id="rId1219" Type="http://schemas.openxmlformats.org/officeDocument/2006/relationships/hyperlink" Target="https://i.ibb.co/DznB5q4/Itau.png" TargetMode="External"/><Relationship Id="rId1220" Type="http://schemas.openxmlformats.org/officeDocument/2006/relationships/hyperlink" Target="https://i.ibb.co/DznB5q4/Itau.png" TargetMode="External"/><Relationship Id="rId1221" Type="http://schemas.openxmlformats.org/officeDocument/2006/relationships/hyperlink" Target="https://i.ibb.co/DznB5q4/Itau.png" TargetMode="External"/><Relationship Id="rId1222" Type="http://schemas.openxmlformats.org/officeDocument/2006/relationships/hyperlink" Target="https://i.ibb.co/DznB5q4/Itau.png" TargetMode="External"/><Relationship Id="rId1223" Type="http://schemas.openxmlformats.org/officeDocument/2006/relationships/hyperlink" Target="https://i.ibb.co/DznB5q4/Itau.png" TargetMode="External"/><Relationship Id="rId1224" Type="http://schemas.openxmlformats.org/officeDocument/2006/relationships/hyperlink" Target="https://i.ibb.co/DznB5q4/Itau.png" TargetMode="External"/><Relationship Id="rId1225" Type="http://schemas.openxmlformats.org/officeDocument/2006/relationships/hyperlink" Target="https://i.ibb.co/DznB5q4/Itau.png" TargetMode="External"/><Relationship Id="rId1226" Type="http://schemas.openxmlformats.org/officeDocument/2006/relationships/hyperlink" Target="https://i.ibb.co/DznB5q4/Itau.png" TargetMode="External"/><Relationship Id="rId1227" Type="http://schemas.openxmlformats.org/officeDocument/2006/relationships/hyperlink" Target="https://i.ibb.co/DznB5q4/Itau.png" TargetMode="External"/><Relationship Id="rId1228" Type="http://schemas.openxmlformats.org/officeDocument/2006/relationships/hyperlink" Target="https://i.ibb.co/DznB5q4/Itau.png" TargetMode="External"/><Relationship Id="rId1229" Type="http://schemas.openxmlformats.org/officeDocument/2006/relationships/hyperlink" Target="https://i.ibb.co/DznB5q4/Itau.png" TargetMode="External"/><Relationship Id="rId1230" Type="http://schemas.openxmlformats.org/officeDocument/2006/relationships/hyperlink" Target="https://i.ibb.co/DznB5q4/Itau.png" TargetMode="External"/><Relationship Id="rId1231" Type="http://schemas.openxmlformats.org/officeDocument/2006/relationships/hyperlink" Target="https://i.ibb.co/DznB5q4/Itau.png" TargetMode="External"/><Relationship Id="rId1232" Type="http://schemas.openxmlformats.org/officeDocument/2006/relationships/hyperlink" Target="https://i.ibb.co/DznB5q4/Itau.png" TargetMode="External"/><Relationship Id="rId1233" Type="http://schemas.openxmlformats.org/officeDocument/2006/relationships/hyperlink" Target="https://i.ibb.co/DznB5q4/Itau.png" TargetMode="External"/><Relationship Id="rId1234" Type="http://schemas.openxmlformats.org/officeDocument/2006/relationships/hyperlink" Target="https://i.ibb.co/DznB5q4/Itau.png" TargetMode="External"/><Relationship Id="rId1235" Type="http://schemas.openxmlformats.org/officeDocument/2006/relationships/hyperlink" Target="https://i.ibb.co/DznB5q4/Itau.png" TargetMode="External"/><Relationship Id="rId1236" Type="http://schemas.openxmlformats.org/officeDocument/2006/relationships/hyperlink" Target="https://i.ibb.co/DznB5q4/Itau.png" TargetMode="External"/><Relationship Id="rId1237" Type="http://schemas.openxmlformats.org/officeDocument/2006/relationships/hyperlink" Target="https://i.ibb.co/DznB5q4/Itau.png" TargetMode="External"/><Relationship Id="rId1238" Type="http://schemas.openxmlformats.org/officeDocument/2006/relationships/hyperlink" Target="https://i.ibb.co/DznB5q4/Itau.png" TargetMode="External"/><Relationship Id="rId1239" Type="http://schemas.openxmlformats.org/officeDocument/2006/relationships/hyperlink" Target="https://i.ibb.co/DznB5q4/Itau.png" TargetMode="External"/><Relationship Id="rId1240" Type="http://schemas.openxmlformats.org/officeDocument/2006/relationships/hyperlink" Target="https://i.ibb.co/DznB5q4/Itau.png" TargetMode="External"/><Relationship Id="rId1241" Type="http://schemas.openxmlformats.org/officeDocument/2006/relationships/hyperlink" Target="https://i.ibb.co/DznB5q4/Itau.png" TargetMode="External"/><Relationship Id="rId1242" Type="http://schemas.openxmlformats.org/officeDocument/2006/relationships/hyperlink" Target="https://i.ibb.co/DznB5q4/Itau.png" TargetMode="External"/><Relationship Id="rId1243" Type="http://schemas.openxmlformats.org/officeDocument/2006/relationships/hyperlink" Target="https://i.ibb.co/DznB5q4/Itau.png" TargetMode="External"/><Relationship Id="rId1244" Type="http://schemas.openxmlformats.org/officeDocument/2006/relationships/hyperlink" Target="https://i.ibb.co/DznB5q4/Itau.png" TargetMode="External"/><Relationship Id="rId1245" Type="http://schemas.openxmlformats.org/officeDocument/2006/relationships/hyperlink" Target="https://i.ibb.co/DznB5q4/Itau.png" TargetMode="External"/><Relationship Id="rId1246" Type="http://schemas.openxmlformats.org/officeDocument/2006/relationships/hyperlink" Target="https://i.ibb.co/DznB5q4/Itau.png" TargetMode="External"/><Relationship Id="rId1247" Type="http://schemas.openxmlformats.org/officeDocument/2006/relationships/hyperlink" Target="https://i.ibb.co/DznB5q4/Itau.png" TargetMode="External"/><Relationship Id="rId1248" Type="http://schemas.openxmlformats.org/officeDocument/2006/relationships/hyperlink" Target="https://i.ibb.co/DznB5q4/Itau.png" TargetMode="External"/><Relationship Id="rId1249" Type="http://schemas.openxmlformats.org/officeDocument/2006/relationships/hyperlink" Target="https://i.ibb.co/DznB5q4/Itau.png" TargetMode="External"/><Relationship Id="rId1250" Type="http://schemas.openxmlformats.org/officeDocument/2006/relationships/hyperlink" Target="https://i.ibb.co/DznB5q4/Itau.png" TargetMode="External"/><Relationship Id="rId1251" Type="http://schemas.openxmlformats.org/officeDocument/2006/relationships/hyperlink" Target="https://i.ibb.co/DznB5q4/Itau.png" TargetMode="External"/><Relationship Id="rId1252" Type="http://schemas.openxmlformats.org/officeDocument/2006/relationships/hyperlink" Target="https://i.ibb.co/DznB5q4/Itau.png" TargetMode="External"/><Relationship Id="rId1253" Type="http://schemas.openxmlformats.org/officeDocument/2006/relationships/hyperlink" Target="https://i.ibb.co/DznB5q4/Itau.png" TargetMode="External"/><Relationship Id="rId1254" Type="http://schemas.openxmlformats.org/officeDocument/2006/relationships/hyperlink" Target="https://i.ibb.co/DznB5q4/Itau.png" TargetMode="External"/><Relationship Id="rId1255" Type="http://schemas.openxmlformats.org/officeDocument/2006/relationships/hyperlink" Target="https://i.ibb.co/DznB5q4/Itau.png" TargetMode="External"/><Relationship Id="rId1256" Type="http://schemas.openxmlformats.org/officeDocument/2006/relationships/hyperlink" Target="https://i.ibb.co/DznB5q4/Itau.png" TargetMode="External"/><Relationship Id="rId1257" Type="http://schemas.openxmlformats.org/officeDocument/2006/relationships/hyperlink" Target="https://i.ibb.co/DznB5q4/Itau.png" TargetMode="External"/><Relationship Id="rId1258" Type="http://schemas.openxmlformats.org/officeDocument/2006/relationships/hyperlink" Target="https://i.ibb.co/DznB5q4/Itau.png" TargetMode="External"/><Relationship Id="rId1259" Type="http://schemas.openxmlformats.org/officeDocument/2006/relationships/hyperlink" Target="https://i.ibb.co/DznB5q4/Itau.png" TargetMode="External"/><Relationship Id="rId1260" Type="http://schemas.openxmlformats.org/officeDocument/2006/relationships/hyperlink" Target="https://i.ibb.co/DznB5q4/Itau.png" TargetMode="External"/><Relationship Id="rId1261" Type="http://schemas.openxmlformats.org/officeDocument/2006/relationships/hyperlink" Target="https://i.ibb.co/DznB5q4/Itau.png" TargetMode="External"/><Relationship Id="rId1262" Type="http://schemas.openxmlformats.org/officeDocument/2006/relationships/hyperlink" Target="https://i.ibb.co/DznB5q4/Itau.png" TargetMode="External"/><Relationship Id="rId1263" Type="http://schemas.openxmlformats.org/officeDocument/2006/relationships/hyperlink" Target="https://i.ibb.co/DznB5q4/Itau.png" TargetMode="External"/><Relationship Id="rId1264" Type="http://schemas.openxmlformats.org/officeDocument/2006/relationships/hyperlink" Target="https://i.ibb.co/DznB5q4/Itau.png" TargetMode="External"/><Relationship Id="rId1265" Type="http://schemas.openxmlformats.org/officeDocument/2006/relationships/hyperlink" Target="https://i.ibb.co/DznB5q4/Itau.png" TargetMode="External"/><Relationship Id="rId1266" Type="http://schemas.openxmlformats.org/officeDocument/2006/relationships/hyperlink" Target="https://i.ibb.co/DznB5q4/Itau.png" TargetMode="External"/><Relationship Id="rId1267" Type="http://schemas.openxmlformats.org/officeDocument/2006/relationships/hyperlink" Target="https://i.ibb.co/DznB5q4/Itau.png" TargetMode="External"/><Relationship Id="rId1268" Type="http://schemas.openxmlformats.org/officeDocument/2006/relationships/hyperlink" Target="https://i.ibb.co/DznB5q4/Itau.png" TargetMode="External"/><Relationship Id="rId1269" Type="http://schemas.openxmlformats.org/officeDocument/2006/relationships/hyperlink" Target="https://i.ibb.co/DznB5q4/Itau.png" TargetMode="External"/><Relationship Id="rId1270" Type="http://schemas.openxmlformats.org/officeDocument/2006/relationships/hyperlink" Target="https://i.ibb.co/DznB5q4/Itau.png" TargetMode="External"/><Relationship Id="rId1271" Type="http://schemas.openxmlformats.org/officeDocument/2006/relationships/hyperlink" Target="https://i.ibb.co/DznB5q4/Itau.png" TargetMode="External"/><Relationship Id="rId1272" Type="http://schemas.openxmlformats.org/officeDocument/2006/relationships/hyperlink" Target="https://i.ibb.co/DznB5q4/Itau.png" TargetMode="External"/><Relationship Id="rId1273" Type="http://schemas.openxmlformats.org/officeDocument/2006/relationships/hyperlink" Target="https://i.ibb.co/DznB5q4/Itau.png" TargetMode="External"/><Relationship Id="rId1274" Type="http://schemas.openxmlformats.org/officeDocument/2006/relationships/hyperlink" Target="https://i.ibb.co/DznB5q4/Itau.png" TargetMode="External"/><Relationship Id="rId1275" Type="http://schemas.openxmlformats.org/officeDocument/2006/relationships/hyperlink" Target="https://i.ibb.co/DznB5q4/Itau.png" TargetMode="External"/><Relationship Id="rId1276" Type="http://schemas.openxmlformats.org/officeDocument/2006/relationships/hyperlink" Target="https://i.ibb.co/DznB5q4/Itau.png" TargetMode="External"/><Relationship Id="rId1277" Type="http://schemas.openxmlformats.org/officeDocument/2006/relationships/hyperlink" Target="https://i.ibb.co/DznB5q4/Itau.png" TargetMode="External"/><Relationship Id="rId1278" Type="http://schemas.openxmlformats.org/officeDocument/2006/relationships/hyperlink" Target="https://i.ibb.co/DznB5q4/Itau.png" TargetMode="External"/><Relationship Id="rId1279" Type="http://schemas.openxmlformats.org/officeDocument/2006/relationships/hyperlink" Target="https://i.ibb.co/DznB5q4/Itau.png" TargetMode="External"/><Relationship Id="rId1280" Type="http://schemas.openxmlformats.org/officeDocument/2006/relationships/hyperlink" Target="https://i.ibb.co/DznB5q4/Itau.png" TargetMode="External"/><Relationship Id="rId1281" Type="http://schemas.openxmlformats.org/officeDocument/2006/relationships/hyperlink" Target="https://i.ibb.co/DznB5q4/Itau.png" TargetMode="External"/><Relationship Id="rId1282" Type="http://schemas.openxmlformats.org/officeDocument/2006/relationships/hyperlink" Target="https://i.ibb.co/DznB5q4/Itau.png" TargetMode="External"/><Relationship Id="rId1283" Type="http://schemas.openxmlformats.org/officeDocument/2006/relationships/hyperlink" Target="https://i.ibb.co/DznB5q4/Itau.png" TargetMode="External"/><Relationship Id="rId1284" Type="http://schemas.openxmlformats.org/officeDocument/2006/relationships/hyperlink" Target="https://i.ibb.co/DznB5q4/Itau.png" TargetMode="External"/><Relationship Id="rId1285" Type="http://schemas.openxmlformats.org/officeDocument/2006/relationships/hyperlink" Target="https://i.ibb.co/DznB5q4/Itau.png" TargetMode="External"/><Relationship Id="rId1286" Type="http://schemas.openxmlformats.org/officeDocument/2006/relationships/hyperlink" Target="https://i.ibb.co/DznB5q4/Itau.png" TargetMode="External"/><Relationship Id="rId1287" Type="http://schemas.openxmlformats.org/officeDocument/2006/relationships/hyperlink" Target="https://i.ibb.co/DznB5q4/Itau.png" TargetMode="External"/><Relationship Id="rId1288" Type="http://schemas.openxmlformats.org/officeDocument/2006/relationships/hyperlink" Target="https://i.ibb.co/DznB5q4/Itau.png" TargetMode="External"/><Relationship Id="rId1289" Type="http://schemas.openxmlformats.org/officeDocument/2006/relationships/hyperlink" Target="https://i.ibb.co/DznB5q4/Itau.png" TargetMode="External"/><Relationship Id="rId1290" Type="http://schemas.openxmlformats.org/officeDocument/2006/relationships/hyperlink" Target="https://i.ibb.co/DznB5q4/Itau.png" TargetMode="External"/><Relationship Id="rId1291" Type="http://schemas.openxmlformats.org/officeDocument/2006/relationships/hyperlink" Target="https://i.ibb.co/DznB5q4/Itau.png" TargetMode="External"/><Relationship Id="rId1292" Type="http://schemas.openxmlformats.org/officeDocument/2006/relationships/hyperlink" Target="https://i.ibb.co/DznB5q4/Itau.png" TargetMode="External"/><Relationship Id="rId1293" Type="http://schemas.openxmlformats.org/officeDocument/2006/relationships/hyperlink" Target="https://i.ibb.co/DznB5q4/Itau.png" TargetMode="External"/><Relationship Id="rId1294" Type="http://schemas.openxmlformats.org/officeDocument/2006/relationships/hyperlink" Target="https://i.ibb.co/DznB5q4/Itau.png" TargetMode="External"/><Relationship Id="rId1295" Type="http://schemas.openxmlformats.org/officeDocument/2006/relationships/hyperlink" Target="https://i.ibb.co/DznB5q4/Itau.png" TargetMode="External"/><Relationship Id="rId1296" Type="http://schemas.openxmlformats.org/officeDocument/2006/relationships/hyperlink" Target="https://i.ibb.co/DznB5q4/Itau.png" TargetMode="External"/><Relationship Id="rId1297" Type="http://schemas.openxmlformats.org/officeDocument/2006/relationships/hyperlink" Target="https://i.ibb.co/DznB5q4/Itau.png" TargetMode="External"/><Relationship Id="rId1298" Type="http://schemas.openxmlformats.org/officeDocument/2006/relationships/hyperlink" Target="https://i.ibb.co/DznB5q4/Itau.png" TargetMode="External"/><Relationship Id="rId1299" Type="http://schemas.openxmlformats.org/officeDocument/2006/relationships/hyperlink" Target="https://i.ibb.co/DznB5q4/Itau.png" TargetMode="External"/><Relationship Id="rId1300" Type="http://schemas.openxmlformats.org/officeDocument/2006/relationships/hyperlink" Target="https://i.ibb.co/DznB5q4/Itau.png" TargetMode="External"/><Relationship Id="rId1301" Type="http://schemas.openxmlformats.org/officeDocument/2006/relationships/hyperlink" Target="https://i.ibb.co/DznB5q4/Itau.png" TargetMode="External"/><Relationship Id="rId1302" Type="http://schemas.openxmlformats.org/officeDocument/2006/relationships/hyperlink" Target="https://i.ibb.co/DznB5q4/Itau.png" TargetMode="External"/><Relationship Id="rId1303" Type="http://schemas.openxmlformats.org/officeDocument/2006/relationships/hyperlink" Target="https://i.ibb.co/DznB5q4/Itau.png" TargetMode="External"/><Relationship Id="rId1304" Type="http://schemas.openxmlformats.org/officeDocument/2006/relationships/hyperlink" Target="https://i.ibb.co/DznB5q4/Itau.png" TargetMode="External"/><Relationship Id="rId1305" Type="http://schemas.openxmlformats.org/officeDocument/2006/relationships/hyperlink" Target="https://i.ibb.co/DznB5q4/Itau.png" TargetMode="External"/><Relationship Id="rId1306" Type="http://schemas.openxmlformats.org/officeDocument/2006/relationships/hyperlink" Target="https://i.ibb.co/DznB5q4/Itau.png" TargetMode="External"/><Relationship Id="rId1307" Type="http://schemas.openxmlformats.org/officeDocument/2006/relationships/hyperlink" Target="https://i.ibb.co/DznB5q4/Itau.png" TargetMode="External"/><Relationship Id="rId1308" Type="http://schemas.openxmlformats.org/officeDocument/2006/relationships/hyperlink" Target="https://i.ibb.co/DznB5q4/Itau.png" TargetMode="External"/><Relationship Id="rId1309" Type="http://schemas.openxmlformats.org/officeDocument/2006/relationships/hyperlink" Target="https://i.ibb.co/DznB5q4/Itau.png" TargetMode="External"/><Relationship Id="rId1310" Type="http://schemas.openxmlformats.org/officeDocument/2006/relationships/hyperlink" Target="https://i.ibb.co/DznB5q4/Itau.png" TargetMode="External"/><Relationship Id="rId1311" Type="http://schemas.openxmlformats.org/officeDocument/2006/relationships/hyperlink" Target="https://i.ibb.co/DznB5q4/Itau.png" TargetMode="External"/><Relationship Id="rId1312" Type="http://schemas.openxmlformats.org/officeDocument/2006/relationships/hyperlink" Target="https://i.ibb.co/DznB5q4/Itau.png" TargetMode="External"/><Relationship Id="rId1313" Type="http://schemas.openxmlformats.org/officeDocument/2006/relationships/hyperlink" Target="https://i.ibb.co/DznB5q4/Itau.png" TargetMode="External"/><Relationship Id="rId1314" Type="http://schemas.openxmlformats.org/officeDocument/2006/relationships/hyperlink" Target="https://i.ibb.co/DznB5q4/Itau.png" TargetMode="External"/><Relationship Id="rId1315" Type="http://schemas.openxmlformats.org/officeDocument/2006/relationships/hyperlink" Target="https://i.ibb.co/DznB5q4/Itau.png" TargetMode="External"/><Relationship Id="rId1316" Type="http://schemas.openxmlformats.org/officeDocument/2006/relationships/hyperlink" Target="https://i.ibb.co/DznB5q4/Itau.png" TargetMode="External"/><Relationship Id="rId1317" Type="http://schemas.openxmlformats.org/officeDocument/2006/relationships/hyperlink" Target="https://i.ibb.co/DznB5q4/Itau.png" TargetMode="External"/><Relationship Id="rId1318" Type="http://schemas.openxmlformats.org/officeDocument/2006/relationships/hyperlink" Target="https://i.ibb.co/DznB5q4/Itau.png" TargetMode="External"/><Relationship Id="rId1319" Type="http://schemas.openxmlformats.org/officeDocument/2006/relationships/hyperlink" Target="https://i.ibb.co/DznB5q4/Itau.png" TargetMode="External"/><Relationship Id="rId1320" Type="http://schemas.openxmlformats.org/officeDocument/2006/relationships/hyperlink" Target="https://i.ibb.co/DznB5q4/Itau.png" TargetMode="External"/><Relationship Id="rId1321" Type="http://schemas.openxmlformats.org/officeDocument/2006/relationships/hyperlink" Target="https://i.ibb.co/DznB5q4/Itau.png" TargetMode="External"/><Relationship Id="rId1322" Type="http://schemas.openxmlformats.org/officeDocument/2006/relationships/hyperlink" Target="https://i.ibb.co/DznB5q4/Itau.png" TargetMode="External"/><Relationship Id="rId1323" Type="http://schemas.openxmlformats.org/officeDocument/2006/relationships/hyperlink" Target="https://i.ibb.co/DznB5q4/Itau.png" TargetMode="External"/><Relationship Id="rId1324" Type="http://schemas.openxmlformats.org/officeDocument/2006/relationships/hyperlink" Target="https://i.ibb.co/DznB5q4/Itau.png" TargetMode="External"/><Relationship Id="rId1325" Type="http://schemas.openxmlformats.org/officeDocument/2006/relationships/hyperlink" Target="https://i.ibb.co/DznB5q4/Itau.png" TargetMode="External"/><Relationship Id="rId1326" Type="http://schemas.openxmlformats.org/officeDocument/2006/relationships/hyperlink" Target="https://i.ibb.co/DznB5q4/Itau.png" TargetMode="External"/><Relationship Id="rId1327" Type="http://schemas.openxmlformats.org/officeDocument/2006/relationships/hyperlink" Target="https://i.ibb.co/DznB5q4/Itau.png" TargetMode="External"/><Relationship Id="rId1328" Type="http://schemas.openxmlformats.org/officeDocument/2006/relationships/hyperlink" Target="https://i.ibb.co/DznB5q4/Itau.png" TargetMode="External"/><Relationship Id="rId1329" Type="http://schemas.openxmlformats.org/officeDocument/2006/relationships/hyperlink" Target="https://i.ibb.co/DznB5q4/Itau.png" TargetMode="External"/><Relationship Id="rId1330" Type="http://schemas.openxmlformats.org/officeDocument/2006/relationships/hyperlink" Target="https://i.ibb.co/DznB5q4/Itau.png" TargetMode="External"/><Relationship Id="rId1331" Type="http://schemas.openxmlformats.org/officeDocument/2006/relationships/hyperlink" Target="https://i.ibb.co/DznB5q4/Itau.png" TargetMode="External"/><Relationship Id="rId1332" Type="http://schemas.openxmlformats.org/officeDocument/2006/relationships/hyperlink" Target="https://i.ibb.co/DznB5q4/Itau.png" TargetMode="External"/><Relationship Id="rId1333" Type="http://schemas.openxmlformats.org/officeDocument/2006/relationships/hyperlink" Target="https://i.ibb.co/DznB5q4/Itau.png" TargetMode="External"/><Relationship Id="rId1334" Type="http://schemas.openxmlformats.org/officeDocument/2006/relationships/hyperlink" Target="https://i.ibb.co/DznB5q4/Itau.png" TargetMode="External"/><Relationship Id="rId1335" Type="http://schemas.openxmlformats.org/officeDocument/2006/relationships/hyperlink" Target="https://i.ibb.co/DznB5q4/Itau.png" TargetMode="External"/><Relationship Id="rId1336" Type="http://schemas.openxmlformats.org/officeDocument/2006/relationships/hyperlink" Target="https://i.ibb.co/DznB5q4/Itau.png" TargetMode="External"/><Relationship Id="rId1337" Type="http://schemas.openxmlformats.org/officeDocument/2006/relationships/hyperlink" Target="https://i.ibb.co/DznB5q4/Itau.png" TargetMode="External"/><Relationship Id="rId1338" Type="http://schemas.openxmlformats.org/officeDocument/2006/relationships/hyperlink" Target="https://i.ibb.co/DznB5q4/Itau.png" TargetMode="External"/><Relationship Id="rId1339" Type="http://schemas.openxmlformats.org/officeDocument/2006/relationships/hyperlink" Target="https://i.ibb.co/DznB5q4/Itau.png" TargetMode="External"/><Relationship Id="rId1340" Type="http://schemas.openxmlformats.org/officeDocument/2006/relationships/hyperlink" Target="https://i.ibb.co/DznB5q4/Itau.png" TargetMode="External"/><Relationship Id="rId1341" Type="http://schemas.openxmlformats.org/officeDocument/2006/relationships/hyperlink" Target="https://i.ibb.co/DznB5q4/Itau.png" TargetMode="External"/><Relationship Id="rId1342" Type="http://schemas.openxmlformats.org/officeDocument/2006/relationships/hyperlink" Target="https://i.ibb.co/DznB5q4/Itau.png" TargetMode="External"/><Relationship Id="rId1343" Type="http://schemas.openxmlformats.org/officeDocument/2006/relationships/hyperlink" Target="https://i.ibb.co/DznB5q4/Itau.png" TargetMode="External"/><Relationship Id="rId1344" Type="http://schemas.openxmlformats.org/officeDocument/2006/relationships/hyperlink" Target="https://i.ibb.co/DznB5q4/Itau.png" TargetMode="External"/><Relationship Id="rId1345" Type="http://schemas.openxmlformats.org/officeDocument/2006/relationships/hyperlink" Target="https://i.ibb.co/DznB5q4/Itau.png" TargetMode="External"/><Relationship Id="rId1346" Type="http://schemas.openxmlformats.org/officeDocument/2006/relationships/hyperlink" Target="https://i.ibb.co/DznB5q4/Itau.png" TargetMode="External"/><Relationship Id="rId1347" Type="http://schemas.openxmlformats.org/officeDocument/2006/relationships/hyperlink" Target="https://i.ibb.co/DznB5q4/Itau.png" TargetMode="External"/><Relationship Id="rId1348" Type="http://schemas.openxmlformats.org/officeDocument/2006/relationships/hyperlink" Target="https://i.ibb.co/DznB5q4/Itau.png" TargetMode="External"/><Relationship Id="rId1349" Type="http://schemas.openxmlformats.org/officeDocument/2006/relationships/hyperlink" Target="https://i.ibb.co/DznB5q4/Itau.png" TargetMode="External"/><Relationship Id="rId1350" Type="http://schemas.openxmlformats.org/officeDocument/2006/relationships/hyperlink" Target="https://i.ibb.co/DznB5q4/Itau.png" TargetMode="External"/><Relationship Id="rId1351" Type="http://schemas.openxmlformats.org/officeDocument/2006/relationships/hyperlink" Target="https://i.ibb.co/DznB5q4/Itau.png" TargetMode="External"/><Relationship Id="rId1352" Type="http://schemas.openxmlformats.org/officeDocument/2006/relationships/hyperlink" Target="https://i.ibb.co/DznB5q4/Itau.png" TargetMode="External"/><Relationship Id="rId1353" Type="http://schemas.openxmlformats.org/officeDocument/2006/relationships/hyperlink" Target="https://i.ibb.co/DznB5q4/Itau.png" TargetMode="External"/><Relationship Id="rId1354" Type="http://schemas.openxmlformats.org/officeDocument/2006/relationships/hyperlink" Target="https://i.ibb.co/DznB5q4/Itau.png" TargetMode="External"/><Relationship Id="rId1355" Type="http://schemas.openxmlformats.org/officeDocument/2006/relationships/hyperlink" Target="https://i.ibb.co/DznB5q4/Itau.png" TargetMode="External"/><Relationship Id="rId1356" Type="http://schemas.openxmlformats.org/officeDocument/2006/relationships/hyperlink" Target="https://i.ibb.co/DznB5q4/Itau.png" TargetMode="External"/><Relationship Id="rId1357" Type="http://schemas.openxmlformats.org/officeDocument/2006/relationships/hyperlink" Target="https://i.ibb.co/DznB5q4/Itau.png" TargetMode="External"/><Relationship Id="rId1358" Type="http://schemas.openxmlformats.org/officeDocument/2006/relationships/hyperlink" Target="https://i.ibb.co/DznB5q4/Itau.png" TargetMode="External"/><Relationship Id="rId1359" Type="http://schemas.openxmlformats.org/officeDocument/2006/relationships/hyperlink" Target="https://i.ibb.co/DznB5q4/Itau.png" TargetMode="External"/><Relationship Id="rId1360" Type="http://schemas.openxmlformats.org/officeDocument/2006/relationships/hyperlink" Target="https://i.ibb.co/DznB5q4/Itau.png" TargetMode="External"/><Relationship Id="rId1361" Type="http://schemas.openxmlformats.org/officeDocument/2006/relationships/hyperlink" Target="https://i.ibb.co/DznB5q4/Itau.png" TargetMode="External"/><Relationship Id="rId1362" Type="http://schemas.openxmlformats.org/officeDocument/2006/relationships/hyperlink" Target="https://i.ibb.co/DznB5q4/Itau.png" TargetMode="External"/><Relationship Id="rId1363" Type="http://schemas.openxmlformats.org/officeDocument/2006/relationships/hyperlink" Target="https://i.ibb.co/DznB5q4/Itau.png" TargetMode="External"/><Relationship Id="rId1364" Type="http://schemas.openxmlformats.org/officeDocument/2006/relationships/hyperlink" Target="https://i.ibb.co/DznB5q4/Itau.png" TargetMode="External"/><Relationship Id="rId1365" Type="http://schemas.openxmlformats.org/officeDocument/2006/relationships/hyperlink" Target="https://i.ibb.co/DznB5q4/Itau.png" TargetMode="External"/><Relationship Id="rId1366" Type="http://schemas.openxmlformats.org/officeDocument/2006/relationships/hyperlink" Target="https://i.ibb.co/DznB5q4/Itau.png" TargetMode="External"/><Relationship Id="rId1367" Type="http://schemas.openxmlformats.org/officeDocument/2006/relationships/hyperlink" Target="https://i.ibb.co/DznB5q4/Itau.png" TargetMode="External"/><Relationship Id="rId1368" Type="http://schemas.openxmlformats.org/officeDocument/2006/relationships/hyperlink" Target="https://i.ibb.co/DznB5q4/Itau.png" TargetMode="External"/><Relationship Id="rId1369" Type="http://schemas.openxmlformats.org/officeDocument/2006/relationships/hyperlink" Target="https://i.ibb.co/DznB5q4/Itau.png" TargetMode="External"/><Relationship Id="rId1370" Type="http://schemas.openxmlformats.org/officeDocument/2006/relationships/hyperlink" Target="https://i.ibb.co/DznB5q4/Itau.png" TargetMode="External"/><Relationship Id="rId1371" Type="http://schemas.openxmlformats.org/officeDocument/2006/relationships/hyperlink" Target="https://i.ibb.co/DznB5q4/Itau.png" TargetMode="External"/><Relationship Id="rId1372" Type="http://schemas.openxmlformats.org/officeDocument/2006/relationships/hyperlink" Target="https://i.ibb.co/DznB5q4/Itau.png" TargetMode="External"/><Relationship Id="rId1373" Type="http://schemas.openxmlformats.org/officeDocument/2006/relationships/hyperlink" Target="https://i.ibb.co/DznB5q4/Itau.png" TargetMode="External"/><Relationship Id="rId1374" Type="http://schemas.openxmlformats.org/officeDocument/2006/relationships/hyperlink" Target="https://i.ibb.co/DznB5q4/Itau.png" TargetMode="External"/><Relationship Id="rId1375" Type="http://schemas.openxmlformats.org/officeDocument/2006/relationships/hyperlink" Target="https://i.ibb.co/DznB5q4/Itau.png" TargetMode="External"/><Relationship Id="rId1376" Type="http://schemas.openxmlformats.org/officeDocument/2006/relationships/hyperlink" Target="https://i.ibb.co/DznB5q4/Itau.png" TargetMode="External"/><Relationship Id="rId1377" Type="http://schemas.openxmlformats.org/officeDocument/2006/relationships/hyperlink" Target="https://i.ibb.co/DznB5q4/Itau.png" TargetMode="External"/><Relationship Id="rId1378" Type="http://schemas.openxmlformats.org/officeDocument/2006/relationships/hyperlink" Target="https://i.ibb.co/DznB5q4/Itau.png" TargetMode="External"/><Relationship Id="rId1379" Type="http://schemas.openxmlformats.org/officeDocument/2006/relationships/hyperlink" Target="https://i.ibb.co/DznB5q4/Itau.png" TargetMode="External"/><Relationship Id="rId1380" Type="http://schemas.openxmlformats.org/officeDocument/2006/relationships/hyperlink" Target="https://i.ibb.co/DznB5q4/Itau.png" TargetMode="External"/><Relationship Id="rId1381" Type="http://schemas.openxmlformats.org/officeDocument/2006/relationships/hyperlink" Target="https://i.ibb.co/DznB5q4/Itau.png" TargetMode="External"/><Relationship Id="rId1382" Type="http://schemas.openxmlformats.org/officeDocument/2006/relationships/hyperlink" Target="https://i.ibb.co/DznB5q4/Itau.png" TargetMode="External"/><Relationship Id="rId1383" Type="http://schemas.openxmlformats.org/officeDocument/2006/relationships/hyperlink" Target="https://i.ibb.co/DznB5q4/Itau.png" TargetMode="External"/><Relationship Id="rId1384" Type="http://schemas.openxmlformats.org/officeDocument/2006/relationships/hyperlink" Target="https://i.ibb.co/DznB5q4/Itau.png" TargetMode="External"/><Relationship Id="rId1385" Type="http://schemas.openxmlformats.org/officeDocument/2006/relationships/hyperlink" Target="https://i.ibb.co/DznB5q4/Itau.png" TargetMode="External"/><Relationship Id="rId1386" Type="http://schemas.openxmlformats.org/officeDocument/2006/relationships/hyperlink" Target="https://i.ibb.co/DznB5q4/Itau.png" TargetMode="External"/><Relationship Id="rId1387" Type="http://schemas.openxmlformats.org/officeDocument/2006/relationships/hyperlink" Target="https://i.ibb.co/DznB5q4/Itau.png" TargetMode="External"/><Relationship Id="rId1388" Type="http://schemas.openxmlformats.org/officeDocument/2006/relationships/hyperlink" Target="https://i.ibb.co/DznB5q4/Itau.png" TargetMode="External"/><Relationship Id="rId1389" Type="http://schemas.openxmlformats.org/officeDocument/2006/relationships/hyperlink" Target="https://i.ibb.co/DznB5q4/Itau.png" TargetMode="External"/><Relationship Id="rId1390" Type="http://schemas.openxmlformats.org/officeDocument/2006/relationships/hyperlink" Target="https://i.ibb.co/DznB5q4/Itau.png" TargetMode="External"/><Relationship Id="rId1391" Type="http://schemas.openxmlformats.org/officeDocument/2006/relationships/hyperlink" Target="https://i.ibb.co/DznB5q4/Itau.png" TargetMode="External"/><Relationship Id="rId1392" Type="http://schemas.openxmlformats.org/officeDocument/2006/relationships/hyperlink" Target="https://i.ibb.co/DznB5q4/Itau.png" TargetMode="External"/><Relationship Id="rId1393" Type="http://schemas.openxmlformats.org/officeDocument/2006/relationships/hyperlink" Target="https://i.ibb.co/DznB5q4/Itau.png" TargetMode="External"/><Relationship Id="rId1394" Type="http://schemas.openxmlformats.org/officeDocument/2006/relationships/hyperlink" Target="https://i.ibb.co/DznB5q4/Itau.png" TargetMode="External"/><Relationship Id="rId1395" Type="http://schemas.openxmlformats.org/officeDocument/2006/relationships/hyperlink" Target="https://i.ibb.co/DznB5q4/Itau.png" TargetMode="External"/><Relationship Id="rId1396" Type="http://schemas.openxmlformats.org/officeDocument/2006/relationships/hyperlink" Target="https://i.ibb.co/DznB5q4/Itau.png" TargetMode="External"/><Relationship Id="rId1397" Type="http://schemas.openxmlformats.org/officeDocument/2006/relationships/hyperlink" Target="https://i.ibb.co/DznB5q4/Itau.png" TargetMode="External"/><Relationship Id="rId1398" Type="http://schemas.openxmlformats.org/officeDocument/2006/relationships/hyperlink" Target="https://i.ibb.co/DznB5q4/Itau.png" TargetMode="External"/><Relationship Id="rId1399" Type="http://schemas.openxmlformats.org/officeDocument/2006/relationships/hyperlink" Target="https://i.ibb.co/DznB5q4/Itau.png" TargetMode="External"/><Relationship Id="rId1400" Type="http://schemas.openxmlformats.org/officeDocument/2006/relationships/hyperlink" Target="https://i.ibb.co/DznB5q4/Itau.png" TargetMode="External"/><Relationship Id="rId1401" Type="http://schemas.openxmlformats.org/officeDocument/2006/relationships/hyperlink" Target="https://i.ibb.co/DznB5q4/Itau.png" TargetMode="External"/><Relationship Id="rId1402" Type="http://schemas.openxmlformats.org/officeDocument/2006/relationships/hyperlink" Target="https://i.ibb.co/DznB5q4/Itau.png" TargetMode="External"/><Relationship Id="rId1403" Type="http://schemas.openxmlformats.org/officeDocument/2006/relationships/hyperlink" Target="https://i.ibb.co/DznB5q4/Itau.png" TargetMode="External"/><Relationship Id="rId1404" Type="http://schemas.openxmlformats.org/officeDocument/2006/relationships/hyperlink" Target="https://i.ibb.co/DznB5q4/Itau.png" TargetMode="External"/><Relationship Id="rId1405" Type="http://schemas.openxmlformats.org/officeDocument/2006/relationships/hyperlink" Target="https://i.ibb.co/DznB5q4/Itau.png" TargetMode="External"/><Relationship Id="rId1406" Type="http://schemas.openxmlformats.org/officeDocument/2006/relationships/hyperlink" Target="https://i.ibb.co/DznB5q4/Itau.png" TargetMode="External"/><Relationship Id="rId1407" Type="http://schemas.openxmlformats.org/officeDocument/2006/relationships/hyperlink" Target="https://i.ibb.co/DznB5q4/Itau.png" TargetMode="External"/><Relationship Id="rId1408" Type="http://schemas.openxmlformats.org/officeDocument/2006/relationships/hyperlink" Target="https://i.ibb.co/DznB5q4/Itau.png" TargetMode="External"/><Relationship Id="rId1409" Type="http://schemas.openxmlformats.org/officeDocument/2006/relationships/hyperlink" Target="https://i.ibb.co/DznB5q4/Itau.png" TargetMode="External"/><Relationship Id="rId1410" Type="http://schemas.openxmlformats.org/officeDocument/2006/relationships/hyperlink" Target="https://i.ibb.co/DznB5q4/Itau.png" TargetMode="External"/><Relationship Id="rId1411" Type="http://schemas.openxmlformats.org/officeDocument/2006/relationships/hyperlink" Target="https://i.ibb.co/DznB5q4/Itau.png" TargetMode="External"/><Relationship Id="rId1412" Type="http://schemas.openxmlformats.org/officeDocument/2006/relationships/hyperlink" Target="https://i.ibb.co/DznB5q4/Itau.png" TargetMode="External"/><Relationship Id="rId1413" Type="http://schemas.openxmlformats.org/officeDocument/2006/relationships/hyperlink" Target="https://i.ibb.co/DznB5q4/Itau.png" TargetMode="External"/><Relationship Id="rId1414" Type="http://schemas.openxmlformats.org/officeDocument/2006/relationships/hyperlink" Target="https://i.ibb.co/DznB5q4/Itau.png" TargetMode="External"/><Relationship Id="rId1415" Type="http://schemas.openxmlformats.org/officeDocument/2006/relationships/hyperlink" Target="https://i.ibb.co/DznB5q4/Itau.png" TargetMode="External"/><Relationship Id="rId1416" Type="http://schemas.openxmlformats.org/officeDocument/2006/relationships/hyperlink" Target="https://i.ibb.co/DznB5q4/Itau.png" TargetMode="External"/><Relationship Id="rId1417" Type="http://schemas.openxmlformats.org/officeDocument/2006/relationships/hyperlink" Target="https://i.ibb.co/DznB5q4/Itau.png" TargetMode="External"/><Relationship Id="rId1418" Type="http://schemas.openxmlformats.org/officeDocument/2006/relationships/hyperlink" Target="https://i.ibb.co/DznB5q4/Itau.png" TargetMode="External"/><Relationship Id="rId1419" Type="http://schemas.openxmlformats.org/officeDocument/2006/relationships/hyperlink" Target="https://i.ibb.co/DznB5q4/Itau.png" TargetMode="External"/><Relationship Id="rId1420" Type="http://schemas.openxmlformats.org/officeDocument/2006/relationships/hyperlink" Target="https://i.ibb.co/DznB5q4/Itau.png" TargetMode="External"/><Relationship Id="rId1421" Type="http://schemas.openxmlformats.org/officeDocument/2006/relationships/hyperlink" Target="https://i.ibb.co/DznB5q4/Itau.png" TargetMode="External"/><Relationship Id="rId1422" Type="http://schemas.openxmlformats.org/officeDocument/2006/relationships/hyperlink" Target="https://i.ibb.co/DznB5q4/Itau.png" TargetMode="External"/><Relationship Id="rId1423" Type="http://schemas.openxmlformats.org/officeDocument/2006/relationships/hyperlink" Target="https://i.ibb.co/DznB5q4/Itau.png" TargetMode="External"/><Relationship Id="rId1424" Type="http://schemas.openxmlformats.org/officeDocument/2006/relationships/hyperlink" Target="https://i.ibb.co/DznB5q4/Itau.png" TargetMode="External"/><Relationship Id="rId1425" Type="http://schemas.openxmlformats.org/officeDocument/2006/relationships/hyperlink" Target="https://i.ibb.co/DznB5q4/Itau.png" TargetMode="External"/><Relationship Id="rId1426" Type="http://schemas.openxmlformats.org/officeDocument/2006/relationships/hyperlink" Target="https://i.ibb.co/DznB5q4/Itau.png" TargetMode="External"/><Relationship Id="rId1427" Type="http://schemas.openxmlformats.org/officeDocument/2006/relationships/hyperlink" Target="https://i.ibb.co/DznB5q4/Itau.png" TargetMode="External"/><Relationship Id="rId1428" Type="http://schemas.openxmlformats.org/officeDocument/2006/relationships/hyperlink" Target="https://i.ibb.co/DznB5q4/Itau.png" TargetMode="External"/><Relationship Id="rId1429" Type="http://schemas.openxmlformats.org/officeDocument/2006/relationships/hyperlink" Target="https://i.ibb.co/DznB5q4/Itau.png" TargetMode="External"/><Relationship Id="rId1430" Type="http://schemas.openxmlformats.org/officeDocument/2006/relationships/hyperlink" Target="https://i.ibb.co/DznB5q4/Itau.png" TargetMode="External"/><Relationship Id="rId1431" Type="http://schemas.openxmlformats.org/officeDocument/2006/relationships/hyperlink" Target="https://i.ibb.co/DznB5q4/Itau.png" TargetMode="External"/><Relationship Id="rId1432" Type="http://schemas.openxmlformats.org/officeDocument/2006/relationships/hyperlink" Target="https://i.ibb.co/DznB5q4/Itau.png" TargetMode="External"/><Relationship Id="rId1433" Type="http://schemas.openxmlformats.org/officeDocument/2006/relationships/hyperlink" Target="https://i.ibb.co/DznB5q4/Itau.png" TargetMode="External"/><Relationship Id="rId1434" Type="http://schemas.openxmlformats.org/officeDocument/2006/relationships/hyperlink" Target="https://i.ibb.co/DznB5q4/Itau.png" TargetMode="External"/><Relationship Id="rId1435" Type="http://schemas.openxmlformats.org/officeDocument/2006/relationships/hyperlink" Target="https://i.ibb.co/DznB5q4/Itau.png" TargetMode="External"/><Relationship Id="rId1436" Type="http://schemas.openxmlformats.org/officeDocument/2006/relationships/hyperlink" Target="https://i.ibb.co/DznB5q4/Itau.png" TargetMode="External"/><Relationship Id="rId1437" Type="http://schemas.openxmlformats.org/officeDocument/2006/relationships/hyperlink" Target="https://i.ibb.co/DznB5q4/Itau.png" TargetMode="External"/><Relationship Id="rId1438" Type="http://schemas.openxmlformats.org/officeDocument/2006/relationships/hyperlink" Target="https://i.ibb.co/DznB5q4/Itau.png" TargetMode="External"/><Relationship Id="rId1439" Type="http://schemas.openxmlformats.org/officeDocument/2006/relationships/hyperlink" Target="https://i.ibb.co/DznB5q4/Itau.png" TargetMode="External"/><Relationship Id="rId1440" Type="http://schemas.openxmlformats.org/officeDocument/2006/relationships/hyperlink" Target="https://i.ibb.co/DznB5q4/Itau.png" TargetMode="External"/><Relationship Id="rId1441" Type="http://schemas.openxmlformats.org/officeDocument/2006/relationships/hyperlink" Target="https://i.ibb.co/DznB5q4/Itau.png" TargetMode="External"/><Relationship Id="rId1442" Type="http://schemas.openxmlformats.org/officeDocument/2006/relationships/hyperlink" Target="https://i.ibb.co/DznB5q4/Itau.png" TargetMode="External"/><Relationship Id="rId1443" Type="http://schemas.openxmlformats.org/officeDocument/2006/relationships/hyperlink" Target="https://i.ibb.co/DznB5q4/Itau.png" TargetMode="External"/><Relationship Id="rId1444" Type="http://schemas.openxmlformats.org/officeDocument/2006/relationships/hyperlink" Target="https://i.ibb.co/DznB5q4/Itau.png" TargetMode="External"/><Relationship Id="rId1445" Type="http://schemas.openxmlformats.org/officeDocument/2006/relationships/hyperlink" Target="https://i.ibb.co/DznB5q4/Itau.png" TargetMode="External"/><Relationship Id="rId1446" Type="http://schemas.openxmlformats.org/officeDocument/2006/relationships/hyperlink" Target="https://i.ibb.co/DznB5q4/Itau.png" TargetMode="External"/><Relationship Id="rId1447" Type="http://schemas.openxmlformats.org/officeDocument/2006/relationships/hyperlink" Target="https://i.ibb.co/DznB5q4/Itau.png" TargetMode="External"/><Relationship Id="rId1448" Type="http://schemas.openxmlformats.org/officeDocument/2006/relationships/hyperlink" Target="https://i.ibb.co/DznB5q4/Itau.png" TargetMode="External"/><Relationship Id="rId1449" Type="http://schemas.openxmlformats.org/officeDocument/2006/relationships/hyperlink" Target="https://i.ibb.co/DznB5q4/Itau.png" TargetMode="External"/><Relationship Id="rId1450" Type="http://schemas.openxmlformats.org/officeDocument/2006/relationships/hyperlink" Target="https://i.ibb.co/DznB5q4/Itau.png" TargetMode="External"/><Relationship Id="rId1451" Type="http://schemas.openxmlformats.org/officeDocument/2006/relationships/hyperlink" Target="https://i.ibb.co/DznB5q4/Itau.png" TargetMode="External"/><Relationship Id="rId1452" Type="http://schemas.openxmlformats.org/officeDocument/2006/relationships/hyperlink" Target="https://i.ibb.co/DznB5q4/Itau.png" TargetMode="External"/><Relationship Id="rId1453" Type="http://schemas.openxmlformats.org/officeDocument/2006/relationships/hyperlink" Target="https://i.ibb.co/DznB5q4/Itau.png" TargetMode="External"/><Relationship Id="rId1454" Type="http://schemas.openxmlformats.org/officeDocument/2006/relationships/hyperlink" Target="https://i.ibb.co/DznB5q4/Itau.png" TargetMode="External"/><Relationship Id="rId1455" Type="http://schemas.openxmlformats.org/officeDocument/2006/relationships/hyperlink" Target="https://i.ibb.co/DznB5q4/Itau.png" TargetMode="External"/><Relationship Id="rId1456" Type="http://schemas.openxmlformats.org/officeDocument/2006/relationships/hyperlink" Target="https://i.ibb.co/DznB5q4/Itau.png" TargetMode="External"/><Relationship Id="rId1457" Type="http://schemas.openxmlformats.org/officeDocument/2006/relationships/hyperlink" Target="https://i.ibb.co/DznB5q4/Itau.png" TargetMode="External"/><Relationship Id="rId1458" Type="http://schemas.openxmlformats.org/officeDocument/2006/relationships/hyperlink" Target="https://i.ibb.co/DznB5q4/Itau.png" TargetMode="External"/><Relationship Id="rId1459" Type="http://schemas.openxmlformats.org/officeDocument/2006/relationships/hyperlink" Target="https://i.ibb.co/DznB5q4/Itau.png" TargetMode="External"/><Relationship Id="rId1460" Type="http://schemas.openxmlformats.org/officeDocument/2006/relationships/hyperlink" Target="https://i.ibb.co/DznB5q4/Itau.png" TargetMode="External"/><Relationship Id="rId1461" Type="http://schemas.openxmlformats.org/officeDocument/2006/relationships/hyperlink" Target="https://i.ibb.co/DznB5q4/Itau.png" TargetMode="External"/><Relationship Id="rId1462" Type="http://schemas.openxmlformats.org/officeDocument/2006/relationships/hyperlink" Target="https://i.ibb.co/DznB5q4/Itau.png" TargetMode="External"/><Relationship Id="rId1463" Type="http://schemas.openxmlformats.org/officeDocument/2006/relationships/hyperlink" Target="https://i.ibb.co/DznB5q4/Itau.png" TargetMode="External"/><Relationship Id="rId1464" Type="http://schemas.openxmlformats.org/officeDocument/2006/relationships/hyperlink" Target="https://i.ibb.co/DznB5q4/Itau.png" TargetMode="External"/><Relationship Id="rId1465" Type="http://schemas.openxmlformats.org/officeDocument/2006/relationships/hyperlink" Target="https://i.ibb.co/DznB5q4/Itau.png" TargetMode="External"/><Relationship Id="rId1466" Type="http://schemas.openxmlformats.org/officeDocument/2006/relationships/hyperlink" Target="https://i.ibb.co/DznB5q4/Itau.png" TargetMode="External"/><Relationship Id="rId1467" Type="http://schemas.openxmlformats.org/officeDocument/2006/relationships/hyperlink" Target="https://i.ibb.co/DznB5q4/Itau.png" TargetMode="External"/><Relationship Id="rId1468" Type="http://schemas.openxmlformats.org/officeDocument/2006/relationships/hyperlink" Target="https://i.ibb.co/DznB5q4/Itau.png" TargetMode="External"/><Relationship Id="rId1469" Type="http://schemas.openxmlformats.org/officeDocument/2006/relationships/hyperlink" Target="https://i.ibb.co/DznB5q4/Itau.png" TargetMode="External"/><Relationship Id="rId1470" Type="http://schemas.openxmlformats.org/officeDocument/2006/relationships/hyperlink" Target="https://i.ibb.co/DznB5q4/Itau.png" TargetMode="External"/><Relationship Id="rId1471" Type="http://schemas.openxmlformats.org/officeDocument/2006/relationships/hyperlink" Target="https://i.ibb.co/DznB5q4/Itau.png" TargetMode="External"/><Relationship Id="rId1472" Type="http://schemas.openxmlformats.org/officeDocument/2006/relationships/hyperlink" Target="https://i.ibb.co/DznB5q4/Itau.png" TargetMode="External"/><Relationship Id="rId1473" Type="http://schemas.openxmlformats.org/officeDocument/2006/relationships/hyperlink" Target="https://i.ibb.co/DznB5q4/Itau.png" TargetMode="External"/><Relationship Id="rId1474" Type="http://schemas.openxmlformats.org/officeDocument/2006/relationships/hyperlink" Target="https://i.ibb.co/DznB5q4/Itau.png" TargetMode="External"/><Relationship Id="rId1475" Type="http://schemas.openxmlformats.org/officeDocument/2006/relationships/hyperlink" Target="https://i.ibb.co/DznB5q4/Itau.png" TargetMode="External"/><Relationship Id="rId1476" Type="http://schemas.openxmlformats.org/officeDocument/2006/relationships/hyperlink" Target="https://i.ibb.co/DznB5q4/Itau.png" TargetMode="External"/><Relationship Id="rId1477" Type="http://schemas.openxmlformats.org/officeDocument/2006/relationships/hyperlink" Target="https://i.ibb.co/DznB5q4/Itau.png" TargetMode="External"/><Relationship Id="rId1478" Type="http://schemas.openxmlformats.org/officeDocument/2006/relationships/hyperlink" Target="https://i.ibb.co/DznB5q4/Itau.png" TargetMode="External"/><Relationship Id="rId1479" Type="http://schemas.openxmlformats.org/officeDocument/2006/relationships/hyperlink" Target="https://i.ibb.co/DznB5q4/Itau.png" TargetMode="External"/><Relationship Id="rId1480" Type="http://schemas.openxmlformats.org/officeDocument/2006/relationships/hyperlink" Target="https://i.ibb.co/DznB5q4/Itau.png" TargetMode="External"/><Relationship Id="rId1481" Type="http://schemas.openxmlformats.org/officeDocument/2006/relationships/hyperlink" Target="https://i.ibb.co/DznB5q4/Itau.png" TargetMode="External"/><Relationship Id="rId1482" Type="http://schemas.openxmlformats.org/officeDocument/2006/relationships/hyperlink" Target="https://i.ibb.co/DznB5q4/Itau.png" TargetMode="External"/><Relationship Id="rId1483" Type="http://schemas.openxmlformats.org/officeDocument/2006/relationships/hyperlink" Target="https://i.ibb.co/DznB5q4/Itau.png" TargetMode="External"/><Relationship Id="rId1484" Type="http://schemas.openxmlformats.org/officeDocument/2006/relationships/hyperlink" Target="https://i.ibb.co/DznB5q4/Itau.png" TargetMode="External"/><Relationship Id="rId1485" Type="http://schemas.openxmlformats.org/officeDocument/2006/relationships/hyperlink" Target="https://i.ibb.co/DznB5q4/Itau.png" TargetMode="External"/><Relationship Id="rId1486" Type="http://schemas.openxmlformats.org/officeDocument/2006/relationships/hyperlink" Target="https://i.ibb.co/DznB5q4/Itau.png" TargetMode="External"/><Relationship Id="rId1487" Type="http://schemas.openxmlformats.org/officeDocument/2006/relationships/hyperlink" Target="https://i.ibb.co/DznB5q4/Itau.png" TargetMode="External"/><Relationship Id="rId1488" Type="http://schemas.openxmlformats.org/officeDocument/2006/relationships/hyperlink" Target="https://i.ibb.co/DznB5q4/Itau.png" TargetMode="External"/><Relationship Id="rId1489" Type="http://schemas.openxmlformats.org/officeDocument/2006/relationships/hyperlink" Target="https://i.ibb.co/DznB5q4/Itau.png" TargetMode="External"/><Relationship Id="rId1490" Type="http://schemas.openxmlformats.org/officeDocument/2006/relationships/hyperlink" Target="https://i.ibb.co/DznB5q4/Itau.png" TargetMode="External"/><Relationship Id="rId1491" Type="http://schemas.openxmlformats.org/officeDocument/2006/relationships/hyperlink" Target="https://i.ibb.co/DznB5q4/Itau.png" TargetMode="External"/><Relationship Id="rId1492" Type="http://schemas.openxmlformats.org/officeDocument/2006/relationships/hyperlink" Target="https://i.ibb.co/DznB5q4/Itau.png" TargetMode="External"/><Relationship Id="rId1493" Type="http://schemas.openxmlformats.org/officeDocument/2006/relationships/hyperlink" Target="https://i.ibb.co/DznB5q4/Itau.png" TargetMode="External"/><Relationship Id="rId1494" Type="http://schemas.openxmlformats.org/officeDocument/2006/relationships/hyperlink" Target="https://i.ibb.co/DznB5q4/Itau.png" TargetMode="External"/><Relationship Id="rId1495" Type="http://schemas.openxmlformats.org/officeDocument/2006/relationships/hyperlink" Target="https://i.ibb.co/DznB5q4/Itau.png" TargetMode="External"/><Relationship Id="rId1496" Type="http://schemas.openxmlformats.org/officeDocument/2006/relationships/hyperlink" Target="https://i.ibb.co/DznB5q4/Itau.png" TargetMode="External"/><Relationship Id="rId1497" Type="http://schemas.openxmlformats.org/officeDocument/2006/relationships/hyperlink" Target="https://i.ibb.co/DznB5q4/Itau.png" TargetMode="External"/><Relationship Id="rId1498" Type="http://schemas.openxmlformats.org/officeDocument/2006/relationships/hyperlink" Target="https://i.ibb.co/DznB5q4/Itau.png" TargetMode="External"/><Relationship Id="rId1499" Type="http://schemas.openxmlformats.org/officeDocument/2006/relationships/hyperlink" Target="https://i.ibb.co/DznB5q4/Itau.png" TargetMode="External"/><Relationship Id="rId1500" Type="http://schemas.openxmlformats.org/officeDocument/2006/relationships/hyperlink" Target="https://i.ibb.co/DznB5q4/Itau.png" TargetMode="External"/><Relationship Id="rId1501" Type="http://schemas.openxmlformats.org/officeDocument/2006/relationships/hyperlink" Target="https://i.ibb.co/DznB5q4/Itau.png" TargetMode="External"/><Relationship Id="rId1502" Type="http://schemas.openxmlformats.org/officeDocument/2006/relationships/hyperlink" Target="https://i.ibb.co/DznB5q4/Itau.png" TargetMode="External"/><Relationship Id="rId1503" Type="http://schemas.openxmlformats.org/officeDocument/2006/relationships/hyperlink" Target="https://i.ibb.co/DznB5q4/Itau.png" TargetMode="External"/><Relationship Id="rId1504" Type="http://schemas.openxmlformats.org/officeDocument/2006/relationships/hyperlink" Target="https://i.ibb.co/DznB5q4/Itau.png" TargetMode="External"/><Relationship Id="rId1505" Type="http://schemas.openxmlformats.org/officeDocument/2006/relationships/hyperlink" Target="https://i.ibb.co/DznB5q4/Itau.png" TargetMode="External"/><Relationship Id="rId1506" Type="http://schemas.openxmlformats.org/officeDocument/2006/relationships/hyperlink" Target="https://i.ibb.co/DznB5q4/Itau.png" TargetMode="External"/><Relationship Id="rId1507" Type="http://schemas.openxmlformats.org/officeDocument/2006/relationships/hyperlink" Target="https://i.ibb.co/DznB5q4/Itau.png" TargetMode="External"/><Relationship Id="rId1508" Type="http://schemas.openxmlformats.org/officeDocument/2006/relationships/hyperlink" Target="https://i.ibb.co/DznB5q4/Itau.png" TargetMode="External"/><Relationship Id="rId1509" Type="http://schemas.openxmlformats.org/officeDocument/2006/relationships/hyperlink" Target="https://i.ibb.co/DznB5q4/Itau.png" TargetMode="External"/><Relationship Id="rId1510" Type="http://schemas.openxmlformats.org/officeDocument/2006/relationships/hyperlink" Target="https://i.ibb.co/DznB5q4/Itau.png" TargetMode="External"/><Relationship Id="rId1511" Type="http://schemas.openxmlformats.org/officeDocument/2006/relationships/hyperlink" Target="https://i.ibb.co/DznB5q4/Itau.png" TargetMode="External"/><Relationship Id="rId1512" Type="http://schemas.openxmlformats.org/officeDocument/2006/relationships/hyperlink" Target="https://i.ibb.co/DznB5q4/Itau.png" TargetMode="External"/><Relationship Id="rId1513" Type="http://schemas.openxmlformats.org/officeDocument/2006/relationships/hyperlink" Target="https://i.ibb.co/DznB5q4/Itau.png" TargetMode="External"/><Relationship Id="rId1514" Type="http://schemas.openxmlformats.org/officeDocument/2006/relationships/hyperlink" Target="https://i.ibb.co/DznB5q4/Itau.png" TargetMode="External"/><Relationship Id="rId1515" Type="http://schemas.openxmlformats.org/officeDocument/2006/relationships/hyperlink" Target="https://i.ibb.co/DznB5q4/Itau.png" TargetMode="External"/><Relationship Id="rId1516" Type="http://schemas.openxmlformats.org/officeDocument/2006/relationships/hyperlink" Target="https://i.ibb.co/DznB5q4/Itau.png" TargetMode="External"/><Relationship Id="rId1517" Type="http://schemas.openxmlformats.org/officeDocument/2006/relationships/hyperlink" Target="https://i.ibb.co/DznB5q4/Itau.png" TargetMode="External"/><Relationship Id="rId1518" Type="http://schemas.openxmlformats.org/officeDocument/2006/relationships/hyperlink" Target="https://i.ibb.co/DznB5q4/Itau.png" TargetMode="External"/><Relationship Id="rId1519" Type="http://schemas.openxmlformats.org/officeDocument/2006/relationships/hyperlink" Target="https://i.ibb.co/DznB5q4/Itau.png" TargetMode="External"/><Relationship Id="rId1520" Type="http://schemas.openxmlformats.org/officeDocument/2006/relationships/hyperlink" Target="https://i.ibb.co/DznB5q4/Itau.png" TargetMode="External"/><Relationship Id="rId1521" Type="http://schemas.openxmlformats.org/officeDocument/2006/relationships/hyperlink" Target="https://i.ibb.co/DznB5q4/Itau.png" TargetMode="External"/><Relationship Id="rId1522" Type="http://schemas.openxmlformats.org/officeDocument/2006/relationships/hyperlink" Target="https://i.ibb.co/DznB5q4/Itau.png" TargetMode="External"/><Relationship Id="rId1523" Type="http://schemas.openxmlformats.org/officeDocument/2006/relationships/hyperlink" Target="https://i.ibb.co/DznB5q4/Itau.png" TargetMode="External"/><Relationship Id="rId1524" Type="http://schemas.openxmlformats.org/officeDocument/2006/relationships/hyperlink" Target="https://i.ibb.co/DznB5q4/Itau.png" TargetMode="External"/><Relationship Id="rId1525" Type="http://schemas.openxmlformats.org/officeDocument/2006/relationships/hyperlink" Target="https://i.ibb.co/DznB5q4/Itau.png" TargetMode="External"/><Relationship Id="rId1526" Type="http://schemas.openxmlformats.org/officeDocument/2006/relationships/hyperlink" Target="https://i.ibb.co/DznB5q4/Itau.png" TargetMode="External"/><Relationship Id="rId1527" Type="http://schemas.openxmlformats.org/officeDocument/2006/relationships/hyperlink" Target="https://i.ibb.co/DznB5q4/Itau.png" TargetMode="External"/><Relationship Id="rId1528" Type="http://schemas.openxmlformats.org/officeDocument/2006/relationships/hyperlink" Target="https://i.ibb.co/DznB5q4/Itau.png" TargetMode="External"/><Relationship Id="rId1529" Type="http://schemas.openxmlformats.org/officeDocument/2006/relationships/hyperlink" Target="https://i.ibb.co/DznB5q4/Itau.png" TargetMode="External"/><Relationship Id="rId1530" Type="http://schemas.openxmlformats.org/officeDocument/2006/relationships/hyperlink" Target="https://i.ibb.co/DznB5q4/Itau.png" TargetMode="External"/><Relationship Id="rId1531" Type="http://schemas.openxmlformats.org/officeDocument/2006/relationships/hyperlink" Target="https://i.ibb.co/DznB5q4/Itau.png" TargetMode="External"/><Relationship Id="rId1532" Type="http://schemas.openxmlformats.org/officeDocument/2006/relationships/hyperlink" Target="https://i.ibb.co/DznB5q4/Itau.png" TargetMode="External"/><Relationship Id="rId1533" Type="http://schemas.openxmlformats.org/officeDocument/2006/relationships/hyperlink" Target="https://i.ibb.co/DznB5q4/Itau.png" TargetMode="External"/><Relationship Id="rId1534" Type="http://schemas.openxmlformats.org/officeDocument/2006/relationships/hyperlink" Target="https://i.ibb.co/DznB5q4/Itau.png" TargetMode="External"/><Relationship Id="rId1535" Type="http://schemas.openxmlformats.org/officeDocument/2006/relationships/hyperlink" Target="https://i.ibb.co/DznB5q4/Itau.png" TargetMode="External"/><Relationship Id="rId1536" Type="http://schemas.openxmlformats.org/officeDocument/2006/relationships/hyperlink" Target="https://i.ibb.co/DznB5q4/Itau.png" TargetMode="External"/><Relationship Id="rId1537" Type="http://schemas.openxmlformats.org/officeDocument/2006/relationships/hyperlink" Target="https://i.ibb.co/DznB5q4/Itau.png" TargetMode="External"/><Relationship Id="rId1538" Type="http://schemas.openxmlformats.org/officeDocument/2006/relationships/hyperlink" Target="https://i.ibb.co/DznB5q4/Itau.png" TargetMode="External"/><Relationship Id="rId1539" Type="http://schemas.openxmlformats.org/officeDocument/2006/relationships/hyperlink" Target="https://i.ibb.co/DznB5q4/Itau.png" TargetMode="External"/><Relationship Id="rId1540" Type="http://schemas.openxmlformats.org/officeDocument/2006/relationships/hyperlink" Target="https://i.ibb.co/DznB5q4/Itau.png" TargetMode="External"/><Relationship Id="rId1541" Type="http://schemas.openxmlformats.org/officeDocument/2006/relationships/hyperlink" Target="https://i.ibb.co/DznB5q4/Itau.png" TargetMode="External"/><Relationship Id="rId1542" Type="http://schemas.openxmlformats.org/officeDocument/2006/relationships/hyperlink" Target="https://i.ibb.co/DznB5q4/Itau.png" TargetMode="External"/><Relationship Id="rId1543" Type="http://schemas.openxmlformats.org/officeDocument/2006/relationships/hyperlink" Target="https://i.ibb.co/DznB5q4/Itau.png" TargetMode="External"/><Relationship Id="rId1544" Type="http://schemas.openxmlformats.org/officeDocument/2006/relationships/hyperlink" Target="https://i.ibb.co/DznB5q4/Itau.png" TargetMode="External"/><Relationship Id="rId1545" Type="http://schemas.openxmlformats.org/officeDocument/2006/relationships/hyperlink" Target="https://i.ibb.co/DznB5q4/Itau.png" TargetMode="External"/><Relationship Id="rId1546" Type="http://schemas.openxmlformats.org/officeDocument/2006/relationships/hyperlink" Target="https://i.ibb.co/DznB5q4/Itau.png" TargetMode="External"/><Relationship Id="rId1547" Type="http://schemas.openxmlformats.org/officeDocument/2006/relationships/hyperlink" Target="https://i.ibb.co/DznB5q4/Itau.png" TargetMode="External"/><Relationship Id="rId1548" Type="http://schemas.openxmlformats.org/officeDocument/2006/relationships/hyperlink" Target="https://i.ibb.co/DznB5q4/Itau.png" TargetMode="External"/><Relationship Id="rId1549" Type="http://schemas.openxmlformats.org/officeDocument/2006/relationships/hyperlink" Target="https://i.ibb.co/DznB5q4/Itau.png" TargetMode="External"/><Relationship Id="rId1550" Type="http://schemas.openxmlformats.org/officeDocument/2006/relationships/hyperlink" Target="https://i.ibb.co/DznB5q4/Itau.png" TargetMode="External"/><Relationship Id="rId1551" Type="http://schemas.openxmlformats.org/officeDocument/2006/relationships/hyperlink" Target="https://i.ibb.co/DznB5q4/Itau.png" TargetMode="External"/><Relationship Id="rId1552" Type="http://schemas.openxmlformats.org/officeDocument/2006/relationships/hyperlink" Target="https://i.ibb.co/DznB5q4/Itau.png" TargetMode="External"/><Relationship Id="rId1553" Type="http://schemas.openxmlformats.org/officeDocument/2006/relationships/hyperlink" Target="https://i.ibb.co/DznB5q4/Itau.png" TargetMode="External"/><Relationship Id="rId1554" Type="http://schemas.openxmlformats.org/officeDocument/2006/relationships/hyperlink" Target="https://i.ibb.co/DznB5q4/Itau.png" TargetMode="External"/><Relationship Id="rId1555" Type="http://schemas.openxmlformats.org/officeDocument/2006/relationships/hyperlink" Target="https://i.ibb.co/DznB5q4/Itau.png" TargetMode="External"/><Relationship Id="rId1556" Type="http://schemas.openxmlformats.org/officeDocument/2006/relationships/hyperlink" Target="https://i.ibb.co/DznB5q4/Itau.png" TargetMode="External"/><Relationship Id="rId1557" Type="http://schemas.openxmlformats.org/officeDocument/2006/relationships/hyperlink" Target="https://i.ibb.co/DznB5q4/Itau.png" TargetMode="External"/><Relationship Id="rId1558" Type="http://schemas.openxmlformats.org/officeDocument/2006/relationships/hyperlink" Target="https://i.ibb.co/DznB5q4/Itau.png" TargetMode="External"/><Relationship Id="rId1559" Type="http://schemas.openxmlformats.org/officeDocument/2006/relationships/hyperlink" Target="https://i.ibb.co/DznB5q4/Itau.png" TargetMode="External"/><Relationship Id="rId1560" Type="http://schemas.openxmlformats.org/officeDocument/2006/relationships/hyperlink" Target="https://i.ibb.co/DznB5q4/Itau.png" TargetMode="External"/><Relationship Id="rId1561" Type="http://schemas.openxmlformats.org/officeDocument/2006/relationships/hyperlink" Target="https://i.ibb.co/DznB5q4/Itau.png" TargetMode="External"/><Relationship Id="rId1562" Type="http://schemas.openxmlformats.org/officeDocument/2006/relationships/hyperlink" Target="https://i.ibb.co/DznB5q4/Itau.png" TargetMode="External"/><Relationship Id="rId1563" Type="http://schemas.openxmlformats.org/officeDocument/2006/relationships/hyperlink" Target="https://i.ibb.co/DznB5q4/Itau.png" TargetMode="External"/><Relationship Id="rId1564" Type="http://schemas.openxmlformats.org/officeDocument/2006/relationships/hyperlink" Target="https://i.ibb.co/DznB5q4/Itau.png" TargetMode="External"/><Relationship Id="rId1565" Type="http://schemas.openxmlformats.org/officeDocument/2006/relationships/hyperlink" Target="https://i.ibb.co/DznB5q4/Itau.png" TargetMode="External"/><Relationship Id="rId1566" Type="http://schemas.openxmlformats.org/officeDocument/2006/relationships/hyperlink" Target="https://i.ibb.co/DznB5q4/Itau.png" TargetMode="External"/><Relationship Id="rId1567" Type="http://schemas.openxmlformats.org/officeDocument/2006/relationships/hyperlink" Target="https://i.ibb.co/DznB5q4/Itau.png" TargetMode="External"/><Relationship Id="rId1568" Type="http://schemas.openxmlformats.org/officeDocument/2006/relationships/hyperlink" Target="https://i.ibb.co/DznB5q4/Itau.png" TargetMode="External"/><Relationship Id="rId1569" Type="http://schemas.openxmlformats.org/officeDocument/2006/relationships/hyperlink" Target="https://i.ibb.co/DznB5q4/Itau.png" TargetMode="External"/><Relationship Id="rId1570" Type="http://schemas.openxmlformats.org/officeDocument/2006/relationships/hyperlink" Target="https://i.ibb.co/DznB5q4/Itau.png" TargetMode="External"/><Relationship Id="rId1571" Type="http://schemas.openxmlformats.org/officeDocument/2006/relationships/hyperlink" Target="https://i.ibb.co/DznB5q4/Itau.png" TargetMode="External"/><Relationship Id="rId1572" Type="http://schemas.openxmlformats.org/officeDocument/2006/relationships/hyperlink" Target="https://i.ibb.co/DznB5q4/Itau.png" TargetMode="External"/><Relationship Id="rId1573" Type="http://schemas.openxmlformats.org/officeDocument/2006/relationships/hyperlink" Target="https://i.ibb.co/DznB5q4/Itau.png" TargetMode="External"/><Relationship Id="rId1574" Type="http://schemas.openxmlformats.org/officeDocument/2006/relationships/hyperlink" Target="https://i.ibb.co/DznB5q4/Itau.png" TargetMode="External"/><Relationship Id="rId1575" Type="http://schemas.openxmlformats.org/officeDocument/2006/relationships/hyperlink" Target="https://i.ibb.co/DznB5q4/Itau.png" TargetMode="External"/><Relationship Id="rId1576" Type="http://schemas.openxmlformats.org/officeDocument/2006/relationships/hyperlink" Target="https://i.ibb.co/DznB5q4/Itau.png" TargetMode="External"/><Relationship Id="rId1577" Type="http://schemas.openxmlformats.org/officeDocument/2006/relationships/hyperlink" Target="https://i.ibb.co/DznB5q4/Itau.png" TargetMode="External"/><Relationship Id="rId1578" Type="http://schemas.openxmlformats.org/officeDocument/2006/relationships/hyperlink" Target="https://i.ibb.co/DznB5q4/Itau.png" TargetMode="External"/><Relationship Id="rId1579" Type="http://schemas.openxmlformats.org/officeDocument/2006/relationships/hyperlink" Target="https://i.ibb.co/DznB5q4/Itau.png" TargetMode="External"/><Relationship Id="rId1580" Type="http://schemas.openxmlformats.org/officeDocument/2006/relationships/hyperlink" Target="https://i.ibb.co/DznB5q4/Itau.png" TargetMode="External"/><Relationship Id="rId1581" Type="http://schemas.openxmlformats.org/officeDocument/2006/relationships/hyperlink" Target="https://i.ibb.co/DznB5q4/Itau.png" TargetMode="External"/><Relationship Id="rId1582" Type="http://schemas.openxmlformats.org/officeDocument/2006/relationships/hyperlink" Target="https://i.ibb.co/DznB5q4/Itau.png" TargetMode="External"/><Relationship Id="rId1583" Type="http://schemas.openxmlformats.org/officeDocument/2006/relationships/hyperlink" Target="https://i.ibb.co/DznB5q4/Itau.png" TargetMode="External"/><Relationship Id="rId1584" Type="http://schemas.openxmlformats.org/officeDocument/2006/relationships/hyperlink" Target="https://i.ibb.co/DznB5q4/Itau.png" TargetMode="External"/><Relationship Id="rId1585" Type="http://schemas.openxmlformats.org/officeDocument/2006/relationships/hyperlink" Target="https://i.ibb.co/DznB5q4/Itau.png" TargetMode="External"/><Relationship Id="rId1586" Type="http://schemas.openxmlformats.org/officeDocument/2006/relationships/hyperlink" Target="https://i.ibb.co/DznB5q4/Itau.png" TargetMode="External"/><Relationship Id="rId1587" Type="http://schemas.openxmlformats.org/officeDocument/2006/relationships/hyperlink" Target="https://i.ibb.co/DznB5q4/Itau.png" TargetMode="External"/><Relationship Id="rId1588" Type="http://schemas.openxmlformats.org/officeDocument/2006/relationships/hyperlink" Target="https://i.ibb.co/DznB5q4/Itau.png" TargetMode="External"/><Relationship Id="rId1589" Type="http://schemas.openxmlformats.org/officeDocument/2006/relationships/hyperlink" Target="https://i.ibb.co/DznB5q4/Itau.png" TargetMode="External"/><Relationship Id="rId1590" Type="http://schemas.openxmlformats.org/officeDocument/2006/relationships/hyperlink" Target="https://i.ibb.co/DznB5q4/Itau.png" TargetMode="External"/><Relationship Id="rId1591" Type="http://schemas.openxmlformats.org/officeDocument/2006/relationships/hyperlink" Target="https://i.ibb.co/DznB5q4/Itau.png" TargetMode="External"/><Relationship Id="rId1592" Type="http://schemas.openxmlformats.org/officeDocument/2006/relationships/hyperlink" Target="https://i.ibb.co/DznB5q4/Itau.png" TargetMode="External"/><Relationship Id="rId1593" Type="http://schemas.openxmlformats.org/officeDocument/2006/relationships/hyperlink" Target="https://i.ibb.co/DznB5q4/Itau.png" TargetMode="External"/><Relationship Id="rId1594" Type="http://schemas.openxmlformats.org/officeDocument/2006/relationships/hyperlink" Target="https://i.ibb.co/DznB5q4/Itau.png" TargetMode="External"/><Relationship Id="rId1595" Type="http://schemas.openxmlformats.org/officeDocument/2006/relationships/hyperlink" Target="https://i.ibb.co/DznB5q4/Itau.png" TargetMode="External"/><Relationship Id="rId1596" Type="http://schemas.openxmlformats.org/officeDocument/2006/relationships/hyperlink" Target="https://i.ibb.co/DznB5q4/Itau.png" TargetMode="External"/><Relationship Id="rId1597" Type="http://schemas.openxmlformats.org/officeDocument/2006/relationships/hyperlink" Target="https://i.ibb.co/DznB5q4/Itau.png" TargetMode="External"/><Relationship Id="rId1598" Type="http://schemas.openxmlformats.org/officeDocument/2006/relationships/hyperlink" Target="https://i.ibb.co/DznB5q4/Itau.png" TargetMode="External"/><Relationship Id="rId1599" Type="http://schemas.openxmlformats.org/officeDocument/2006/relationships/hyperlink" Target="https://i.ibb.co/DznB5q4/Itau.png" TargetMode="External"/><Relationship Id="rId1600" Type="http://schemas.openxmlformats.org/officeDocument/2006/relationships/hyperlink" Target="https://i.ibb.co/DznB5q4/Itau.png" TargetMode="External"/><Relationship Id="rId1601" Type="http://schemas.openxmlformats.org/officeDocument/2006/relationships/hyperlink" Target="https://i.ibb.co/DznB5q4/Itau.png" TargetMode="External"/><Relationship Id="rId1602" Type="http://schemas.openxmlformats.org/officeDocument/2006/relationships/hyperlink" Target="https://i.ibb.co/DznB5q4/Itau.png" TargetMode="External"/><Relationship Id="rId1603" Type="http://schemas.openxmlformats.org/officeDocument/2006/relationships/hyperlink" Target="https://i.ibb.co/DznB5q4/Itau.png" TargetMode="External"/><Relationship Id="rId1604" Type="http://schemas.openxmlformats.org/officeDocument/2006/relationships/hyperlink" Target="https://i.ibb.co/DznB5q4/Itau.png" TargetMode="External"/><Relationship Id="rId1605" Type="http://schemas.openxmlformats.org/officeDocument/2006/relationships/hyperlink" Target="https://i.ibb.co/DznB5q4/Itau.png" TargetMode="External"/><Relationship Id="rId1606" Type="http://schemas.openxmlformats.org/officeDocument/2006/relationships/hyperlink" Target="https://i.ibb.co/DznB5q4/Itau.png" TargetMode="External"/><Relationship Id="rId1607" Type="http://schemas.openxmlformats.org/officeDocument/2006/relationships/hyperlink" Target="https://i.ibb.co/DznB5q4/Itau.png" TargetMode="External"/><Relationship Id="rId1608" Type="http://schemas.openxmlformats.org/officeDocument/2006/relationships/hyperlink" Target="https://i.ibb.co/DznB5q4/Itau.png" TargetMode="External"/><Relationship Id="rId1609" Type="http://schemas.openxmlformats.org/officeDocument/2006/relationships/hyperlink" Target="https://i.ibb.co/DznB5q4/Itau.png" TargetMode="External"/><Relationship Id="rId1610" Type="http://schemas.openxmlformats.org/officeDocument/2006/relationships/hyperlink" Target="https://i.ibb.co/DznB5q4/Itau.png" TargetMode="External"/><Relationship Id="rId1611" Type="http://schemas.openxmlformats.org/officeDocument/2006/relationships/hyperlink" Target="https://i.ibb.co/DznB5q4/Itau.png" TargetMode="External"/><Relationship Id="rId1612" Type="http://schemas.openxmlformats.org/officeDocument/2006/relationships/hyperlink" Target="https://i.ibb.co/DznB5q4/Itau.png" TargetMode="External"/><Relationship Id="rId1613" Type="http://schemas.openxmlformats.org/officeDocument/2006/relationships/hyperlink" Target="https://i.ibb.co/DznB5q4/Itau.png" TargetMode="External"/><Relationship Id="rId1614" Type="http://schemas.openxmlformats.org/officeDocument/2006/relationships/hyperlink" Target="https://i.ibb.co/DznB5q4/Itau.png" TargetMode="External"/><Relationship Id="rId1615" Type="http://schemas.openxmlformats.org/officeDocument/2006/relationships/hyperlink" Target="https://i.ibb.co/DznB5q4/Itau.png" TargetMode="External"/><Relationship Id="rId1616" Type="http://schemas.openxmlformats.org/officeDocument/2006/relationships/hyperlink" Target="https://i.ibb.co/DznB5q4/Itau.png" TargetMode="External"/><Relationship Id="rId1617" Type="http://schemas.openxmlformats.org/officeDocument/2006/relationships/hyperlink" Target="https://i.ibb.co/DznB5q4/Itau.png" TargetMode="External"/><Relationship Id="rId1618" Type="http://schemas.openxmlformats.org/officeDocument/2006/relationships/hyperlink" Target="https://i.ibb.co/DznB5q4/Itau.png" TargetMode="External"/><Relationship Id="rId1619" Type="http://schemas.openxmlformats.org/officeDocument/2006/relationships/hyperlink" Target="https://i.ibb.co/DznB5q4/Itau.png" TargetMode="External"/><Relationship Id="rId1620" Type="http://schemas.openxmlformats.org/officeDocument/2006/relationships/hyperlink" Target="https://i.ibb.co/DznB5q4/Itau.png" TargetMode="External"/><Relationship Id="rId1621" Type="http://schemas.openxmlformats.org/officeDocument/2006/relationships/hyperlink" Target="https://i.ibb.co/DznB5q4/Itau.png" TargetMode="External"/><Relationship Id="rId1622" Type="http://schemas.openxmlformats.org/officeDocument/2006/relationships/hyperlink" Target="https://i.ibb.co/DznB5q4/Itau.png" TargetMode="External"/><Relationship Id="rId1623" Type="http://schemas.openxmlformats.org/officeDocument/2006/relationships/hyperlink" Target="https://i.ibb.co/DznB5q4/Itau.png" TargetMode="External"/><Relationship Id="rId1624" Type="http://schemas.openxmlformats.org/officeDocument/2006/relationships/hyperlink" Target="https://i.ibb.co/DznB5q4/Itau.png" TargetMode="External"/><Relationship Id="rId1625" Type="http://schemas.openxmlformats.org/officeDocument/2006/relationships/hyperlink" Target="https://i.ibb.co/DznB5q4/Itau.png" TargetMode="External"/><Relationship Id="rId1626" Type="http://schemas.openxmlformats.org/officeDocument/2006/relationships/hyperlink" Target="https://i.ibb.co/DznB5q4/Itau.png" TargetMode="External"/><Relationship Id="rId1627" Type="http://schemas.openxmlformats.org/officeDocument/2006/relationships/hyperlink" Target="https://i.ibb.co/DznB5q4/Itau.png" TargetMode="External"/><Relationship Id="rId1628" Type="http://schemas.openxmlformats.org/officeDocument/2006/relationships/hyperlink" Target="https://i.ibb.co/DznB5q4/Itau.png" TargetMode="External"/><Relationship Id="rId1629" Type="http://schemas.openxmlformats.org/officeDocument/2006/relationships/hyperlink" Target="https://i.ibb.co/DznB5q4/Itau.png" TargetMode="External"/><Relationship Id="rId1630" Type="http://schemas.openxmlformats.org/officeDocument/2006/relationships/hyperlink" Target="https://i.ibb.co/DznB5q4/Itau.png" TargetMode="External"/><Relationship Id="rId1631" Type="http://schemas.openxmlformats.org/officeDocument/2006/relationships/hyperlink" Target="https://i.ibb.co/DznB5q4/Itau.png" TargetMode="External"/><Relationship Id="rId1632" Type="http://schemas.openxmlformats.org/officeDocument/2006/relationships/hyperlink" Target="https://i.ibb.co/DznB5q4/Itau.png" TargetMode="External"/><Relationship Id="rId1633" Type="http://schemas.openxmlformats.org/officeDocument/2006/relationships/hyperlink" Target="https://i.ibb.co/DznB5q4/Itau.png" TargetMode="External"/><Relationship Id="rId1634" Type="http://schemas.openxmlformats.org/officeDocument/2006/relationships/hyperlink" Target="https://i.ibb.co/DznB5q4/Itau.png" TargetMode="External"/><Relationship Id="rId1635" Type="http://schemas.openxmlformats.org/officeDocument/2006/relationships/hyperlink" Target="https://i.ibb.co/DznB5q4/Itau.png" TargetMode="External"/><Relationship Id="rId1636" Type="http://schemas.openxmlformats.org/officeDocument/2006/relationships/hyperlink" Target="https://i.ibb.co/DznB5q4/Itau.png" TargetMode="External"/><Relationship Id="rId1637" Type="http://schemas.openxmlformats.org/officeDocument/2006/relationships/hyperlink" Target="https://i.ibb.co/DznB5q4/Itau.png" TargetMode="External"/><Relationship Id="rId1638" Type="http://schemas.openxmlformats.org/officeDocument/2006/relationships/hyperlink" Target="https://i.ibb.co/DznB5q4/Itau.png" TargetMode="External"/><Relationship Id="rId1639" Type="http://schemas.openxmlformats.org/officeDocument/2006/relationships/hyperlink" Target="https://i.ibb.co/DznB5q4/Itau.png" TargetMode="External"/><Relationship Id="rId1640" Type="http://schemas.openxmlformats.org/officeDocument/2006/relationships/hyperlink" Target="https://i.ibb.co/DznB5q4/Itau.png" TargetMode="External"/><Relationship Id="rId1641" Type="http://schemas.openxmlformats.org/officeDocument/2006/relationships/hyperlink" Target="https://i.ibb.co/DznB5q4/Itau.png" TargetMode="External"/><Relationship Id="rId1642" Type="http://schemas.openxmlformats.org/officeDocument/2006/relationships/hyperlink" Target="https://i.ibb.co/DznB5q4/Itau.png" TargetMode="External"/><Relationship Id="rId1643" Type="http://schemas.openxmlformats.org/officeDocument/2006/relationships/hyperlink" Target="https://i.ibb.co/DznB5q4/Itau.png" TargetMode="External"/><Relationship Id="rId1644" Type="http://schemas.openxmlformats.org/officeDocument/2006/relationships/hyperlink" Target="https://i.ibb.co/DznB5q4/Itau.png" TargetMode="External"/><Relationship Id="rId1645" Type="http://schemas.openxmlformats.org/officeDocument/2006/relationships/hyperlink" Target="https://i.ibb.co/DznB5q4/Itau.png" TargetMode="External"/><Relationship Id="rId1646" Type="http://schemas.openxmlformats.org/officeDocument/2006/relationships/hyperlink" Target="https://i.ibb.co/DznB5q4/Itau.png" TargetMode="External"/><Relationship Id="rId1647" Type="http://schemas.openxmlformats.org/officeDocument/2006/relationships/hyperlink" Target="https://i.ibb.co/DznB5q4/Itau.png" TargetMode="External"/><Relationship Id="rId1648" Type="http://schemas.openxmlformats.org/officeDocument/2006/relationships/hyperlink" Target="https://i.ibb.co/DznB5q4/Itau.png" TargetMode="External"/><Relationship Id="rId1649" Type="http://schemas.openxmlformats.org/officeDocument/2006/relationships/hyperlink" Target="https://i.ibb.co/DznB5q4/Itau.png" TargetMode="External"/><Relationship Id="rId1650" Type="http://schemas.openxmlformats.org/officeDocument/2006/relationships/hyperlink" Target="https://i.ibb.co/DznB5q4/Itau.png" TargetMode="External"/><Relationship Id="rId1651" Type="http://schemas.openxmlformats.org/officeDocument/2006/relationships/hyperlink" Target="https://i.ibb.co/DznB5q4/Itau.png" TargetMode="External"/><Relationship Id="rId1652" Type="http://schemas.openxmlformats.org/officeDocument/2006/relationships/hyperlink" Target="https://i.ibb.co/DznB5q4/Itau.png" TargetMode="External"/><Relationship Id="rId1653" Type="http://schemas.openxmlformats.org/officeDocument/2006/relationships/hyperlink" Target="https://i.ibb.co/DznB5q4/Itau.png" TargetMode="External"/><Relationship Id="rId1654" Type="http://schemas.openxmlformats.org/officeDocument/2006/relationships/hyperlink" Target="https://i.ibb.co/DznB5q4/Itau.png" TargetMode="External"/><Relationship Id="rId1655" Type="http://schemas.openxmlformats.org/officeDocument/2006/relationships/hyperlink" Target="https://i.ibb.co/DznB5q4/Itau.png" TargetMode="External"/><Relationship Id="rId1656" Type="http://schemas.openxmlformats.org/officeDocument/2006/relationships/hyperlink" Target="https://i.ibb.co/DznB5q4/Itau.png" TargetMode="External"/><Relationship Id="rId1657" Type="http://schemas.openxmlformats.org/officeDocument/2006/relationships/hyperlink" Target="https://i.ibb.co/DznB5q4/Itau.png" TargetMode="External"/><Relationship Id="rId1658" Type="http://schemas.openxmlformats.org/officeDocument/2006/relationships/hyperlink" Target="https://i.ibb.co/DznB5q4/Itau.png" TargetMode="External"/><Relationship Id="rId1659" Type="http://schemas.openxmlformats.org/officeDocument/2006/relationships/hyperlink" Target="https://i.ibb.co/DznB5q4/Itau.png" TargetMode="External"/><Relationship Id="rId1660" Type="http://schemas.openxmlformats.org/officeDocument/2006/relationships/hyperlink" Target="https://i.ibb.co/DznB5q4/Itau.png" TargetMode="External"/><Relationship Id="rId1661" Type="http://schemas.openxmlformats.org/officeDocument/2006/relationships/hyperlink" Target="https://i.ibb.co/DznB5q4/Itau.png" TargetMode="External"/><Relationship Id="rId1662" Type="http://schemas.openxmlformats.org/officeDocument/2006/relationships/hyperlink" Target="https://i.ibb.co/DznB5q4/Itau.png" TargetMode="External"/><Relationship Id="rId1663" Type="http://schemas.openxmlformats.org/officeDocument/2006/relationships/hyperlink" Target="https://i.ibb.co/DznB5q4/Itau.png" TargetMode="External"/><Relationship Id="rId1664" Type="http://schemas.openxmlformats.org/officeDocument/2006/relationships/hyperlink" Target="https://i.ibb.co/DznB5q4/Itau.png" TargetMode="External"/><Relationship Id="rId1665" Type="http://schemas.openxmlformats.org/officeDocument/2006/relationships/hyperlink" Target="https://i.ibb.co/DznB5q4/Itau.png" TargetMode="External"/><Relationship Id="rId1666" Type="http://schemas.openxmlformats.org/officeDocument/2006/relationships/hyperlink" Target="https://i.ibb.co/DznB5q4/Itau.png" TargetMode="External"/><Relationship Id="rId1667" Type="http://schemas.openxmlformats.org/officeDocument/2006/relationships/hyperlink" Target="https://i.ibb.co/DznB5q4/Itau.png" TargetMode="External"/><Relationship Id="rId1668" Type="http://schemas.openxmlformats.org/officeDocument/2006/relationships/hyperlink" Target="https://i.ibb.co/DznB5q4/Itau.png" TargetMode="External"/><Relationship Id="rId1669" Type="http://schemas.openxmlformats.org/officeDocument/2006/relationships/hyperlink" Target="https://i.ibb.co/DznB5q4/Itau.png" TargetMode="External"/><Relationship Id="rId1670" Type="http://schemas.openxmlformats.org/officeDocument/2006/relationships/hyperlink" Target="https://i.ibb.co/DznB5q4/Itau.png" TargetMode="External"/><Relationship Id="rId1671" Type="http://schemas.openxmlformats.org/officeDocument/2006/relationships/hyperlink" Target="https://i.ibb.co/DznB5q4/Itau.png" TargetMode="External"/><Relationship Id="rId1672" Type="http://schemas.openxmlformats.org/officeDocument/2006/relationships/hyperlink" Target="https://i.ibb.co/DznB5q4/Itau.png" TargetMode="External"/><Relationship Id="rId1673" Type="http://schemas.openxmlformats.org/officeDocument/2006/relationships/hyperlink" Target="https://i.ibb.co/DznB5q4/Itau.png" TargetMode="External"/><Relationship Id="rId1674" Type="http://schemas.openxmlformats.org/officeDocument/2006/relationships/hyperlink" Target="https://i.ibb.co/DznB5q4/Itau.png" TargetMode="External"/><Relationship Id="rId1675" Type="http://schemas.openxmlformats.org/officeDocument/2006/relationships/hyperlink" Target="https://i.ibb.co/DznB5q4/Itau.png" TargetMode="External"/><Relationship Id="rId1676" Type="http://schemas.openxmlformats.org/officeDocument/2006/relationships/hyperlink" Target="https://i.ibb.co/DznB5q4/Itau.png" TargetMode="External"/><Relationship Id="rId1677" Type="http://schemas.openxmlformats.org/officeDocument/2006/relationships/hyperlink" Target="https://i.ibb.co/DznB5q4/Itau.png" TargetMode="External"/><Relationship Id="rId1678" Type="http://schemas.openxmlformats.org/officeDocument/2006/relationships/hyperlink" Target="https://i.ibb.co/DznB5q4/Itau.png" TargetMode="External"/><Relationship Id="rId1679" Type="http://schemas.openxmlformats.org/officeDocument/2006/relationships/hyperlink" Target="https://i.ibb.co/DznB5q4/Itau.png" TargetMode="External"/><Relationship Id="rId1680" Type="http://schemas.openxmlformats.org/officeDocument/2006/relationships/hyperlink" Target="https://i.ibb.co/DznB5q4/Itau.png" TargetMode="External"/><Relationship Id="rId1681" Type="http://schemas.openxmlformats.org/officeDocument/2006/relationships/hyperlink" Target="https://i.ibb.co/DznB5q4/Itau.png" TargetMode="External"/><Relationship Id="rId1682" Type="http://schemas.openxmlformats.org/officeDocument/2006/relationships/hyperlink" Target="https://i.ibb.co/DznB5q4/Itau.png" TargetMode="External"/><Relationship Id="rId1683" Type="http://schemas.openxmlformats.org/officeDocument/2006/relationships/hyperlink" Target="https://i.ibb.co/DznB5q4/Itau.png" TargetMode="External"/><Relationship Id="rId1684" Type="http://schemas.openxmlformats.org/officeDocument/2006/relationships/hyperlink" Target="https://i.ibb.co/DznB5q4/Itau.png" TargetMode="External"/><Relationship Id="rId1685" Type="http://schemas.openxmlformats.org/officeDocument/2006/relationships/hyperlink" Target="https://i.ibb.co/DznB5q4/Itau.png" TargetMode="External"/><Relationship Id="rId1686" Type="http://schemas.openxmlformats.org/officeDocument/2006/relationships/hyperlink" Target="https://i.ibb.co/DznB5q4/Itau.png" TargetMode="External"/><Relationship Id="rId1687" Type="http://schemas.openxmlformats.org/officeDocument/2006/relationships/hyperlink" Target="https://i.ibb.co/DznB5q4/Itau.png" TargetMode="External"/><Relationship Id="rId1688" Type="http://schemas.openxmlformats.org/officeDocument/2006/relationships/hyperlink" Target="https://i.ibb.co/DznB5q4/Itau.png" TargetMode="External"/><Relationship Id="rId1689" Type="http://schemas.openxmlformats.org/officeDocument/2006/relationships/hyperlink" Target="https://i.ibb.co/DznB5q4/Itau.png" TargetMode="External"/><Relationship Id="rId1690" Type="http://schemas.openxmlformats.org/officeDocument/2006/relationships/hyperlink" Target="https://i.ibb.co/DznB5q4/Itau.png" TargetMode="External"/><Relationship Id="rId1691" Type="http://schemas.openxmlformats.org/officeDocument/2006/relationships/hyperlink" Target="https://i.ibb.co/DznB5q4/Itau.png" TargetMode="External"/><Relationship Id="rId1692" Type="http://schemas.openxmlformats.org/officeDocument/2006/relationships/hyperlink" Target="https://i.ibb.co/DznB5q4/Itau.png" TargetMode="External"/><Relationship Id="rId1693" Type="http://schemas.openxmlformats.org/officeDocument/2006/relationships/hyperlink" Target="https://i.ibb.co/DznB5q4/Itau.png" TargetMode="External"/><Relationship Id="rId1694" Type="http://schemas.openxmlformats.org/officeDocument/2006/relationships/hyperlink" Target="https://i.ibb.co/DznB5q4/Itau.png" TargetMode="External"/><Relationship Id="rId1695" Type="http://schemas.openxmlformats.org/officeDocument/2006/relationships/hyperlink" Target="https://i.ibb.co/DznB5q4/Itau.png" TargetMode="External"/><Relationship Id="rId1696" Type="http://schemas.openxmlformats.org/officeDocument/2006/relationships/hyperlink" Target="https://i.ibb.co/DznB5q4/Itau.png" TargetMode="External"/><Relationship Id="rId1697" Type="http://schemas.openxmlformats.org/officeDocument/2006/relationships/hyperlink" Target="https://i.ibb.co/DznB5q4/Itau.png" TargetMode="External"/><Relationship Id="rId1698" Type="http://schemas.openxmlformats.org/officeDocument/2006/relationships/hyperlink" Target="https://i.ibb.co/DznB5q4/Itau.png" TargetMode="External"/><Relationship Id="rId1699" Type="http://schemas.openxmlformats.org/officeDocument/2006/relationships/hyperlink" Target="https://i.ibb.co/DznB5q4/Itau.png" TargetMode="External"/><Relationship Id="rId1700" Type="http://schemas.openxmlformats.org/officeDocument/2006/relationships/hyperlink" Target="https://i.ibb.co/DznB5q4/Itau.png" TargetMode="External"/><Relationship Id="rId1701" Type="http://schemas.openxmlformats.org/officeDocument/2006/relationships/hyperlink" Target="https://i.ibb.co/DznB5q4/Itau.png" TargetMode="External"/><Relationship Id="rId1702" Type="http://schemas.openxmlformats.org/officeDocument/2006/relationships/hyperlink" Target="https://i.ibb.co/DznB5q4/Itau.png" TargetMode="External"/><Relationship Id="rId1703" Type="http://schemas.openxmlformats.org/officeDocument/2006/relationships/hyperlink" Target="https://i.ibb.co/DznB5q4/Itau.png" TargetMode="External"/><Relationship Id="rId1704" Type="http://schemas.openxmlformats.org/officeDocument/2006/relationships/hyperlink" Target="https://i.ibb.co/DznB5q4/Itau.png" TargetMode="External"/><Relationship Id="rId1705" Type="http://schemas.openxmlformats.org/officeDocument/2006/relationships/hyperlink" Target="https://i.ibb.co/DznB5q4/Itau.png" TargetMode="External"/><Relationship Id="rId1706" Type="http://schemas.openxmlformats.org/officeDocument/2006/relationships/hyperlink" Target="https://i.ibb.co/DznB5q4/Itau.png" TargetMode="External"/><Relationship Id="rId1707" Type="http://schemas.openxmlformats.org/officeDocument/2006/relationships/hyperlink" Target="https://i.ibb.co/DznB5q4/Itau.png" TargetMode="External"/><Relationship Id="rId1708" Type="http://schemas.openxmlformats.org/officeDocument/2006/relationships/hyperlink" Target="https://i.ibb.co/DznB5q4/Itau.png" TargetMode="External"/><Relationship Id="rId1709" Type="http://schemas.openxmlformats.org/officeDocument/2006/relationships/hyperlink" Target="https://i.ibb.co/DznB5q4/Itau.png" TargetMode="External"/><Relationship Id="rId1710" Type="http://schemas.openxmlformats.org/officeDocument/2006/relationships/hyperlink" Target="https://i.ibb.co/DznB5q4/Itau.png" TargetMode="External"/><Relationship Id="rId1711" Type="http://schemas.openxmlformats.org/officeDocument/2006/relationships/hyperlink" Target="https://i.ibb.co/DznB5q4/Itau.png" TargetMode="External"/><Relationship Id="rId1712" Type="http://schemas.openxmlformats.org/officeDocument/2006/relationships/hyperlink" Target="https://i.ibb.co/DznB5q4/Itau.png" TargetMode="External"/><Relationship Id="rId1713" Type="http://schemas.openxmlformats.org/officeDocument/2006/relationships/hyperlink" Target="https://i.ibb.co/DznB5q4/Itau.png" TargetMode="External"/><Relationship Id="rId1714" Type="http://schemas.openxmlformats.org/officeDocument/2006/relationships/hyperlink" Target="https://i.ibb.co/DznB5q4/Itau.png" TargetMode="External"/><Relationship Id="rId1715" Type="http://schemas.openxmlformats.org/officeDocument/2006/relationships/hyperlink" Target="https://i.ibb.co/DznB5q4/Itau.png" TargetMode="External"/><Relationship Id="rId1716" Type="http://schemas.openxmlformats.org/officeDocument/2006/relationships/hyperlink" Target="https://i.ibb.co/DznB5q4/Itau.png" TargetMode="External"/><Relationship Id="rId1717" Type="http://schemas.openxmlformats.org/officeDocument/2006/relationships/hyperlink" Target="https://i.ibb.co/DznB5q4/Itau.png" TargetMode="External"/><Relationship Id="rId1718" Type="http://schemas.openxmlformats.org/officeDocument/2006/relationships/hyperlink" Target="https://i.ibb.co/DznB5q4/Itau.png" TargetMode="External"/><Relationship Id="rId1719" Type="http://schemas.openxmlformats.org/officeDocument/2006/relationships/hyperlink" Target="https://i.ibb.co/DznB5q4/Itau.png" TargetMode="External"/><Relationship Id="rId1720" Type="http://schemas.openxmlformats.org/officeDocument/2006/relationships/hyperlink" Target="https://i.ibb.co/DznB5q4/Itau.png" TargetMode="External"/><Relationship Id="rId1721" Type="http://schemas.openxmlformats.org/officeDocument/2006/relationships/hyperlink" Target="https://i.ibb.co/DznB5q4/Itau.png" TargetMode="External"/><Relationship Id="rId1722" Type="http://schemas.openxmlformats.org/officeDocument/2006/relationships/hyperlink" Target="https://i.ibb.co/DznB5q4/Itau.png" TargetMode="External"/><Relationship Id="rId1723" Type="http://schemas.openxmlformats.org/officeDocument/2006/relationships/hyperlink" Target="https://i.ibb.co/DznB5q4/Itau.png" TargetMode="External"/><Relationship Id="rId1724" Type="http://schemas.openxmlformats.org/officeDocument/2006/relationships/hyperlink" Target="https://i.ibb.co/DznB5q4/Itau.png" TargetMode="External"/><Relationship Id="rId1725" Type="http://schemas.openxmlformats.org/officeDocument/2006/relationships/hyperlink" Target="https://i.ibb.co/DznB5q4/Itau.png" TargetMode="External"/><Relationship Id="rId1726" Type="http://schemas.openxmlformats.org/officeDocument/2006/relationships/hyperlink" Target="https://i.ibb.co/DznB5q4/Itau.png" TargetMode="External"/><Relationship Id="rId1727" Type="http://schemas.openxmlformats.org/officeDocument/2006/relationships/hyperlink" Target="https://i.ibb.co/DznB5q4/Itau.png" TargetMode="External"/><Relationship Id="rId1728" Type="http://schemas.openxmlformats.org/officeDocument/2006/relationships/hyperlink" Target="https://i.ibb.co/DznB5q4/Itau.png" TargetMode="External"/><Relationship Id="rId1729" Type="http://schemas.openxmlformats.org/officeDocument/2006/relationships/hyperlink" Target="https://i.ibb.co/DznB5q4/Itau.png" TargetMode="External"/><Relationship Id="rId1730" Type="http://schemas.openxmlformats.org/officeDocument/2006/relationships/hyperlink" Target="https://i.ibb.co/DznB5q4/Itau.png" TargetMode="External"/><Relationship Id="rId1731" Type="http://schemas.openxmlformats.org/officeDocument/2006/relationships/hyperlink" Target="https://i.ibb.co/DznB5q4/Itau.png" TargetMode="External"/><Relationship Id="rId1732" Type="http://schemas.openxmlformats.org/officeDocument/2006/relationships/hyperlink" Target="https://i.ibb.co/DznB5q4/Itau.png" TargetMode="External"/><Relationship Id="rId1733" Type="http://schemas.openxmlformats.org/officeDocument/2006/relationships/hyperlink" Target="https://i.ibb.co/DznB5q4/Itau.png" TargetMode="External"/><Relationship Id="rId1734" Type="http://schemas.openxmlformats.org/officeDocument/2006/relationships/hyperlink" Target="https://i.ibb.co/DznB5q4/Itau.png" TargetMode="External"/><Relationship Id="rId1735" Type="http://schemas.openxmlformats.org/officeDocument/2006/relationships/hyperlink" Target="https://i.ibb.co/DznB5q4/Itau.png" TargetMode="External"/><Relationship Id="rId1736" Type="http://schemas.openxmlformats.org/officeDocument/2006/relationships/hyperlink" Target="https://i.ibb.co/DznB5q4/Itau.png" TargetMode="External"/><Relationship Id="rId1737" Type="http://schemas.openxmlformats.org/officeDocument/2006/relationships/hyperlink" Target="https://i.ibb.co/DznB5q4/Itau.png" TargetMode="External"/><Relationship Id="rId1738" Type="http://schemas.openxmlformats.org/officeDocument/2006/relationships/hyperlink" Target="https://i.ibb.co/DznB5q4/Itau.png" TargetMode="External"/><Relationship Id="rId1739" Type="http://schemas.openxmlformats.org/officeDocument/2006/relationships/hyperlink" Target="https://i.ibb.co/DznB5q4/Itau.png" TargetMode="External"/><Relationship Id="rId1740" Type="http://schemas.openxmlformats.org/officeDocument/2006/relationships/hyperlink" Target="https://i.ibb.co/DznB5q4/Itau.png" TargetMode="External"/><Relationship Id="rId1741" Type="http://schemas.openxmlformats.org/officeDocument/2006/relationships/hyperlink" Target="https://i.ibb.co/DznB5q4/Itau.png" TargetMode="External"/><Relationship Id="rId1742" Type="http://schemas.openxmlformats.org/officeDocument/2006/relationships/hyperlink" Target="https://i.ibb.co/DznB5q4/Itau.png" TargetMode="External"/><Relationship Id="rId1743" Type="http://schemas.openxmlformats.org/officeDocument/2006/relationships/hyperlink" Target="https://i.ibb.co/DznB5q4/Itau.png" TargetMode="External"/><Relationship Id="rId1744" Type="http://schemas.openxmlformats.org/officeDocument/2006/relationships/hyperlink" Target="https://i.ibb.co/DznB5q4/Itau.png" TargetMode="External"/><Relationship Id="rId1745" Type="http://schemas.openxmlformats.org/officeDocument/2006/relationships/hyperlink" Target="https://i.ibb.co/DznB5q4/Itau.png" TargetMode="External"/><Relationship Id="rId1746" Type="http://schemas.openxmlformats.org/officeDocument/2006/relationships/hyperlink" Target="https://i.ibb.co/DznB5q4/Itau.png" TargetMode="External"/><Relationship Id="rId1747" Type="http://schemas.openxmlformats.org/officeDocument/2006/relationships/hyperlink" Target="https://i.ibb.co/DznB5q4/Itau.png" TargetMode="External"/><Relationship Id="rId1748" Type="http://schemas.openxmlformats.org/officeDocument/2006/relationships/hyperlink" Target="https://i.ibb.co/DznB5q4/Itau.png" TargetMode="External"/><Relationship Id="rId1749" Type="http://schemas.openxmlformats.org/officeDocument/2006/relationships/hyperlink" Target="https://i.ibb.co/DznB5q4/Itau.png" TargetMode="External"/><Relationship Id="rId1750" Type="http://schemas.openxmlformats.org/officeDocument/2006/relationships/hyperlink" Target="https://i.ibb.co/DznB5q4/Itau.png" TargetMode="External"/><Relationship Id="rId1751" Type="http://schemas.openxmlformats.org/officeDocument/2006/relationships/hyperlink" Target="https://i.ibb.co/DznB5q4/Itau.png" TargetMode="External"/><Relationship Id="rId1752" Type="http://schemas.openxmlformats.org/officeDocument/2006/relationships/hyperlink" Target="https://i.ibb.co/DznB5q4/Itau.png" TargetMode="External"/><Relationship Id="rId1753" Type="http://schemas.openxmlformats.org/officeDocument/2006/relationships/hyperlink" Target="https://i.ibb.co/DznB5q4/Itau.png" TargetMode="External"/><Relationship Id="rId1754" Type="http://schemas.openxmlformats.org/officeDocument/2006/relationships/hyperlink" Target="https://i.ibb.co/DznB5q4/Itau.png" TargetMode="External"/><Relationship Id="rId1755" Type="http://schemas.openxmlformats.org/officeDocument/2006/relationships/hyperlink" Target="https://i.ibb.co/DznB5q4/Itau.png" TargetMode="External"/><Relationship Id="rId1756" Type="http://schemas.openxmlformats.org/officeDocument/2006/relationships/hyperlink" Target="https://i.ibb.co/DznB5q4/Itau.png" TargetMode="External"/><Relationship Id="rId1757" Type="http://schemas.openxmlformats.org/officeDocument/2006/relationships/hyperlink" Target="https://i.ibb.co/DznB5q4/Itau.png" TargetMode="External"/><Relationship Id="rId1758" Type="http://schemas.openxmlformats.org/officeDocument/2006/relationships/hyperlink" Target="https://i.ibb.co/DznB5q4/Itau.png" TargetMode="External"/><Relationship Id="rId1759" Type="http://schemas.openxmlformats.org/officeDocument/2006/relationships/hyperlink" Target="https://i.ibb.co/DznB5q4/Itau.png" TargetMode="External"/><Relationship Id="rId1760" Type="http://schemas.openxmlformats.org/officeDocument/2006/relationships/hyperlink" Target="https://i.ibb.co/DznB5q4/Itau.png" TargetMode="External"/><Relationship Id="rId1761" Type="http://schemas.openxmlformats.org/officeDocument/2006/relationships/hyperlink" Target="https://i.ibb.co/DznB5q4/Itau.png" TargetMode="External"/><Relationship Id="rId1762" Type="http://schemas.openxmlformats.org/officeDocument/2006/relationships/hyperlink" Target="https://i.ibb.co/DznB5q4/Itau.png" TargetMode="External"/><Relationship Id="rId1763" Type="http://schemas.openxmlformats.org/officeDocument/2006/relationships/hyperlink" Target="https://i.ibb.co/DznB5q4/Itau.png" TargetMode="External"/><Relationship Id="rId1764" Type="http://schemas.openxmlformats.org/officeDocument/2006/relationships/hyperlink" Target="https://i.ibb.co/DznB5q4/Itau.png" TargetMode="External"/><Relationship Id="rId1765" Type="http://schemas.openxmlformats.org/officeDocument/2006/relationships/hyperlink" Target="https://i.ibb.co/DznB5q4/Itau.png" TargetMode="External"/><Relationship Id="rId1766" Type="http://schemas.openxmlformats.org/officeDocument/2006/relationships/hyperlink" Target="https://i.ibb.co/DznB5q4/Itau.png" TargetMode="External"/><Relationship Id="rId1767" Type="http://schemas.openxmlformats.org/officeDocument/2006/relationships/hyperlink" Target="https://i.ibb.co/DznB5q4/Itau.png" TargetMode="External"/><Relationship Id="rId1768" Type="http://schemas.openxmlformats.org/officeDocument/2006/relationships/hyperlink" Target="https://i.ibb.co/DznB5q4/Itau.png" TargetMode="External"/><Relationship Id="rId1769" Type="http://schemas.openxmlformats.org/officeDocument/2006/relationships/hyperlink" Target="https://i.ibb.co/DznB5q4/Itau.png" TargetMode="External"/><Relationship Id="rId1770" Type="http://schemas.openxmlformats.org/officeDocument/2006/relationships/hyperlink" Target="https://i.ibb.co/DznB5q4/Itau.png" TargetMode="External"/><Relationship Id="rId1771" Type="http://schemas.openxmlformats.org/officeDocument/2006/relationships/hyperlink" Target="https://i.ibb.co/DznB5q4/Itau.png" TargetMode="External"/><Relationship Id="rId1772" Type="http://schemas.openxmlformats.org/officeDocument/2006/relationships/hyperlink" Target="https://i.ibb.co/DznB5q4/Itau.png" TargetMode="External"/><Relationship Id="rId1773" Type="http://schemas.openxmlformats.org/officeDocument/2006/relationships/hyperlink" Target="https://i.ibb.co/DznB5q4/Itau.png" TargetMode="External"/><Relationship Id="rId1774" Type="http://schemas.openxmlformats.org/officeDocument/2006/relationships/hyperlink" Target="https://i.ibb.co/DznB5q4/Itau.png" TargetMode="External"/><Relationship Id="rId1775" Type="http://schemas.openxmlformats.org/officeDocument/2006/relationships/hyperlink" Target="https://i.ibb.co/DznB5q4/Itau.png" TargetMode="External"/><Relationship Id="rId1776" Type="http://schemas.openxmlformats.org/officeDocument/2006/relationships/hyperlink" Target="https://i.ibb.co/DznB5q4/Itau.png" TargetMode="External"/><Relationship Id="rId1777" Type="http://schemas.openxmlformats.org/officeDocument/2006/relationships/hyperlink" Target="https://i.ibb.co/DznB5q4/Itau.png" TargetMode="External"/><Relationship Id="rId1778" Type="http://schemas.openxmlformats.org/officeDocument/2006/relationships/hyperlink" Target="https://i.ibb.co/DznB5q4/Itau.png" TargetMode="External"/><Relationship Id="rId1779" Type="http://schemas.openxmlformats.org/officeDocument/2006/relationships/hyperlink" Target="https://i.ibb.co/DznB5q4/Itau.png" TargetMode="External"/><Relationship Id="rId1780" Type="http://schemas.openxmlformats.org/officeDocument/2006/relationships/hyperlink" Target="https://i.ibb.co/DznB5q4/Itau.png" TargetMode="External"/><Relationship Id="rId1781" Type="http://schemas.openxmlformats.org/officeDocument/2006/relationships/hyperlink" Target="https://i.ibb.co/DznB5q4/Itau.png" TargetMode="External"/><Relationship Id="rId1782" Type="http://schemas.openxmlformats.org/officeDocument/2006/relationships/hyperlink" Target="https://i.ibb.co/DznB5q4/Itau.png" TargetMode="External"/><Relationship Id="rId1783" Type="http://schemas.openxmlformats.org/officeDocument/2006/relationships/hyperlink" Target="https://i.ibb.co/DznB5q4/Itau.png" TargetMode="External"/><Relationship Id="rId1784" Type="http://schemas.openxmlformats.org/officeDocument/2006/relationships/hyperlink" Target="https://i.ibb.co/DznB5q4/Itau.png" TargetMode="External"/><Relationship Id="rId1785" Type="http://schemas.openxmlformats.org/officeDocument/2006/relationships/hyperlink" Target="https://i.ibb.co/DznB5q4/Itau.png" TargetMode="External"/><Relationship Id="rId1786" Type="http://schemas.openxmlformats.org/officeDocument/2006/relationships/hyperlink" Target="https://i.ibb.co/DznB5q4/Itau.png" TargetMode="External"/><Relationship Id="rId1787" Type="http://schemas.openxmlformats.org/officeDocument/2006/relationships/hyperlink" Target="https://i.ibb.co/DznB5q4/Itau.png" TargetMode="External"/><Relationship Id="rId1788" Type="http://schemas.openxmlformats.org/officeDocument/2006/relationships/hyperlink" Target="https://i.ibb.co/DznB5q4/Itau.png" TargetMode="External"/><Relationship Id="rId1789" Type="http://schemas.openxmlformats.org/officeDocument/2006/relationships/hyperlink" Target="https://i.ibb.co/DznB5q4/Itau.png" TargetMode="External"/><Relationship Id="rId1790" Type="http://schemas.openxmlformats.org/officeDocument/2006/relationships/hyperlink" Target="https://i.ibb.co/DznB5q4/Itau.png" TargetMode="External"/><Relationship Id="rId1791" Type="http://schemas.openxmlformats.org/officeDocument/2006/relationships/hyperlink" Target="https://i.ibb.co/DznB5q4/Itau.png" TargetMode="External"/><Relationship Id="rId1792" Type="http://schemas.openxmlformats.org/officeDocument/2006/relationships/hyperlink" Target="https://i.ibb.co/DznB5q4/Itau.png" TargetMode="External"/><Relationship Id="rId1793" Type="http://schemas.openxmlformats.org/officeDocument/2006/relationships/hyperlink" Target="https://i.ibb.co/DznB5q4/Itau.png" TargetMode="External"/><Relationship Id="rId1794" Type="http://schemas.openxmlformats.org/officeDocument/2006/relationships/hyperlink" Target="https://i.ibb.co/DznB5q4/Itau.png" TargetMode="External"/><Relationship Id="rId1795" Type="http://schemas.openxmlformats.org/officeDocument/2006/relationships/hyperlink" Target="https://i.ibb.co/DznB5q4/Itau.png" TargetMode="External"/><Relationship Id="rId1796" Type="http://schemas.openxmlformats.org/officeDocument/2006/relationships/hyperlink" Target="https://i.ibb.co/DznB5q4/Itau.png" TargetMode="External"/><Relationship Id="rId1797" Type="http://schemas.openxmlformats.org/officeDocument/2006/relationships/hyperlink" Target="https://i.ibb.co/DznB5q4/Itau.png" TargetMode="External"/><Relationship Id="rId1798" Type="http://schemas.openxmlformats.org/officeDocument/2006/relationships/hyperlink" Target="https://i.ibb.co/DznB5q4/Itau.png" TargetMode="External"/><Relationship Id="rId1799" Type="http://schemas.openxmlformats.org/officeDocument/2006/relationships/hyperlink" Target="https://i.ibb.co/DznB5q4/Itau.png" TargetMode="External"/><Relationship Id="rId1800" Type="http://schemas.openxmlformats.org/officeDocument/2006/relationships/hyperlink" Target="https://i.ibb.co/DznB5q4/Itau.png" TargetMode="External"/><Relationship Id="rId1801" Type="http://schemas.openxmlformats.org/officeDocument/2006/relationships/hyperlink" Target="https://i.ibb.co/DznB5q4/Itau.png" TargetMode="External"/><Relationship Id="rId1802" Type="http://schemas.openxmlformats.org/officeDocument/2006/relationships/hyperlink" Target="https://i.ibb.co/DznB5q4/Itau.png" TargetMode="External"/><Relationship Id="rId1803" Type="http://schemas.openxmlformats.org/officeDocument/2006/relationships/hyperlink" Target="https://i.ibb.co/DznB5q4/Itau.png" TargetMode="External"/><Relationship Id="rId1804" Type="http://schemas.openxmlformats.org/officeDocument/2006/relationships/hyperlink" Target="https://i.ibb.co/DznB5q4/Itau.png" TargetMode="External"/><Relationship Id="rId1805" Type="http://schemas.openxmlformats.org/officeDocument/2006/relationships/hyperlink" Target="https://i.ibb.co/DznB5q4/Itau.png" TargetMode="External"/><Relationship Id="rId1806" Type="http://schemas.openxmlformats.org/officeDocument/2006/relationships/hyperlink" Target="https://i.ibb.co/DznB5q4/Itau.png" TargetMode="External"/><Relationship Id="rId1807" Type="http://schemas.openxmlformats.org/officeDocument/2006/relationships/hyperlink" Target="https://i.ibb.co/DznB5q4/Itau.png" TargetMode="External"/><Relationship Id="rId1808" Type="http://schemas.openxmlformats.org/officeDocument/2006/relationships/hyperlink" Target="https://i.ibb.co/DznB5q4/Itau.png" TargetMode="External"/><Relationship Id="rId1809" Type="http://schemas.openxmlformats.org/officeDocument/2006/relationships/hyperlink" Target="https://i.ibb.co/DznB5q4/Itau.png" TargetMode="External"/><Relationship Id="rId1810" Type="http://schemas.openxmlformats.org/officeDocument/2006/relationships/hyperlink" Target="https://i.ibb.co/DznB5q4/Itau.png" TargetMode="External"/><Relationship Id="rId1811" Type="http://schemas.openxmlformats.org/officeDocument/2006/relationships/hyperlink" Target="https://i.ibb.co/DznB5q4/Itau.png" TargetMode="External"/><Relationship Id="rId1812" Type="http://schemas.openxmlformats.org/officeDocument/2006/relationships/hyperlink" Target="https://i.ibb.co/DznB5q4/Itau.png" TargetMode="External"/><Relationship Id="rId1813" Type="http://schemas.openxmlformats.org/officeDocument/2006/relationships/hyperlink" Target="https://i.ibb.co/DznB5q4/Itau.png" TargetMode="External"/><Relationship Id="rId1814" Type="http://schemas.openxmlformats.org/officeDocument/2006/relationships/hyperlink" Target="https://i.ibb.co/DznB5q4/Itau.png" TargetMode="External"/><Relationship Id="rId1815" Type="http://schemas.openxmlformats.org/officeDocument/2006/relationships/hyperlink" Target="https://i.ibb.co/DznB5q4/Itau.png" TargetMode="External"/><Relationship Id="rId1816" Type="http://schemas.openxmlformats.org/officeDocument/2006/relationships/hyperlink" Target="https://i.ibb.co/DznB5q4/Itau.png" TargetMode="External"/><Relationship Id="rId1817" Type="http://schemas.openxmlformats.org/officeDocument/2006/relationships/hyperlink" Target="https://i.ibb.co/DznB5q4/Itau.png" TargetMode="External"/><Relationship Id="rId1818" Type="http://schemas.openxmlformats.org/officeDocument/2006/relationships/hyperlink" Target="https://i.ibb.co/DznB5q4/Itau.png" TargetMode="External"/><Relationship Id="rId1819" Type="http://schemas.openxmlformats.org/officeDocument/2006/relationships/hyperlink" Target="https://i.ibb.co/DznB5q4/Itau.png" TargetMode="External"/><Relationship Id="rId1820" Type="http://schemas.openxmlformats.org/officeDocument/2006/relationships/hyperlink" Target="https://i.ibb.co/DznB5q4/Itau.png" TargetMode="External"/><Relationship Id="rId1821" Type="http://schemas.openxmlformats.org/officeDocument/2006/relationships/hyperlink" Target="https://i.ibb.co/DznB5q4/Itau.png" TargetMode="External"/><Relationship Id="rId1822" Type="http://schemas.openxmlformats.org/officeDocument/2006/relationships/hyperlink" Target="https://i.ibb.co/DznB5q4/Itau.png" TargetMode="External"/><Relationship Id="rId1823" Type="http://schemas.openxmlformats.org/officeDocument/2006/relationships/hyperlink" Target="https://i.ibb.co/DznB5q4/Itau.png" TargetMode="External"/><Relationship Id="rId1824" Type="http://schemas.openxmlformats.org/officeDocument/2006/relationships/hyperlink" Target="https://i.ibb.co/DznB5q4/Itau.png" TargetMode="External"/><Relationship Id="rId1825" Type="http://schemas.openxmlformats.org/officeDocument/2006/relationships/hyperlink" Target="https://i.ibb.co/DznB5q4/Itau.png" TargetMode="External"/><Relationship Id="rId1826" Type="http://schemas.openxmlformats.org/officeDocument/2006/relationships/hyperlink" Target="https://i.ibb.co/DznB5q4/Itau.png" TargetMode="External"/><Relationship Id="rId1827" Type="http://schemas.openxmlformats.org/officeDocument/2006/relationships/hyperlink" Target="https://i.ibb.co/DznB5q4/Itau.png" TargetMode="External"/><Relationship Id="rId1828" Type="http://schemas.openxmlformats.org/officeDocument/2006/relationships/hyperlink" Target="https://i.ibb.co/DznB5q4/Itau.png" TargetMode="External"/><Relationship Id="rId1829" Type="http://schemas.openxmlformats.org/officeDocument/2006/relationships/hyperlink" Target="https://i.ibb.co/DznB5q4/Itau.png" TargetMode="External"/><Relationship Id="rId1830" Type="http://schemas.openxmlformats.org/officeDocument/2006/relationships/hyperlink" Target="https://i.ibb.co/DznB5q4/Itau.png" TargetMode="External"/><Relationship Id="rId1831" Type="http://schemas.openxmlformats.org/officeDocument/2006/relationships/hyperlink" Target="https://i.ibb.co/DznB5q4/Itau.png" TargetMode="External"/><Relationship Id="rId1832" Type="http://schemas.openxmlformats.org/officeDocument/2006/relationships/hyperlink" Target="https://i.ibb.co/DznB5q4/Itau.png" TargetMode="External"/><Relationship Id="rId1833" Type="http://schemas.openxmlformats.org/officeDocument/2006/relationships/hyperlink" Target="https://i.ibb.co/DznB5q4/Itau.png" TargetMode="External"/><Relationship Id="rId1834" Type="http://schemas.openxmlformats.org/officeDocument/2006/relationships/hyperlink" Target="https://i.ibb.co/DznB5q4/Itau.png" TargetMode="External"/><Relationship Id="rId1835" Type="http://schemas.openxmlformats.org/officeDocument/2006/relationships/hyperlink" Target="https://i.ibb.co/DznB5q4/Itau.png" TargetMode="External"/><Relationship Id="rId1836" Type="http://schemas.openxmlformats.org/officeDocument/2006/relationships/hyperlink" Target="https://i.ibb.co/DznB5q4/Itau.png" TargetMode="External"/><Relationship Id="rId1837" Type="http://schemas.openxmlformats.org/officeDocument/2006/relationships/hyperlink" Target="https://i.ibb.co/DznB5q4/Itau.png" TargetMode="External"/><Relationship Id="rId1838" Type="http://schemas.openxmlformats.org/officeDocument/2006/relationships/hyperlink" Target="https://i.ibb.co/DznB5q4/Itau.png" TargetMode="External"/><Relationship Id="rId1839" Type="http://schemas.openxmlformats.org/officeDocument/2006/relationships/hyperlink" Target="https://i.ibb.co/DznB5q4/Itau.png" TargetMode="External"/><Relationship Id="rId1840" Type="http://schemas.openxmlformats.org/officeDocument/2006/relationships/hyperlink" Target="https://i.ibb.co/DznB5q4/Itau.png" TargetMode="External"/><Relationship Id="rId1841" Type="http://schemas.openxmlformats.org/officeDocument/2006/relationships/hyperlink" Target="https://i.ibb.co/DznB5q4/Itau.png" TargetMode="External"/><Relationship Id="rId1842" Type="http://schemas.openxmlformats.org/officeDocument/2006/relationships/hyperlink" Target="https://i.ibb.co/DznB5q4/Itau.png" TargetMode="External"/><Relationship Id="rId1843" Type="http://schemas.openxmlformats.org/officeDocument/2006/relationships/hyperlink" Target="https://i.ibb.co/DznB5q4/Itau.png" TargetMode="External"/><Relationship Id="rId1844" Type="http://schemas.openxmlformats.org/officeDocument/2006/relationships/hyperlink" Target="https://i.ibb.co/DznB5q4/Itau.png" TargetMode="External"/><Relationship Id="rId1845" Type="http://schemas.openxmlformats.org/officeDocument/2006/relationships/hyperlink" Target="https://i.ibb.co/DznB5q4/Itau.png" TargetMode="External"/><Relationship Id="rId1846" Type="http://schemas.openxmlformats.org/officeDocument/2006/relationships/hyperlink" Target="https://i.ibb.co/DznB5q4/Itau.png" TargetMode="External"/><Relationship Id="rId1847" Type="http://schemas.openxmlformats.org/officeDocument/2006/relationships/hyperlink" Target="https://i.ibb.co/DznB5q4/Itau.png" TargetMode="External"/><Relationship Id="rId1848" Type="http://schemas.openxmlformats.org/officeDocument/2006/relationships/hyperlink" Target="https://i.ibb.co/DznB5q4/Itau.png" TargetMode="External"/><Relationship Id="rId1849" Type="http://schemas.openxmlformats.org/officeDocument/2006/relationships/hyperlink" Target="https://i.ibb.co/DznB5q4/Itau.png" TargetMode="External"/><Relationship Id="rId1850" Type="http://schemas.openxmlformats.org/officeDocument/2006/relationships/hyperlink" Target="https://i.ibb.co/DznB5q4/Itau.png" TargetMode="External"/><Relationship Id="rId1851" Type="http://schemas.openxmlformats.org/officeDocument/2006/relationships/hyperlink" Target="https://i.ibb.co/DznB5q4/Itau.png" TargetMode="External"/><Relationship Id="rId1852" Type="http://schemas.openxmlformats.org/officeDocument/2006/relationships/hyperlink" Target="https://i.ibb.co/DznB5q4/Itau.png" TargetMode="External"/><Relationship Id="rId1853" Type="http://schemas.openxmlformats.org/officeDocument/2006/relationships/hyperlink" Target="https://i.ibb.co/DznB5q4/Itau.png" TargetMode="External"/><Relationship Id="rId1854" Type="http://schemas.openxmlformats.org/officeDocument/2006/relationships/hyperlink" Target="https://i.ibb.co/DznB5q4/Itau.png" TargetMode="External"/><Relationship Id="rId1855" Type="http://schemas.openxmlformats.org/officeDocument/2006/relationships/hyperlink" Target="https://i.ibb.co/DznB5q4/Itau.png" TargetMode="External"/><Relationship Id="rId1856" Type="http://schemas.openxmlformats.org/officeDocument/2006/relationships/hyperlink" Target="https://i.ibb.co/DznB5q4/Itau.png" TargetMode="External"/><Relationship Id="rId1857" Type="http://schemas.openxmlformats.org/officeDocument/2006/relationships/hyperlink" Target="https://i.ibb.co/DznB5q4/Itau.png" TargetMode="External"/><Relationship Id="rId1858" Type="http://schemas.openxmlformats.org/officeDocument/2006/relationships/hyperlink" Target="https://i.ibb.co/DznB5q4/Itau.png" TargetMode="External"/><Relationship Id="rId1859" Type="http://schemas.openxmlformats.org/officeDocument/2006/relationships/hyperlink" Target="https://i.ibb.co/DznB5q4/Itau.png" TargetMode="External"/><Relationship Id="rId1860" Type="http://schemas.openxmlformats.org/officeDocument/2006/relationships/hyperlink" Target="https://i.ibb.co/DznB5q4/Itau.png" TargetMode="External"/><Relationship Id="rId1861" Type="http://schemas.openxmlformats.org/officeDocument/2006/relationships/hyperlink" Target="https://i.ibb.co/DznB5q4/Itau.png" TargetMode="External"/><Relationship Id="rId1862" Type="http://schemas.openxmlformats.org/officeDocument/2006/relationships/hyperlink" Target="https://i.ibb.co/DznB5q4/Itau.png" TargetMode="External"/><Relationship Id="rId1863" Type="http://schemas.openxmlformats.org/officeDocument/2006/relationships/hyperlink" Target="https://i.ibb.co/DznB5q4/Itau.png" TargetMode="External"/><Relationship Id="rId1864" Type="http://schemas.openxmlformats.org/officeDocument/2006/relationships/hyperlink" Target="https://i.ibb.co/DznB5q4/Itau.png" TargetMode="External"/><Relationship Id="rId1865" Type="http://schemas.openxmlformats.org/officeDocument/2006/relationships/hyperlink" Target="https://i.ibb.co/DznB5q4/Itau.png" TargetMode="External"/><Relationship Id="rId1866" Type="http://schemas.openxmlformats.org/officeDocument/2006/relationships/hyperlink" Target="https://i.ibb.co/DznB5q4/Itau.png" TargetMode="External"/><Relationship Id="rId1867" Type="http://schemas.openxmlformats.org/officeDocument/2006/relationships/hyperlink" Target="https://i.ibb.co/DznB5q4/Itau.png" TargetMode="External"/><Relationship Id="rId1868" Type="http://schemas.openxmlformats.org/officeDocument/2006/relationships/hyperlink" Target="https://i.ibb.co/DznB5q4/Itau.png" TargetMode="External"/><Relationship Id="rId1869" Type="http://schemas.openxmlformats.org/officeDocument/2006/relationships/hyperlink" Target="https://i.ibb.co/DznB5q4/Itau.png" TargetMode="External"/><Relationship Id="rId1870" Type="http://schemas.openxmlformats.org/officeDocument/2006/relationships/hyperlink" Target="https://i.ibb.co/DznB5q4/Itau.png" TargetMode="External"/><Relationship Id="rId1871" Type="http://schemas.openxmlformats.org/officeDocument/2006/relationships/hyperlink" Target="https://i.ibb.co/DznB5q4/Itau.png" TargetMode="External"/><Relationship Id="rId1872" Type="http://schemas.openxmlformats.org/officeDocument/2006/relationships/hyperlink" Target="https://i.ibb.co/DznB5q4/Itau.png" TargetMode="External"/><Relationship Id="rId1873" Type="http://schemas.openxmlformats.org/officeDocument/2006/relationships/hyperlink" Target="https://i.ibb.co/DznB5q4/Itau.png" TargetMode="External"/><Relationship Id="rId1874" Type="http://schemas.openxmlformats.org/officeDocument/2006/relationships/hyperlink" Target="https://i.ibb.co/DznB5q4/Itau.png" TargetMode="External"/><Relationship Id="rId1875" Type="http://schemas.openxmlformats.org/officeDocument/2006/relationships/hyperlink" Target="https://i.ibb.co/DznB5q4/Itau.png" TargetMode="External"/><Relationship Id="rId1876" Type="http://schemas.openxmlformats.org/officeDocument/2006/relationships/hyperlink" Target="https://i.ibb.co/DznB5q4/Itau.png" TargetMode="External"/><Relationship Id="rId1877" Type="http://schemas.openxmlformats.org/officeDocument/2006/relationships/hyperlink" Target="https://i.ibb.co/DznB5q4/Itau.png" TargetMode="External"/><Relationship Id="rId1878" Type="http://schemas.openxmlformats.org/officeDocument/2006/relationships/hyperlink" Target="https://i.ibb.co/DznB5q4/Itau.png" TargetMode="External"/><Relationship Id="rId1879" Type="http://schemas.openxmlformats.org/officeDocument/2006/relationships/hyperlink" Target="https://i.ibb.co/DznB5q4/Itau.png" TargetMode="External"/><Relationship Id="rId1880" Type="http://schemas.openxmlformats.org/officeDocument/2006/relationships/hyperlink" Target="https://i.ibb.co/DznB5q4/Itau.png" TargetMode="External"/><Relationship Id="rId1881" Type="http://schemas.openxmlformats.org/officeDocument/2006/relationships/hyperlink" Target="https://i.ibb.co/DznB5q4/Itau.png" TargetMode="External"/><Relationship Id="rId1882" Type="http://schemas.openxmlformats.org/officeDocument/2006/relationships/hyperlink" Target="https://i.ibb.co/DznB5q4/Itau.png" TargetMode="External"/><Relationship Id="rId1883" Type="http://schemas.openxmlformats.org/officeDocument/2006/relationships/hyperlink" Target="https://i.ibb.co/DznB5q4/Itau.png" TargetMode="External"/><Relationship Id="rId1884" Type="http://schemas.openxmlformats.org/officeDocument/2006/relationships/hyperlink" Target="https://i.ibb.co/DznB5q4/Itau.png" TargetMode="External"/><Relationship Id="rId1885" Type="http://schemas.openxmlformats.org/officeDocument/2006/relationships/hyperlink" Target="https://i.ibb.co/DznB5q4/Itau.png" TargetMode="External"/><Relationship Id="rId1886" Type="http://schemas.openxmlformats.org/officeDocument/2006/relationships/hyperlink" Target="https://i.ibb.co/DznB5q4/Itau.png" TargetMode="External"/><Relationship Id="rId1887" Type="http://schemas.openxmlformats.org/officeDocument/2006/relationships/hyperlink" Target="https://i.ibb.co/DznB5q4/Itau.png" TargetMode="External"/><Relationship Id="rId1888" Type="http://schemas.openxmlformats.org/officeDocument/2006/relationships/hyperlink" Target="https://i.ibb.co/DznB5q4/Itau.png" TargetMode="External"/><Relationship Id="rId1889" Type="http://schemas.openxmlformats.org/officeDocument/2006/relationships/hyperlink" Target="https://i.ibb.co/DznB5q4/Itau.png" TargetMode="External"/><Relationship Id="rId1890" Type="http://schemas.openxmlformats.org/officeDocument/2006/relationships/hyperlink" Target="https://i.ibb.co/DznB5q4/Itau.png" TargetMode="External"/><Relationship Id="rId1891" Type="http://schemas.openxmlformats.org/officeDocument/2006/relationships/hyperlink" Target="https://i.ibb.co/DznB5q4/Itau.png" TargetMode="External"/><Relationship Id="rId1892" Type="http://schemas.openxmlformats.org/officeDocument/2006/relationships/hyperlink" Target="https://i.ibb.co/DznB5q4/Itau.png" TargetMode="External"/><Relationship Id="rId1893" Type="http://schemas.openxmlformats.org/officeDocument/2006/relationships/hyperlink" Target="https://i.ibb.co/DznB5q4/Itau.png" TargetMode="External"/><Relationship Id="rId1894" Type="http://schemas.openxmlformats.org/officeDocument/2006/relationships/hyperlink" Target="https://i.ibb.co/DznB5q4/Itau.png" TargetMode="External"/><Relationship Id="rId1895" Type="http://schemas.openxmlformats.org/officeDocument/2006/relationships/hyperlink" Target="https://i.ibb.co/DznB5q4/Itau.png" TargetMode="External"/><Relationship Id="rId1896" Type="http://schemas.openxmlformats.org/officeDocument/2006/relationships/hyperlink" Target="https://i.ibb.co/DznB5q4/Itau.png" TargetMode="External"/><Relationship Id="rId1897" Type="http://schemas.openxmlformats.org/officeDocument/2006/relationships/hyperlink" Target="https://i.ibb.co/DznB5q4/Itau.png" TargetMode="External"/><Relationship Id="rId1898" Type="http://schemas.openxmlformats.org/officeDocument/2006/relationships/hyperlink" Target="https://i.ibb.co/DznB5q4/Itau.png" TargetMode="External"/><Relationship Id="rId1899" Type="http://schemas.openxmlformats.org/officeDocument/2006/relationships/hyperlink" Target="https://i.ibb.co/DznB5q4/Itau.png" TargetMode="External"/><Relationship Id="rId1900" Type="http://schemas.openxmlformats.org/officeDocument/2006/relationships/hyperlink" Target="https://i.ibb.co/DznB5q4/Itau.png" TargetMode="External"/><Relationship Id="rId1901" Type="http://schemas.openxmlformats.org/officeDocument/2006/relationships/hyperlink" Target="https://i.ibb.co/DznB5q4/Itau.png" TargetMode="External"/><Relationship Id="rId1902" Type="http://schemas.openxmlformats.org/officeDocument/2006/relationships/hyperlink" Target="https://i.ibb.co/DznB5q4/Itau.png" TargetMode="External"/><Relationship Id="rId1903" Type="http://schemas.openxmlformats.org/officeDocument/2006/relationships/hyperlink" Target="https://i.ibb.co/DznB5q4/Itau.png" TargetMode="External"/><Relationship Id="rId1904" Type="http://schemas.openxmlformats.org/officeDocument/2006/relationships/hyperlink" Target="https://i.ibb.co/DznB5q4/Itau.png" TargetMode="External"/><Relationship Id="rId1905" Type="http://schemas.openxmlformats.org/officeDocument/2006/relationships/hyperlink" Target="https://i.ibb.co/DznB5q4/Itau.png" TargetMode="External"/><Relationship Id="rId1906" Type="http://schemas.openxmlformats.org/officeDocument/2006/relationships/hyperlink" Target="https://i.ibb.co/DznB5q4/Itau.png" TargetMode="External"/><Relationship Id="rId1907" Type="http://schemas.openxmlformats.org/officeDocument/2006/relationships/hyperlink" Target="https://i.ibb.co/DznB5q4/Itau.png" TargetMode="External"/><Relationship Id="rId1908" Type="http://schemas.openxmlformats.org/officeDocument/2006/relationships/hyperlink" Target="https://i.ibb.co/DznB5q4/Itau.png" TargetMode="External"/><Relationship Id="rId1909" Type="http://schemas.openxmlformats.org/officeDocument/2006/relationships/hyperlink" Target="https://i.ibb.co/DznB5q4/Itau.png" TargetMode="External"/><Relationship Id="rId1910" Type="http://schemas.openxmlformats.org/officeDocument/2006/relationships/hyperlink" Target="https://i.ibb.co/DznB5q4/Itau.png" TargetMode="External"/><Relationship Id="rId1911" Type="http://schemas.openxmlformats.org/officeDocument/2006/relationships/hyperlink" Target="https://i.ibb.co/DznB5q4/Itau.png" TargetMode="External"/><Relationship Id="rId1912" Type="http://schemas.openxmlformats.org/officeDocument/2006/relationships/hyperlink" Target="https://i.ibb.co/DznB5q4/Itau.png" TargetMode="External"/><Relationship Id="rId1913" Type="http://schemas.openxmlformats.org/officeDocument/2006/relationships/hyperlink" Target="https://i.ibb.co/DznB5q4/Itau.png" TargetMode="External"/><Relationship Id="rId1914" Type="http://schemas.openxmlformats.org/officeDocument/2006/relationships/hyperlink" Target="https://i.ibb.co/DznB5q4/Itau.png" TargetMode="External"/><Relationship Id="rId1915" Type="http://schemas.openxmlformats.org/officeDocument/2006/relationships/hyperlink" Target="https://i.ibb.co/DznB5q4/Itau.png" TargetMode="External"/><Relationship Id="rId1916" Type="http://schemas.openxmlformats.org/officeDocument/2006/relationships/hyperlink" Target="https://i.ibb.co/DznB5q4/Itau.png" TargetMode="External"/><Relationship Id="rId1917" Type="http://schemas.openxmlformats.org/officeDocument/2006/relationships/hyperlink" Target="https://i.ibb.co/DznB5q4/Itau.png" TargetMode="External"/><Relationship Id="rId1918" Type="http://schemas.openxmlformats.org/officeDocument/2006/relationships/hyperlink" Target="https://i.ibb.co/DznB5q4/Itau.png" TargetMode="External"/><Relationship Id="rId1919" Type="http://schemas.openxmlformats.org/officeDocument/2006/relationships/hyperlink" Target="https://i.ibb.co/DznB5q4/Itau.png" TargetMode="External"/><Relationship Id="rId1920" Type="http://schemas.openxmlformats.org/officeDocument/2006/relationships/hyperlink" Target="https://i.ibb.co/DznB5q4/Itau.png" TargetMode="External"/><Relationship Id="rId1921" Type="http://schemas.openxmlformats.org/officeDocument/2006/relationships/hyperlink" Target="https://i.ibb.co/DznB5q4/Itau.png" TargetMode="External"/><Relationship Id="rId1922" Type="http://schemas.openxmlformats.org/officeDocument/2006/relationships/hyperlink" Target="https://i.ibb.co/DznB5q4/Itau.png" TargetMode="External"/><Relationship Id="rId1923" Type="http://schemas.openxmlformats.org/officeDocument/2006/relationships/hyperlink" Target="https://i.ibb.co/DznB5q4/Itau.png" TargetMode="External"/><Relationship Id="rId1924" Type="http://schemas.openxmlformats.org/officeDocument/2006/relationships/hyperlink" Target="https://i.ibb.co/DznB5q4/Itau.png" TargetMode="External"/><Relationship Id="rId1925" Type="http://schemas.openxmlformats.org/officeDocument/2006/relationships/hyperlink" Target="https://i.ibb.co/DznB5q4/Itau.png" TargetMode="External"/><Relationship Id="rId1926" Type="http://schemas.openxmlformats.org/officeDocument/2006/relationships/hyperlink" Target="https://i.ibb.co/DznB5q4/Itau.png" TargetMode="External"/><Relationship Id="rId1927" Type="http://schemas.openxmlformats.org/officeDocument/2006/relationships/hyperlink" Target="https://i.ibb.co/DznB5q4/Itau.png" TargetMode="External"/><Relationship Id="rId1928" Type="http://schemas.openxmlformats.org/officeDocument/2006/relationships/hyperlink" Target="https://i.ibb.co/DznB5q4/Itau.png" TargetMode="External"/><Relationship Id="rId1929" Type="http://schemas.openxmlformats.org/officeDocument/2006/relationships/hyperlink" Target="https://i.ibb.co/DznB5q4/Itau.png" TargetMode="External"/><Relationship Id="rId1930" Type="http://schemas.openxmlformats.org/officeDocument/2006/relationships/hyperlink" Target="https://i.ibb.co/DznB5q4/Itau.png" TargetMode="External"/><Relationship Id="rId1931" Type="http://schemas.openxmlformats.org/officeDocument/2006/relationships/hyperlink" Target="https://i.ibb.co/DznB5q4/Itau.png" TargetMode="External"/><Relationship Id="rId1932" Type="http://schemas.openxmlformats.org/officeDocument/2006/relationships/hyperlink" Target="https://i.ibb.co/DznB5q4/Itau.png" TargetMode="External"/><Relationship Id="rId1933" Type="http://schemas.openxmlformats.org/officeDocument/2006/relationships/hyperlink" Target="https://i.ibb.co/DznB5q4/Itau.png" TargetMode="External"/><Relationship Id="rId1934" Type="http://schemas.openxmlformats.org/officeDocument/2006/relationships/hyperlink" Target="https://i.ibb.co/DznB5q4/Itau.png" TargetMode="External"/><Relationship Id="rId1935" Type="http://schemas.openxmlformats.org/officeDocument/2006/relationships/hyperlink" Target="https://i.ibb.co/DznB5q4/Itau.png" TargetMode="External"/><Relationship Id="rId1936" Type="http://schemas.openxmlformats.org/officeDocument/2006/relationships/hyperlink" Target="https://i.ibb.co/DznB5q4/Itau.png" TargetMode="External"/><Relationship Id="rId1937" Type="http://schemas.openxmlformats.org/officeDocument/2006/relationships/hyperlink" Target="https://i.ibb.co/DznB5q4/Itau.png" TargetMode="External"/><Relationship Id="rId1938" Type="http://schemas.openxmlformats.org/officeDocument/2006/relationships/hyperlink" Target="https://i.ibb.co/DznB5q4/Itau.png" TargetMode="External"/><Relationship Id="rId1939" Type="http://schemas.openxmlformats.org/officeDocument/2006/relationships/hyperlink" Target="https://i.ibb.co/DznB5q4/Itau.png" TargetMode="External"/><Relationship Id="rId1940" Type="http://schemas.openxmlformats.org/officeDocument/2006/relationships/hyperlink" Target="https://i.ibb.co/DznB5q4/Itau.png" TargetMode="External"/><Relationship Id="rId1941" Type="http://schemas.openxmlformats.org/officeDocument/2006/relationships/hyperlink" Target="https://i.ibb.co/DznB5q4/Itau.png" TargetMode="External"/><Relationship Id="rId1942" Type="http://schemas.openxmlformats.org/officeDocument/2006/relationships/hyperlink" Target="https://i.ibb.co/DznB5q4/Itau.png" TargetMode="External"/><Relationship Id="rId1943" Type="http://schemas.openxmlformats.org/officeDocument/2006/relationships/hyperlink" Target="https://i.ibb.co/DznB5q4/Itau.png" TargetMode="External"/><Relationship Id="rId1944" Type="http://schemas.openxmlformats.org/officeDocument/2006/relationships/hyperlink" Target="https://i.ibb.co/DznB5q4/Itau.png" TargetMode="External"/><Relationship Id="rId1945" Type="http://schemas.openxmlformats.org/officeDocument/2006/relationships/hyperlink" Target="https://i.ibb.co/DznB5q4/Itau.png" TargetMode="External"/><Relationship Id="rId1946" Type="http://schemas.openxmlformats.org/officeDocument/2006/relationships/hyperlink" Target="https://i.ibb.co/DznB5q4/Itau.png" TargetMode="External"/><Relationship Id="rId1947" Type="http://schemas.openxmlformats.org/officeDocument/2006/relationships/hyperlink" Target="https://i.ibb.co/DznB5q4/Itau.png" TargetMode="External"/><Relationship Id="rId1948" Type="http://schemas.openxmlformats.org/officeDocument/2006/relationships/hyperlink" Target="https://i.ibb.co/DznB5q4/Itau.png" TargetMode="External"/><Relationship Id="rId1949" Type="http://schemas.openxmlformats.org/officeDocument/2006/relationships/hyperlink" Target="https://i.ibb.co/DznB5q4/Itau.png" TargetMode="External"/><Relationship Id="rId1950" Type="http://schemas.openxmlformats.org/officeDocument/2006/relationships/hyperlink" Target="https://i.ibb.co/DznB5q4/Itau.png" TargetMode="External"/><Relationship Id="rId1951" Type="http://schemas.openxmlformats.org/officeDocument/2006/relationships/hyperlink" Target="https://i.ibb.co/DznB5q4/Itau.png" TargetMode="External"/><Relationship Id="rId1952" Type="http://schemas.openxmlformats.org/officeDocument/2006/relationships/hyperlink" Target="https://i.ibb.co/DznB5q4/Itau.png" TargetMode="External"/><Relationship Id="rId1953" Type="http://schemas.openxmlformats.org/officeDocument/2006/relationships/hyperlink" Target="https://i.ibb.co/DznB5q4/Itau.png" TargetMode="External"/><Relationship Id="rId1954" Type="http://schemas.openxmlformats.org/officeDocument/2006/relationships/hyperlink" Target="https://i.ibb.co/DznB5q4/Itau.png" TargetMode="External"/><Relationship Id="rId1955" Type="http://schemas.openxmlformats.org/officeDocument/2006/relationships/hyperlink" Target="https://i.ibb.co/DznB5q4/Itau.png" TargetMode="External"/><Relationship Id="rId1956" Type="http://schemas.openxmlformats.org/officeDocument/2006/relationships/hyperlink" Target="https://i.ibb.co/DznB5q4/Itau.png" TargetMode="External"/><Relationship Id="rId1957" Type="http://schemas.openxmlformats.org/officeDocument/2006/relationships/hyperlink" Target="https://i.ibb.co/DznB5q4/Itau.png" TargetMode="External"/><Relationship Id="rId1958" Type="http://schemas.openxmlformats.org/officeDocument/2006/relationships/hyperlink" Target="https://i.ibb.co/DznB5q4/Itau.png" TargetMode="External"/><Relationship Id="rId1959" Type="http://schemas.openxmlformats.org/officeDocument/2006/relationships/hyperlink" Target="https://i.ibb.co/DznB5q4/Itau.png" TargetMode="External"/><Relationship Id="rId1960" Type="http://schemas.openxmlformats.org/officeDocument/2006/relationships/hyperlink" Target="https://i.ibb.co/DznB5q4/Itau.png" TargetMode="External"/><Relationship Id="rId1961" Type="http://schemas.openxmlformats.org/officeDocument/2006/relationships/hyperlink" Target="https://i.ibb.co/DznB5q4/Itau.png" TargetMode="External"/><Relationship Id="rId1962" Type="http://schemas.openxmlformats.org/officeDocument/2006/relationships/hyperlink" Target="https://i.ibb.co/DznB5q4/Itau.png" TargetMode="External"/><Relationship Id="rId1963" Type="http://schemas.openxmlformats.org/officeDocument/2006/relationships/hyperlink" Target="https://i.ibb.co/DznB5q4/Itau.png" TargetMode="External"/><Relationship Id="rId1964" Type="http://schemas.openxmlformats.org/officeDocument/2006/relationships/hyperlink" Target="https://i.ibb.co/DznB5q4/Itau.png" TargetMode="External"/><Relationship Id="rId1965" Type="http://schemas.openxmlformats.org/officeDocument/2006/relationships/hyperlink" Target="https://i.ibb.co/DznB5q4/Itau.png" TargetMode="External"/><Relationship Id="rId1966" Type="http://schemas.openxmlformats.org/officeDocument/2006/relationships/hyperlink" Target="https://i.ibb.co/DznB5q4/Itau.png" TargetMode="External"/><Relationship Id="rId1967" Type="http://schemas.openxmlformats.org/officeDocument/2006/relationships/hyperlink" Target="https://i.ibb.co/DznB5q4/Itau.png" TargetMode="External"/><Relationship Id="rId1968" Type="http://schemas.openxmlformats.org/officeDocument/2006/relationships/hyperlink" Target="https://i.ibb.co/DznB5q4/Itau.png" TargetMode="External"/><Relationship Id="rId1969" Type="http://schemas.openxmlformats.org/officeDocument/2006/relationships/hyperlink" Target="https://i.ibb.co/DznB5q4/Itau.png" TargetMode="External"/><Relationship Id="rId1970" Type="http://schemas.openxmlformats.org/officeDocument/2006/relationships/hyperlink" Target="https://i.ibb.co/DznB5q4/Itau.png" TargetMode="External"/><Relationship Id="rId1971" Type="http://schemas.openxmlformats.org/officeDocument/2006/relationships/hyperlink" Target="https://i.ibb.co/DznB5q4/Itau.png" TargetMode="External"/><Relationship Id="rId1972" Type="http://schemas.openxmlformats.org/officeDocument/2006/relationships/hyperlink" Target="https://i.ibb.co/DznB5q4/Itau.png" TargetMode="External"/><Relationship Id="rId1973" Type="http://schemas.openxmlformats.org/officeDocument/2006/relationships/hyperlink" Target="https://i.ibb.co/DznB5q4/Itau.png" TargetMode="External"/><Relationship Id="rId1974" Type="http://schemas.openxmlformats.org/officeDocument/2006/relationships/hyperlink" Target="https://i.ibb.co/DznB5q4/Itau.png" TargetMode="External"/><Relationship Id="rId1975" Type="http://schemas.openxmlformats.org/officeDocument/2006/relationships/hyperlink" Target="https://i.ibb.co/DznB5q4/Itau.png" TargetMode="External"/><Relationship Id="rId1976" Type="http://schemas.openxmlformats.org/officeDocument/2006/relationships/hyperlink" Target="https://i.ibb.co/DznB5q4/Itau.png" TargetMode="External"/><Relationship Id="rId1977" Type="http://schemas.openxmlformats.org/officeDocument/2006/relationships/hyperlink" Target="https://i.ibb.co/DznB5q4/Itau.png" TargetMode="External"/><Relationship Id="rId1978" Type="http://schemas.openxmlformats.org/officeDocument/2006/relationships/hyperlink" Target="https://i.ibb.co/DznB5q4/Itau.png" TargetMode="External"/><Relationship Id="rId1979" Type="http://schemas.openxmlformats.org/officeDocument/2006/relationships/hyperlink" Target="https://i.ibb.co/DznB5q4/Itau.png" TargetMode="External"/><Relationship Id="rId1980" Type="http://schemas.openxmlformats.org/officeDocument/2006/relationships/hyperlink" Target="https://i.ibb.co/DznB5q4/Itau.png" TargetMode="External"/><Relationship Id="rId1981" Type="http://schemas.openxmlformats.org/officeDocument/2006/relationships/hyperlink" Target="https://i.ibb.co/DznB5q4/Itau.png" TargetMode="External"/><Relationship Id="rId1982" Type="http://schemas.openxmlformats.org/officeDocument/2006/relationships/hyperlink" Target="https://i.ibb.co/DznB5q4/Itau.png" TargetMode="External"/><Relationship Id="rId1983" Type="http://schemas.openxmlformats.org/officeDocument/2006/relationships/hyperlink" Target="https://i.ibb.co/DznB5q4/Itau.png" TargetMode="External"/><Relationship Id="rId1984" Type="http://schemas.openxmlformats.org/officeDocument/2006/relationships/hyperlink" Target="https://i.ibb.co/DznB5q4/Itau.png" TargetMode="External"/><Relationship Id="rId1985" Type="http://schemas.openxmlformats.org/officeDocument/2006/relationships/hyperlink" Target="https://i.ibb.co/DznB5q4/Itau.png" TargetMode="External"/><Relationship Id="rId1986" Type="http://schemas.openxmlformats.org/officeDocument/2006/relationships/hyperlink" Target="https://i.ibb.co/DznB5q4/Itau.png" TargetMode="External"/><Relationship Id="rId1987" Type="http://schemas.openxmlformats.org/officeDocument/2006/relationships/hyperlink" Target="https://i.ibb.co/DznB5q4/Itau.png" TargetMode="External"/><Relationship Id="rId1988" Type="http://schemas.openxmlformats.org/officeDocument/2006/relationships/hyperlink" Target="https://i.ibb.co/DznB5q4/Itau.png" TargetMode="External"/><Relationship Id="rId1989" Type="http://schemas.openxmlformats.org/officeDocument/2006/relationships/hyperlink" Target="https://i.ibb.co/DznB5q4/Itau.png" TargetMode="External"/><Relationship Id="rId1990" Type="http://schemas.openxmlformats.org/officeDocument/2006/relationships/hyperlink" Target="https://i.ibb.co/DznB5q4/Itau.png" TargetMode="External"/><Relationship Id="rId1991" Type="http://schemas.openxmlformats.org/officeDocument/2006/relationships/hyperlink" Target="https://i.ibb.co/DznB5q4/Itau.png" TargetMode="External"/><Relationship Id="rId1992" Type="http://schemas.openxmlformats.org/officeDocument/2006/relationships/hyperlink" Target="https://i.ibb.co/DznB5q4/Itau.png" TargetMode="External"/><Relationship Id="rId1993" Type="http://schemas.openxmlformats.org/officeDocument/2006/relationships/hyperlink" Target="https://i.ibb.co/DznB5q4/Itau.png" TargetMode="External"/><Relationship Id="rId1994" Type="http://schemas.openxmlformats.org/officeDocument/2006/relationships/hyperlink" Target="https://i.ibb.co/DznB5q4/Itau.png" TargetMode="External"/><Relationship Id="rId1995" Type="http://schemas.openxmlformats.org/officeDocument/2006/relationships/hyperlink" Target="https://i.ibb.co/DznB5q4/Itau.png" TargetMode="External"/><Relationship Id="rId1996" Type="http://schemas.openxmlformats.org/officeDocument/2006/relationships/hyperlink" Target="https://i.ibb.co/DznB5q4/Itau.png" TargetMode="External"/><Relationship Id="rId1997" Type="http://schemas.openxmlformats.org/officeDocument/2006/relationships/hyperlink" Target="https://i.ibb.co/DznB5q4/Itau.png" TargetMode="External"/><Relationship Id="rId1998" Type="http://schemas.openxmlformats.org/officeDocument/2006/relationships/hyperlink" Target="https://i.ibb.co/DznB5q4/Itau.png" TargetMode="External"/><Relationship Id="rId1999" Type="http://schemas.openxmlformats.org/officeDocument/2006/relationships/hyperlink" Target="https://i.ibb.co/DznB5q4/Itau.png" TargetMode="External"/><Relationship Id="rId2000" Type="http://schemas.openxmlformats.org/officeDocument/2006/relationships/hyperlink" Target="https://i.ibb.co/DznB5q4/Itau.png" TargetMode="External"/><Relationship Id="rId2001" Type="http://schemas.openxmlformats.org/officeDocument/2006/relationships/hyperlink" Target="https://i.ibb.co/DznB5q4/Itau.png" TargetMode="External"/><Relationship Id="rId2002" Type="http://schemas.openxmlformats.org/officeDocument/2006/relationships/hyperlink" Target="https://i.ibb.co/DznB5q4/Itau.png" TargetMode="External"/><Relationship Id="rId2003" Type="http://schemas.openxmlformats.org/officeDocument/2006/relationships/hyperlink" Target="https://i.ibb.co/DznB5q4/Itau.png" TargetMode="External"/><Relationship Id="rId2004" Type="http://schemas.openxmlformats.org/officeDocument/2006/relationships/hyperlink" Target="https://i.ibb.co/DznB5q4/Itau.png" TargetMode="External"/><Relationship Id="rId2005" Type="http://schemas.openxmlformats.org/officeDocument/2006/relationships/hyperlink" Target="https://i.ibb.co/DznB5q4/Itau.png" TargetMode="External"/><Relationship Id="rId2006" Type="http://schemas.openxmlformats.org/officeDocument/2006/relationships/hyperlink" Target="https://i.ibb.co/DznB5q4/Itau.png" TargetMode="External"/><Relationship Id="rId2007" Type="http://schemas.openxmlformats.org/officeDocument/2006/relationships/hyperlink" Target="https://i.ibb.co/DznB5q4/Itau.png" TargetMode="External"/><Relationship Id="rId2008" Type="http://schemas.openxmlformats.org/officeDocument/2006/relationships/hyperlink" Target="https://i.ibb.co/DznB5q4/Itau.png" TargetMode="External"/><Relationship Id="rId2009" Type="http://schemas.openxmlformats.org/officeDocument/2006/relationships/hyperlink" Target="https://i.ibb.co/DznB5q4/Itau.png" TargetMode="External"/><Relationship Id="rId2010" Type="http://schemas.openxmlformats.org/officeDocument/2006/relationships/hyperlink" Target="https://i.ibb.co/DznB5q4/Itau.png" TargetMode="External"/><Relationship Id="rId2011" Type="http://schemas.openxmlformats.org/officeDocument/2006/relationships/hyperlink" Target="https://i.ibb.co/DznB5q4/Itau.png" TargetMode="External"/><Relationship Id="rId2012" Type="http://schemas.openxmlformats.org/officeDocument/2006/relationships/hyperlink" Target="https://i.ibb.co/DznB5q4/Itau.png" TargetMode="External"/><Relationship Id="rId2013" Type="http://schemas.openxmlformats.org/officeDocument/2006/relationships/hyperlink" Target="https://i.ibb.co/DznB5q4/Itau.png" TargetMode="External"/><Relationship Id="rId2014" Type="http://schemas.openxmlformats.org/officeDocument/2006/relationships/hyperlink" Target="https://i.ibb.co/DznB5q4/Itau.png" TargetMode="External"/><Relationship Id="rId2015" Type="http://schemas.openxmlformats.org/officeDocument/2006/relationships/hyperlink" Target="https://i.ibb.co/DznB5q4/Itau.png" TargetMode="External"/><Relationship Id="rId2016" Type="http://schemas.openxmlformats.org/officeDocument/2006/relationships/hyperlink" Target="https://i.ibb.co/DznB5q4/Itau.png" TargetMode="External"/><Relationship Id="rId2017" Type="http://schemas.openxmlformats.org/officeDocument/2006/relationships/hyperlink" Target="https://i.ibb.co/DznB5q4/Itau.png" TargetMode="External"/><Relationship Id="rId2018" Type="http://schemas.openxmlformats.org/officeDocument/2006/relationships/hyperlink" Target="https://i.ibb.co/DznB5q4/Itau.png" TargetMode="External"/><Relationship Id="rId2019" Type="http://schemas.openxmlformats.org/officeDocument/2006/relationships/hyperlink" Target="https://i.ibb.co/DznB5q4/Itau.png" TargetMode="External"/><Relationship Id="rId2020" Type="http://schemas.openxmlformats.org/officeDocument/2006/relationships/hyperlink" Target="https://i.ibb.co/DznB5q4/Itau.png" TargetMode="External"/><Relationship Id="rId2021" Type="http://schemas.openxmlformats.org/officeDocument/2006/relationships/hyperlink" Target="https://i.ibb.co/DznB5q4/Itau.png" TargetMode="External"/><Relationship Id="rId2022" Type="http://schemas.openxmlformats.org/officeDocument/2006/relationships/hyperlink" Target="https://i.ibb.co/DznB5q4/Itau.png" TargetMode="External"/><Relationship Id="rId2023" Type="http://schemas.openxmlformats.org/officeDocument/2006/relationships/hyperlink" Target="https://i.ibb.co/DznB5q4/Itau.png" TargetMode="External"/><Relationship Id="rId2024" Type="http://schemas.openxmlformats.org/officeDocument/2006/relationships/hyperlink" Target="https://i.ibb.co/DznB5q4/Itau.png" TargetMode="External"/><Relationship Id="rId2025" Type="http://schemas.openxmlformats.org/officeDocument/2006/relationships/hyperlink" Target="https://i.ibb.co/DznB5q4/Itau.png" TargetMode="External"/><Relationship Id="rId2026" Type="http://schemas.openxmlformats.org/officeDocument/2006/relationships/hyperlink" Target="https://i.ibb.co/DznB5q4/Itau.png" TargetMode="External"/><Relationship Id="rId2027" Type="http://schemas.openxmlformats.org/officeDocument/2006/relationships/hyperlink" Target="https://i.ibb.co/DznB5q4/Itau.png" TargetMode="External"/><Relationship Id="rId2028" Type="http://schemas.openxmlformats.org/officeDocument/2006/relationships/hyperlink" Target="https://i.ibb.co/DznB5q4/Itau.png" TargetMode="External"/><Relationship Id="rId2029" Type="http://schemas.openxmlformats.org/officeDocument/2006/relationships/hyperlink" Target="https://i.ibb.co/DznB5q4/Itau.png" TargetMode="External"/><Relationship Id="rId2030" Type="http://schemas.openxmlformats.org/officeDocument/2006/relationships/hyperlink" Target="https://i.ibb.co/DznB5q4/Itau.png" TargetMode="External"/><Relationship Id="rId2031" Type="http://schemas.openxmlformats.org/officeDocument/2006/relationships/hyperlink" Target="https://i.ibb.co/DznB5q4/Itau.png" TargetMode="External"/><Relationship Id="rId2032" Type="http://schemas.openxmlformats.org/officeDocument/2006/relationships/hyperlink" Target="https://i.ibb.co/DznB5q4/Itau.png" TargetMode="External"/><Relationship Id="rId2033" Type="http://schemas.openxmlformats.org/officeDocument/2006/relationships/hyperlink" Target="https://i.ibb.co/DznB5q4/Itau.png" TargetMode="External"/><Relationship Id="rId2034" Type="http://schemas.openxmlformats.org/officeDocument/2006/relationships/hyperlink" Target="https://i.ibb.co/DznB5q4/Itau.png" TargetMode="External"/><Relationship Id="rId2035" Type="http://schemas.openxmlformats.org/officeDocument/2006/relationships/hyperlink" Target="https://i.ibb.co/DznB5q4/Itau.png" TargetMode="External"/><Relationship Id="rId2036" Type="http://schemas.openxmlformats.org/officeDocument/2006/relationships/hyperlink" Target="https://i.ibb.co/DznB5q4/Itau.png" TargetMode="External"/><Relationship Id="rId2037" Type="http://schemas.openxmlformats.org/officeDocument/2006/relationships/hyperlink" Target="https://i.ibb.co/DznB5q4/Itau.png" TargetMode="External"/><Relationship Id="rId2038" Type="http://schemas.openxmlformats.org/officeDocument/2006/relationships/hyperlink" Target="https://i.ibb.co/DznB5q4/Itau.png" TargetMode="External"/><Relationship Id="rId2039" Type="http://schemas.openxmlformats.org/officeDocument/2006/relationships/hyperlink" Target="https://i.ibb.co/DznB5q4/Itau.png" TargetMode="External"/><Relationship Id="rId2040" Type="http://schemas.openxmlformats.org/officeDocument/2006/relationships/hyperlink" Target="https://i.ibb.co/DznB5q4/Itau.png" TargetMode="External"/><Relationship Id="rId2041" Type="http://schemas.openxmlformats.org/officeDocument/2006/relationships/hyperlink" Target="https://i.ibb.co/DznB5q4/Itau.png" TargetMode="External"/><Relationship Id="rId2042" Type="http://schemas.openxmlformats.org/officeDocument/2006/relationships/hyperlink" Target="https://i.ibb.co/DznB5q4/Itau.png" TargetMode="External"/><Relationship Id="rId2043" Type="http://schemas.openxmlformats.org/officeDocument/2006/relationships/hyperlink" Target="https://i.ibb.co/DznB5q4/Itau.png" TargetMode="External"/><Relationship Id="rId2044" Type="http://schemas.openxmlformats.org/officeDocument/2006/relationships/hyperlink" Target="https://i.ibb.co/DznB5q4/Itau.png" TargetMode="External"/><Relationship Id="rId2045" Type="http://schemas.openxmlformats.org/officeDocument/2006/relationships/hyperlink" Target="https://i.ibb.co/DznB5q4/Itau.png" TargetMode="External"/><Relationship Id="rId2046" Type="http://schemas.openxmlformats.org/officeDocument/2006/relationships/hyperlink" Target="https://i.ibb.co/DznB5q4/Itau.png" TargetMode="External"/><Relationship Id="rId2047" Type="http://schemas.openxmlformats.org/officeDocument/2006/relationships/hyperlink" Target="https://i.ibb.co/DznB5q4/Itau.png" TargetMode="External"/><Relationship Id="rId2048" Type="http://schemas.openxmlformats.org/officeDocument/2006/relationships/hyperlink" Target="https://i.ibb.co/DznB5q4/Itau.png" TargetMode="External"/><Relationship Id="rId2049" Type="http://schemas.openxmlformats.org/officeDocument/2006/relationships/hyperlink" Target="https://i.ibb.co/DznB5q4/Itau.png" TargetMode="External"/><Relationship Id="rId2050" Type="http://schemas.openxmlformats.org/officeDocument/2006/relationships/hyperlink" Target="https://i.ibb.co/DznB5q4/Itau.png" TargetMode="External"/><Relationship Id="rId2051" Type="http://schemas.openxmlformats.org/officeDocument/2006/relationships/hyperlink" Target="https://i.ibb.co/DznB5q4/Itau.png" TargetMode="External"/><Relationship Id="rId2052" Type="http://schemas.openxmlformats.org/officeDocument/2006/relationships/hyperlink" Target="https://i.ibb.co/DznB5q4/Itau.png" TargetMode="External"/><Relationship Id="rId2053" Type="http://schemas.openxmlformats.org/officeDocument/2006/relationships/hyperlink" Target="https://i.ibb.co/DznB5q4/Itau.png" TargetMode="External"/><Relationship Id="rId2054" Type="http://schemas.openxmlformats.org/officeDocument/2006/relationships/hyperlink" Target="https://i.ibb.co/DznB5q4/Itau.png" TargetMode="External"/><Relationship Id="rId2055" Type="http://schemas.openxmlformats.org/officeDocument/2006/relationships/hyperlink" Target="https://i.ibb.co/DznB5q4/Itau.png" TargetMode="External"/><Relationship Id="rId2056" Type="http://schemas.openxmlformats.org/officeDocument/2006/relationships/hyperlink" Target="https://i.ibb.co/DznB5q4/Itau.png" TargetMode="External"/><Relationship Id="rId2057" Type="http://schemas.openxmlformats.org/officeDocument/2006/relationships/hyperlink" Target="https://i.ibb.co/DznB5q4/Itau.png" TargetMode="External"/><Relationship Id="rId2058" Type="http://schemas.openxmlformats.org/officeDocument/2006/relationships/hyperlink" Target="https://i.ibb.co/DznB5q4/Itau.png" TargetMode="External"/><Relationship Id="rId2059" Type="http://schemas.openxmlformats.org/officeDocument/2006/relationships/hyperlink" Target="https://i.ibb.co/DznB5q4/Itau.png" TargetMode="External"/><Relationship Id="rId2060" Type="http://schemas.openxmlformats.org/officeDocument/2006/relationships/hyperlink" Target="https://i.ibb.co/DznB5q4/Itau.png" TargetMode="External"/><Relationship Id="rId2061" Type="http://schemas.openxmlformats.org/officeDocument/2006/relationships/hyperlink" Target="https://i.ibb.co/DznB5q4/Itau.png" TargetMode="External"/><Relationship Id="rId2062" Type="http://schemas.openxmlformats.org/officeDocument/2006/relationships/hyperlink" Target="https://i.ibb.co/DznB5q4/Itau.png" TargetMode="External"/><Relationship Id="rId2063" Type="http://schemas.openxmlformats.org/officeDocument/2006/relationships/hyperlink" Target="https://i.ibb.co/DznB5q4/Itau.png" TargetMode="External"/><Relationship Id="rId2064" Type="http://schemas.openxmlformats.org/officeDocument/2006/relationships/hyperlink" Target="https://i.ibb.co/DznB5q4/Itau.png" TargetMode="External"/><Relationship Id="rId2065" Type="http://schemas.openxmlformats.org/officeDocument/2006/relationships/hyperlink" Target="https://i.ibb.co/DznB5q4/Itau.png" TargetMode="External"/><Relationship Id="rId2066" Type="http://schemas.openxmlformats.org/officeDocument/2006/relationships/hyperlink" Target="https://i.ibb.co/DznB5q4/Itau.png" TargetMode="External"/><Relationship Id="rId2067" Type="http://schemas.openxmlformats.org/officeDocument/2006/relationships/hyperlink" Target="https://i.ibb.co/DznB5q4/Itau.png" TargetMode="External"/><Relationship Id="rId2068" Type="http://schemas.openxmlformats.org/officeDocument/2006/relationships/hyperlink" Target="https://i.ibb.co/DznB5q4/Itau.png" TargetMode="External"/><Relationship Id="rId2069" Type="http://schemas.openxmlformats.org/officeDocument/2006/relationships/hyperlink" Target="https://i.ibb.co/DznB5q4/Itau.png" TargetMode="External"/><Relationship Id="rId2070" Type="http://schemas.openxmlformats.org/officeDocument/2006/relationships/hyperlink" Target="https://i.ibb.co/DznB5q4/Itau.png" TargetMode="External"/><Relationship Id="rId2071" Type="http://schemas.openxmlformats.org/officeDocument/2006/relationships/hyperlink" Target="https://i.ibb.co/DznB5q4/Itau.png" TargetMode="External"/><Relationship Id="rId2072" Type="http://schemas.openxmlformats.org/officeDocument/2006/relationships/hyperlink" Target="https://i.ibb.co/DznB5q4/Itau.png" TargetMode="External"/><Relationship Id="rId2073" Type="http://schemas.openxmlformats.org/officeDocument/2006/relationships/hyperlink" Target="https://i.ibb.co/DznB5q4/Itau.png" TargetMode="External"/><Relationship Id="rId2074" Type="http://schemas.openxmlformats.org/officeDocument/2006/relationships/hyperlink" Target="https://i.ibb.co/DznB5q4/Itau.png" TargetMode="External"/><Relationship Id="rId2075" Type="http://schemas.openxmlformats.org/officeDocument/2006/relationships/hyperlink" Target="https://i.ibb.co/DznB5q4/Itau.png" TargetMode="External"/><Relationship Id="rId2076" Type="http://schemas.openxmlformats.org/officeDocument/2006/relationships/hyperlink" Target="https://i.ibb.co/DznB5q4/Itau.png" TargetMode="External"/><Relationship Id="rId2077" Type="http://schemas.openxmlformats.org/officeDocument/2006/relationships/hyperlink" Target="https://i.ibb.co/DznB5q4/Itau.png" TargetMode="External"/><Relationship Id="rId2078" Type="http://schemas.openxmlformats.org/officeDocument/2006/relationships/hyperlink" Target="https://i.ibb.co/DznB5q4/Itau.png" TargetMode="External"/><Relationship Id="rId2079" Type="http://schemas.openxmlformats.org/officeDocument/2006/relationships/hyperlink" Target="https://i.ibb.co/DznB5q4/Itau.png" TargetMode="External"/><Relationship Id="rId2080" Type="http://schemas.openxmlformats.org/officeDocument/2006/relationships/hyperlink" Target="https://i.ibb.co/DznB5q4/Itau.png" TargetMode="External"/><Relationship Id="rId2081" Type="http://schemas.openxmlformats.org/officeDocument/2006/relationships/hyperlink" Target="https://i.ibb.co/DznB5q4/Itau.png" TargetMode="External"/><Relationship Id="rId2082" Type="http://schemas.openxmlformats.org/officeDocument/2006/relationships/hyperlink" Target="https://i.ibb.co/DznB5q4/Itau.png" TargetMode="External"/><Relationship Id="rId2083" Type="http://schemas.openxmlformats.org/officeDocument/2006/relationships/hyperlink" Target="https://i.ibb.co/DznB5q4/Itau.png" TargetMode="External"/><Relationship Id="rId2084" Type="http://schemas.openxmlformats.org/officeDocument/2006/relationships/hyperlink" Target="https://i.ibb.co/DznB5q4/Itau.png" TargetMode="External"/><Relationship Id="rId2085" Type="http://schemas.openxmlformats.org/officeDocument/2006/relationships/hyperlink" Target="https://i.ibb.co/DznB5q4/Itau.png" TargetMode="External"/><Relationship Id="rId2086" Type="http://schemas.openxmlformats.org/officeDocument/2006/relationships/hyperlink" Target="https://i.ibb.co/DznB5q4/Itau.png" TargetMode="External"/><Relationship Id="rId2087" Type="http://schemas.openxmlformats.org/officeDocument/2006/relationships/hyperlink" Target="https://i.ibb.co/DznB5q4/Itau.png" TargetMode="External"/><Relationship Id="rId2088" Type="http://schemas.openxmlformats.org/officeDocument/2006/relationships/hyperlink" Target="https://i.ibb.co/DznB5q4/Itau.png" TargetMode="External"/><Relationship Id="rId2089" Type="http://schemas.openxmlformats.org/officeDocument/2006/relationships/hyperlink" Target="https://i.ibb.co/DznB5q4/Itau.png" TargetMode="External"/><Relationship Id="rId2090" Type="http://schemas.openxmlformats.org/officeDocument/2006/relationships/hyperlink" Target="https://i.ibb.co/DznB5q4/Itau.png" TargetMode="External"/><Relationship Id="rId2091" Type="http://schemas.openxmlformats.org/officeDocument/2006/relationships/hyperlink" Target="https://i.ibb.co/DznB5q4/Itau.png" TargetMode="External"/><Relationship Id="rId2092" Type="http://schemas.openxmlformats.org/officeDocument/2006/relationships/hyperlink" Target="https://i.ibb.co/DznB5q4/Itau.png" TargetMode="External"/><Relationship Id="rId2093" Type="http://schemas.openxmlformats.org/officeDocument/2006/relationships/hyperlink" Target="https://i.ibb.co/DznB5q4/Itau.png" TargetMode="External"/><Relationship Id="rId2094" Type="http://schemas.openxmlformats.org/officeDocument/2006/relationships/hyperlink" Target="https://i.ibb.co/DznB5q4/Itau.png" TargetMode="External"/><Relationship Id="rId2095" Type="http://schemas.openxmlformats.org/officeDocument/2006/relationships/hyperlink" Target="https://i.ibb.co/DznB5q4/Itau.png" TargetMode="External"/><Relationship Id="rId2096" Type="http://schemas.openxmlformats.org/officeDocument/2006/relationships/hyperlink" Target="https://i.ibb.co/DznB5q4/Itau.png" TargetMode="External"/><Relationship Id="rId2097" Type="http://schemas.openxmlformats.org/officeDocument/2006/relationships/hyperlink" Target="https://i.ibb.co/DznB5q4/Itau.png" TargetMode="External"/><Relationship Id="rId2098" Type="http://schemas.openxmlformats.org/officeDocument/2006/relationships/hyperlink" Target="https://i.ibb.co/DznB5q4/Itau.png" TargetMode="External"/><Relationship Id="rId2099" Type="http://schemas.openxmlformats.org/officeDocument/2006/relationships/hyperlink" Target="https://i.ibb.co/DznB5q4/Itau.png" TargetMode="External"/><Relationship Id="rId2100" Type="http://schemas.openxmlformats.org/officeDocument/2006/relationships/hyperlink" Target="https://i.ibb.co/DznB5q4/Itau.png" TargetMode="External"/><Relationship Id="rId2101" Type="http://schemas.openxmlformats.org/officeDocument/2006/relationships/hyperlink" Target="https://i.ibb.co/DznB5q4/Itau.png" TargetMode="External"/><Relationship Id="rId2102" Type="http://schemas.openxmlformats.org/officeDocument/2006/relationships/hyperlink" Target="https://i.ibb.co/DznB5q4/Itau.png" TargetMode="External"/><Relationship Id="rId2103" Type="http://schemas.openxmlformats.org/officeDocument/2006/relationships/hyperlink" Target="https://i.ibb.co/DznB5q4/Itau.png" TargetMode="External"/><Relationship Id="rId2104" Type="http://schemas.openxmlformats.org/officeDocument/2006/relationships/hyperlink" Target="https://i.ibb.co/DznB5q4/Itau.png" TargetMode="External"/><Relationship Id="rId2105" Type="http://schemas.openxmlformats.org/officeDocument/2006/relationships/hyperlink" Target="https://i.ibb.co/DznB5q4/Itau.png" TargetMode="External"/><Relationship Id="rId2106" Type="http://schemas.openxmlformats.org/officeDocument/2006/relationships/hyperlink" Target="https://i.ibb.co/DznB5q4/Itau.png" TargetMode="External"/><Relationship Id="rId2107" Type="http://schemas.openxmlformats.org/officeDocument/2006/relationships/hyperlink" Target="https://i.ibb.co/DznB5q4/Itau.png" TargetMode="External"/><Relationship Id="rId2108" Type="http://schemas.openxmlformats.org/officeDocument/2006/relationships/hyperlink" Target="https://i.ibb.co/DznB5q4/Itau.png" TargetMode="External"/><Relationship Id="rId2109" Type="http://schemas.openxmlformats.org/officeDocument/2006/relationships/hyperlink" Target="https://i.ibb.co/DznB5q4/Itau.png" TargetMode="External"/><Relationship Id="rId2110" Type="http://schemas.openxmlformats.org/officeDocument/2006/relationships/hyperlink" Target="https://i.ibb.co/DznB5q4/Itau.png" TargetMode="External"/><Relationship Id="rId2111" Type="http://schemas.openxmlformats.org/officeDocument/2006/relationships/hyperlink" Target="https://i.ibb.co/DznB5q4/Itau.png" TargetMode="External"/><Relationship Id="rId2112" Type="http://schemas.openxmlformats.org/officeDocument/2006/relationships/hyperlink" Target="https://i.ibb.co/DznB5q4/Itau.png" TargetMode="External"/><Relationship Id="rId2113" Type="http://schemas.openxmlformats.org/officeDocument/2006/relationships/hyperlink" Target="https://i.ibb.co/DznB5q4/Itau.png" TargetMode="External"/><Relationship Id="rId2114" Type="http://schemas.openxmlformats.org/officeDocument/2006/relationships/hyperlink" Target="https://i.ibb.co/DznB5q4/Itau.png" TargetMode="External"/><Relationship Id="rId2115" Type="http://schemas.openxmlformats.org/officeDocument/2006/relationships/hyperlink" Target="https://i.ibb.co/DznB5q4/Itau.png" TargetMode="External"/><Relationship Id="rId2116" Type="http://schemas.openxmlformats.org/officeDocument/2006/relationships/hyperlink" Target="https://i.ibb.co/DznB5q4/Itau.png" TargetMode="External"/><Relationship Id="rId2117" Type="http://schemas.openxmlformats.org/officeDocument/2006/relationships/hyperlink" Target="https://i.ibb.co/DznB5q4/Itau.png" TargetMode="External"/><Relationship Id="rId2118" Type="http://schemas.openxmlformats.org/officeDocument/2006/relationships/hyperlink" Target="https://i.ibb.co/DznB5q4/Itau.png" TargetMode="External"/><Relationship Id="rId2119" Type="http://schemas.openxmlformats.org/officeDocument/2006/relationships/hyperlink" Target="https://i.ibb.co/DznB5q4/Itau.png" TargetMode="External"/><Relationship Id="rId2120" Type="http://schemas.openxmlformats.org/officeDocument/2006/relationships/hyperlink" Target="https://i.ibb.co/DznB5q4/Itau.png" TargetMode="External"/><Relationship Id="rId2121" Type="http://schemas.openxmlformats.org/officeDocument/2006/relationships/hyperlink" Target="https://i.ibb.co/DznB5q4/Itau.png" TargetMode="External"/><Relationship Id="rId2122" Type="http://schemas.openxmlformats.org/officeDocument/2006/relationships/hyperlink" Target="https://i.ibb.co/DznB5q4/Itau.png" TargetMode="External"/><Relationship Id="rId2123" Type="http://schemas.openxmlformats.org/officeDocument/2006/relationships/hyperlink" Target="https://i.ibb.co/DznB5q4/Itau.png" TargetMode="External"/><Relationship Id="rId2124" Type="http://schemas.openxmlformats.org/officeDocument/2006/relationships/hyperlink" Target="https://i.ibb.co/DznB5q4/Itau.png" TargetMode="External"/><Relationship Id="rId2125" Type="http://schemas.openxmlformats.org/officeDocument/2006/relationships/hyperlink" Target="https://i.ibb.co/DznB5q4/Itau.png" TargetMode="External"/><Relationship Id="rId2126" Type="http://schemas.openxmlformats.org/officeDocument/2006/relationships/hyperlink" Target="https://i.ibb.co/DznB5q4/Itau.png" TargetMode="External"/><Relationship Id="rId2127" Type="http://schemas.openxmlformats.org/officeDocument/2006/relationships/hyperlink" Target="https://i.ibb.co/DznB5q4/Itau.png" TargetMode="External"/><Relationship Id="rId2128" Type="http://schemas.openxmlformats.org/officeDocument/2006/relationships/hyperlink" Target="https://i.ibb.co/DznB5q4/Itau.png" TargetMode="External"/><Relationship Id="rId2129" Type="http://schemas.openxmlformats.org/officeDocument/2006/relationships/hyperlink" Target="https://i.ibb.co/DznB5q4/Itau.png" TargetMode="External"/><Relationship Id="rId2130" Type="http://schemas.openxmlformats.org/officeDocument/2006/relationships/hyperlink" Target="https://i.ibb.co/DznB5q4/Itau.png" TargetMode="External"/><Relationship Id="rId2131" Type="http://schemas.openxmlformats.org/officeDocument/2006/relationships/hyperlink" Target="https://i.ibb.co/DznB5q4/Itau.png" TargetMode="External"/><Relationship Id="rId2132" Type="http://schemas.openxmlformats.org/officeDocument/2006/relationships/hyperlink" Target="https://i.ibb.co/DznB5q4/Itau.png" TargetMode="External"/><Relationship Id="rId2133" Type="http://schemas.openxmlformats.org/officeDocument/2006/relationships/hyperlink" Target="https://i.ibb.co/DznB5q4/Itau.png" TargetMode="External"/><Relationship Id="rId2134" Type="http://schemas.openxmlformats.org/officeDocument/2006/relationships/hyperlink" Target="https://i.ibb.co/DznB5q4/Itau.png" TargetMode="External"/><Relationship Id="rId2135" Type="http://schemas.openxmlformats.org/officeDocument/2006/relationships/hyperlink" Target="https://i.ibb.co/DznB5q4/Itau.png" TargetMode="External"/><Relationship Id="rId2136" Type="http://schemas.openxmlformats.org/officeDocument/2006/relationships/hyperlink" Target="https://i.ibb.co/DznB5q4/Itau.png" TargetMode="External"/><Relationship Id="rId2137" Type="http://schemas.openxmlformats.org/officeDocument/2006/relationships/hyperlink" Target="https://i.ibb.co/DznB5q4/Itau.png" TargetMode="External"/><Relationship Id="rId2138" Type="http://schemas.openxmlformats.org/officeDocument/2006/relationships/hyperlink" Target="https://i.ibb.co/DznB5q4/Itau.png" TargetMode="External"/><Relationship Id="rId2139" Type="http://schemas.openxmlformats.org/officeDocument/2006/relationships/hyperlink" Target="https://i.ibb.co/DznB5q4/Itau.png" TargetMode="External"/><Relationship Id="rId2140" Type="http://schemas.openxmlformats.org/officeDocument/2006/relationships/hyperlink" Target="https://i.ibb.co/DznB5q4/Itau.png" TargetMode="External"/><Relationship Id="rId2141" Type="http://schemas.openxmlformats.org/officeDocument/2006/relationships/hyperlink" Target="https://i.ibb.co/DznB5q4/Itau.png" TargetMode="External"/><Relationship Id="rId2142" Type="http://schemas.openxmlformats.org/officeDocument/2006/relationships/hyperlink" Target="https://i.ibb.co/DznB5q4/Itau.png" TargetMode="External"/><Relationship Id="rId2143" Type="http://schemas.openxmlformats.org/officeDocument/2006/relationships/hyperlink" Target="https://i.ibb.co/DznB5q4/Itau.png" TargetMode="External"/><Relationship Id="rId2144" Type="http://schemas.openxmlformats.org/officeDocument/2006/relationships/hyperlink" Target="https://i.ibb.co/DznB5q4/Itau.png" TargetMode="External"/><Relationship Id="rId2145" Type="http://schemas.openxmlformats.org/officeDocument/2006/relationships/hyperlink" Target="https://i.ibb.co/DznB5q4/Itau.png" TargetMode="External"/><Relationship Id="rId2146" Type="http://schemas.openxmlformats.org/officeDocument/2006/relationships/hyperlink" Target="https://i.ibb.co/DznB5q4/Itau.png" TargetMode="External"/><Relationship Id="rId2147" Type="http://schemas.openxmlformats.org/officeDocument/2006/relationships/hyperlink" Target="https://i.ibb.co/DznB5q4/Itau.png" TargetMode="External"/><Relationship Id="rId2148" Type="http://schemas.openxmlformats.org/officeDocument/2006/relationships/hyperlink" Target="https://i.ibb.co/DznB5q4/Itau.png" TargetMode="External"/><Relationship Id="rId2149" Type="http://schemas.openxmlformats.org/officeDocument/2006/relationships/hyperlink" Target="https://i.ibb.co/DznB5q4/Itau.png" TargetMode="External"/><Relationship Id="rId2150" Type="http://schemas.openxmlformats.org/officeDocument/2006/relationships/hyperlink" Target="https://i.ibb.co/DznB5q4/Itau.png" TargetMode="External"/><Relationship Id="rId2151" Type="http://schemas.openxmlformats.org/officeDocument/2006/relationships/hyperlink" Target="https://i.ibb.co/DznB5q4/Itau.png" TargetMode="External"/><Relationship Id="rId2152" Type="http://schemas.openxmlformats.org/officeDocument/2006/relationships/hyperlink" Target="https://i.ibb.co/DznB5q4/Itau.png" TargetMode="External"/><Relationship Id="rId2153" Type="http://schemas.openxmlformats.org/officeDocument/2006/relationships/hyperlink" Target="https://i.ibb.co/DznB5q4/Itau.png" TargetMode="External"/><Relationship Id="rId2154" Type="http://schemas.openxmlformats.org/officeDocument/2006/relationships/hyperlink" Target="https://i.ibb.co/DznB5q4/Itau.png" TargetMode="External"/><Relationship Id="rId2155" Type="http://schemas.openxmlformats.org/officeDocument/2006/relationships/hyperlink" Target="https://i.ibb.co/DznB5q4/Itau.png" TargetMode="External"/><Relationship Id="rId2156" Type="http://schemas.openxmlformats.org/officeDocument/2006/relationships/hyperlink" Target="https://i.ibb.co/DznB5q4/Itau.png" TargetMode="External"/><Relationship Id="rId2157" Type="http://schemas.openxmlformats.org/officeDocument/2006/relationships/hyperlink" Target="https://i.ibb.co/DznB5q4/Itau.png" TargetMode="External"/><Relationship Id="rId2158" Type="http://schemas.openxmlformats.org/officeDocument/2006/relationships/hyperlink" Target="https://i.ibb.co/DznB5q4/Itau.png" TargetMode="External"/><Relationship Id="rId2159" Type="http://schemas.openxmlformats.org/officeDocument/2006/relationships/hyperlink" Target="https://i.ibb.co/DznB5q4/Itau.png" TargetMode="External"/><Relationship Id="rId2160" Type="http://schemas.openxmlformats.org/officeDocument/2006/relationships/hyperlink" Target="https://i.ibb.co/DznB5q4/Itau.png" TargetMode="External"/><Relationship Id="rId2161" Type="http://schemas.openxmlformats.org/officeDocument/2006/relationships/hyperlink" Target="https://i.ibb.co/DznB5q4/Itau.png" TargetMode="External"/><Relationship Id="rId2162" Type="http://schemas.openxmlformats.org/officeDocument/2006/relationships/hyperlink" Target="https://i.ibb.co/DznB5q4/Itau.png" TargetMode="External"/><Relationship Id="rId2163" Type="http://schemas.openxmlformats.org/officeDocument/2006/relationships/hyperlink" Target="https://i.ibb.co/DznB5q4/Itau.png" TargetMode="External"/><Relationship Id="rId2164" Type="http://schemas.openxmlformats.org/officeDocument/2006/relationships/hyperlink" Target="https://i.ibb.co/DznB5q4/Itau.png" TargetMode="External"/><Relationship Id="rId2165" Type="http://schemas.openxmlformats.org/officeDocument/2006/relationships/hyperlink" Target="https://i.ibb.co/DznB5q4/Itau.png" TargetMode="External"/><Relationship Id="rId2166" Type="http://schemas.openxmlformats.org/officeDocument/2006/relationships/hyperlink" Target="https://i.ibb.co/DznB5q4/Itau.png" TargetMode="External"/><Relationship Id="rId2167" Type="http://schemas.openxmlformats.org/officeDocument/2006/relationships/hyperlink" Target="https://i.ibb.co/DznB5q4/Itau.png" TargetMode="External"/><Relationship Id="rId2168" Type="http://schemas.openxmlformats.org/officeDocument/2006/relationships/hyperlink" Target="https://i.ibb.co/DznB5q4/Itau.png" TargetMode="External"/><Relationship Id="rId2169" Type="http://schemas.openxmlformats.org/officeDocument/2006/relationships/hyperlink" Target="https://i.ibb.co/DznB5q4/Itau.png" TargetMode="External"/><Relationship Id="rId2170" Type="http://schemas.openxmlformats.org/officeDocument/2006/relationships/hyperlink" Target="https://i.ibb.co/DznB5q4/Itau.png" TargetMode="External"/><Relationship Id="rId2171" Type="http://schemas.openxmlformats.org/officeDocument/2006/relationships/hyperlink" Target="https://i.ibb.co/DznB5q4/Itau.png" TargetMode="External"/><Relationship Id="rId2172" Type="http://schemas.openxmlformats.org/officeDocument/2006/relationships/hyperlink" Target="https://i.ibb.co/DznB5q4/Itau.png" TargetMode="External"/><Relationship Id="rId2173" Type="http://schemas.openxmlformats.org/officeDocument/2006/relationships/hyperlink" Target="https://i.ibb.co/DznB5q4/Itau.png" TargetMode="External"/><Relationship Id="rId2174" Type="http://schemas.openxmlformats.org/officeDocument/2006/relationships/hyperlink" Target="https://i.ibb.co/DznB5q4/Itau.png" TargetMode="External"/><Relationship Id="rId2175" Type="http://schemas.openxmlformats.org/officeDocument/2006/relationships/hyperlink" Target="https://i.ibb.co/DznB5q4/Itau.png" TargetMode="External"/><Relationship Id="rId2176" Type="http://schemas.openxmlformats.org/officeDocument/2006/relationships/hyperlink" Target="https://i.ibb.co/DznB5q4/Itau.png" TargetMode="External"/><Relationship Id="rId2177" Type="http://schemas.openxmlformats.org/officeDocument/2006/relationships/hyperlink" Target="https://i.ibb.co/DznB5q4/Itau.png" TargetMode="External"/><Relationship Id="rId2178" Type="http://schemas.openxmlformats.org/officeDocument/2006/relationships/hyperlink" Target="https://i.ibb.co/DznB5q4/Itau.png" TargetMode="External"/><Relationship Id="rId2179" Type="http://schemas.openxmlformats.org/officeDocument/2006/relationships/hyperlink" Target="https://i.ibb.co/DznB5q4/Itau.png" TargetMode="External"/><Relationship Id="rId2180" Type="http://schemas.openxmlformats.org/officeDocument/2006/relationships/hyperlink" Target="https://i.ibb.co/DznB5q4/Itau.png" TargetMode="External"/><Relationship Id="rId2181" Type="http://schemas.openxmlformats.org/officeDocument/2006/relationships/hyperlink" Target="https://i.ibb.co/DznB5q4/Itau.png" TargetMode="External"/><Relationship Id="rId2182" Type="http://schemas.openxmlformats.org/officeDocument/2006/relationships/hyperlink" Target="https://i.ibb.co/DznB5q4/Itau.png" TargetMode="External"/><Relationship Id="rId2183" Type="http://schemas.openxmlformats.org/officeDocument/2006/relationships/hyperlink" Target="https://i.ibb.co/DznB5q4/Itau.png" TargetMode="External"/><Relationship Id="rId2184" Type="http://schemas.openxmlformats.org/officeDocument/2006/relationships/hyperlink" Target="https://i.ibb.co/DznB5q4/Itau.png" TargetMode="External"/><Relationship Id="rId2185" Type="http://schemas.openxmlformats.org/officeDocument/2006/relationships/hyperlink" Target="https://i.ibb.co/DznB5q4/Itau.png" TargetMode="External"/><Relationship Id="rId2186" Type="http://schemas.openxmlformats.org/officeDocument/2006/relationships/hyperlink" Target="https://i.ibb.co/DznB5q4/Itau.png" TargetMode="External"/><Relationship Id="rId2187" Type="http://schemas.openxmlformats.org/officeDocument/2006/relationships/hyperlink" Target="https://i.ibb.co/DznB5q4/Itau.png" TargetMode="External"/><Relationship Id="rId2188" Type="http://schemas.openxmlformats.org/officeDocument/2006/relationships/hyperlink" Target="https://i.ibb.co/DznB5q4/Itau.png" TargetMode="External"/><Relationship Id="rId2189" Type="http://schemas.openxmlformats.org/officeDocument/2006/relationships/hyperlink" Target="https://i.ibb.co/DznB5q4/Itau.png" TargetMode="External"/><Relationship Id="rId2190" Type="http://schemas.openxmlformats.org/officeDocument/2006/relationships/hyperlink" Target="https://i.ibb.co/DznB5q4/Itau.png" TargetMode="External"/><Relationship Id="rId2191" Type="http://schemas.openxmlformats.org/officeDocument/2006/relationships/hyperlink" Target="https://i.ibb.co/DznB5q4/Itau.png" TargetMode="External"/><Relationship Id="rId2192" Type="http://schemas.openxmlformats.org/officeDocument/2006/relationships/hyperlink" Target="https://i.ibb.co/DznB5q4/Itau.png" TargetMode="External"/><Relationship Id="rId2193" Type="http://schemas.openxmlformats.org/officeDocument/2006/relationships/hyperlink" Target="https://i.ibb.co/DznB5q4/Itau.png" TargetMode="External"/><Relationship Id="rId2194" Type="http://schemas.openxmlformats.org/officeDocument/2006/relationships/hyperlink" Target="https://i.ibb.co/DznB5q4/Itau.png" TargetMode="External"/><Relationship Id="rId2195" Type="http://schemas.openxmlformats.org/officeDocument/2006/relationships/hyperlink" Target="https://i.ibb.co/DznB5q4/Itau.png" TargetMode="External"/><Relationship Id="rId2196" Type="http://schemas.openxmlformats.org/officeDocument/2006/relationships/hyperlink" Target="https://i.ibb.co/DznB5q4/Itau.png" TargetMode="External"/><Relationship Id="rId2197" Type="http://schemas.openxmlformats.org/officeDocument/2006/relationships/hyperlink" Target="https://i.ibb.co/DznB5q4/Itau.png" TargetMode="External"/><Relationship Id="rId2198" Type="http://schemas.openxmlformats.org/officeDocument/2006/relationships/hyperlink" Target="https://i.ibb.co/DznB5q4/Itau.png" TargetMode="External"/><Relationship Id="rId2199" Type="http://schemas.openxmlformats.org/officeDocument/2006/relationships/hyperlink" Target="https://i.ibb.co/DznB5q4/Itau.png" TargetMode="External"/><Relationship Id="rId2200" Type="http://schemas.openxmlformats.org/officeDocument/2006/relationships/hyperlink" Target="https://i.ibb.co/DznB5q4/Itau.png" TargetMode="External"/><Relationship Id="rId2201" Type="http://schemas.openxmlformats.org/officeDocument/2006/relationships/hyperlink" Target="https://i.ibb.co/DznB5q4/Itau.png" TargetMode="External"/><Relationship Id="rId2202" Type="http://schemas.openxmlformats.org/officeDocument/2006/relationships/hyperlink" Target="https://i.ibb.co/DznB5q4/Itau.png" TargetMode="External"/><Relationship Id="rId2203" Type="http://schemas.openxmlformats.org/officeDocument/2006/relationships/hyperlink" Target="https://i.ibb.co/DznB5q4/Itau.png" TargetMode="External"/><Relationship Id="rId2204" Type="http://schemas.openxmlformats.org/officeDocument/2006/relationships/hyperlink" Target="https://i.ibb.co/DznB5q4/Itau.png" TargetMode="External"/><Relationship Id="rId2205" Type="http://schemas.openxmlformats.org/officeDocument/2006/relationships/hyperlink" Target="https://i.ibb.co/DznB5q4/Itau.png" TargetMode="External"/><Relationship Id="rId2206" Type="http://schemas.openxmlformats.org/officeDocument/2006/relationships/hyperlink" Target="https://i.ibb.co/DznB5q4/Itau.png" TargetMode="External"/><Relationship Id="rId2207" Type="http://schemas.openxmlformats.org/officeDocument/2006/relationships/hyperlink" Target="https://i.ibb.co/DznB5q4/Itau.png" TargetMode="External"/><Relationship Id="rId2208" Type="http://schemas.openxmlformats.org/officeDocument/2006/relationships/hyperlink" Target="https://i.ibb.co/DznB5q4/Itau.png" TargetMode="External"/><Relationship Id="rId2209" Type="http://schemas.openxmlformats.org/officeDocument/2006/relationships/hyperlink" Target="https://i.ibb.co/DznB5q4/Itau.png" TargetMode="External"/><Relationship Id="rId2210" Type="http://schemas.openxmlformats.org/officeDocument/2006/relationships/hyperlink" Target="https://i.ibb.co/DznB5q4/Itau.png" TargetMode="External"/><Relationship Id="rId2211" Type="http://schemas.openxmlformats.org/officeDocument/2006/relationships/hyperlink" Target="https://i.ibb.co/DznB5q4/Itau.png" TargetMode="External"/><Relationship Id="rId2212" Type="http://schemas.openxmlformats.org/officeDocument/2006/relationships/hyperlink" Target="https://i.ibb.co/DznB5q4/Itau.png" TargetMode="External"/><Relationship Id="rId2213" Type="http://schemas.openxmlformats.org/officeDocument/2006/relationships/hyperlink" Target="https://i.ibb.co/DznB5q4/Itau.png" TargetMode="External"/><Relationship Id="rId2214" Type="http://schemas.openxmlformats.org/officeDocument/2006/relationships/hyperlink" Target="https://i.ibb.co/DznB5q4/Itau.png" TargetMode="External"/><Relationship Id="rId2215" Type="http://schemas.openxmlformats.org/officeDocument/2006/relationships/hyperlink" Target="https://i.ibb.co/DznB5q4/Itau.png" TargetMode="External"/><Relationship Id="rId2216" Type="http://schemas.openxmlformats.org/officeDocument/2006/relationships/hyperlink" Target="https://i.ibb.co/DznB5q4/Itau.png" TargetMode="External"/><Relationship Id="rId2217" Type="http://schemas.openxmlformats.org/officeDocument/2006/relationships/hyperlink" Target="https://i.ibb.co/DznB5q4/Itau.png" TargetMode="External"/><Relationship Id="rId2218" Type="http://schemas.openxmlformats.org/officeDocument/2006/relationships/hyperlink" Target="https://i.ibb.co/DznB5q4/Itau.png" TargetMode="External"/><Relationship Id="rId2219" Type="http://schemas.openxmlformats.org/officeDocument/2006/relationships/hyperlink" Target="https://i.ibb.co/DznB5q4/Itau.png" TargetMode="External"/><Relationship Id="rId2220" Type="http://schemas.openxmlformats.org/officeDocument/2006/relationships/hyperlink" Target="https://i.ibb.co/DznB5q4/Itau.png" TargetMode="External"/><Relationship Id="rId2221" Type="http://schemas.openxmlformats.org/officeDocument/2006/relationships/hyperlink" Target="https://i.ibb.co/DznB5q4/Itau.png" TargetMode="External"/><Relationship Id="rId2222" Type="http://schemas.openxmlformats.org/officeDocument/2006/relationships/hyperlink" Target="https://i.ibb.co/DznB5q4/Itau.png" TargetMode="External"/><Relationship Id="rId2223" Type="http://schemas.openxmlformats.org/officeDocument/2006/relationships/hyperlink" Target="https://i.ibb.co/DznB5q4/Itau.png" TargetMode="External"/><Relationship Id="rId2224" Type="http://schemas.openxmlformats.org/officeDocument/2006/relationships/hyperlink" Target="https://i.ibb.co/DznB5q4/Itau.png" TargetMode="External"/><Relationship Id="rId2225" Type="http://schemas.openxmlformats.org/officeDocument/2006/relationships/hyperlink" Target="https://i.ibb.co/DznB5q4/Itau.png" TargetMode="External"/><Relationship Id="rId2226" Type="http://schemas.openxmlformats.org/officeDocument/2006/relationships/hyperlink" Target="https://i.ibb.co/DznB5q4/Itau.png" TargetMode="External"/><Relationship Id="rId2227" Type="http://schemas.openxmlformats.org/officeDocument/2006/relationships/hyperlink" Target="https://i.ibb.co/DznB5q4/Itau.png" TargetMode="External"/><Relationship Id="rId2228" Type="http://schemas.openxmlformats.org/officeDocument/2006/relationships/hyperlink" Target="https://i.ibb.co/DznB5q4/Itau.png" TargetMode="External"/><Relationship Id="rId2229" Type="http://schemas.openxmlformats.org/officeDocument/2006/relationships/hyperlink" Target="https://i.ibb.co/DznB5q4/Itau.png" TargetMode="External"/><Relationship Id="rId2230" Type="http://schemas.openxmlformats.org/officeDocument/2006/relationships/hyperlink" Target="https://i.ibb.co/DznB5q4/Itau.png" TargetMode="External"/><Relationship Id="rId2231" Type="http://schemas.openxmlformats.org/officeDocument/2006/relationships/hyperlink" Target="https://i.ibb.co/DznB5q4/Itau.png" TargetMode="External"/><Relationship Id="rId2232" Type="http://schemas.openxmlformats.org/officeDocument/2006/relationships/hyperlink" Target="https://i.ibb.co/DznB5q4/Itau.png" TargetMode="External"/><Relationship Id="rId2233" Type="http://schemas.openxmlformats.org/officeDocument/2006/relationships/hyperlink" Target="https://i.ibb.co/DznB5q4/Itau.png" TargetMode="External"/><Relationship Id="rId2234" Type="http://schemas.openxmlformats.org/officeDocument/2006/relationships/hyperlink" Target="https://i.ibb.co/DznB5q4/Itau.png" TargetMode="External"/><Relationship Id="rId2235" Type="http://schemas.openxmlformats.org/officeDocument/2006/relationships/hyperlink" Target="https://i.ibb.co/DznB5q4/Itau.png" TargetMode="External"/><Relationship Id="rId2236" Type="http://schemas.openxmlformats.org/officeDocument/2006/relationships/hyperlink" Target="https://i.ibb.co/DznB5q4/Itau.png" TargetMode="External"/><Relationship Id="rId2237" Type="http://schemas.openxmlformats.org/officeDocument/2006/relationships/hyperlink" Target="https://i.ibb.co/DznB5q4/Itau.png" TargetMode="External"/><Relationship Id="rId2238" Type="http://schemas.openxmlformats.org/officeDocument/2006/relationships/hyperlink" Target="https://i.ibb.co/DznB5q4/Itau.png" TargetMode="External"/><Relationship Id="rId2239" Type="http://schemas.openxmlformats.org/officeDocument/2006/relationships/hyperlink" Target="https://i.ibb.co/DznB5q4/Itau.png" TargetMode="External"/><Relationship Id="rId2240" Type="http://schemas.openxmlformats.org/officeDocument/2006/relationships/hyperlink" Target="https://i.ibb.co/DznB5q4/Itau.png" TargetMode="External"/><Relationship Id="rId2241" Type="http://schemas.openxmlformats.org/officeDocument/2006/relationships/hyperlink" Target="https://i.ibb.co/DznB5q4/Itau.png" TargetMode="External"/><Relationship Id="rId2242" Type="http://schemas.openxmlformats.org/officeDocument/2006/relationships/hyperlink" Target="https://i.ibb.co/DznB5q4/Itau.png" TargetMode="External"/><Relationship Id="rId2243" Type="http://schemas.openxmlformats.org/officeDocument/2006/relationships/hyperlink" Target="https://i.ibb.co/DznB5q4/Itau.png" TargetMode="External"/><Relationship Id="rId2244" Type="http://schemas.openxmlformats.org/officeDocument/2006/relationships/hyperlink" Target="https://i.ibb.co/DznB5q4/Itau.png" TargetMode="External"/><Relationship Id="rId2245" Type="http://schemas.openxmlformats.org/officeDocument/2006/relationships/hyperlink" Target="https://i.ibb.co/DznB5q4/Itau.png" TargetMode="External"/><Relationship Id="rId2246" Type="http://schemas.openxmlformats.org/officeDocument/2006/relationships/hyperlink" Target="https://i.ibb.co/DznB5q4/Itau.png" TargetMode="External"/><Relationship Id="rId2247" Type="http://schemas.openxmlformats.org/officeDocument/2006/relationships/hyperlink" Target="https://i.ibb.co/DznB5q4/Itau.png" TargetMode="External"/><Relationship Id="rId2248" Type="http://schemas.openxmlformats.org/officeDocument/2006/relationships/hyperlink" Target="https://i.ibb.co/DznB5q4/Itau.png" TargetMode="External"/><Relationship Id="rId2249" Type="http://schemas.openxmlformats.org/officeDocument/2006/relationships/hyperlink" Target="https://i.ibb.co/DznB5q4/Itau.png" TargetMode="External"/><Relationship Id="rId2250" Type="http://schemas.openxmlformats.org/officeDocument/2006/relationships/hyperlink" Target="https://i.ibb.co/DznB5q4/Itau.png" TargetMode="External"/><Relationship Id="rId2251" Type="http://schemas.openxmlformats.org/officeDocument/2006/relationships/hyperlink" Target="https://i.ibb.co/DznB5q4/Itau.png" TargetMode="External"/><Relationship Id="rId2252" Type="http://schemas.openxmlformats.org/officeDocument/2006/relationships/hyperlink" Target="https://i.ibb.co/DznB5q4/Itau.png" TargetMode="External"/><Relationship Id="rId2253" Type="http://schemas.openxmlformats.org/officeDocument/2006/relationships/hyperlink" Target="https://i.ibb.co/DznB5q4/Itau.png" TargetMode="External"/><Relationship Id="rId2254" Type="http://schemas.openxmlformats.org/officeDocument/2006/relationships/hyperlink" Target="https://i.ibb.co/DznB5q4/Itau.png" TargetMode="External"/><Relationship Id="rId2255" Type="http://schemas.openxmlformats.org/officeDocument/2006/relationships/hyperlink" Target="https://i.ibb.co/DznB5q4/Itau.png" TargetMode="External"/><Relationship Id="rId2256" Type="http://schemas.openxmlformats.org/officeDocument/2006/relationships/hyperlink" Target="https://i.ibb.co/DznB5q4/Itau.png" TargetMode="External"/><Relationship Id="rId2257" Type="http://schemas.openxmlformats.org/officeDocument/2006/relationships/hyperlink" Target="https://i.ibb.co/DznB5q4/Itau.png" TargetMode="External"/><Relationship Id="rId2258" Type="http://schemas.openxmlformats.org/officeDocument/2006/relationships/hyperlink" Target="https://i.ibb.co/DznB5q4/Itau.png" TargetMode="External"/><Relationship Id="rId2259" Type="http://schemas.openxmlformats.org/officeDocument/2006/relationships/hyperlink" Target="https://i.ibb.co/DznB5q4/Itau.png" TargetMode="External"/><Relationship Id="rId2260" Type="http://schemas.openxmlformats.org/officeDocument/2006/relationships/hyperlink" Target="https://i.ibb.co/DznB5q4/Itau.png" TargetMode="External"/><Relationship Id="rId2261" Type="http://schemas.openxmlformats.org/officeDocument/2006/relationships/hyperlink" Target="https://i.ibb.co/DznB5q4/Itau.png" TargetMode="External"/><Relationship Id="rId2262" Type="http://schemas.openxmlformats.org/officeDocument/2006/relationships/hyperlink" Target="https://i.ibb.co/DznB5q4/Itau.png" TargetMode="External"/><Relationship Id="rId2263" Type="http://schemas.openxmlformats.org/officeDocument/2006/relationships/hyperlink" Target="https://i.ibb.co/DznB5q4/Itau.png" TargetMode="External"/><Relationship Id="rId2264" Type="http://schemas.openxmlformats.org/officeDocument/2006/relationships/hyperlink" Target="https://i.ibb.co/DznB5q4/Itau.png" TargetMode="External"/><Relationship Id="rId2265" Type="http://schemas.openxmlformats.org/officeDocument/2006/relationships/hyperlink" Target="https://i.ibb.co/DznB5q4/Itau.png" TargetMode="External"/><Relationship Id="rId2266" Type="http://schemas.openxmlformats.org/officeDocument/2006/relationships/hyperlink" Target="https://i.ibb.co/DznB5q4/Itau.png" TargetMode="External"/><Relationship Id="rId2267" Type="http://schemas.openxmlformats.org/officeDocument/2006/relationships/hyperlink" Target="https://i.ibb.co/DznB5q4/Itau.png" TargetMode="External"/><Relationship Id="rId2268" Type="http://schemas.openxmlformats.org/officeDocument/2006/relationships/hyperlink" Target="https://i.ibb.co/DznB5q4/Itau.png" TargetMode="External"/><Relationship Id="rId2269" Type="http://schemas.openxmlformats.org/officeDocument/2006/relationships/hyperlink" Target="https://i.ibb.co/DznB5q4/Itau.png" TargetMode="External"/><Relationship Id="rId2270" Type="http://schemas.openxmlformats.org/officeDocument/2006/relationships/hyperlink" Target="https://i.ibb.co/DznB5q4/Itau.png" TargetMode="External"/><Relationship Id="rId2271" Type="http://schemas.openxmlformats.org/officeDocument/2006/relationships/hyperlink" Target="https://i.ibb.co/DznB5q4/Itau.png" TargetMode="External"/><Relationship Id="rId2272" Type="http://schemas.openxmlformats.org/officeDocument/2006/relationships/hyperlink" Target="https://i.ibb.co/DznB5q4/Itau.png" TargetMode="External"/><Relationship Id="rId2273" Type="http://schemas.openxmlformats.org/officeDocument/2006/relationships/hyperlink" Target="https://i.ibb.co/DznB5q4/Itau.png" TargetMode="External"/><Relationship Id="rId2274" Type="http://schemas.openxmlformats.org/officeDocument/2006/relationships/hyperlink" Target="https://i.ibb.co/DznB5q4/Itau.png" TargetMode="External"/><Relationship Id="rId2275" Type="http://schemas.openxmlformats.org/officeDocument/2006/relationships/hyperlink" Target="https://i.ibb.co/DznB5q4/Itau.png" TargetMode="External"/><Relationship Id="rId2276" Type="http://schemas.openxmlformats.org/officeDocument/2006/relationships/hyperlink" Target="https://i.ibb.co/DznB5q4/Itau.png" TargetMode="External"/><Relationship Id="rId2277" Type="http://schemas.openxmlformats.org/officeDocument/2006/relationships/hyperlink" Target="https://i.ibb.co/DznB5q4/Itau.png" TargetMode="External"/><Relationship Id="rId2278" Type="http://schemas.openxmlformats.org/officeDocument/2006/relationships/hyperlink" Target="https://i.ibb.co/DznB5q4/Itau.png" TargetMode="External"/><Relationship Id="rId2279" Type="http://schemas.openxmlformats.org/officeDocument/2006/relationships/hyperlink" Target="https://i.ibb.co/DznB5q4/Itau.png" TargetMode="External"/><Relationship Id="rId2280" Type="http://schemas.openxmlformats.org/officeDocument/2006/relationships/hyperlink" Target="https://i.ibb.co/DznB5q4/Itau.png" TargetMode="External"/><Relationship Id="rId2281" Type="http://schemas.openxmlformats.org/officeDocument/2006/relationships/hyperlink" Target="https://i.ibb.co/DznB5q4/Itau.png" TargetMode="External"/><Relationship Id="rId2282" Type="http://schemas.openxmlformats.org/officeDocument/2006/relationships/hyperlink" Target="https://i.ibb.co/DznB5q4/Itau.png" TargetMode="External"/><Relationship Id="rId2283" Type="http://schemas.openxmlformats.org/officeDocument/2006/relationships/hyperlink" Target="https://i.ibb.co/DznB5q4/Itau.png" TargetMode="External"/><Relationship Id="rId2284" Type="http://schemas.openxmlformats.org/officeDocument/2006/relationships/hyperlink" Target="https://i.ibb.co/DznB5q4/Itau.png" TargetMode="External"/><Relationship Id="rId2285" Type="http://schemas.openxmlformats.org/officeDocument/2006/relationships/hyperlink" Target="https://i.ibb.co/DznB5q4/Itau.png" TargetMode="External"/><Relationship Id="rId2286" Type="http://schemas.openxmlformats.org/officeDocument/2006/relationships/hyperlink" Target="https://i.ibb.co/DznB5q4/Itau.png" TargetMode="External"/><Relationship Id="rId2287" Type="http://schemas.openxmlformats.org/officeDocument/2006/relationships/hyperlink" Target="https://i.ibb.co/DznB5q4/Itau.png" TargetMode="External"/><Relationship Id="rId2288" Type="http://schemas.openxmlformats.org/officeDocument/2006/relationships/hyperlink" Target="https://i.ibb.co/DznB5q4/Itau.png" TargetMode="External"/><Relationship Id="rId2289" Type="http://schemas.openxmlformats.org/officeDocument/2006/relationships/hyperlink" Target="https://i.ibb.co/DznB5q4/Itau.png" TargetMode="External"/><Relationship Id="rId2290" Type="http://schemas.openxmlformats.org/officeDocument/2006/relationships/hyperlink" Target="https://i.ibb.co/DznB5q4/Itau.png" TargetMode="External"/><Relationship Id="rId2291" Type="http://schemas.openxmlformats.org/officeDocument/2006/relationships/hyperlink" Target="https://i.ibb.co/DznB5q4/Itau.png" TargetMode="External"/><Relationship Id="rId2292" Type="http://schemas.openxmlformats.org/officeDocument/2006/relationships/hyperlink" Target="https://i.ibb.co/DznB5q4/Itau.png" TargetMode="External"/><Relationship Id="rId2293" Type="http://schemas.openxmlformats.org/officeDocument/2006/relationships/hyperlink" Target="https://i.ibb.co/DznB5q4/Itau.png" TargetMode="External"/><Relationship Id="rId2294" Type="http://schemas.openxmlformats.org/officeDocument/2006/relationships/hyperlink" Target="https://i.ibb.co/DznB5q4/Itau.png" TargetMode="External"/><Relationship Id="rId2295" Type="http://schemas.openxmlformats.org/officeDocument/2006/relationships/hyperlink" Target="https://i.ibb.co/DznB5q4/Itau.png" TargetMode="External"/><Relationship Id="rId2296" Type="http://schemas.openxmlformats.org/officeDocument/2006/relationships/hyperlink" Target="https://i.ibb.co/DznB5q4/Itau.png" TargetMode="External"/><Relationship Id="rId2297" Type="http://schemas.openxmlformats.org/officeDocument/2006/relationships/hyperlink" Target="https://i.ibb.co/DznB5q4/Itau.png" TargetMode="External"/><Relationship Id="rId2298" Type="http://schemas.openxmlformats.org/officeDocument/2006/relationships/hyperlink" Target="https://i.ibb.co/DznB5q4/Itau.png" TargetMode="External"/><Relationship Id="rId2299" Type="http://schemas.openxmlformats.org/officeDocument/2006/relationships/hyperlink" Target="https://i.ibb.co/DznB5q4/Itau.png" TargetMode="External"/><Relationship Id="rId2300" Type="http://schemas.openxmlformats.org/officeDocument/2006/relationships/hyperlink" Target="https://i.ibb.co/DznB5q4/Itau.png" TargetMode="External"/><Relationship Id="rId2301" Type="http://schemas.openxmlformats.org/officeDocument/2006/relationships/hyperlink" Target="https://i.ibb.co/DznB5q4/Itau.png" TargetMode="External"/><Relationship Id="rId2302" Type="http://schemas.openxmlformats.org/officeDocument/2006/relationships/hyperlink" Target="https://i.ibb.co/DznB5q4/Itau.png" TargetMode="External"/><Relationship Id="rId2303" Type="http://schemas.openxmlformats.org/officeDocument/2006/relationships/hyperlink" Target="https://i.ibb.co/DznB5q4/Itau.png" TargetMode="External"/><Relationship Id="rId2304" Type="http://schemas.openxmlformats.org/officeDocument/2006/relationships/hyperlink" Target="https://i.ibb.co/DznB5q4/Itau.png" TargetMode="External"/><Relationship Id="rId2305" Type="http://schemas.openxmlformats.org/officeDocument/2006/relationships/hyperlink" Target="https://i.ibb.co/DznB5q4/Itau.png" TargetMode="External"/><Relationship Id="rId2306" Type="http://schemas.openxmlformats.org/officeDocument/2006/relationships/hyperlink" Target="https://i.ibb.co/DznB5q4/Itau.png" TargetMode="External"/><Relationship Id="rId2307" Type="http://schemas.openxmlformats.org/officeDocument/2006/relationships/hyperlink" Target="https://i.ibb.co/DznB5q4/Itau.png" TargetMode="External"/><Relationship Id="rId2308" Type="http://schemas.openxmlformats.org/officeDocument/2006/relationships/hyperlink" Target="https://i.ibb.co/DznB5q4/Itau.png" TargetMode="External"/><Relationship Id="rId2309" Type="http://schemas.openxmlformats.org/officeDocument/2006/relationships/hyperlink" Target="https://i.ibb.co/DznB5q4/Itau.png" TargetMode="External"/><Relationship Id="rId2310" Type="http://schemas.openxmlformats.org/officeDocument/2006/relationships/hyperlink" Target="https://i.ibb.co/DznB5q4/Itau.png" TargetMode="External"/><Relationship Id="rId2311" Type="http://schemas.openxmlformats.org/officeDocument/2006/relationships/hyperlink" Target="https://i.ibb.co/DznB5q4/Itau.png" TargetMode="External"/><Relationship Id="rId2312" Type="http://schemas.openxmlformats.org/officeDocument/2006/relationships/hyperlink" Target="https://i.ibb.co/DznB5q4/Itau.png" TargetMode="External"/><Relationship Id="rId2313" Type="http://schemas.openxmlformats.org/officeDocument/2006/relationships/hyperlink" Target="https://i.ibb.co/DznB5q4/Itau.png" TargetMode="External"/><Relationship Id="rId2314" Type="http://schemas.openxmlformats.org/officeDocument/2006/relationships/hyperlink" Target="https://i.ibb.co/DznB5q4/Itau.png" TargetMode="External"/><Relationship Id="rId2315" Type="http://schemas.openxmlformats.org/officeDocument/2006/relationships/hyperlink" Target="https://i.ibb.co/DznB5q4/Itau.png" TargetMode="External"/><Relationship Id="rId2316" Type="http://schemas.openxmlformats.org/officeDocument/2006/relationships/hyperlink" Target="https://i.ibb.co/DznB5q4/Itau.png" TargetMode="External"/><Relationship Id="rId2317" Type="http://schemas.openxmlformats.org/officeDocument/2006/relationships/hyperlink" Target="https://i.ibb.co/DznB5q4/Itau.png" TargetMode="External"/><Relationship Id="rId2318" Type="http://schemas.openxmlformats.org/officeDocument/2006/relationships/hyperlink" Target="https://i.ibb.co/DznB5q4/Itau.png" TargetMode="External"/><Relationship Id="rId2319" Type="http://schemas.openxmlformats.org/officeDocument/2006/relationships/hyperlink" Target="https://i.ibb.co/DznB5q4/Itau.png" TargetMode="External"/><Relationship Id="rId2320" Type="http://schemas.openxmlformats.org/officeDocument/2006/relationships/hyperlink" Target="https://i.ibb.co/DznB5q4/Itau.png" TargetMode="External"/><Relationship Id="rId2321" Type="http://schemas.openxmlformats.org/officeDocument/2006/relationships/hyperlink" Target="https://i.ibb.co/DznB5q4/Itau.png" TargetMode="External"/><Relationship Id="rId2322" Type="http://schemas.openxmlformats.org/officeDocument/2006/relationships/hyperlink" Target="https://i.ibb.co/DznB5q4/Itau.png" TargetMode="External"/><Relationship Id="rId2323" Type="http://schemas.openxmlformats.org/officeDocument/2006/relationships/hyperlink" Target="https://i.ibb.co/DznB5q4/Itau.png" TargetMode="External"/><Relationship Id="rId2324" Type="http://schemas.openxmlformats.org/officeDocument/2006/relationships/hyperlink" Target="https://i.ibb.co/DznB5q4/Itau.png" TargetMode="External"/><Relationship Id="rId2325" Type="http://schemas.openxmlformats.org/officeDocument/2006/relationships/hyperlink" Target="https://i.ibb.co/DznB5q4/Itau.png" TargetMode="External"/><Relationship Id="rId2326" Type="http://schemas.openxmlformats.org/officeDocument/2006/relationships/hyperlink" Target="https://i.ibb.co/DznB5q4/Itau.png" TargetMode="External"/><Relationship Id="rId2327" Type="http://schemas.openxmlformats.org/officeDocument/2006/relationships/hyperlink" Target="https://i.ibb.co/DznB5q4/Itau.png" TargetMode="External"/><Relationship Id="rId2328" Type="http://schemas.openxmlformats.org/officeDocument/2006/relationships/hyperlink" Target="https://i.ibb.co/DznB5q4/Itau.png" TargetMode="External"/><Relationship Id="rId2329" Type="http://schemas.openxmlformats.org/officeDocument/2006/relationships/hyperlink" Target="https://i.ibb.co/DznB5q4/Itau.png" TargetMode="External"/><Relationship Id="rId2330" Type="http://schemas.openxmlformats.org/officeDocument/2006/relationships/hyperlink" Target="https://i.ibb.co/DznB5q4/Itau.png" TargetMode="External"/><Relationship Id="rId2331" Type="http://schemas.openxmlformats.org/officeDocument/2006/relationships/hyperlink" Target="https://i.ibb.co/DznB5q4/Itau.png" TargetMode="External"/><Relationship Id="rId2332" Type="http://schemas.openxmlformats.org/officeDocument/2006/relationships/hyperlink" Target="https://i.ibb.co/DznB5q4/Itau.png" TargetMode="External"/><Relationship Id="rId2333" Type="http://schemas.openxmlformats.org/officeDocument/2006/relationships/hyperlink" Target="https://i.ibb.co/DznB5q4/Itau.png" TargetMode="External"/><Relationship Id="rId2334" Type="http://schemas.openxmlformats.org/officeDocument/2006/relationships/hyperlink" Target="https://i.ibb.co/DznB5q4/Itau.png" TargetMode="External"/><Relationship Id="rId2335" Type="http://schemas.openxmlformats.org/officeDocument/2006/relationships/hyperlink" Target="https://i.ibb.co/DznB5q4/Itau.png" TargetMode="External"/><Relationship Id="rId2336" Type="http://schemas.openxmlformats.org/officeDocument/2006/relationships/hyperlink" Target="https://i.ibb.co/DznB5q4/Itau.png" TargetMode="External"/><Relationship Id="rId2337" Type="http://schemas.openxmlformats.org/officeDocument/2006/relationships/hyperlink" Target="https://i.ibb.co/DznB5q4/Itau.png" TargetMode="External"/><Relationship Id="rId2338" Type="http://schemas.openxmlformats.org/officeDocument/2006/relationships/hyperlink" Target="https://i.ibb.co/DznB5q4/Itau.png" TargetMode="External"/><Relationship Id="rId2339" Type="http://schemas.openxmlformats.org/officeDocument/2006/relationships/hyperlink" Target="https://i.ibb.co/DznB5q4/Itau.png" TargetMode="External"/><Relationship Id="rId2340" Type="http://schemas.openxmlformats.org/officeDocument/2006/relationships/hyperlink" Target="https://i.ibb.co/DznB5q4/Itau.png" TargetMode="External"/><Relationship Id="rId2341" Type="http://schemas.openxmlformats.org/officeDocument/2006/relationships/hyperlink" Target="https://i.ibb.co/DznB5q4/Itau.png" TargetMode="External"/><Relationship Id="rId2342" Type="http://schemas.openxmlformats.org/officeDocument/2006/relationships/hyperlink" Target="https://i.ibb.co/DznB5q4/Itau.png" TargetMode="External"/><Relationship Id="rId2343" Type="http://schemas.openxmlformats.org/officeDocument/2006/relationships/hyperlink" Target="https://i.ibb.co/DznB5q4/Itau.png" TargetMode="External"/><Relationship Id="rId2344" Type="http://schemas.openxmlformats.org/officeDocument/2006/relationships/hyperlink" Target="https://i.ibb.co/DznB5q4/Itau.png" TargetMode="External"/><Relationship Id="rId2345" Type="http://schemas.openxmlformats.org/officeDocument/2006/relationships/hyperlink" Target="https://i.ibb.co/DznB5q4/Itau.png" TargetMode="External"/><Relationship Id="rId2346" Type="http://schemas.openxmlformats.org/officeDocument/2006/relationships/hyperlink" Target="https://i.ibb.co/DznB5q4/Itau.png" TargetMode="External"/><Relationship Id="rId2347" Type="http://schemas.openxmlformats.org/officeDocument/2006/relationships/hyperlink" Target="https://i.ibb.co/DznB5q4/Itau.png" TargetMode="External"/><Relationship Id="rId2348" Type="http://schemas.openxmlformats.org/officeDocument/2006/relationships/hyperlink" Target="https://i.ibb.co/DznB5q4/Itau.png" TargetMode="External"/><Relationship Id="rId2349" Type="http://schemas.openxmlformats.org/officeDocument/2006/relationships/hyperlink" Target="https://i.ibb.co/DznB5q4/Itau.png" TargetMode="External"/><Relationship Id="rId2350" Type="http://schemas.openxmlformats.org/officeDocument/2006/relationships/hyperlink" Target="https://i.ibb.co/DznB5q4/Itau.png" TargetMode="External"/><Relationship Id="rId2351" Type="http://schemas.openxmlformats.org/officeDocument/2006/relationships/hyperlink" Target="https://i.ibb.co/DznB5q4/Itau.png" TargetMode="External"/><Relationship Id="rId2352" Type="http://schemas.openxmlformats.org/officeDocument/2006/relationships/hyperlink" Target="https://i.ibb.co/DznB5q4/Itau.png" TargetMode="External"/><Relationship Id="rId2353" Type="http://schemas.openxmlformats.org/officeDocument/2006/relationships/hyperlink" Target="https://i.ibb.co/DznB5q4/Itau.png" TargetMode="External"/><Relationship Id="rId2354" Type="http://schemas.openxmlformats.org/officeDocument/2006/relationships/hyperlink" Target="https://i.ibb.co/DznB5q4/Itau.png" TargetMode="External"/><Relationship Id="rId2355" Type="http://schemas.openxmlformats.org/officeDocument/2006/relationships/hyperlink" Target="https://i.ibb.co/DznB5q4/Itau.png" TargetMode="External"/><Relationship Id="rId2356" Type="http://schemas.openxmlformats.org/officeDocument/2006/relationships/hyperlink" Target="https://i.ibb.co/DznB5q4/Itau.png" TargetMode="External"/><Relationship Id="rId2357" Type="http://schemas.openxmlformats.org/officeDocument/2006/relationships/hyperlink" Target="https://i.ibb.co/DznB5q4/Itau.png" TargetMode="External"/><Relationship Id="rId2358" Type="http://schemas.openxmlformats.org/officeDocument/2006/relationships/hyperlink" Target="https://i.ibb.co/DznB5q4/Itau.png" TargetMode="External"/><Relationship Id="rId2359" Type="http://schemas.openxmlformats.org/officeDocument/2006/relationships/hyperlink" Target="https://i.ibb.co/DznB5q4/Itau.png" TargetMode="External"/><Relationship Id="rId2360" Type="http://schemas.openxmlformats.org/officeDocument/2006/relationships/hyperlink" Target="https://i.ibb.co/DznB5q4/Itau.png" TargetMode="External"/><Relationship Id="rId2361" Type="http://schemas.openxmlformats.org/officeDocument/2006/relationships/hyperlink" Target="https://i.ibb.co/DznB5q4/Itau.png" TargetMode="External"/><Relationship Id="rId2362" Type="http://schemas.openxmlformats.org/officeDocument/2006/relationships/hyperlink" Target="https://i.ibb.co/DznB5q4/Itau.png" TargetMode="External"/><Relationship Id="rId2363" Type="http://schemas.openxmlformats.org/officeDocument/2006/relationships/hyperlink" Target="https://i.ibb.co/DznB5q4/Itau.png" TargetMode="External"/><Relationship Id="rId2364" Type="http://schemas.openxmlformats.org/officeDocument/2006/relationships/hyperlink" Target="https://i.ibb.co/DznB5q4/Itau.png" TargetMode="External"/><Relationship Id="rId2365" Type="http://schemas.openxmlformats.org/officeDocument/2006/relationships/hyperlink" Target="https://i.ibb.co/DznB5q4/Itau.png" TargetMode="External"/><Relationship Id="rId2366" Type="http://schemas.openxmlformats.org/officeDocument/2006/relationships/hyperlink" Target="https://i.ibb.co/DznB5q4/Itau.png" TargetMode="External"/><Relationship Id="rId2367" Type="http://schemas.openxmlformats.org/officeDocument/2006/relationships/hyperlink" Target="https://i.ibb.co/DznB5q4/Itau.png" TargetMode="External"/><Relationship Id="rId2368" Type="http://schemas.openxmlformats.org/officeDocument/2006/relationships/hyperlink" Target="https://i.ibb.co/DznB5q4/Itau.png" TargetMode="External"/><Relationship Id="rId2369" Type="http://schemas.openxmlformats.org/officeDocument/2006/relationships/hyperlink" Target="https://i.ibb.co/DznB5q4/Itau.png" TargetMode="External"/><Relationship Id="rId2370" Type="http://schemas.openxmlformats.org/officeDocument/2006/relationships/hyperlink" Target="https://i.ibb.co/DznB5q4/Itau.png" TargetMode="External"/><Relationship Id="rId2371" Type="http://schemas.openxmlformats.org/officeDocument/2006/relationships/hyperlink" Target="https://i.ibb.co/DznB5q4/Itau.png" TargetMode="External"/><Relationship Id="rId2372" Type="http://schemas.openxmlformats.org/officeDocument/2006/relationships/hyperlink" Target="https://i.ibb.co/DznB5q4/Itau.png" TargetMode="External"/><Relationship Id="rId2373" Type="http://schemas.openxmlformats.org/officeDocument/2006/relationships/hyperlink" Target="https://i.ibb.co/DznB5q4/Itau.png" TargetMode="External"/><Relationship Id="rId2374" Type="http://schemas.openxmlformats.org/officeDocument/2006/relationships/hyperlink" Target="https://i.ibb.co/DznB5q4/Itau.png" TargetMode="External"/><Relationship Id="rId2375" Type="http://schemas.openxmlformats.org/officeDocument/2006/relationships/hyperlink" Target="https://i.ibb.co/DznB5q4/Itau.png" TargetMode="External"/><Relationship Id="rId2376" Type="http://schemas.openxmlformats.org/officeDocument/2006/relationships/hyperlink" Target="https://i.ibb.co/DznB5q4/Itau.png" TargetMode="External"/><Relationship Id="rId2377" Type="http://schemas.openxmlformats.org/officeDocument/2006/relationships/hyperlink" Target="https://i.ibb.co/DznB5q4/Itau.png" TargetMode="External"/><Relationship Id="rId2378" Type="http://schemas.openxmlformats.org/officeDocument/2006/relationships/hyperlink" Target="https://i.ibb.co/DznB5q4/Itau.png" TargetMode="External"/><Relationship Id="rId2379" Type="http://schemas.openxmlformats.org/officeDocument/2006/relationships/hyperlink" Target="https://i.ibb.co/DznB5q4/Itau.png" TargetMode="External"/><Relationship Id="rId2380" Type="http://schemas.openxmlformats.org/officeDocument/2006/relationships/hyperlink" Target="https://i.ibb.co/DznB5q4/Itau.png" TargetMode="External"/><Relationship Id="rId2381" Type="http://schemas.openxmlformats.org/officeDocument/2006/relationships/hyperlink" Target="https://i.ibb.co/DznB5q4/Itau.png" TargetMode="External"/><Relationship Id="rId2382" Type="http://schemas.openxmlformats.org/officeDocument/2006/relationships/hyperlink" Target="https://i.ibb.co/DznB5q4/Itau.png" TargetMode="External"/><Relationship Id="rId2383" Type="http://schemas.openxmlformats.org/officeDocument/2006/relationships/hyperlink" Target="https://i.ibb.co/DznB5q4/Itau.png" TargetMode="External"/><Relationship Id="rId2384" Type="http://schemas.openxmlformats.org/officeDocument/2006/relationships/hyperlink" Target="https://i.ibb.co/DznB5q4/Itau.png" TargetMode="External"/><Relationship Id="rId2385" Type="http://schemas.openxmlformats.org/officeDocument/2006/relationships/hyperlink" Target="https://i.ibb.co/DznB5q4/Itau.png" TargetMode="External"/><Relationship Id="rId2386" Type="http://schemas.openxmlformats.org/officeDocument/2006/relationships/hyperlink" Target="https://i.ibb.co/DznB5q4/Itau.png" TargetMode="External"/><Relationship Id="rId2387" Type="http://schemas.openxmlformats.org/officeDocument/2006/relationships/hyperlink" Target="https://i.ibb.co/DznB5q4/Itau.png" TargetMode="External"/><Relationship Id="rId2388" Type="http://schemas.openxmlformats.org/officeDocument/2006/relationships/hyperlink" Target="https://i.ibb.co/DznB5q4/Itau.png" TargetMode="External"/><Relationship Id="rId2389" Type="http://schemas.openxmlformats.org/officeDocument/2006/relationships/hyperlink" Target="https://i.ibb.co/DznB5q4/Itau.png" TargetMode="External"/><Relationship Id="rId2390" Type="http://schemas.openxmlformats.org/officeDocument/2006/relationships/hyperlink" Target="https://i.ibb.co/DznB5q4/Itau.png" TargetMode="External"/><Relationship Id="rId2391" Type="http://schemas.openxmlformats.org/officeDocument/2006/relationships/hyperlink" Target="https://i.ibb.co/DznB5q4/Itau.png" TargetMode="External"/><Relationship Id="rId2392" Type="http://schemas.openxmlformats.org/officeDocument/2006/relationships/hyperlink" Target="https://i.ibb.co/DznB5q4/Itau.png" TargetMode="External"/><Relationship Id="rId2393" Type="http://schemas.openxmlformats.org/officeDocument/2006/relationships/hyperlink" Target="https://i.ibb.co/DznB5q4/Itau.png" TargetMode="External"/><Relationship Id="rId2394" Type="http://schemas.openxmlformats.org/officeDocument/2006/relationships/hyperlink" Target="https://i.ibb.co/DznB5q4/Itau.png" TargetMode="External"/><Relationship Id="rId2395" Type="http://schemas.openxmlformats.org/officeDocument/2006/relationships/hyperlink" Target="https://i.ibb.co/DznB5q4/Itau.png" TargetMode="External"/><Relationship Id="rId2396" Type="http://schemas.openxmlformats.org/officeDocument/2006/relationships/hyperlink" Target="https://i.ibb.co/DznB5q4/Itau.png" TargetMode="External"/><Relationship Id="rId2397" Type="http://schemas.openxmlformats.org/officeDocument/2006/relationships/hyperlink" Target="https://i.ibb.co/DznB5q4/Itau.png" TargetMode="External"/><Relationship Id="rId2398" Type="http://schemas.openxmlformats.org/officeDocument/2006/relationships/hyperlink" Target="https://i.ibb.co/DznB5q4/Itau.png" TargetMode="External"/><Relationship Id="rId2399" Type="http://schemas.openxmlformats.org/officeDocument/2006/relationships/hyperlink" Target="https://i.ibb.co/DznB5q4/Itau.png" TargetMode="External"/><Relationship Id="rId2400" Type="http://schemas.openxmlformats.org/officeDocument/2006/relationships/hyperlink" Target="https://i.ibb.co/DznB5q4/Itau.png" TargetMode="External"/><Relationship Id="rId2401" Type="http://schemas.openxmlformats.org/officeDocument/2006/relationships/hyperlink" Target="https://i.ibb.co/DznB5q4/Itau.png" TargetMode="External"/><Relationship Id="rId2402" Type="http://schemas.openxmlformats.org/officeDocument/2006/relationships/hyperlink" Target="https://i.ibb.co/DznB5q4/Itau.png" TargetMode="External"/><Relationship Id="rId2403" Type="http://schemas.openxmlformats.org/officeDocument/2006/relationships/hyperlink" Target="https://i.ibb.co/DznB5q4/Itau.png" TargetMode="External"/><Relationship Id="rId2404" Type="http://schemas.openxmlformats.org/officeDocument/2006/relationships/hyperlink" Target="https://i.ibb.co/DznB5q4/Itau.png" TargetMode="External"/><Relationship Id="rId2405" Type="http://schemas.openxmlformats.org/officeDocument/2006/relationships/hyperlink" Target="https://i.ibb.co/DznB5q4/Itau.png" TargetMode="External"/><Relationship Id="rId2406" Type="http://schemas.openxmlformats.org/officeDocument/2006/relationships/hyperlink" Target="https://i.ibb.co/DznB5q4/Itau.png" TargetMode="External"/><Relationship Id="rId2407" Type="http://schemas.openxmlformats.org/officeDocument/2006/relationships/hyperlink" Target="https://i.ibb.co/DznB5q4/Itau.png" TargetMode="External"/><Relationship Id="rId2408" Type="http://schemas.openxmlformats.org/officeDocument/2006/relationships/hyperlink" Target="https://i.ibb.co/DznB5q4/Itau.png" TargetMode="External"/><Relationship Id="rId2409" Type="http://schemas.openxmlformats.org/officeDocument/2006/relationships/hyperlink" Target="https://i.ibb.co/DznB5q4/Itau.png" TargetMode="External"/><Relationship Id="rId2410" Type="http://schemas.openxmlformats.org/officeDocument/2006/relationships/hyperlink" Target="https://i.ibb.co/DznB5q4/Itau.png" TargetMode="External"/><Relationship Id="rId2411" Type="http://schemas.openxmlformats.org/officeDocument/2006/relationships/hyperlink" Target="https://i.ibb.co/DznB5q4/Itau.png" TargetMode="External"/><Relationship Id="rId2412" Type="http://schemas.openxmlformats.org/officeDocument/2006/relationships/hyperlink" Target="https://i.ibb.co/DznB5q4/Itau.png" TargetMode="External"/><Relationship Id="rId2413" Type="http://schemas.openxmlformats.org/officeDocument/2006/relationships/hyperlink" Target="https://i.ibb.co/DznB5q4/Itau.png" TargetMode="External"/><Relationship Id="rId2414" Type="http://schemas.openxmlformats.org/officeDocument/2006/relationships/hyperlink" Target="https://i.ibb.co/DznB5q4/Itau.png" TargetMode="External"/><Relationship Id="rId2415" Type="http://schemas.openxmlformats.org/officeDocument/2006/relationships/hyperlink" Target="https://i.ibb.co/DznB5q4/Itau.png" TargetMode="External"/><Relationship Id="rId2416" Type="http://schemas.openxmlformats.org/officeDocument/2006/relationships/hyperlink" Target="https://i.ibb.co/DznB5q4/Itau.png" TargetMode="External"/><Relationship Id="rId2417" Type="http://schemas.openxmlformats.org/officeDocument/2006/relationships/hyperlink" Target="https://i.ibb.co/DznB5q4/Itau.png" TargetMode="External"/><Relationship Id="rId2418" Type="http://schemas.openxmlformats.org/officeDocument/2006/relationships/hyperlink" Target="https://i.ibb.co/DznB5q4/Itau.png" TargetMode="External"/><Relationship Id="rId2419" Type="http://schemas.openxmlformats.org/officeDocument/2006/relationships/hyperlink" Target="https://i.ibb.co/DznB5q4/Itau.png" TargetMode="External"/><Relationship Id="rId2420" Type="http://schemas.openxmlformats.org/officeDocument/2006/relationships/hyperlink" Target="https://i.ibb.co/DznB5q4/Itau.png" TargetMode="External"/><Relationship Id="rId2421" Type="http://schemas.openxmlformats.org/officeDocument/2006/relationships/hyperlink" Target="https://i.ibb.co/DznB5q4/Itau.png" TargetMode="External"/><Relationship Id="rId2422" Type="http://schemas.openxmlformats.org/officeDocument/2006/relationships/hyperlink" Target="https://i.ibb.co/DznB5q4/Itau.png" TargetMode="External"/><Relationship Id="rId2423" Type="http://schemas.openxmlformats.org/officeDocument/2006/relationships/hyperlink" Target="https://i.ibb.co/DznB5q4/Itau.png" TargetMode="External"/><Relationship Id="rId2424" Type="http://schemas.openxmlformats.org/officeDocument/2006/relationships/hyperlink" Target="https://i.ibb.co/DznB5q4/Itau.png" TargetMode="External"/><Relationship Id="rId2425" Type="http://schemas.openxmlformats.org/officeDocument/2006/relationships/hyperlink" Target="https://i.ibb.co/DznB5q4/Itau.png" TargetMode="External"/><Relationship Id="rId2426" Type="http://schemas.openxmlformats.org/officeDocument/2006/relationships/hyperlink" Target="https://i.ibb.co/DznB5q4/Itau.png" TargetMode="External"/><Relationship Id="rId2427" Type="http://schemas.openxmlformats.org/officeDocument/2006/relationships/hyperlink" Target="https://i.ibb.co/DznB5q4/Itau.png" TargetMode="External"/><Relationship Id="rId2428" Type="http://schemas.openxmlformats.org/officeDocument/2006/relationships/hyperlink" Target="https://i.ibb.co/DznB5q4/Itau.png" TargetMode="External"/><Relationship Id="rId2429" Type="http://schemas.openxmlformats.org/officeDocument/2006/relationships/hyperlink" Target="https://i.ibb.co/DznB5q4/Itau.png" TargetMode="External"/><Relationship Id="rId2430" Type="http://schemas.openxmlformats.org/officeDocument/2006/relationships/hyperlink" Target="https://i.ibb.co/DznB5q4/Itau.png" TargetMode="External"/><Relationship Id="rId2431" Type="http://schemas.openxmlformats.org/officeDocument/2006/relationships/hyperlink" Target="https://i.ibb.co/DznB5q4/Itau.png" TargetMode="External"/><Relationship Id="rId2432" Type="http://schemas.openxmlformats.org/officeDocument/2006/relationships/hyperlink" Target="https://i.ibb.co/DznB5q4/Itau.png" TargetMode="External"/><Relationship Id="rId2433" Type="http://schemas.openxmlformats.org/officeDocument/2006/relationships/hyperlink" Target="https://i.ibb.co/DznB5q4/Itau.png" TargetMode="External"/><Relationship Id="rId2434" Type="http://schemas.openxmlformats.org/officeDocument/2006/relationships/hyperlink" Target="https://i.ibb.co/DznB5q4/Itau.png" TargetMode="External"/><Relationship Id="rId2435" Type="http://schemas.openxmlformats.org/officeDocument/2006/relationships/hyperlink" Target="https://i.ibb.co/DznB5q4/Itau.png" TargetMode="External"/><Relationship Id="rId2436" Type="http://schemas.openxmlformats.org/officeDocument/2006/relationships/hyperlink" Target="https://i.ibb.co/DznB5q4/Itau.png" TargetMode="External"/><Relationship Id="rId2437" Type="http://schemas.openxmlformats.org/officeDocument/2006/relationships/hyperlink" Target="https://i.ibb.co/DznB5q4/Itau.png" TargetMode="External"/><Relationship Id="rId2438" Type="http://schemas.openxmlformats.org/officeDocument/2006/relationships/hyperlink" Target="https://i.ibb.co/DznB5q4/Itau.png" TargetMode="External"/><Relationship Id="rId2439" Type="http://schemas.openxmlformats.org/officeDocument/2006/relationships/hyperlink" Target="https://i.ibb.co/DznB5q4/Itau.png" TargetMode="External"/><Relationship Id="rId2440" Type="http://schemas.openxmlformats.org/officeDocument/2006/relationships/hyperlink" Target="https://i.ibb.co/DznB5q4/Itau.png" TargetMode="External"/><Relationship Id="rId2441" Type="http://schemas.openxmlformats.org/officeDocument/2006/relationships/hyperlink" Target="https://i.ibb.co/DznB5q4/Itau.png" TargetMode="External"/><Relationship Id="rId2442" Type="http://schemas.openxmlformats.org/officeDocument/2006/relationships/hyperlink" Target="https://i.ibb.co/DznB5q4/Itau.png" TargetMode="External"/><Relationship Id="rId2443" Type="http://schemas.openxmlformats.org/officeDocument/2006/relationships/hyperlink" Target="https://i.ibb.co/DznB5q4/Itau.png" TargetMode="External"/><Relationship Id="rId2444" Type="http://schemas.openxmlformats.org/officeDocument/2006/relationships/hyperlink" Target="https://i.ibb.co/DznB5q4/Itau.png" TargetMode="External"/><Relationship Id="rId2445" Type="http://schemas.openxmlformats.org/officeDocument/2006/relationships/hyperlink" Target="https://i.ibb.co/DznB5q4/Itau.png" TargetMode="External"/><Relationship Id="rId2446" Type="http://schemas.openxmlformats.org/officeDocument/2006/relationships/hyperlink" Target="https://i.ibb.co/DznB5q4/Itau.png" TargetMode="External"/><Relationship Id="rId2447" Type="http://schemas.openxmlformats.org/officeDocument/2006/relationships/hyperlink" Target="https://i.ibb.co/DznB5q4/Itau.png" TargetMode="External"/><Relationship Id="rId2448" Type="http://schemas.openxmlformats.org/officeDocument/2006/relationships/hyperlink" Target="https://i.ibb.co/DznB5q4/Itau.png" TargetMode="External"/><Relationship Id="rId2449" Type="http://schemas.openxmlformats.org/officeDocument/2006/relationships/hyperlink" Target="https://i.ibb.co/DznB5q4/Itau.png" TargetMode="External"/><Relationship Id="rId2450" Type="http://schemas.openxmlformats.org/officeDocument/2006/relationships/hyperlink" Target="https://i.ibb.co/DznB5q4/Itau.png" TargetMode="External"/><Relationship Id="rId2451" Type="http://schemas.openxmlformats.org/officeDocument/2006/relationships/hyperlink" Target="https://i.ibb.co/DznB5q4/Itau.png" TargetMode="External"/><Relationship Id="rId2452" Type="http://schemas.openxmlformats.org/officeDocument/2006/relationships/hyperlink" Target="https://i.ibb.co/DznB5q4/Itau.png" TargetMode="External"/><Relationship Id="rId2453" Type="http://schemas.openxmlformats.org/officeDocument/2006/relationships/hyperlink" Target="https://i.ibb.co/DznB5q4/Itau.png" TargetMode="External"/><Relationship Id="rId2454" Type="http://schemas.openxmlformats.org/officeDocument/2006/relationships/hyperlink" Target="https://i.ibb.co/DznB5q4/Itau.png" TargetMode="External"/><Relationship Id="rId2455" Type="http://schemas.openxmlformats.org/officeDocument/2006/relationships/hyperlink" Target="https://i.ibb.co/DznB5q4/Itau.png" TargetMode="External"/><Relationship Id="rId2456" Type="http://schemas.openxmlformats.org/officeDocument/2006/relationships/hyperlink" Target="https://i.ibb.co/DznB5q4/Itau.png" TargetMode="External"/><Relationship Id="rId2457" Type="http://schemas.openxmlformats.org/officeDocument/2006/relationships/hyperlink" Target="https://i.ibb.co/DznB5q4/Itau.png" TargetMode="External"/><Relationship Id="rId2458" Type="http://schemas.openxmlformats.org/officeDocument/2006/relationships/hyperlink" Target="https://i.ibb.co/DznB5q4/Itau.png" TargetMode="External"/><Relationship Id="rId2459" Type="http://schemas.openxmlformats.org/officeDocument/2006/relationships/hyperlink" Target="https://i.ibb.co/DznB5q4/Itau.png" TargetMode="External"/><Relationship Id="rId2460" Type="http://schemas.openxmlformats.org/officeDocument/2006/relationships/hyperlink" Target="https://i.ibb.co/DznB5q4/Itau.png" TargetMode="External"/><Relationship Id="rId2461" Type="http://schemas.openxmlformats.org/officeDocument/2006/relationships/hyperlink" Target="https://i.ibb.co/DznB5q4/Itau.png" TargetMode="External"/><Relationship Id="rId2462" Type="http://schemas.openxmlformats.org/officeDocument/2006/relationships/hyperlink" Target="https://i.ibb.co/DznB5q4/Itau.png" TargetMode="External"/><Relationship Id="rId2463" Type="http://schemas.openxmlformats.org/officeDocument/2006/relationships/hyperlink" Target="https://i.ibb.co/DznB5q4/Itau.png" TargetMode="External"/><Relationship Id="rId2464" Type="http://schemas.openxmlformats.org/officeDocument/2006/relationships/hyperlink" Target="https://i.ibb.co/DznB5q4/Itau.png" TargetMode="External"/><Relationship Id="rId2465" Type="http://schemas.openxmlformats.org/officeDocument/2006/relationships/hyperlink" Target="https://i.ibb.co/DznB5q4/Itau.png" TargetMode="External"/><Relationship Id="rId2466" Type="http://schemas.openxmlformats.org/officeDocument/2006/relationships/hyperlink" Target="https://i.ibb.co/DznB5q4/Itau.png" TargetMode="External"/><Relationship Id="rId2467" Type="http://schemas.openxmlformats.org/officeDocument/2006/relationships/hyperlink" Target="https://i.ibb.co/DznB5q4/Itau.png" TargetMode="External"/><Relationship Id="rId2468" Type="http://schemas.openxmlformats.org/officeDocument/2006/relationships/hyperlink" Target="https://i.ibb.co/DznB5q4/Itau.png" TargetMode="External"/><Relationship Id="rId2469" Type="http://schemas.openxmlformats.org/officeDocument/2006/relationships/hyperlink" Target="https://i.ibb.co/DznB5q4/Itau.png" TargetMode="External"/><Relationship Id="rId2470" Type="http://schemas.openxmlformats.org/officeDocument/2006/relationships/hyperlink" Target="https://i.ibb.co/DznB5q4/Itau.png" TargetMode="External"/><Relationship Id="rId2471" Type="http://schemas.openxmlformats.org/officeDocument/2006/relationships/hyperlink" Target="https://i.ibb.co/DznB5q4/Itau.png" TargetMode="External"/><Relationship Id="rId2472" Type="http://schemas.openxmlformats.org/officeDocument/2006/relationships/hyperlink" Target="https://i.ibb.co/DznB5q4/Itau.png" TargetMode="External"/><Relationship Id="rId2473" Type="http://schemas.openxmlformats.org/officeDocument/2006/relationships/hyperlink" Target="https://i.ibb.co/DznB5q4/Itau.png" TargetMode="External"/><Relationship Id="rId2474" Type="http://schemas.openxmlformats.org/officeDocument/2006/relationships/hyperlink" Target="https://i.ibb.co/DznB5q4/Itau.png" TargetMode="External"/><Relationship Id="rId2475" Type="http://schemas.openxmlformats.org/officeDocument/2006/relationships/hyperlink" Target="https://i.ibb.co/DznB5q4/Itau.png" TargetMode="External"/><Relationship Id="rId2476" Type="http://schemas.openxmlformats.org/officeDocument/2006/relationships/hyperlink" Target="https://i.ibb.co/DznB5q4/Itau.png" TargetMode="External"/><Relationship Id="rId2477" Type="http://schemas.openxmlformats.org/officeDocument/2006/relationships/hyperlink" Target="https://i.ibb.co/DznB5q4/Itau.png" TargetMode="External"/><Relationship Id="rId2478" Type="http://schemas.openxmlformats.org/officeDocument/2006/relationships/hyperlink" Target="https://i.ibb.co/DznB5q4/Itau.png" TargetMode="External"/><Relationship Id="rId2479" Type="http://schemas.openxmlformats.org/officeDocument/2006/relationships/hyperlink" Target="https://i.ibb.co/DznB5q4/Itau.png" TargetMode="External"/><Relationship Id="rId2480" Type="http://schemas.openxmlformats.org/officeDocument/2006/relationships/hyperlink" Target="https://i.ibb.co/DznB5q4/Itau.png" TargetMode="External"/><Relationship Id="rId2481" Type="http://schemas.openxmlformats.org/officeDocument/2006/relationships/hyperlink" Target="https://i.ibb.co/DznB5q4/Itau.png" TargetMode="External"/><Relationship Id="rId2482" Type="http://schemas.openxmlformats.org/officeDocument/2006/relationships/hyperlink" Target="https://i.ibb.co/DznB5q4/Itau.png" TargetMode="External"/><Relationship Id="rId2483" Type="http://schemas.openxmlformats.org/officeDocument/2006/relationships/hyperlink" Target="https://i.ibb.co/DznB5q4/Itau.png" TargetMode="External"/><Relationship Id="rId2484" Type="http://schemas.openxmlformats.org/officeDocument/2006/relationships/hyperlink" Target="https://i.ibb.co/DznB5q4/Itau.png" TargetMode="External"/><Relationship Id="rId2485" Type="http://schemas.openxmlformats.org/officeDocument/2006/relationships/hyperlink" Target="https://i.ibb.co/DznB5q4/Itau.png" TargetMode="External"/><Relationship Id="rId2486" Type="http://schemas.openxmlformats.org/officeDocument/2006/relationships/hyperlink" Target="https://i.ibb.co/DznB5q4/Itau.png" TargetMode="External"/><Relationship Id="rId2487" Type="http://schemas.openxmlformats.org/officeDocument/2006/relationships/hyperlink" Target="https://i.ibb.co/DznB5q4/Itau.png" TargetMode="External"/><Relationship Id="rId2488" Type="http://schemas.openxmlformats.org/officeDocument/2006/relationships/hyperlink" Target="https://i.ibb.co/DznB5q4/Itau.png" TargetMode="External"/><Relationship Id="rId2489" Type="http://schemas.openxmlformats.org/officeDocument/2006/relationships/hyperlink" Target="https://i.ibb.co/DznB5q4/Itau.png" TargetMode="External"/><Relationship Id="rId2490" Type="http://schemas.openxmlformats.org/officeDocument/2006/relationships/hyperlink" Target="https://i.ibb.co/DznB5q4/Itau.png" TargetMode="External"/><Relationship Id="rId2491" Type="http://schemas.openxmlformats.org/officeDocument/2006/relationships/hyperlink" Target="https://i.ibb.co/DznB5q4/Itau.png" TargetMode="External"/><Relationship Id="rId2492" Type="http://schemas.openxmlformats.org/officeDocument/2006/relationships/hyperlink" Target="https://i.ibb.co/DznB5q4/Itau.png" TargetMode="External"/><Relationship Id="rId2493" Type="http://schemas.openxmlformats.org/officeDocument/2006/relationships/hyperlink" Target="https://i.ibb.co/DznB5q4/Itau.png" TargetMode="External"/><Relationship Id="rId2494" Type="http://schemas.openxmlformats.org/officeDocument/2006/relationships/hyperlink" Target="https://i.ibb.co/DznB5q4/Itau.png" TargetMode="External"/><Relationship Id="rId2495" Type="http://schemas.openxmlformats.org/officeDocument/2006/relationships/hyperlink" Target="https://i.ibb.co/DznB5q4/Itau.png" TargetMode="External"/><Relationship Id="rId2496" Type="http://schemas.openxmlformats.org/officeDocument/2006/relationships/hyperlink" Target="https://i.ibb.co/DznB5q4/Itau.png" TargetMode="External"/><Relationship Id="rId2497" Type="http://schemas.openxmlformats.org/officeDocument/2006/relationships/hyperlink" Target="https://i.ibb.co/DznB5q4/Itau.png" TargetMode="External"/><Relationship Id="rId2498" Type="http://schemas.openxmlformats.org/officeDocument/2006/relationships/hyperlink" Target="https://i.ibb.co/DznB5q4/Itau.png" TargetMode="External"/><Relationship Id="rId2499" Type="http://schemas.openxmlformats.org/officeDocument/2006/relationships/hyperlink" Target="https://i.ibb.co/DznB5q4/Itau.png" TargetMode="External"/><Relationship Id="rId2500" Type="http://schemas.openxmlformats.org/officeDocument/2006/relationships/hyperlink" Target="https://i.ibb.co/DznB5q4/Itau.png" TargetMode="External"/><Relationship Id="rId2501" Type="http://schemas.openxmlformats.org/officeDocument/2006/relationships/hyperlink" Target="https://i.ibb.co/DznB5q4/Itau.png" TargetMode="External"/><Relationship Id="rId2502" Type="http://schemas.openxmlformats.org/officeDocument/2006/relationships/hyperlink" Target="https://i.ibb.co/DznB5q4/Itau.png" TargetMode="External"/><Relationship Id="rId2503" Type="http://schemas.openxmlformats.org/officeDocument/2006/relationships/hyperlink" Target="https://i.ibb.co/DznB5q4/Itau.png" TargetMode="External"/><Relationship Id="rId2504" Type="http://schemas.openxmlformats.org/officeDocument/2006/relationships/hyperlink" Target="https://i.ibb.co/DznB5q4/Itau.png" TargetMode="External"/><Relationship Id="rId2505" Type="http://schemas.openxmlformats.org/officeDocument/2006/relationships/hyperlink" Target="https://i.ibb.co/DznB5q4/Itau.png" TargetMode="External"/><Relationship Id="rId2506" Type="http://schemas.openxmlformats.org/officeDocument/2006/relationships/hyperlink" Target="https://i.ibb.co/DznB5q4/Itau.png" TargetMode="External"/><Relationship Id="rId2507" Type="http://schemas.openxmlformats.org/officeDocument/2006/relationships/hyperlink" Target="https://i.ibb.co/DznB5q4/Itau.png" TargetMode="External"/><Relationship Id="rId2508" Type="http://schemas.openxmlformats.org/officeDocument/2006/relationships/hyperlink" Target="https://i.ibb.co/DznB5q4/Itau.png" TargetMode="External"/><Relationship Id="rId2509" Type="http://schemas.openxmlformats.org/officeDocument/2006/relationships/hyperlink" Target="https://i.ibb.co/DznB5q4/Itau.png" TargetMode="External"/><Relationship Id="rId2510" Type="http://schemas.openxmlformats.org/officeDocument/2006/relationships/hyperlink" Target="https://i.ibb.co/DznB5q4/Itau.png" TargetMode="External"/><Relationship Id="rId2511" Type="http://schemas.openxmlformats.org/officeDocument/2006/relationships/hyperlink" Target="https://i.ibb.co/DznB5q4/Itau.png" TargetMode="External"/><Relationship Id="rId2512" Type="http://schemas.openxmlformats.org/officeDocument/2006/relationships/hyperlink" Target="https://i.ibb.co/DznB5q4/Itau.png" TargetMode="External"/><Relationship Id="rId2513" Type="http://schemas.openxmlformats.org/officeDocument/2006/relationships/hyperlink" Target="https://i.ibb.co/DznB5q4/Itau.png" TargetMode="External"/><Relationship Id="rId2514" Type="http://schemas.openxmlformats.org/officeDocument/2006/relationships/hyperlink" Target="https://i.ibb.co/DznB5q4/Itau.png" TargetMode="External"/><Relationship Id="rId2515" Type="http://schemas.openxmlformats.org/officeDocument/2006/relationships/hyperlink" Target="https://i.ibb.co/DznB5q4/Itau.png" TargetMode="External"/><Relationship Id="rId2516" Type="http://schemas.openxmlformats.org/officeDocument/2006/relationships/hyperlink" Target="https://i.ibb.co/DznB5q4/Itau.png" TargetMode="External"/><Relationship Id="rId2517" Type="http://schemas.openxmlformats.org/officeDocument/2006/relationships/hyperlink" Target="https://i.ibb.co/DznB5q4/Itau.png" TargetMode="External"/><Relationship Id="rId2518" Type="http://schemas.openxmlformats.org/officeDocument/2006/relationships/hyperlink" Target="https://i.ibb.co/DznB5q4/Itau.png" TargetMode="External"/><Relationship Id="rId2519" Type="http://schemas.openxmlformats.org/officeDocument/2006/relationships/hyperlink" Target="https://i.ibb.co/DznB5q4/Itau.png" TargetMode="External"/><Relationship Id="rId2520" Type="http://schemas.openxmlformats.org/officeDocument/2006/relationships/hyperlink" Target="https://i.ibb.co/DznB5q4/Itau.png" TargetMode="External"/><Relationship Id="rId2521" Type="http://schemas.openxmlformats.org/officeDocument/2006/relationships/hyperlink" Target="https://i.ibb.co/DznB5q4/Itau.png" TargetMode="External"/><Relationship Id="rId2522" Type="http://schemas.openxmlformats.org/officeDocument/2006/relationships/hyperlink" Target="https://i.ibb.co/DznB5q4/Itau.png" TargetMode="External"/><Relationship Id="rId2523" Type="http://schemas.openxmlformats.org/officeDocument/2006/relationships/hyperlink" Target="https://i.ibb.co/DznB5q4/Itau.png" TargetMode="External"/><Relationship Id="rId2524" Type="http://schemas.openxmlformats.org/officeDocument/2006/relationships/hyperlink" Target="https://i.ibb.co/DznB5q4/Itau.png" TargetMode="External"/><Relationship Id="rId2525" Type="http://schemas.openxmlformats.org/officeDocument/2006/relationships/hyperlink" Target="https://i.ibb.co/DznB5q4/Itau.png" TargetMode="External"/><Relationship Id="rId2526" Type="http://schemas.openxmlformats.org/officeDocument/2006/relationships/hyperlink" Target="https://i.ibb.co/DznB5q4/Itau.png" TargetMode="External"/><Relationship Id="rId2527" Type="http://schemas.openxmlformats.org/officeDocument/2006/relationships/hyperlink" Target="https://i.ibb.co/DznB5q4/Itau.png" TargetMode="External"/><Relationship Id="rId2528" Type="http://schemas.openxmlformats.org/officeDocument/2006/relationships/hyperlink" Target="https://i.ibb.co/DznB5q4/Itau.png" TargetMode="External"/><Relationship Id="rId2529" Type="http://schemas.openxmlformats.org/officeDocument/2006/relationships/hyperlink" Target="https://i.ibb.co/DznB5q4/Itau.png" TargetMode="External"/><Relationship Id="rId2530" Type="http://schemas.openxmlformats.org/officeDocument/2006/relationships/hyperlink" Target="https://i.ibb.co/DznB5q4/Itau.png" TargetMode="External"/><Relationship Id="rId2531" Type="http://schemas.openxmlformats.org/officeDocument/2006/relationships/hyperlink" Target="https://i.ibb.co/DznB5q4/Itau.png" TargetMode="External"/><Relationship Id="rId2532" Type="http://schemas.openxmlformats.org/officeDocument/2006/relationships/hyperlink" Target="https://i.ibb.co/DznB5q4/Itau.png" TargetMode="External"/><Relationship Id="rId2533" Type="http://schemas.openxmlformats.org/officeDocument/2006/relationships/hyperlink" Target="https://i.ibb.co/DznB5q4/Itau.png" TargetMode="External"/><Relationship Id="rId2534" Type="http://schemas.openxmlformats.org/officeDocument/2006/relationships/hyperlink" Target="https://i.ibb.co/DznB5q4/Itau.png" TargetMode="External"/><Relationship Id="rId2535" Type="http://schemas.openxmlformats.org/officeDocument/2006/relationships/hyperlink" Target="https://i.ibb.co/DznB5q4/Itau.png" TargetMode="External"/><Relationship Id="rId2536" Type="http://schemas.openxmlformats.org/officeDocument/2006/relationships/hyperlink" Target="https://i.ibb.co/DznB5q4/Itau.png" TargetMode="External"/><Relationship Id="rId2537" Type="http://schemas.openxmlformats.org/officeDocument/2006/relationships/hyperlink" Target="https://i.ibb.co/DznB5q4/Itau.png" TargetMode="External"/><Relationship Id="rId2538" Type="http://schemas.openxmlformats.org/officeDocument/2006/relationships/hyperlink" Target="https://i.ibb.co/DznB5q4/Itau.png" TargetMode="External"/><Relationship Id="rId2539" Type="http://schemas.openxmlformats.org/officeDocument/2006/relationships/hyperlink" Target="https://i.ibb.co/DznB5q4/Itau.png" TargetMode="External"/><Relationship Id="rId2540" Type="http://schemas.openxmlformats.org/officeDocument/2006/relationships/hyperlink" Target="https://i.ibb.co/DznB5q4/Itau.png" TargetMode="External"/><Relationship Id="rId2541" Type="http://schemas.openxmlformats.org/officeDocument/2006/relationships/hyperlink" Target="https://i.ibb.co/DznB5q4/Itau.png" TargetMode="External"/><Relationship Id="rId2542" Type="http://schemas.openxmlformats.org/officeDocument/2006/relationships/hyperlink" Target="https://i.ibb.co/DznB5q4/Itau.png" TargetMode="External"/><Relationship Id="rId2543" Type="http://schemas.openxmlformats.org/officeDocument/2006/relationships/hyperlink" Target="https://i.ibb.co/DznB5q4/Itau.png" TargetMode="External"/><Relationship Id="rId2544" Type="http://schemas.openxmlformats.org/officeDocument/2006/relationships/hyperlink" Target="https://i.ibb.co/DznB5q4/Itau.png" TargetMode="External"/><Relationship Id="rId2545" Type="http://schemas.openxmlformats.org/officeDocument/2006/relationships/hyperlink" Target="https://i.ibb.co/DznB5q4/Itau.png" TargetMode="External"/><Relationship Id="rId2546" Type="http://schemas.openxmlformats.org/officeDocument/2006/relationships/hyperlink" Target="https://i.ibb.co/DznB5q4/Itau.png" TargetMode="External"/><Relationship Id="rId2547" Type="http://schemas.openxmlformats.org/officeDocument/2006/relationships/hyperlink" Target="https://i.ibb.co/DznB5q4/Itau.png" TargetMode="External"/><Relationship Id="rId2548" Type="http://schemas.openxmlformats.org/officeDocument/2006/relationships/hyperlink" Target="https://i.ibb.co/DznB5q4/Itau.png" TargetMode="External"/><Relationship Id="rId2549" Type="http://schemas.openxmlformats.org/officeDocument/2006/relationships/hyperlink" Target="https://i.ibb.co/DznB5q4/Itau.png" TargetMode="External"/><Relationship Id="rId2550" Type="http://schemas.openxmlformats.org/officeDocument/2006/relationships/hyperlink" Target="https://i.ibb.co/DznB5q4/Itau.png" TargetMode="External"/><Relationship Id="rId2551" Type="http://schemas.openxmlformats.org/officeDocument/2006/relationships/hyperlink" Target="https://i.ibb.co/DznB5q4/Itau.png" TargetMode="External"/><Relationship Id="rId2552" Type="http://schemas.openxmlformats.org/officeDocument/2006/relationships/hyperlink" Target="https://i.ibb.co/DznB5q4/Itau.png" TargetMode="External"/><Relationship Id="rId2553" Type="http://schemas.openxmlformats.org/officeDocument/2006/relationships/hyperlink" Target="https://i.ibb.co/DznB5q4/Itau.png" TargetMode="External"/><Relationship Id="rId2554" Type="http://schemas.openxmlformats.org/officeDocument/2006/relationships/hyperlink" Target="https://i.ibb.co/DznB5q4/Itau.png" TargetMode="External"/><Relationship Id="rId2555" Type="http://schemas.openxmlformats.org/officeDocument/2006/relationships/hyperlink" Target="https://i.ibb.co/DznB5q4/Itau.png" TargetMode="External"/><Relationship Id="rId2556" Type="http://schemas.openxmlformats.org/officeDocument/2006/relationships/hyperlink" Target="https://i.ibb.co/DznB5q4/Itau.png" TargetMode="External"/><Relationship Id="rId2557" Type="http://schemas.openxmlformats.org/officeDocument/2006/relationships/hyperlink" Target="https://i.ibb.co/DznB5q4/Itau.png" TargetMode="External"/><Relationship Id="rId2558" Type="http://schemas.openxmlformats.org/officeDocument/2006/relationships/hyperlink" Target="https://i.ibb.co/DznB5q4/Itau.png" TargetMode="External"/><Relationship Id="rId2559" Type="http://schemas.openxmlformats.org/officeDocument/2006/relationships/hyperlink" Target="https://i.ibb.co/DznB5q4/Itau.png" TargetMode="External"/><Relationship Id="rId2560" Type="http://schemas.openxmlformats.org/officeDocument/2006/relationships/hyperlink" Target="https://i.ibb.co/DznB5q4/Itau.png" TargetMode="External"/><Relationship Id="rId2561" Type="http://schemas.openxmlformats.org/officeDocument/2006/relationships/hyperlink" Target="https://i.ibb.co/DznB5q4/Itau.png" TargetMode="External"/><Relationship Id="rId2562" Type="http://schemas.openxmlformats.org/officeDocument/2006/relationships/hyperlink" Target="https://i.ibb.co/DznB5q4/Itau.png" TargetMode="External"/><Relationship Id="rId2563" Type="http://schemas.openxmlformats.org/officeDocument/2006/relationships/hyperlink" Target="https://i.ibb.co/DznB5q4/Itau.png" TargetMode="External"/><Relationship Id="rId2564" Type="http://schemas.openxmlformats.org/officeDocument/2006/relationships/hyperlink" Target="https://i.ibb.co/DznB5q4/Itau.png" TargetMode="External"/><Relationship Id="rId2565" Type="http://schemas.openxmlformats.org/officeDocument/2006/relationships/hyperlink" Target="https://i.ibb.co/DznB5q4/Itau.png" TargetMode="External"/><Relationship Id="rId2566" Type="http://schemas.openxmlformats.org/officeDocument/2006/relationships/hyperlink" Target="https://i.ibb.co/DznB5q4/Itau.png" TargetMode="External"/><Relationship Id="rId2567" Type="http://schemas.openxmlformats.org/officeDocument/2006/relationships/hyperlink" Target="https://i.ibb.co/DznB5q4/Itau.png" TargetMode="External"/><Relationship Id="rId2568" Type="http://schemas.openxmlformats.org/officeDocument/2006/relationships/hyperlink" Target="https://i.ibb.co/DznB5q4/Itau.png" TargetMode="External"/><Relationship Id="rId2569" Type="http://schemas.openxmlformats.org/officeDocument/2006/relationships/hyperlink" Target="https://i.ibb.co/DznB5q4/Itau.png" TargetMode="External"/><Relationship Id="rId2570" Type="http://schemas.openxmlformats.org/officeDocument/2006/relationships/hyperlink" Target="https://i.ibb.co/DznB5q4/Itau.png" TargetMode="External"/><Relationship Id="rId2571" Type="http://schemas.openxmlformats.org/officeDocument/2006/relationships/hyperlink" Target="https://i.ibb.co/DznB5q4/Itau.png" TargetMode="External"/><Relationship Id="rId2572" Type="http://schemas.openxmlformats.org/officeDocument/2006/relationships/hyperlink" Target="https://i.ibb.co/DznB5q4/Itau.png" TargetMode="External"/><Relationship Id="rId2573" Type="http://schemas.openxmlformats.org/officeDocument/2006/relationships/hyperlink" Target="https://i.ibb.co/DznB5q4/Itau.png" TargetMode="External"/><Relationship Id="rId2574" Type="http://schemas.openxmlformats.org/officeDocument/2006/relationships/hyperlink" Target="https://i.ibb.co/DznB5q4/Itau.png" TargetMode="External"/><Relationship Id="rId2575" Type="http://schemas.openxmlformats.org/officeDocument/2006/relationships/hyperlink" Target="https://i.ibb.co/DznB5q4/Itau.png" TargetMode="External"/><Relationship Id="rId2576" Type="http://schemas.openxmlformats.org/officeDocument/2006/relationships/hyperlink" Target="https://i.ibb.co/DznB5q4/Itau.png" TargetMode="External"/><Relationship Id="rId2577" Type="http://schemas.openxmlformats.org/officeDocument/2006/relationships/hyperlink" Target="https://i.ibb.co/DznB5q4/Itau.png" TargetMode="External"/><Relationship Id="rId2578" Type="http://schemas.openxmlformats.org/officeDocument/2006/relationships/hyperlink" Target="https://i.ibb.co/DznB5q4/Itau.png" TargetMode="External"/><Relationship Id="rId2579" Type="http://schemas.openxmlformats.org/officeDocument/2006/relationships/hyperlink" Target="https://i.ibb.co/DznB5q4/Itau.png" TargetMode="External"/><Relationship Id="rId2580" Type="http://schemas.openxmlformats.org/officeDocument/2006/relationships/hyperlink" Target="https://i.ibb.co/DznB5q4/Itau.png" TargetMode="External"/><Relationship Id="rId2581" Type="http://schemas.openxmlformats.org/officeDocument/2006/relationships/hyperlink" Target="https://i.ibb.co/DznB5q4/Itau.png" TargetMode="External"/><Relationship Id="rId2582" Type="http://schemas.openxmlformats.org/officeDocument/2006/relationships/hyperlink" Target="https://i.ibb.co/DznB5q4/Itau.png" TargetMode="External"/><Relationship Id="rId2583" Type="http://schemas.openxmlformats.org/officeDocument/2006/relationships/hyperlink" Target="https://i.ibb.co/DznB5q4/Itau.png" TargetMode="External"/><Relationship Id="rId2584" Type="http://schemas.openxmlformats.org/officeDocument/2006/relationships/hyperlink" Target="https://i.ibb.co/DznB5q4/Itau.png" TargetMode="External"/><Relationship Id="rId2585" Type="http://schemas.openxmlformats.org/officeDocument/2006/relationships/hyperlink" Target="https://i.ibb.co/DznB5q4/Itau.png" TargetMode="External"/><Relationship Id="rId2586" Type="http://schemas.openxmlformats.org/officeDocument/2006/relationships/hyperlink" Target="https://i.ibb.co/DznB5q4/Itau.png" TargetMode="External"/><Relationship Id="rId2587" Type="http://schemas.openxmlformats.org/officeDocument/2006/relationships/hyperlink" Target="https://i.ibb.co/DznB5q4/Itau.png" TargetMode="External"/><Relationship Id="rId2588" Type="http://schemas.openxmlformats.org/officeDocument/2006/relationships/hyperlink" Target="https://i.ibb.co/DznB5q4/Itau.png" TargetMode="External"/><Relationship Id="rId2589" Type="http://schemas.openxmlformats.org/officeDocument/2006/relationships/hyperlink" Target="https://i.ibb.co/DznB5q4/Itau.png" TargetMode="External"/><Relationship Id="rId2590" Type="http://schemas.openxmlformats.org/officeDocument/2006/relationships/hyperlink" Target="https://i.ibb.co/DznB5q4/Itau.png" TargetMode="External"/><Relationship Id="rId2591" Type="http://schemas.openxmlformats.org/officeDocument/2006/relationships/hyperlink" Target="https://i.ibb.co/DznB5q4/Itau.png" TargetMode="External"/><Relationship Id="rId2592" Type="http://schemas.openxmlformats.org/officeDocument/2006/relationships/hyperlink" Target="https://i.ibb.co/DznB5q4/Itau.png" TargetMode="External"/><Relationship Id="rId2593" Type="http://schemas.openxmlformats.org/officeDocument/2006/relationships/hyperlink" Target="https://i.ibb.co/DznB5q4/Itau.png" TargetMode="External"/><Relationship Id="rId2594" Type="http://schemas.openxmlformats.org/officeDocument/2006/relationships/hyperlink" Target="https://i.ibb.co/DznB5q4/Itau.png" TargetMode="External"/><Relationship Id="rId2595" Type="http://schemas.openxmlformats.org/officeDocument/2006/relationships/hyperlink" Target="https://i.ibb.co/DznB5q4/Itau.png" TargetMode="External"/><Relationship Id="rId2596" Type="http://schemas.openxmlformats.org/officeDocument/2006/relationships/hyperlink" Target="https://i.ibb.co/DznB5q4/Itau.png" TargetMode="External"/><Relationship Id="rId2597" Type="http://schemas.openxmlformats.org/officeDocument/2006/relationships/hyperlink" Target="https://i.ibb.co/DznB5q4/Itau.png" TargetMode="External"/><Relationship Id="rId2598" Type="http://schemas.openxmlformats.org/officeDocument/2006/relationships/hyperlink" Target="https://i.ibb.co/DznB5q4/Itau.png" TargetMode="External"/><Relationship Id="rId2599" Type="http://schemas.openxmlformats.org/officeDocument/2006/relationships/hyperlink" Target="https://i.ibb.co/DznB5q4/Itau.png" TargetMode="External"/><Relationship Id="rId2600" Type="http://schemas.openxmlformats.org/officeDocument/2006/relationships/hyperlink" Target="https://i.ibb.co/DznB5q4/Itau.png" TargetMode="External"/><Relationship Id="rId2601" Type="http://schemas.openxmlformats.org/officeDocument/2006/relationships/hyperlink" Target="https://i.ibb.co/DznB5q4/Itau.png" TargetMode="External"/><Relationship Id="rId2602" Type="http://schemas.openxmlformats.org/officeDocument/2006/relationships/hyperlink" Target="https://i.ibb.co/DznB5q4/Itau.png" TargetMode="External"/><Relationship Id="rId2603" Type="http://schemas.openxmlformats.org/officeDocument/2006/relationships/hyperlink" Target="https://i.ibb.co/DznB5q4/Itau.png" TargetMode="External"/><Relationship Id="rId2604" Type="http://schemas.openxmlformats.org/officeDocument/2006/relationships/hyperlink" Target="https://i.ibb.co/DznB5q4/Itau.png" TargetMode="External"/><Relationship Id="rId2605" Type="http://schemas.openxmlformats.org/officeDocument/2006/relationships/hyperlink" Target="https://i.ibb.co/DznB5q4/Itau.png" TargetMode="External"/><Relationship Id="rId2606" Type="http://schemas.openxmlformats.org/officeDocument/2006/relationships/hyperlink" Target="https://i.ibb.co/DznB5q4/Itau.png" TargetMode="External"/><Relationship Id="rId2607" Type="http://schemas.openxmlformats.org/officeDocument/2006/relationships/hyperlink" Target="https://i.ibb.co/DznB5q4/Itau.png" TargetMode="External"/><Relationship Id="rId2608" Type="http://schemas.openxmlformats.org/officeDocument/2006/relationships/hyperlink" Target="https://i.ibb.co/DznB5q4/Itau.png" TargetMode="External"/><Relationship Id="rId2609" Type="http://schemas.openxmlformats.org/officeDocument/2006/relationships/hyperlink" Target="https://i.ibb.co/DznB5q4/Itau.png" TargetMode="External"/><Relationship Id="rId2610" Type="http://schemas.openxmlformats.org/officeDocument/2006/relationships/hyperlink" Target="https://i.ibb.co/DznB5q4/Itau.png" TargetMode="External"/><Relationship Id="rId2611" Type="http://schemas.openxmlformats.org/officeDocument/2006/relationships/hyperlink" Target="https://i.ibb.co/DznB5q4/Itau.png" TargetMode="External"/><Relationship Id="rId2612" Type="http://schemas.openxmlformats.org/officeDocument/2006/relationships/hyperlink" Target="https://i.ibb.co/DznB5q4/Itau.png" TargetMode="External"/><Relationship Id="rId2613" Type="http://schemas.openxmlformats.org/officeDocument/2006/relationships/hyperlink" Target="https://i.ibb.co/DznB5q4/Itau.png" TargetMode="External"/><Relationship Id="rId2614" Type="http://schemas.openxmlformats.org/officeDocument/2006/relationships/hyperlink" Target="https://i.ibb.co/DznB5q4/Itau.png" TargetMode="External"/><Relationship Id="rId2615" Type="http://schemas.openxmlformats.org/officeDocument/2006/relationships/hyperlink" Target="https://i.ibb.co/DznB5q4/Itau.png" TargetMode="External"/><Relationship Id="rId2616" Type="http://schemas.openxmlformats.org/officeDocument/2006/relationships/hyperlink" Target="https://i.ibb.co/DznB5q4/Itau.png" TargetMode="External"/><Relationship Id="rId2617" Type="http://schemas.openxmlformats.org/officeDocument/2006/relationships/hyperlink" Target="https://i.ibb.co/DznB5q4/Itau.png" TargetMode="External"/><Relationship Id="rId2618" Type="http://schemas.openxmlformats.org/officeDocument/2006/relationships/hyperlink" Target="https://i.ibb.co/DznB5q4/Itau.png" TargetMode="External"/><Relationship Id="rId2619" Type="http://schemas.openxmlformats.org/officeDocument/2006/relationships/hyperlink" Target="https://i.ibb.co/DznB5q4/Itau.png" TargetMode="External"/><Relationship Id="rId2620" Type="http://schemas.openxmlformats.org/officeDocument/2006/relationships/hyperlink" Target="https://i.ibb.co/DznB5q4/Itau.png" TargetMode="External"/><Relationship Id="rId2621" Type="http://schemas.openxmlformats.org/officeDocument/2006/relationships/hyperlink" Target="https://i.ibb.co/DznB5q4/Itau.png" TargetMode="External"/><Relationship Id="rId2622" Type="http://schemas.openxmlformats.org/officeDocument/2006/relationships/hyperlink" Target="https://i.ibb.co/DznB5q4/Itau.png" TargetMode="External"/><Relationship Id="rId2623" Type="http://schemas.openxmlformats.org/officeDocument/2006/relationships/hyperlink" Target="https://i.ibb.co/DznB5q4/Itau.png" TargetMode="External"/><Relationship Id="rId2624" Type="http://schemas.openxmlformats.org/officeDocument/2006/relationships/hyperlink" Target="https://i.ibb.co/DznB5q4/Itau.png" TargetMode="External"/><Relationship Id="rId2625" Type="http://schemas.openxmlformats.org/officeDocument/2006/relationships/hyperlink" Target="https://i.ibb.co/DznB5q4/Itau.png" TargetMode="External"/><Relationship Id="rId2626" Type="http://schemas.openxmlformats.org/officeDocument/2006/relationships/hyperlink" Target="https://i.ibb.co/DznB5q4/Itau.png" TargetMode="External"/><Relationship Id="rId2627" Type="http://schemas.openxmlformats.org/officeDocument/2006/relationships/hyperlink" Target="https://i.ibb.co/DznB5q4/Itau.png" TargetMode="External"/><Relationship Id="rId2628" Type="http://schemas.openxmlformats.org/officeDocument/2006/relationships/hyperlink" Target="https://i.ibb.co/DznB5q4/Itau.png" TargetMode="External"/><Relationship Id="rId2629" Type="http://schemas.openxmlformats.org/officeDocument/2006/relationships/hyperlink" Target="https://i.ibb.co/DznB5q4/Itau.png" TargetMode="External"/><Relationship Id="rId2630" Type="http://schemas.openxmlformats.org/officeDocument/2006/relationships/hyperlink" Target="https://i.ibb.co/DznB5q4/Itau.png" TargetMode="External"/><Relationship Id="rId2631" Type="http://schemas.openxmlformats.org/officeDocument/2006/relationships/hyperlink" Target="https://i.ibb.co/DznB5q4/Itau.png" TargetMode="External"/><Relationship Id="rId2632" Type="http://schemas.openxmlformats.org/officeDocument/2006/relationships/hyperlink" Target="https://i.ibb.co/DznB5q4/Itau.png" TargetMode="External"/><Relationship Id="rId2633" Type="http://schemas.openxmlformats.org/officeDocument/2006/relationships/hyperlink" Target="https://i.ibb.co/DznB5q4/Itau.png" TargetMode="External"/><Relationship Id="rId2634" Type="http://schemas.openxmlformats.org/officeDocument/2006/relationships/hyperlink" Target="https://i.ibb.co/DznB5q4/Itau.png" TargetMode="External"/><Relationship Id="rId2635" Type="http://schemas.openxmlformats.org/officeDocument/2006/relationships/hyperlink" Target="https://i.ibb.co/DznB5q4/Itau.png" TargetMode="External"/><Relationship Id="rId2636" Type="http://schemas.openxmlformats.org/officeDocument/2006/relationships/hyperlink" Target="https://i.ibb.co/DznB5q4/Itau.png" TargetMode="External"/><Relationship Id="rId2637" Type="http://schemas.openxmlformats.org/officeDocument/2006/relationships/hyperlink" Target="https://i.ibb.co/DznB5q4/Itau.png" TargetMode="External"/><Relationship Id="rId2638" Type="http://schemas.openxmlformats.org/officeDocument/2006/relationships/hyperlink" Target="https://i.ibb.co/DznB5q4/Itau.png" TargetMode="External"/><Relationship Id="rId2639" Type="http://schemas.openxmlformats.org/officeDocument/2006/relationships/hyperlink" Target="https://i.ibb.co/DznB5q4/Itau.png" TargetMode="External"/><Relationship Id="rId2640" Type="http://schemas.openxmlformats.org/officeDocument/2006/relationships/hyperlink" Target="https://i.ibb.co/DznB5q4/Itau.png" TargetMode="External"/><Relationship Id="rId2641" Type="http://schemas.openxmlformats.org/officeDocument/2006/relationships/hyperlink" Target="https://i.ibb.co/DznB5q4/Itau.png" TargetMode="External"/><Relationship Id="rId2642" Type="http://schemas.openxmlformats.org/officeDocument/2006/relationships/hyperlink" Target="https://i.ibb.co/DznB5q4/Itau.png" TargetMode="External"/><Relationship Id="rId2643" Type="http://schemas.openxmlformats.org/officeDocument/2006/relationships/hyperlink" Target="https://i.ibb.co/DznB5q4/Itau.png" TargetMode="External"/><Relationship Id="rId2644" Type="http://schemas.openxmlformats.org/officeDocument/2006/relationships/hyperlink" Target="https://i.ibb.co/DznB5q4/Itau.png" TargetMode="External"/><Relationship Id="rId2645" Type="http://schemas.openxmlformats.org/officeDocument/2006/relationships/hyperlink" Target="https://i.ibb.co/DznB5q4/Itau.png" TargetMode="External"/><Relationship Id="rId2646" Type="http://schemas.openxmlformats.org/officeDocument/2006/relationships/hyperlink" Target="https://i.ibb.co/DznB5q4/Itau.png" TargetMode="External"/><Relationship Id="rId2647" Type="http://schemas.openxmlformats.org/officeDocument/2006/relationships/hyperlink" Target="https://i.ibb.co/DznB5q4/Itau.png" TargetMode="External"/><Relationship Id="rId2648" Type="http://schemas.openxmlformats.org/officeDocument/2006/relationships/hyperlink" Target="https://i.ibb.co/DznB5q4/Itau.png" TargetMode="External"/><Relationship Id="rId2649" Type="http://schemas.openxmlformats.org/officeDocument/2006/relationships/hyperlink" Target="https://i.ibb.co/DznB5q4/Itau.png" TargetMode="External"/><Relationship Id="rId2650" Type="http://schemas.openxmlformats.org/officeDocument/2006/relationships/hyperlink" Target="https://i.ibb.co/DznB5q4/Itau.png" TargetMode="External"/><Relationship Id="rId2651" Type="http://schemas.openxmlformats.org/officeDocument/2006/relationships/hyperlink" Target="https://i.ibb.co/DznB5q4/Itau.png" TargetMode="External"/><Relationship Id="rId2652" Type="http://schemas.openxmlformats.org/officeDocument/2006/relationships/hyperlink" Target="https://i.ibb.co/DznB5q4/Itau.png" TargetMode="External"/><Relationship Id="rId2653" Type="http://schemas.openxmlformats.org/officeDocument/2006/relationships/hyperlink" Target="https://i.ibb.co/DznB5q4/Itau.png" TargetMode="External"/><Relationship Id="rId2654" Type="http://schemas.openxmlformats.org/officeDocument/2006/relationships/hyperlink" Target="https://i.ibb.co/DznB5q4/Itau.png" TargetMode="External"/><Relationship Id="rId2655" Type="http://schemas.openxmlformats.org/officeDocument/2006/relationships/hyperlink" Target="https://i.ibb.co/DznB5q4/Itau.png" TargetMode="External"/><Relationship Id="rId2656" Type="http://schemas.openxmlformats.org/officeDocument/2006/relationships/hyperlink" Target="https://i.ibb.co/DznB5q4/Itau.png" TargetMode="External"/><Relationship Id="rId2657" Type="http://schemas.openxmlformats.org/officeDocument/2006/relationships/hyperlink" Target="https://i.ibb.co/DznB5q4/Itau.png" TargetMode="External"/><Relationship Id="rId2658" Type="http://schemas.openxmlformats.org/officeDocument/2006/relationships/hyperlink" Target="https://i.ibb.co/DznB5q4/Itau.png" TargetMode="External"/><Relationship Id="rId2659" Type="http://schemas.openxmlformats.org/officeDocument/2006/relationships/hyperlink" Target="https://i.ibb.co/DznB5q4/Itau.png" TargetMode="External"/><Relationship Id="rId2660" Type="http://schemas.openxmlformats.org/officeDocument/2006/relationships/hyperlink" Target="https://i.ibb.co/DznB5q4/Itau.png" TargetMode="External"/><Relationship Id="rId2661" Type="http://schemas.openxmlformats.org/officeDocument/2006/relationships/hyperlink" Target="https://i.ibb.co/DznB5q4/Itau.png" TargetMode="External"/><Relationship Id="rId2662" Type="http://schemas.openxmlformats.org/officeDocument/2006/relationships/hyperlink" Target="https://i.ibb.co/DznB5q4/Itau.png" TargetMode="External"/><Relationship Id="rId2663" Type="http://schemas.openxmlformats.org/officeDocument/2006/relationships/hyperlink" Target="https://i.ibb.co/DznB5q4/Itau.png" TargetMode="External"/><Relationship Id="rId2664" Type="http://schemas.openxmlformats.org/officeDocument/2006/relationships/hyperlink" Target="https://i.ibb.co/DznB5q4/Itau.png" TargetMode="External"/><Relationship Id="rId2665" Type="http://schemas.openxmlformats.org/officeDocument/2006/relationships/hyperlink" Target="https://i.ibb.co/DznB5q4/Itau.png" TargetMode="External"/><Relationship Id="rId2666" Type="http://schemas.openxmlformats.org/officeDocument/2006/relationships/hyperlink" Target="https://i.ibb.co/DznB5q4/Itau.png" TargetMode="External"/><Relationship Id="rId2667" Type="http://schemas.openxmlformats.org/officeDocument/2006/relationships/hyperlink" Target="https://i.ibb.co/DznB5q4/Itau.png" TargetMode="External"/><Relationship Id="rId2668" Type="http://schemas.openxmlformats.org/officeDocument/2006/relationships/hyperlink" Target="https://i.ibb.co/DznB5q4/Itau.png" TargetMode="External"/><Relationship Id="rId2669" Type="http://schemas.openxmlformats.org/officeDocument/2006/relationships/hyperlink" Target="https://i.ibb.co/DznB5q4/Itau.png" TargetMode="External"/><Relationship Id="rId2670" Type="http://schemas.openxmlformats.org/officeDocument/2006/relationships/hyperlink" Target="https://i.ibb.co/DznB5q4/Itau.png" TargetMode="External"/><Relationship Id="rId2671" Type="http://schemas.openxmlformats.org/officeDocument/2006/relationships/hyperlink" Target="https://i.ibb.co/DznB5q4/Itau.png" TargetMode="External"/><Relationship Id="rId2672" Type="http://schemas.openxmlformats.org/officeDocument/2006/relationships/hyperlink" Target="https://i.ibb.co/DznB5q4/Itau.png" TargetMode="External"/><Relationship Id="rId2673" Type="http://schemas.openxmlformats.org/officeDocument/2006/relationships/hyperlink" Target="https://i.ibb.co/DznB5q4/Itau.png" TargetMode="External"/><Relationship Id="rId2674" Type="http://schemas.openxmlformats.org/officeDocument/2006/relationships/hyperlink" Target="https://i.ibb.co/DznB5q4/Itau.png" TargetMode="External"/><Relationship Id="rId2675" Type="http://schemas.openxmlformats.org/officeDocument/2006/relationships/hyperlink" Target="https://i.ibb.co/DznB5q4/Itau.png" TargetMode="External"/><Relationship Id="rId2676" Type="http://schemas.openxmlformats.org/officeDocument/2006/relationships/hyperlink" Target="https://i.ibb.co/DznB5q4/Itau.png" TargetMode="External"/><Relationship Id="rId2677" Type="http://schemas.openxmlformats.org/officeDocument/2006/relationships/hyperlink" Target="https://i.ibb.co/DznB5q4/Itau.png" TargetMode="External"/><Relationship Id="rId2678" Type="http://schemas.openxmlformats.org/officeDocument/2006/relationships/hyperlink" Target="https://i.ibb.co/DznB5q4/Itau.png" TargetMode="External"/><Relationship Id="rId2679" Type="http://schemas.openxmlformats.org/officeDocument/2006/relationships/hyperlink" Target="https://i.ibb.co/DznB5q4/Itau.png" TargetMode="External"/><Relationship Id="rId2680" Type="http://schemas.openxmlformats.org/officeDocument/2006/relationships/hyperlink" Target="https://i.ibb.co/DznB5q4/Itau.png" TargetMode="External"/><Relationship Id="rId2681" Type="http://schemas.openxmlformats.org/officeDocument/2006/relationships/hyperlink" Target="https://i.ibb.co/DznB5q4/Itau.png" TargetMode="External"/><Relationship Id="rId2682" Type="http://schemas.openxmlformats.org/officeDocument/2006/relationships/hyperlink" Target="https://i.ibb.co/DznB5q4/Itau.png" TargetMode="External"/><Relationship Id="rId2683" Type="http://schemas.openxmlformats.org/officeDocument/2006/relationships/hyperlink" Target="https://i.ibb.co/DznB5q4/Itau.png" TargetMode="External"/><Relationship Id="rId2684" Type="http://schemas.openxmlformats.org/officeDocument/2006/relationships/hyperlink" Target="https://i.ibb.co/DznB5q4/Itau.png" TargetMode="External"/><Relationship Id="rId2685" Type="http://schemas.openxmlformats.org/officeDocument/2006/relationships/hyperlink" Target="https://i.ibb.co/DznB5q4/Itau.png" TargetMode="External"/><Relationship Id="rId2686" Type="http://schemas.openxmlformats.org/officeDocument/2006/relationships/hyperlink" Target="https://i.ibb.co/DznB5q4/Itau.png" TargetMode="External"/><Relationship Id="rId2687" Type="http://schemas.openxmlformats.org/officeDocument/2006/relationships/hyperlink" Target="https://i.ibb.co/DznB5q4/Itau.png" TargetMode="External"/><Relationship Id="rId2688" Type="http://schemas.openxmlformats.org/officeDocument/2006/relationships/hyperlink" Target="https://i.ibb.co/DznB5q4/Itau.png" TargetMode="External"/><Relationship Id="rId2689" Type="http://schemas.openxmlformats.org/officeDocument/2006/relationships/hyperlink" Target="https://i.ibb.co/DznB5q4/Itau.png" TargetMode="External"/><Relationship Id="rId2690" Type="http://schemas.openxmlformats.org/officeDocument/2006/relationships/hyperlink" Target="https://i.ibb.co/DznB5q4/Itau.png" TargetMode="External"/><Relationship Id="rId2691" Type="http://schemas.openxmlformats.org/officeDocument/2006/relationships/hyperlink" Target="https://i.ibb.co/DznB5q4/Itau.png" TargetMode="External"/><Relationship Id="rId2692" Type="http://schemas.openxmlformats.org/officeDocument/2006/relationships/hyperlink" Target="https://i.ibb.co/DznB5q4/Itau.png" TargetMode="External"/><Relationship Id="rId2693" Type="http://schemas.openxmlformats.org/officeDocument/2006/relationships/hyperlink" Target="https://i.ibb.co/DznB5q4/Itau.png" TargetMode="External"/><Relationship Id="rId2694" Type="http://schemas.openxmlformats.org/officeDocument/2006/relationships/hyperlink" Target="https://i.ibb.co/DznB5q4/Itau.png" TargetMode="External"/><Relationship Id="rId2695" Type="http://schemas.openxmlformats.org/officeDocument/2006/relationships/hyperlink" Target="https://i.ibb.co/DznB5q4/Itau.png" TargetMode="External"/><Relationship Id="rId2696" Type="http://schemas.openxmlformats.org/officeDocument/2006/relationships/hyperlink" Target="https://i.ibb.co/DznB5q4/Itau.png" TargetMode="External"/><Relationship Id="rId2697" Type="http://schemas.openxmlformats.org/officeDocument/2006/relationships/hyperlink" Target="https://i.ibb.co/DznB5q4/Itau.png" TargetMode="External"/><Relationship Id="rId2698" Type="http://schemas.openxmlformats.org/officeDocument/2006/relationships/hyperlink" Target="https://i.ibb.co/DznB5q4/Itau.png" TargetMode="External"/><Relationship Id="rId2699" Type="http://schemas.openxmlformats.org/officeDocument/2006/relationships/hyperlink" Target="https://i.ibb.co/DznB5q4/Itau.png" TargetMode="External"/><Relationship Id="rId2700" Type="http://schemas.openxmlformats.org/officeDocument/2006/relationships/hyperlink" Target="https://i.ibb.co/DznB5q4/Itau.png" TargetMode="External"/><Relationship Id="rId2701" Type="http://schemas.openxmlformats.org/officeDocument/2006/relationships/hyperlink" Target="https://i.ibb.co/DznB5q4/Itau.png" TargetMode="External"/><Relationship Id="rId2702" Type="http://schemas.openxmlformats.org/officeDocument/2006/relationships/hyperlink" Target="https://i.ibb.co/DznB5q4/Itau.png" TargetMode="External"/><Relationship Id="rId2703" Type="http://schemas.openxmlformats.org/officeDocument/2006/relationships/hyperlink" Target="https://i.ibb.co/DznB5q4/Itau.png" TargetMode="External"/><Relationship Id="rId2704" Type="http://schemas.openxmlformats.org/officeDocument/2006/relationships/hyperlink" Target="https://i.ibb.co/DznB5q4/Itau.png" TargetMode="External"/><Relationship Id="rId2705" Type="http://schemas.openxmlformats.org/officeDocument/2006/relationships/hyperlink" Target="https://i.ibb.co/DznB5q4/Itau.png" TargetMode="External"/><Relationship Id="rId2706" Type="http://schemas.openxmlformats.org/officeDocument/2006/relationships/hyperlink" Target="https://i.ibb.co/DznB5q4/Itau.png" TargetMode="External"/><Relationship Id="rId2707" Type="http://schemas.openxmlformats.org/officeDocument/2006/relationships/hyperlink" Target="https://i.ibb.co/DznB5q4/Itau.png" TargetMode="External"/><Relationship Id="rId2708" Type="http://schemas.openxmlformats.org/officeDocument/2006/relationships/hyperlink" Target="https://i.ibb.co/DznB5q4/Itau.png" TargetMode="External"/><Relationship Id="rId2709" Type="http://schemas.openxmlformats.org/officeDocument/2006/relationships/hyperlink" Target="https://i.ibb.co/DznB5q4/Itau.png" TargetMode="External"/><Relationship Id="rId2710" Type="http://schemas.openxmlformats.org/officeDocument/2006/relationships/hyperlink" Target="https://i.ibb.co/DznB5q4/Itau.png" TargetMode="External"/><Relationship Id="rId2711" Type="http://schemas.openxmlformats.org/officeDocument/2006/relationships/hyperlink" Target="https://i.ibb.co/DznB5q4/Itau.png" TargetMode="External"/><Relationship Id="rId2712" Type="http://schemas.openxmlformats.org/officeDocument/2006/relationships/hyperlink" Target="https://i.ibb.co/DznB5q4/Itau.png" TargetMode="External"/><Relationship Id="rId2713" Type="http://schemas.openxmlformats.org/officeDocument/2006/relationships/hyperlink" Target="https://i.ibb.co/DznB5q4/Itau.png" TargetMode="External"/><Relationship Id="rId2714" Type="http://schemas.openxmlformats.org/officeDocument/2006/relationships/hyperlink" Target="https://i.ibb.co/DznB5q4/Itau.png" TargetMode="External"/><Relationship Id="rId2715" Type="http://schemas.openxmlformats.org/officeDocument/2006/relationships/hyperlink" Target="https://i.ibb.co/DznB5q4/Itau.png" TargetMode="External"/><Relationship Id="rId2716" Type="http://schemas.openxmlformats.org/officeDocument/2006/relationships/hyperlink" Target="https://i.ibb.co/DznB5q4/Itau.png" TargetMode="External"/><Relationship Id="rId2717" Type="http://schemas.openxmlformats.org/officeDocument/2006/relationships/hyperlink" Target="https://i.ibb.co/DznB5q4/Itau.png" TargetMode="External"/><Relationship Id="rId2718" Type="http://schemas.openxmlformats.org/officeDocument/2006/relationships/hyperlink" Target="https://i.ibb.co/DznB5q4/Itau.png" TargetMode="External"/><Relationship Id="rId2719" Type="http://schemas.openxmlformats.org/officeDocument/2006/relationships/hyperlink" Target="https://i.ibb.co/DznB5q4/Itau.png" TargetMode="External"/><Relationship Id="rId2720" Type="http://schemas.openxmlformats.org/officeDocument/2006/relationships/hyperlink" Target="https://i.ibb.co/DznB5q4/Itau.png" TargetMode="External"/><Relationship Id="rId2721" Type="http://schemas.openxmlformats.org/officeDocument/2006/relationships/hyperlink" Target="https://i.ibb.co/DznB5q4/Itau.png" TargetMode="External"/><Relationship Id="rId2722" Type="http://schemas.openxmlformats.org/officeDocument/2006/relationships/hyperlink" Target="https://i.ibb.co/DznB5q4/Itau.png" TargetMode="External"/><Relationship Id="rId2723" Type="http://schemas.openxmlformats.org/officeDocument/2006/relationships/hyperlink" Target="https://i.ibb.co/DznB5q4/Itau.png" TargetMode="External"/><Relationship Id="rId2724" Type="http://schemas.openxmlformats.org/officeDocument/2006/relationships/hyperlink" Target="https://i.ibb.co/DznB5q4/Itau.png" TargetMode="External"/><Relationship Id="rId2725" Type="http://schemas.openxmlformats.org/officeDocument/2006/relationships/hyperlink" Target="https://i.ibb.co/DznB5q4/Itau.png" TargetMode="External"/><Relationship Id="rId272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.ibb.co/DznB5q4/Itau.png" TargetMode="External"/><Relationship Id="rId2" Type="http://schemas.openxmlformats.org/officeDocument/2006/relationships/hyperlink" Target="https://i.ibb.co/LpJM38D/Nubank.png" TargetMode="External"/><Relationship Id="rId3" Type="http://schemas.openxmlformats.org/officeDocument/2006/relationships/hyperlink" Target="https://i.ibb.co/DznB5q4/Itau.png" TargetMode="External"/><Relationship Id="rId4" Type="http://schemas.openxmlformats.org/officeDocument/2006/relationships/hyperlink" Target="https://i.ibb.co/DznB5q4/Itau.png" TargetMode="External"/><Relationship Id="rId5" Type="http://schemas.openxmlformats.org/officeDocument/2006/relationships/hyperlink" Target="https://i.ibb.co/DznB5q4/Itau.png" TargetMode="External"/><Relationship Id="rId6" Type="http://schemas.openxmlformats.org/officeDocument/2006/relationships/hyperlink" Target="https://i.ibb.co/DznB5q4/Itau.png" TargetMode="External"/><Relationship Id="rId7" Type="http://schemas.openxmlformats.org/officeDocument/2006/relationships/hyperlink" Target="https://i.ibb.co/DznB5q4/Itau.png" TargetMode="External"/><Relationship Id="rId8" Type="http://schemas.openxmlformats.org/officeDocument/2006/relationships/hyperlink" Target="https://i.ibb.co/DznB5q4/Itau.png" TargetMode="External"/><Relationship Id="rId9" Type="http://schemas.openxmlformats.org/officeDocument/2006/relationships/hyperlink" Target="https://i.ibb.co/DznB5q4/Itau.png" TargetMode="External"/><Relationship Id="rId10" Type="http://schemas.openxmlformats.org/officeDocument/2006/relationships/hyperlink" Target="https://i.ibb.co/DznB5q4/Itau.png" TargetMode="External"/><Relationship Id="rId11" Type="http://schemas.openxmlformats.org/officeDocument/2006/relationships/hyperlink" Target="https://i.ibb.co/DznB5q4/Itau.png" TargetMode="External"/><Relationship Id="rId12" Type="http://schemas.openxmlformats.org/officeDocument/2006/relationships/hyperlink" Target="https://i.ibb.co/DznB5q4/Itau.png" TargetMode="External"/><Relationship Id="rId13" Type="http://schemas.openxmlformats.org/officeDocument/2006/relationships/hyperlink" Target="https://i.ibb.co/DznB5q4/Itau.png" TargetMode="External"/><Relationship Id="rId14" Type="http://schemas.openxmlformats.org/officeDocument/2006/relationships/hyperlink" Target="https://i.ibb.co/DznB5q4/Itau.png" TargetMode="External"/><Relationship Id="rId15" Type="http://schemas.openxmlformats.org/officeDocument/2006/relationships/hyperlink" Target="https://i.ibb.co/DznB5q4/Itau.png" TargetMode="External"/><Relationship Id="rId16" Type="http://schemas.openxmlformats.org/officeDocument/2006/relationships/hyperlink" Target="https://i.ibb.co/DznB5q4/Itau.png" TargetMode="External"/><Relationship Id="rId17" Type="http://schemas.openxmlformats.org/officeDocument/2006/relationships/hyperlink" Target="https://i.ibb.co/DznB5q4/Itau.png" TargetMode="External"/><Relationship Id="rId18" Type="http://schemas.openxmlformats.org/officeDocument/2006/relationships/hyperlink" Target="https://i.ibb.co/DznB5q4/Itau.png" TargetMode="External"/><Relationship Id="rId19" Type="http://schemas.openxmlformats.org/officeDocument/2006/relationships/hyperlink" Target="https://i.ibb.co/DznB5q4/Itau.png" TargetMode="External"/><Relationship Id="rId20" Type="http://schemas.openxmlformats.org/officeDocument/2006/relationships/hyperlink" Target="https://i.ibb.co/DznB5q4/Itau.png" TargetMode="External"/><Relationship Id="rId21" Type="http://schemas.openxmlformats.org/officeDocument/2006/relationships/hyperlink" Target="https://i.ibb.co/DznB5q4/Itau.png" TargetMode="External"/><Relationship Id="rId22" Type="http://schemas.openxmlformats.org/officeDocument/2006/relationships/hyperlink" Target="https://i.ibb.co/DznB5q4/Itau.png" TargetMode="External"/><Relationship Id="rId23" Type="http://schemas.openxmlformats.org/officeDocument/2006/relationships/hyperlink" Target="https://i.ibb.co/DznB5q4/Itau.png" TargetMode="External"/><Relationship Id="rId24" Type="http://schemas.openxmlformats.org/officeDocument/2006/relationships/hyperlink" Target="https://i.ibb.co/DznB5q4/Itau.png" TargetMode="External"/><Relationship Id="rId25" Type="http://schemas.openxmlformats.org/officeDocument/2006/relationships/hyperlink" Target="https://i.ibb.co/DznB5q4/Itau.png" TargetMode="External"/><Relationship Id="rId26" Type="http://schemas.openxmlformats.org/officeDocument/2006/relationships/hyperlink" Target="https://i.ibb.co/DznB5q4/Itau.png" TargetMode="External"/><Relationship Id="rId27" Type="http://schemas.openxmlformats.org/officeDocument/2006/relationships/hyperlink" Target="https://i.ibb.co/DznB5q4/Itau.png" TargetMode="External"/><Relationship Id="rId28" Type="http://schemas.openxmlformats.org/officeDocument/2006/relationships/hyperlink" Target="https://i.ibb.co/DznB5q4/Itau.png" TargetMode="External"/><Relationship Id="rId29" Type="http://schemas.openxmlformats.org/officeDocument/2006/relationships/hyperlink" Target="https://i.ibb.co/DznB5q4/Itau.png" TargetMode="External"/><Relationship Id="rId30" Type="http://schemas.openxmlformats.org/officeDocument/2006/relationships/hyperlink" Target="https://i.ibb.co/DznB5q4/Itau.png" TargetMode="External"/><Relationship Id="rId31" Type="http://schemas.openxmlformats.org/officeDocument/2006/relationships/hyperlink" Target="https://i.ibb.co/DznB5q4/Itau.png" TargetMode="External"/><Relationship Id="rId32" Type="http://schemas.openxmlformats.org/officeDocument/2006/relationships/hyperlink" Target="https://i.ibb.co/DznB5q4/Itau.png" TargetMode="External"/><Relationship Id="rId33" Type="http://schemas.openxmlformats.org/officeDocument/2006/relationships/hyperlink" Target="https://i.ibb.co/DznB5q4/Itau.png" TargetMode="External"/><Relationship Id="rId34" Type="http://schemas.openxmlformats.org/officeDocument/2006/relationships/hyperlink" Target="https://i.ibb.co/DznB5q4/Itau.png" TargetMode="External"/><Relationship Id="rId35" Type="http://schemas.openxmlformats.org/officeDocument/2006/relationships/hyperlink" Target="https://i.ibb.co/DznB5q4/Itau.png" TargetMode="External"/><Relationship Id="rId36" Type="http://schemas.openxmlformats.org/officeDocument/2006/relationships/hyperlink" Target="https://i.ibb.co/DznB5q4/Itau.png" TargetMode="External"/><Relationship Id="rId37" Type="http://schemas.openxmlformats.org/officeDocument/2006/relationships/hyperlink" Target="https://i.ibb.co/DznB5q4/Itau.png" TargetMode="External"/><Relationship Id="rId38" Type="http://schemas.openxmlformats.org/officeDocument/2006/relationships/hyperlink" Target="https://i.ibb.co/DznB5q4/Itau.png" TargetMode="External"/><Relationship Id="rId39" Type="http://schemas.openxmlformats.org/officeDocument/2006/relationships/hyperlink" Target="https://i.ibb.co/DznB5q4/Itau.png" TargetMode="External"/><Relationship Id="rId40" Type="http://schemas.openxmlformats.org/officeDocument/2006/relationships/hyperlink" Target="https://i.ibb.co/DznB5q4/Itau.png" TargetMode="External"/><Relationship Id="rId41" Type="http://schemas.openxmlformats.org/officeDocument/2006/relationships/hyperlink" Target="https://i.ibb.co/DznB5q4/Itau.png" TargetMode="External"/><Relationship Id="rId42" Type="http://schemas.openxmlformats.org/officeDocument/2006/relationships/hyperlink" Target="https://i.ibb.co/DznB5q4/Itau.png" TargetMode="External"/><Relationship Id="rId43" Type="http://schemas.openxmlformats.org/officeDocument/2006/relationships/hyperlink" Target="https://i.ibb.co/DznB5q4/Itau.png" TargetMode="External"/><Relationship Id="rId44" Type="http://schemas.openxmlformats.org/officeDocument/2006/relationships/hyperlink" Target="https://i.ibb.co/DznB5q4/Itau.png" TargetMode="External"/><Relationship Id="rId45" Type="http://schemas.openxmlformats.org/officeDocument/2006/relationships/hyperlink" Target="https://i.ibb.co/DznB5q4/Itau.png" TargetMode="External"/><Relationship Id="rId46" Type="http://schemas.openxmlformats.org/officeDocument/2006/relationships/hyperlink" Target="https://i.ibb.co/DznB5q4/Itau.png" TargetMode="External"/><Relationship Id="rId47" Type="http://schemas.openxmlformats.org/officeDocument/2006/relationships/hyperlink" Target="https://i.ibb.co/DznB5q4/Itau.png" TargetMode="External"/><Relationship Id="rId48" Type="http://schemas.openxmlformats.org/officeDocument/2006/relationships/hyperlink" Target="https://i.ibb.co/DznB5q4/Itau.png" TargetMode="External"/><Relationship Id="rId49" Type="http://schemas.openxmlformats.org/officeDocument/2006/relationships/hyperlink" Target="https://i.ibb.co/DznB5q4/Itau.png" TargetMode="External"/><Relationship Id="rId50" Type="http://schemas.openxmlformats.org/officeDocument/2006/relationships/hyperlink" Target="https://i.ibb.co/DznB5q4/Itau.png" TargetMode="External"/><Relationship Id="rId51" Type="http://schemas.openxmlformats.org/officeDocument/2006/relationships/hyperlink" Target="https://i.ibb.co/DznB5q4/Itau.png" TargetMode="External"/><Relationship Id="rId52" Type="http://schemas.openxmlformats.org/officeDocument/2006/relationships/hyperlink" Target="https://i.ibb.co/DznB5q4/Itau.png" TargetMode="External"/><Relationship Id="rId53" Type="http://schemas.openxmlformats.org/officeDocument/2006/relationships/hyperlink" Target="https://i.ibb.co/DznB5q4/Itau.png" TargetMode="External"/><Relationship Id="rId54" Type="http://schemas.openxmlformats.org/officeDocument/2006/relationships/hyperlink" Target="https://i.ibb.co/DznB5q4/Itau.png" TargetMode="External"/><Relationship Id="rId55" Type="http://schemas.openxmlformats.org/officeDocument/2006/relationships/hyperlink" Target="https://i.ibb.co/DznB5q4/Itau.png" TargetMode="External"/><Relationship Id="rId56" Type="http://schemas.openxmlformats.org/officeDocument/2006/relationships/hyperlink" Target="https://i.ibb.co/DznB5q4/Itau.png" TargetMode="External"/><Relationship Id="rId57" Type="http://schemas.openxmlformats.org/officeDocument/2006/relationships/hyperlink" Target="https://i.ibb.co/DznB5q4/Itau.png" TargetMode="External"/><Relationship Id="rId58" Type="http://schemas.openxmlformats.org/officeDocument/2006/relationships/hyperlink" Target="https://i.ibb.co/DznB5q4/Itau.png" TargetMode="External"/><Relationship Id="rId59" Type="http://schemas.openxmlformats.org/officeDocument/2006/relationships/hyperlink" Target="https://i.ibb.co/DznB5q4/Itau.png" TargetMode="External"/><Relationship Id="rId60" Type="http://schemas.openxmlformats.org/officeDocument/2006/relationships/hyperlink" Target="https://i.ibb.co/DznB5q4/Itau.png" TargetMode="External"/><Relationship Id="rId61" Type="http://schemas.openxmlformats.org/officeDocument/2006/relationships/hyperlink" Target="https://i.ibb.co/DznB5q4/Itau.png" TargetMode="External"/><Relationship Id="rId62" Type="http://schemas.openxmlformats.org/officeDocument/2006/relationships/hyperlink" Target="https://i.ibb.co/DznB5q4/Itau.png" TargetMode="External"/><Relationship Id="rId63" Type="http://schemas.openxmlformats.org/officeDocument/2006/relationships/hyperlink" Target="https://i.ibb.co/DznB5q4/Itau.png" TargetMode="External"/><Relationship Id="rId64" Type="http://schemas.openxmlformats.org/officeDocument/2006/relationships/hyperlink" Target="https://i.ibb.co/DznB5q4/Itau.png" TargetMode="External"/><Relationship Id="rId65" Type="http://schemas.openxmlformats.org/officeDocument/2006/relationships/hyperlink" Target="https://i.ibb.co/DznB5q4/Itau.png" TargetMode="External"/><Relationship Id="rId66" Type="http://schemas.openxmlformats.org/officeDocument/2006/relationships/hyperlink" Target="https://i.ibb.co/DznB5q4/Itau.png" TargetMode="External"/><Relationship Id="rId67" Type="http://schemas.openxmlformats.org/officeDocument/2006/relationships/hyperlink" Target="https://i.ibb.co/DznB5q4/Itau.png" TargetMode="External"/><Relationship Id="rId68" Type="http://schemas.openxmlformats.org/officeDocument/2006/relationships/hyperlink" Target="https://i.ibb.co/DznB5q4/Itau.png" TargetMode="External"/><Relationship Id="rId69" Type="http://schemas.openxmlformats.org/officeDocument/2006/relationships/hyperlink" Target="https://i.ibb.co/DznB5q4/Itau.png" TargetMode="External"/><Relationship Id="rId70" Type="http://schemas.openxmlformats.org/officeDocument/2006/relationships/hyperlink" Target="https://i.ibb.co/DznB5q4/Itau.png" TargetMode="External"/><Relationship Id="rId71" Type="http://schemas.openxmlformats.org/officeDocument/2006/relationships/hyperlink" Target="https://i.ibb.co/DznB5q4/Itau.png" TargetMode="External"/><Relationship Id="rId72" Type="http://schemas.openxmlformats.org/officeDocument/2006/relationships/hyperlink" Target="https://i.ibb.co/DznB5q4/Itau.png" TargetMode="External"/><Relationship Id="rId73" Type="http://schemas.openxmlformats.org/officeDocument/2006/relationships/hyperlink" Target="https://i.ibb.co/DznB5q4/Itau.png" TargetMode="External"/><Relationship Id="rId74" Type="http://schemas.openxmlformats.org/officeDocument/2006/relationships/hyperlink" Target="https://i.ibb.co/DznB5q4/Itau.png" TargetMode="External"/><Relationship Id="rId75" Type="http://schemas.openxmlformats.org/officeDocument/2006/relationships/hyperlink" Target="https://i.ibb.co/DznB5q4/Itau.png" TargetMode="External"/><Relationship Id="rId76" Type="http://schemas.openxmlformats.org/officeDocument/2006/relationships/hyperlink" Target="https://i.ibb.co/DznB5q4/Itau.png" TargetMode="External"/><Relationship Id="rId77" Type="http://schemas.openxmlformats.org/officeDocument/2006/relationships/hyperlink" Target="https://i.ibb.co/DznB5q4/Itau.png" TargetMode="External"/><Relationship Id="rId78" Type="http://schemas.openxmlformats.org/officeDocument/2006/relationships/hyperlink" Target="https://i.ibb.co/DznB5q4/Itau.png" TargetMode="External"/><Relationship Id="rId79" Type="http://schemas.openxmlformats.org/officeDocument/2006/relationships/hyperlink" Target="https://i.ibb.co/DznB5q4/Itau.png" TargetMode="External"/><Relationship Id="rId80" Type="http://schemas.openxmlformats.org/officeDocument/2006/relationships/hyperlink" Target="https://i.ibb.co/DznB5q4/Itau.png" TargetMode="External"/><Relationship Id="rId81" Type="http://schemas.openxmlformats.org/officeDocument/2006/relationships/hyperlink" Target="https://i.ibb.co/DznB5q4/Itau.png" TargetMode="External"/><Relationship Id="rId82" Type="http://schemas.openxmlformats.org/officeDocument/2006/relationships/hyperlink" Target="https://i.ibb.co/DznB5q4/Itau.png" TargetMode="External"/><Relationship Id="rId83" Type="http://schemas.openxmlformats.org/officeDocument/2006/relationships/hyperlink" Target="https://i.ibb.co/DznB5q4/Itau.png" TargetMode="External"/><Relationship Id="rId84" Type="http://schemas.openxmlformats.org/officeDocument/2006/relationships/hyperlink" Target="https://i.ibb.co/DznB5q4/Itau.png" TargetMode="External"/><Relationship Id="rId85" Type="http://schemas.openxmlformats.org/officeDocument/2006/relationships/hyperlink" Target="https://i.ibb.co/DznB5q4/Itau.png" TargetMode="External"/><Relationship Id="rId86" Type="http://schemas.openxmlformats.org/officeDocument/2006/relationships/hyperlink" Target="https://i.ibb.co/DznB5q4/Itau.png" TargetMode="External"/><Relationship Id="rId87" Type="http://schemas.openxmlformats.org/officeDocument/2006/relationships/hyperlink" Target="https://i.ibb.co/DznB5q4/Itau.png" TargetMode="External"/><Relationship Id="rId88" Type="http://schemas.openxmlformats.org/officeDocument/2006/relationships/hyperlink" Target="https://i.ibb.co/DznB5q4/Itau.png" TargetMode="External"/><Relationship Id="rId89" Type="http://schemas.openxmlformats.org/officeDocument/2006/relationships/hyperlink" Target="https://i.ibb.co/DznB5q4/Itau.png" TargetMode="External"/><Relationship Id="rId90" Type="http://schemas.openxmlformats.org/officeDocument/2006/relationships/hyperlink" Target="https://i.ibb.co/DznB5q4/Itau.png" TargetMode="External"/><Relationship Id="rId91" Type="http://schemas.openxmlformats.org/officeDocument/2006/relationships/hyperlink" Target="https://i.ibb.co/DznB5q4/Itau.png" TargetMode="External"/><Relationship Id="rId92" Type="http://schemas.openxmlformats.org/officeDocument/2006/relationships/hyperlink" Target="https://i.ibb.co/DznB5q4/Itau.png" TargetMode="External"/><Relationship Id="rId93" Type="http://schemas.openxmlformats.org/officeDocument/2006/relationships/hyperlink" Target="https://i.ibb.co/DznB5q4/Itau.png" TargetMode="External"/><Relationship Id="rId94" Type="http://schemas.openxmlformats.org/officeDocument/2006/relationships/hyperlink" Target="https://i.ibb.co/DznB5q4/Itau.png" TargetMode="External"/><Relationship Id="rId95" Type="http://schemas.openxmlformats.org/officeDocument/2006/relationships/hyperlink" Target="https://i.ibb.co/DznB5q4/Itau.png" TargetMode="External"/><Relationship Id="rId96" Type="http://schemas.openxmlformats.org/officeDocument/2006/relationships/hyperlink" Target="https://i.ibb.co/DznB5q4/Itau.png" TargetMode="External"/><Relationship Id="rId97" Type="http://schemas.openxmlformats.org/officeDocument/2006/relationships/hyperlink" Target="https://i.ibb.co/DznB5q4/Itau.png" TargetMode="External"/><Relationship Id="rId98" Type="http://schemas.openxmlformats.org/officeDocument/2006/relationships/hyperlink" Target="https://i.ibb.co/DznB5q4/Itau.png" TargetMode="External"/><Relationship Id="rId99" Type="http://schemas.openxmlformats.org/officeDocument/2006/relationships/hyperlink" Target="https://i.ibb.co/DznB5q4/Itau.png" TargetMode="External"/><Relationship Id="rId100" Type="http://schemas.openxmlformats.org/officeDocument/2006/relationships/hyperlink" Target="https://i.ibb.co/DznB5q4/Itau.png" TargetMode="External"/><Relationship Id="rId101" Type="http://schemas.openxmlformats.org/officeDocument/2006/relationships/hyperlink" Target="https://i.ibb.co/DznB5q4/Itau.png" TargetMode="External"/><Relationship Id="rId102" Type="http://schemas.openxmlformats.org/officeDocument/2006/relationships/hyperlink" Target="https://i.ibb.co/DznB5q4/Itau.png" TargetMode="External"/><Relationship Id="rId103" Type="http://schemas.openxmlformats.org/officeDocument/2006/relationships/hyperlink" Target="https://i.ibb.co/DznB5q4/Itau.png" TargetMode="External"/><Relationship Id="rId104" Type="http://schemas.openxmlformats.org/officeDocument/2006/relationships/hyperlink" Target="https://i.ibb.co/DznB5q4/Itau.png" TargetMode="External"/><Relationship Id="rId105" Type="http://schemas.openxmlformats.org/officeDocument/2006/relationships/hyperlink" Target="https://i.ibb.co/DznB5q4/Itau.png" TargetMode="External"/><Relationship Id="rId106" Type="http://schemas.openxmlformats.org/officeDocument/2006/relationships/hyperlink" Target="https://i.ibb.co/DznB5q4/Itau.png" TargetMode="External"/><Relationship Id="rId107" Type="http://schemas.openxmlformats.org/officeDocument/2006/relationships/hyperlink" Target="https://i.ibb.co/DznB5q4/Itau.png" TargetMode="External"/><Relationship Id="rId108" Type="http://schemas.openxmlformats.org/officeDocument/2006/relationships/hyperlink" Target="https://i.ibb.co/DznB5q4/Itau.png" TargetMode="External"/><Relationship Id="rId109" Type="http://schemas.openxmlformats.org/officeDocument/2006/relationships/hyperlink" Target="https://i.ibb.co/DznB5q4/Itau.png" TargetMode="External"/><Relationship Id="rId110" Type="http://schemas.openxmlformats.org/officeDocument/2006/relationships/hyperlink" Target="https://i.ibb.co/DznB5q4/Itau.png" TargetMode="External"/><Relationship Id="rId111" Type="http://schemas.openxmlformats.org/officeDocument/2006/relationships/hyperlink" Target="https://i.ibb.co/DznB5q4/Itau.png" TargetMode="External"/><Relationship Id="rId112" Type="http://schemas.openxmlformats.org/officeDocument/2006/relationships/hyperlink" Target="https://i.ibb.co/DznB5q4/Itau.png" TargetMode="External"/><Relationship Id="rId113" Type="http://schemas.openxmlformats.org/officeDocument/2006/relationships/hyperlink" Target="https://i.ibb.co/DznB5q4/Itau.png" TargetMode="External"/><Relationship Id="rId114" Type="http://schemas.openxmlformats.org/officeDocument/2006/relationships/hyperlink" Target="https://i.ibb.co/DznB5q4/Itau.png" TargetMode="External"/><Relationship Id="rId115" Type="http://schemas.openxmlformats.org/officeDocument/2006/relationships/hyperlink" Target="https://i.ibb.co/DznB5q4/Itau.png" TargetMode="External"/><Relationship Id="rId116" Type="http://schemas.openxmlformats.org/officeDocument/2006/relationships/hyperlink" Target="https://i.ibb.co/DznB5q4/Itau.png" TargetMode="External"/><Relationship Id="rId117" Type="http://schemas.openxmlformats.org/officeDocument/2006/relationships/hyperlink" Target="https://i.ibb.co/DznB5q4/Itau.png" TargetMode="External"/><Relationship Id="rId118" Type="http://schemas.openxmlformats.org/officeDocument/2006/relationships/hyperlink" Target="https://i.ibb.co/DznB5q4/Itau.png" TargetMode="External"/><Relationship Id="rId119" Type="http://schemas.openxmlformats.org/officeDocument/2006/relationships/hyperlink" Target="https://i.ibb.co/DznB5q4/Itau.png" TargetMode="External"/><Relationship Id="rId120" Type="http://schemas.openxmlformats.org/officeDocument/2006/relationships/hyperlink" Target="https://i.ibb.co/DznB5q4/Itau.png" TargetMode="External"/><Relationship Id="rId121" Type="http://schemas.openxmlformats.org/officeDocument/2006/relationships/hyperlink" Target="https://i.ibb.co/DznB5q4/Itau.png" TargetMode="External"/><Relationship Id="rId122" Type="http://schemas.openxmlformats.org/officeDocument/2006/relationships/hyperlink" Target="https://i.ibb.co/DznB5q4/Itau.png" TargetMode="External"/><Relationship Id="rId123" Type="http://schemas.openxmlformats.org/officeDocument/2006/relationships/hyperlink" Target="https://i.ibb.co/DznB5q4/Itau.png" TargetMode="External"/><Relationship Id="rId124" Type="http://schemas.openxmlformats.org/officeDocument/2006/relationships/hyperlink" Target="https://i.ibb.co/DznB5q4/Itau.png" TargetMode="External"/><Relationship Id="rId125" Type="http://schemas.openxmlformats.org/officeDocument/2006/relationships/hyperlink" Target="https://i.ibb.co/DznB5q4/Itau.png" TargetMode="External"/><Relationship Id="rId126" Type="http://schemas.openxmlformats.org/officeDocument/2006/relationships/hyperlink" Target="https://i.ibb.co/DznB5q4/Itau.png" TargetMode="External"/><Relationship Id="rId127" Type="http://schemas.openxmlformats.org/officeDocument/2006/relationships/hyperlink" Target="https://i.ibb.co/DznB5q4/Itau.png" TargetMode="External"/><Relationship Id="rId128" Type="http://schemas.openxmlformats.org/officeDocument/2006/relationships/hyperlink" Target="https://i.ibb.co/DznB5q4/Itau.png" TargetMode="External"/><Relationship Id="rId129" Type="http://schemas.openxmlformats.org/officeDocument/2006/relationships/hyperlink" Target="https://i.ibb.co/DznB5q4/Itau.png" TargetMode="External"/><Relationship Id="rId130" Type="http://schemas.openxmlformats.org/officeDocument/2006/relationships/hyperlink" Target="https://i.ibb.co/DznB5q4/Itau.png" TargetMode="External"/><Relationship Id="rId131" Type="http://schemas.openxmlformats.org/officeDocument/2006/relationships/hyperlink" Target="https://i.ibb.co/DznB5q4/Itau.png" TargetMode="External"/><Relationship Id="rId132" Type="http://schemas.openxmlformats.org/officeDocument/2006/relationships/hyperlink" Target="https://i.ibb.co/DznB5q4/Itau.png" TargetMode="External"/><Relationship Id="rId133" Type="http://schemas.openxmlformats.org/officeDocument/2006/relationships/hyperlink" Target="https://i.ibb.co/DznB5q4/Itau.png" TargetMode="External"/><Relationship Id="rId134" Type="http://schemas.openxmlformats.org/officeDocument/2006/relationships/hyperlink" Target="https://i.ibb.co/DznB5q4/Itau.png" TargetMode="External"/><Relationship Id="rId135" Type="http://schemas.openxmlformats.org/officeDocument/2006/relationships/hyperlink" Target="https://i.ibb.co/DznB5q4/Itau.png" TargetMode="External"/><Relationship Id="rId136" Type="http://schemas.openxmlformats.org/officeDocument/2006/relationships/hyperlink" Target="https://i.ibb.co/DznB5q4/Itau.png" TargetMode="External"/><Relationship Id="rId137" Type="http://schemas.openxmlformats.org/officeDocument/2006/relationships/hyperlink" Target="https://i.ibb.co/DznB5q4/Itau.png" TargetMode="External"/><Relationship Id="rId138" Type="http://schemas.openxmlformats.org/officeDocument/2006/relationships/hyperlink" Target="https://i.ibb.co/DznB5q4/Itau.png" TargetMode="External"/><Relationship Id="rId139" Type="http://schemas.openxmlformats.org/officeDocument/2006/relationships/hyperlink" Target="https://i.ibb.co/DznB5q4/Itau.png" TargetMode="External"/><Relationship Id="rId140" Type="http://schemas.openxmlformats.org/officeDocument/2006/relationships/hyperlink" Target="https://i.ibb.co/DznB5q4/Itau.png" TargetMode="External"/><Relationship Id="rId141" Type="http://schemas.openxmlformats.org/officeDocument/2006/relationships/hyperlink" Target="https://i.ibb.co/DznB5q4/Itau.png" TargetMode="External"/><Relationship Id="rId142" Type="http://schemas.openxmlformats.org/officeDocument/2006/relationships/hyperlink" Target="https://i.ibb.co/DznB5q4/Itau.png" TargetMode="External"/><Relationship Id="rId143" Type="http://schemas.openxmlformats.org/officeDocument/2006/relationships/hyperlink" Target="https://i.ibb.co/DznB5q4/Itau.png" TargetMode="External"/><Relationship Id="rId144" Type="http://schemas.openxmlformats.org/officeDocument/2006/relationships/hyperlink" Target="https://i.ibb.co/DznB5q4/Itau.png" TargetMode="External"/><Relationship Id="rId145" Type="http://schemas.openxmlformats.org/officeDocument/2006/relationships/hyperlink" Target="https://i.ibb.co/DznB5q4/Itau.png" TargetMode="External"/><Relationship Id="rId146" Type="http://schemas.openxmlformats.org/officeDocument/2006/relationships/hyperlink" Target="https://i.ibb.co/DznB5q4/Itau.png" TargetMode="External"/><Relationship Id="rId147" Type="http://schemas.openxmlformats.org/officeDocument/2006/relationships/hyperlink" Target="https://i.ibb.co/DznB5q4/Itau.png" TargetMode="External"/><Relationship Id="rId148" Type="http://schemas.openxmlformats.org/officeDocument/2006/relationships/hyperlink" Target="https://i.ibb.co/DznB5q4/Itau.png" TargetMode="External"/><Relationship Id="rId149" Type="http://schemas.openxmlformats.org/officeDocument/2006/relationships/hyperlink" Target="https://i.ibb.co/DznB5q4/Itau.png" TargetMode="External"/><Relationship Id="rId150" Type="http://schemas.openxmlformats.org/officeDocument/2006/relationships/hyperlink" Target="https://i.ibb.co/DznB5q4/Itau.png" TargetMode="External"/><Relationship Id="rId151" Type="http://schemas.openxmlformats.org/officeDocument/2006/relationships/hyperlink" Target="https://i.ibb.co/DznB5q4/Itau.png" TargetMode="External"/><Relationship Id="rId152" Type="http://schemas.openxmlformats.org/officeDocument/2006/relationships/hyperlink" Target="https://i.ibb.co/DznB5q4/Itau.png" TargetMode="External"/><Relationship Id="rId153" Type="http://schemas.openxmlformats.org/officeDocument/2006/relationships/hyperlink" Target="https://i.ibb.co/DznB5q4/Itau.png" TargetMode="External"/><Relationship Id="rId154" Type="http://schemas.openxmlformats.org/officeDocument/2006/relationships/hyperlink" Target="https://i.ibb.co/DznB5q4/Itau.png" TargetMode="External"/><Relationship Id="rId155" Type="http://schemas.openxmlformats.org/officeDocument/2006/relationships/hyperlink" Target="https://i.ibb.co/DznB5q4/Itau.png" TargetMode="External"/><Relationship Id="rId156" Type="http://schemas.openxmlformats.org/officeDocument/2006/relationships/hyperlink" Target="https://i.ibb.co/DznB5q4/Itau.png" TargetMode="External"/><Relationship Id="rId157" Type="http://schemas.openxmlformats.org/officeDocument/2006/relationships/hyperlink" Target="https://i.ibb.co/DznB5q4/Itau.png" TargetMode="External"/><Relationship Id="rId158" Type="http://schemas.openxmlformats.org/officeDocument/2006/relationships/hyperlink" Target="https://i.ibb.co/DznB5q4/Itau.png" TargetMode="External"/><Relationship Id="rId159" Type="http://schemas.openxmlformats.org/officeDocument/2006/relationships/hyperlink" Target="https://i.ibb.co/DznB5q4/Itau.png" TargetMode="External"/><Relationship Id="rId160" Type="http://schemas.openxmlformats.org/officeDocument/2006/relationships/hyperlink" Target="https://i.ibb.co/DznB5q4/Itau.png" TargetMode="External"/><Relationship Id="rId161" Type="http://schemas.openxmlformats.org/officeDocument/2006/relationships/hyperlink" Target="https://i.ibb.co/DznB5q4/Itau.png" TargetMode="External"/><Relationship Id="rId162" Type="http://schemas.openxmlformats.org/officeDocument/2006/relationships/hyperlink" Target="https://i.ibb.co/DznB5q4/Itau.png" TargetMode="External"/><Relationship Id="rId163" Type="http://schemas.openxmlformats.org/officeDocument/2006/relationships/hyperlink" Target="https://i.ibb.co/DznB5q4/Itau.png" TargetMode="External"/><Relationship Id="rId164" Type="http://schemas.openxmlformats.org/officeDocument/2006/relationships/hyperlink" Target="https://i.ibb.co/DznB5q4/Itau.png" TargetMode="External"/><Relationship Id="rId165" Type="http://schemas.openxmlformats.org/officeDocument/2006/relationships/hyperlink" Target="https://i.ibb.co/DznB5q4/Itau.png" TargetMode="External"/><Relationship Id="rId166" Type="http://schemas.openxmlformats.org/officeDocument/2006/relationships/hyperlink" Target="https://i.ibb.co/DznB5q4/Itau.png" TargetMode="External"/><Relationship Id="rId167" Type="http://schemas.openxmlformats.org/officeDocument/2006/relationships/hyperlink" Target="https://i.ibb.co/DznB5q4/Itau.png" TargetMode="External"/><Relationship Id="rId168" Type="http://schemas.openxmlformats.org/officeDocument/2006/relationships/hyperlink" Target="https://i.ibb.co/DznB5q4/Itau.png" TargetMode="External"/><Relationship Id="rId169" Type="http://schemas.openxmlformats.org/officeDocument/2006/relationships/hyperlink" Target="https://i.ibb.co/DznB5q4/Itau.png" TargetMode="External"/><Relationship Id="rId170" Type="http://schemas.openxmlformats.org/officeDocument/2006/relationships/hyperlink" Target="https://i.ibb.co/DznB5q4/Itau.png" TargetMode="External"/><Relationship Id="rId171" Type="http://schemas.openxmlformats.org/officeDocument/2006/relationships/hyperlink" Target="https://i.ibb.co/DznB5q4/Itau.png" TargetMode="External"/><Relationship Id="rId172" Type="http://schemas.openxmlformats.org/officeDocument/2006/relationships/hyperlink" Target="https://i.ibb.co/DznB5q4/Itau.png" TargetMode="External"/><Relationship Id="rId173" Type="http://schemas.openxmlformats.org/officeDocument/2006/relationships/hyperlink" Target="https://i.ibb.co/DznB5q4/Itau.png" TargetMode="External"/><Relationship Id="rId174" Type="http://schemas.openxmlformats.org/officeDocument/2006/relationships/hyperlink" Target="https://i.ibb.co/DznB5q4/Itau.png" TargetMode="External"/><Relationship Id="rId175" Type="http://schemas.openxmlformats.org/officeDocument/2006/relationships/hyperlink" Target="https://i.ibb.co/DznB5q4/Itau.png" TargetMode="External"/><Relationship Id="rId176" Type="http://schemas.openxmlformats.org/officeDocument/2006/relationships/hyperlink" Target="https://i.ibb.co/DznB5q4/Itau.png" TargetMode="External"/><Relationship Id="rId177" Type="http://schemas.openxmlformats.org/officeDocument/2006/relationships/hyperlink" Target="https://i.ibb.co/DznB5q4/Itau.png" TargetMode="External"/><Relationship Id="rId178" Type="http://schemas.openxmlformats.org/officeDocument/2006/relationships/hyperlink" Target="https://i.ibb.co/DznB5q4/Itau.png" TargetMode="External"/><Relationship Id="rId179" Type="http://schemas.openxmlformats.org/officeDocument/2006/relationships/hyperlink" Target="https://i.ibb.co/DznB5q4/Itau.png" TargetMode="External"/><Relationship Id="rId180" Type="http://schemas.openxmlformats.org/officeDocument/2006/relationships/hyperlink" Target="https://i.ibb.co/DznB5q4/Itau.png" TargetMode="External"/><Relationship Id="rId181" Type="http://schemas.openxmlformats.org/officeDocument/2006/relationships/hyperlink" Target="https://i.ibb.co/DznB5q4/Itau.png" TargetMode="External"/><Relationship Id="rId182" Type="http://schemas.openxmlformats.org/officeDocument/2006/relationships/hyperlink" Target="https://i.ibb.co/DznB5q4/Itau.png" TargetMode="External"/><Relationship Id="rId183" Type="http://schemas.openxmlformats.org/officeDocument/2006/relationships/hyperlink" Target="https://i.ibb.co/DznB5q4/Itau.png" TargetMode="External"/><Relationship Id="rId184" Type="http://schemas.openxmlformats.org/officeDocument/2006/relationships/hyperlink" Target="https://i.ibb.co/DznB5q4/Itau.png" TargetMode="External"/><Relationship Id="rId185" Type="http://schemas.openxmlformats.org/officeDocument/2006/relationships/hyperlink" Target="https://i.ibb.co/DznB5q4/Itau.png" TargetMode="External"/><Relationship Id="rId186" Type="http://schemas.openxmlformats.org/officeDocument/2006/relationships/hyperlink" Target="https://i.ibb.co/DznB5q4/Itau.png" TargetMode="External"/><Relationship Id="rId187" Type="http://schemas.openxmlformats.org/officeDocument/2006/relationships/hyperlink" Target="https://i.ibb.co/DznB5q4/Itau.png" TargetMode="External"/><Relationship Id="rId188" Type="http://schemas.openxmlformats.org/officeDocument/2006/relationships/hyperlink" Target="https://i.ibb.co/DznB5q4/Itau.png" TargetMode="External"/><Relationship Id="rId189" Type="http://schemas.openxmlformats.org/officeDocument/2006/relationships/hyperlink" Target="https://i.ibb.co/DznB5q4/Itau.png" TargetMode="External"/><Relationship Id="rId190" Type="http://schemas.openxmlformats.org/officeDocument/2006/relationships/hyperlink" Target="https://i.ibb.co/DznB5q4/Itau.png" TargetMode="External"/><Relationship Id="rId191" Type="http://schemas.openxmlformats.org/officeDocument/2006/relationships/hyperlink" Target="https://i.ibb.co/DznB5q4/Itau.png" TargetMode="External"/><Relationship Id="rId192" Type="http://schemas.openxmlformats.org/officeDocument/2006/relationships/hyperlink" Target="https://i.ibb.co/DznB5q4/Itau.png" TargetMode="External"/><Relationship Id="rId193" Type="http://schemas.openxmlformats.org/officeDocument/2006/relationships/hyperlink" Target="https://i.ibb.co/DznB5q4/Itau.png" TargetMode="External"/><Relationship Id="rId194" Type="http://schemas.openxmlformats.org/officeDocument/2006/relationships/hyperlink" Target="https://i.ibb.co/DznB5q4/Itau.png" TargetMode="External"/><Relationship Id="rId195" Type="http://schemas.openxmlformats.org/officeDocument/2006/relationships/hyperlink" Target="https://i.ibb.co/DznB5q4/Itau.png" TargetMode="External"/><Relationship Id="rId196" Type="http://schemas.openxmlformats.org/officeDocument/2006/relationships/hyperlink" Target="https://i.ibb.co/DznB5q4/Itau.png" TargetMode="External"/><Relationship Id="rId197" Type="http://schemas.openxmlformats.org/officeDocument/2006/relationships/hyperlink" Target="https://i.ibb.co/DznB5q4/Itau.png" TargetMode="External"/><Relationship Id="rId198" Type="http://schemas.openxmlformats.org/officeDocument/2006/relationships/hyperlink" Target="https://i.ibb.co/DznB5q4/Itau.png" TargetMode="External"/><Relationship Id="rId199" Type="http://schemas.openxmlformats.org/officeDocument/2006/relationships/hyperlink" Target="https://i.ibb.co/DznB5q4/Itau.png" TargetMode="External"/><Relationship Id="rId200" Type="http://schemas.openxmlformats.org/officeDocument/2006/relationships/hyperlink" Target="https://i.ibb.co/DznB5q4/Itau.png" TargetMode="External"/><Relationship Id="rId201" Type="http://schemas.openxmlformats.org/officeDocument/2006/relationships/hyperlink" Target="https://i.ibb.co/DznB5q4/Itau.png" TargetMode="External"/><Relationship Id="rId202" Type="http://schemas.openxmlformats.org/officeDocument/2006/relationships/hyperlink" Target="https://i.ibb.co/DznB5q4/Itau.png" TargetMode="External"/><Relationship Id="rId203" Type="http://schemas.openxmlformats.org/officeDocument/2006/relationships/hyperlink" Target="https://i.ibb.co/DznB5q4/Itau.png" TargetMode="External"/><Relationship Id="rId204" Type="http://schemas.openxmlformats.org/officeDocument/2006/relationships/hyperlink" Target="https://i.ibb.co/DznB5q4/Itau.png" TargetMode="External"/><Relationship Id="rId205" Type="http://schemas.openxmlformats.org/officeDocument/2006/relationships/hyperlink" Target="https://i.ibb.co/DznB5q4/Itau.png" TargetMode="External"/><Relationship Id="rId206" Type="http://schemas.openxmlformats.org/officeDocument/2006/relationships/hyperlink" Target="https://i.ibb.co/DznB5q4/Itau.png" TargetMode="External"/><Relationship Id="rId207" Type="http://schemas.openxmlformats.org/officeDocument/2006/relationships/hyperlink" Target="https://i.ibb.co/DznB5q4/Itau.png" TargetMode="External"/><Relationship Id="rId208" Type="http://schemas.openxmlformats.org/officeDocument/2006/relationships/hyperlink" Target="https://i.ibb.co/DznB5q4/Itau.png" TargetMode="External"/><Relationship Id="rId209" Type="http://schemas.openxmlformats.org/officeDocument/2006/relationships/hyperlink" Target="https://i.ibb.co/DznB5q4/Itau.png" TargetMode="External"/><Relationship Id="rId210" Type="http://schemas.openxmlformats.org/officeDocument/2006/relationships/hyperlink" Target="https://i.ibb.co/DznB5q4/Itau.png" TargetMode="External"/><Relationship Id="rId211" Type="http://schemas.openxmlformats.org/officeDocument/2006/relationships/hyperlink" Target="https://i.ibb.co/DznB5q4/Itau.png" TargetMode="External"/><Relationship Id="rId212" Type="http://schemas.openxmlformats.org/officeDocument/2006/relationships/hyperlink" Target="https://i.ibb.co/DznB5q4/Itau.png" TargetMode="External"/><Relationship Id="rId213" Type="http://schemas.openxmlformats.org/officeDocument/2006/relationships/hyperlink" Target="https://i.ibb.co/DznB5q4/Itau.png" TargetMode="External"/><Relationship Id="rId214" Type="http://schemas.openxmlformats.org/officeDocument/2006/relationships/hyperlink" Target="https://i.ibb.co/DznB5q4/Itau.png" TargetMode="External"/><Relationship Id="rId215" Type="http://schemas.openxmlformats.org/officeDocument/2006/relationships/hyperlink" Target="https://i.ibb.co/DznB5q4/Itau.png" TargetMode="External"/><Relationship Id="rId216" Type="http://schemas.openxmlformats.org/officeDocument/2006/relationships/hyperlink" Target="https://i.ibb.co/DznB5q4/Itau.png" TargetMode="External"/><Relationship Id="rId217" Type="http://schemas.openxmlformats.org/officeDocument/2006/relationships/hyperlink" Target="https://i.ibb.co/DznB5q4/Itau.png" TargetMode="External"/><Relationship Id="rId218" Type="http://schemas.openxmlformats.org/officeDocument/2006/relationships/hyperlink" Target="https://i.ibb.co/DznB5q4/Itau.png" TargetMode="External"/><Relationship Id="rId219" Type="http://schemas.openxmlformats.org/officeDocument/2006/relationships/hyperlink" Target="https://i.ibb.co/DznB5q4/Itau.png" TargetMode="External"/><Relationship Id="rId220" Type="http://schemas.openxmlformats.org/officeDocument/2006/relationships/hyperlink" Target="https://i.ibb.co/DznB5q4/Itau.png" TargetMode="External"/><Relationship Id="rId221" Type="http://schemas.openxmlformats.org/officeDocument/2006/relationships/hyperlink" Target="https://i.ibb.co/DznB5q4/Itau.png" TargetMode="External"/><Relationship Id="rId222" Type="http://schemas.openxmlformats.org/officeDocument/2006/relationships/hyperlink" Target="https://i.ibb.co/DznB5q4/Itau.png" TargetMode="External"/><Relationship Id="rId223" Type="http://schemas.openxmlformats.org/officeDocument/2006/relationships/hyperlink" Target="https://i.ibb.co/DznB5q4/Itau.png" TargetMode="External"/><Relationship Id="rId224" Type="http://schemas.openxmlformats.org/officeDocument/2006/relationships/hyperlink" Target="https://i.ibb.co/DznB5q4/Itau.png" TargetMode="External"/><Relationship Id="rId225" Type="http://schemas.openxmlformats.org/officeDocument/2006/relationships/hyperlink" Target="https://i.ibb.co/DznB5q4/Itau.png" TargetMode="External"/><Relationship Id="rId226" Type="http://schemas.openxmlformats.org/officeDocument/2006/relationships/hyperlink" Target="https://i.ibb.co/DznB5q4/Itau.png" TargetMode="External"/><Relationship Id="rId227" Type="http://schemas.openxmlformats.org/officeDocument/2006/relationships/hyperlink" Target="https://i.ibb.co/DznB5q4/Itau.png" TargetMode="External"/><Relationship Id="rId228" Type="http://schemas.openxmlformats.org/officeDocument/2006/relationships/hyperlink" Target="https://i.ibb.co/DznB5q4/Itau.png" TargetMode="External"/><Relationship Id="rId229" Type="http://schemas.openxmlformats.org/officeDocument/2006/relationships/hyperlink" Target="https://i.ibb.co/DznB5q4/Itau.png" TargetMode="External"/><Relationship Id="rId230" Type="http://schemas.openxmlformats.org/officeDocument/2006/relationships/hyperlink" Target="https://i.ibb.co/DznB5q4/Itau.png" TargetMode="External"/><Relationship Id="rId231" Type="http://schemas.openxmlformats.org/officeDocument/2006/relationships/hyperlink" Target="https://i.ibb.co/DznB5q4/Itau.png" TargetMode="External"/><Relationship Id="rId232" Type="http://schemas.openxmlformats.org/officeDocument/2006/relationships/hyperlink" Target="https://i.ibb.co/DznB5q4/Itau.png" TargetMode="External"/><Relationship Id="rId233" Type="http://schemas.openxmlformats.org/officeDocument/2006/relationships/hyperlink" Target="https://i.ibb.co/DznB5q4/Itau.png" TargetMode="External"/><Relationship Id="rId234" Type="http://schemas.openxmlformats.org/officeDocument/2006/relationships/hyperlink" Target="https://i.ibb.co/DznB5q4/Itau.png" TargetMode="External"/><Relationship Id="rId235" Type="http://schemas.openxmlformats.org/officeDocument/2006/relationships/hyperlink" Target="https://i.ibb.co/DznB5q4/Itau.png" TargetMode="External"/><Relationship Id="rId236" Type="http://schemas.openxmlformats.org/officeDocument/2006/relationships/hyperlink" Target="https://i.ibb.co/DznB5q4/Itau.png" TargetMode="External"/><Relationship Id="rId237" Type="http://schemas.openxmlformats.org/officeDocument/2006/relationships/hyperlink" Target="https://i.ibb.co/DznB5q4/Itau.png" TargetMode="External"/><Relationship Id="rId238" Type="http://schemas.openxmlformats.org/officeDocument/2006/relationships/hyperlink" Target="https://i.ibb.co/DznB5q4/Itau.png" TargetMode="External"/><Relationship Id="rId239" Type="http://schemas.openxmlformats.org/officeDocument/2006/relationships/hyperlink" Target="https://i.ibb.co/DznB5q4/Itau.png" TargetMode="External"/><Relationship Id="rId240" Type="http://schemas.openxmlformats.org/officeDocument/2006/relationships/hyperlink" Target="https://i.ibb.co/DznB5q4/Itau.png" TargetMode="External"/><Relationship Id="rId241" Type="http://schemas.openxmlformats.org/officeDocument/2006/relationships/hyperlink" Target="https://i.ibb.co/DznB5q4/Itau.png" TargetMode="External"/><Relationship Id="rId242" Type="http://schemas.openxmlformats.org/officeDocument/2006/relationships/hyperlink" Target="https://i.ibb.co/DznB5q4/Itau.png" TargetMode="External"/><Relationship Id="rId243" Type="http://schemas.openxmlformats.org/officeDocument/2006/relationships/hyperlink" Target="https://i.ibb.co/DznB5q4/Itau.png" TargetMode="External"/><Relationship Id="rId244" Type="http://schemas.openxmlformats.org/officeDocument/2006/relationships/hyperlink" Target="https://i.ibb.co/DznB5q4/Itau.png" TargetMode="External"/><Relationship Id="rId245" Type="http://schemas.openxmlformats.org/officeDocument/2006/relationships/hyperlink" Target="https://i.ibb.co/DznB5q4/Itau.png" TargetMode="External"/><Relationship Id="rId246" Type="http://schemas.openxmlformats.org/officeDocument/2006/relationships/hyperlink" Target="https://i.ibb.co/DznB5q4/Itau.png" TargetMode="External"/><Relationship Id="rId247" Type="http://schemas.openxmlformats.org/officeDocument/2006/relationships/hyperlink" Target="https://i.ibb.co/DznB5q4/Itau.png" TargetMode="External"/><Relationship Id="rId248" Type="http://schemas.openxmlformats.org/officeDocument/2006/relationships/hyperlink" Target="https://i.ibb.co/DznB5q4/Itau.png" TargetMode="External"/><Relationship Id="rId249" Type="http://schemas.openxmlformats.org/officeDocument/2006/relationships/hyperlink" Target="https://i.ibb.co/DznB5q4/Itau.png" TargetMode="External"/><Relationship Id="rId250" Type="http://schemas.openxmlformats.org/officeDocument/2006/relationships/hyperlink" Target="https://i.ibb.co/DznB5q4/Itau.png" TargetMode="External"/><Relationship Id="rId251" Type="http://schemas.openxmlformats.org/officeDocument/2006/relationships/hyperlink" Target="https://i.ibb.co/DznB5q4/Itau.png" TargetMode="External"/><Relationship Id="rId252" Type="http://schemas.openxmlformats.org/officeDocument/2006/relationships/hyperlink" Target="https://i.ibb.co/DznB5q4/Itau.png" TargetMode="External"/><Relationship Id="rId253" Type="http://schemas.openxmlformats.org/officeDocument/2006/relationships/hyperlink" Target="https://i.ibb.co/DznB5q4/Itau.png" TargetMode="External"/><Relationship Id="rId254" Type="http://schemas.openxmlformats.org/officeDocument/2006/relationships/hyperlink" Target="https://i.ibb.co/DznB5q4/Itau.png" TargetMode="External"/><Relationship Id="rId255" Type="http://schemas.openxmlformats.org/officeDocument/2006/relationships/hyperlink" Target="https://i.ibb.co/DznB5q4/Itau.png" TargetMode="External"/><Relationship Id="rId256" Type="http://schemas.openxmlformats.org/officeDocument/2006/relationships/hyperlink" Target="https://i.ibb.co/DznB5q4/Itau.png" TargetMode="External"/><Relationship Id="rId257" Type="http://schemas.openxmlformats.org/officeDocument/2006/relationships/hyperlink" Target="https://i.ibb.co/DznB5q4/Itau.png" TargetMode="External"/><Relationship Id="rId258" Type="http://schemas.openxmlformats.org/officeDocument/2006/relationships/hyperlink" Target="https://i.ibb.co/DznB5q4/Itau.png" TargetMode="External"/><Relationship Id="rId259" Type="http://schemas.openxmlformats.org/officeDocument/2006/relationships/hyperlink" Target="https://i.ibb.co/DznB5q4/Itau.png" TargetMode="External"/><Relationship Id="rId260" Type="http://schemas.openxmlformats.org/officeDocument/2006/relationships/hyperlink" Target="https://i.ibb.co/DznB5q4/Itau.png" TargetMode="External"/><Relationship Id="rId261" Type="http://schemas.openxmlformats.org/officeDocument/2006/relationships/hyperlink" Target="https://i.ibb.co/DznB5q4/Itau.png" TargetMode="External"/><Relationship Id="rId262" Type="http://schemas.openxmlformats.org/officeDocument/2006/relationships/hyperlink" Target="https://i.ibb.co/DznB5q4/Itau.png" TargetMode="External"/><Relationship Id="rId263" Type="http://schemas.openxmlformats.org/officeDocument/2006/relationships/hyperlink" Target="https://i.ibb.co/DznB5q4/Itau.png" TargetMode="External"/><Relationship Id="rId264" Type="http://schemas.openxmlformats.org/officeDocument/2006/relationships/hyperlink" Target="https://i.ibb.co/DznB5q4/Itau.png" TargetMode="External"/><Relationship Id="rId265" Type="http://schemas.openxmlformats.org/officeDocument/2006/relationships/hyperlink" Target="https://i.ibb.co/DznB5q4/Itau.png" TargetMode="External"/><Relationship Id="rId266" Type="http://schemas.openxmlformats.org/officeDocument/2006/relationships/hyperlink" Target="https://i.ibb.co/DznB5q4/Itau.png" TargetMode="External"/><Relationship Id="rId267" Type="http://schemas.openxmlformats.org/officeDocument/2006/relationships/hyperlink" Target="https://i.ibb.co/DznB5q4/Itau.png" TargetMode="External"/><Relationship Id="rId268" Type="http://schemas.openxmlformats.org/officeDocument/2006/relationships/hyperlink" Target="https://i.ibb.co/DznB5q4/Itau.png" TargetMode="External"/><Relationship Id="rId269" Type="http://schemas.openxmlformats.org/officeDocument/2006/relationships/hyperlink" Target="https://i.ibb.co/DznB5q4/Itau.png" TargetMode="External"/><Relationship Id="rId270" Type="http://schemas.openxmlformats.org/officeDocument/2006/relationships/hyperlink" Target="https://i.ibb.co/DznB5q4/Itau.png" TargetMode="External"/><Relationship Id="rId271" Type="http://schemas.openxmlformats.org/officeDocument/2006/relationships/hyperlink" Target="https://i.ibb.co/DznB5q4/Itau.png" TargetMode="External"/><Relationship Id="rId272" Type="http://schemas.openxmlformats.org/officeDocument/2006/relationships/hyperlink" Target="https://i.ibb.co/DznB5q4/Itau.png" TargetMode="External"/><Relationship Id="rId273" Type="http://schemas.openxmlformats.org/officeDocument/2006/relationships/hyperlink" Target="https://i.ibb.co/DznB5q4/Itau.png" TargetMode="External"/><Relationship Id="rId274" Type="http://schemas.openxmlformats.org/officeDocument/2006/relationships/hyperlink" Target="https://i.ibb.co/DznB5q4/Itau.png" TargetMode="External"/><Relationship Id="rId275" Type="http://schemas.openxmlformats.org/officeDocument/2006/relationships/hyperlink" Target="https://i.ibb.co/DznB5q4/Itau.png" TargetMode="External"/><Relationship Id="rId276" Type="http://schemas.openxmlformats.org/officeDocument/2006/relationships/hyperlink" Target="https://i.ibb.co/DznB5q4/Itau.png" TargetMode="External"/><Relationship Id="rId277" Type="http://schemas.openxmlformats.org/officeDocument/2006/relationships/hyperlink" Target="https://i.ibb.co/DznB5q4/Itau.png" TargetMode="External"/><Relationship Id="rId278" Type="http://schemas.openxmlformats.org/officeDocument/2006/relationships/hyperlink" Target="https://i.ibb.co/DznB5q4/Itau.png" TargetMode="External"/><Relationship Id="rId279" Type="http://schemas.openxmlformats.org/officeDocument/2006/relationships/hyperlink" Target="https://i.ibb.co/DznB5q4/Itau.png" TargetMode="External"/><Relationship Id="rId280" Type="http://schemas.openxmlformats.org/officeDocument/2006/relationships/hyperlink" Target="https://i.ibb.co/DznB5q4/Itau.png" TargetMode="External"/><Relationship Id="rId281" Type="http://schemas.openxmlformats.org/officeDocument/2006/relationships/hyperlink" Target="https://i.ibb.co/DznB5q4/Itau.png" TargetMode="External"/><Relationship Id="rId282" Type="http://schemas.openxmlformats.org/officeDocument/2006/relationships/hyperlink" Target="https://i.ibb.co/DznB5q4/Itau.png" TargetMode="External"/><Relationship Id="rId283" Type="http://schemas.openxmlformats.org/officeDocument/2006/relationships/hyperlink" Target="https://i.ibb.co/DznB5q4/Itau.png" TargetMode="External"/><Relationship Id="rId284" Type="http://schemas.openxmlformats.org/officeDocument/2006/relationships/hyperlink" Target="https://i.ibb.co/DznB5q4/Itau.png" TargetMode="External"/><Relationship Id="rId285" Type="http://schemas.openxmlformats.org/officeDocument/2006/relationships/hyperlink" Target="https://i.ibb.co/DznB5q4/Itau.png" TargetMode="External"/><Relationship Id="rId286" Type="http://schemas.openxmlformats.org/officeDocument/2006/relationships/hyperlink" Target="https://i.ibb.co/DznB5q4/Itau.png" TargetMode="External"/><Relationship Id="rId287" Type="http://schemas.openxmlformats.org/officeDocument/2006/relationships/hyperlink" Target="https://i.ibb.co/DznB5q4/Itau.png" TargetMode="External"/><Relationship Id="rId288" Type="http://schemas.openxmlformats.org/officeDocument/2006/relationships/hyperlink" Target="https://i.ibb.co/DznB5q4/Itau.png" TargetMode="External"/><Relationship Id="rId289" Type="http://schemas.openxmlformats.org/officeDocument/2006/relationships/hyperlink" Target="https://i.ibb.co/DznB5q4/Itau.png" TargetMode="External"/><Relationship Id="rId290" Type="http://schemas.openxmlformats.org/officeDocument/2006/relationships/hyperlink" Target="https://i.ibb.co/DznB5q4/Itau.png" TargetMode="External"/><Relationship Id="rId291" Type="http://schemas.openxmlformats.org/officeDocument/2006/relationships/hyperlink" Target="https://i.ibb.co/DznB5q4/Itau.png" TargetMode="External"/><Relationship Id="rId292" Type="http://schemas.openxmlformats.org/officeDocument/2006/relationships/hyperlink" Target="https://i.ibb.co/DznB5q4/Itau.png" TargetMode="External"/><Relationship Id="rId293" Type="http://schemas.openxmlformats.org/officeDocument/2006/relationships/hyperlink" Target="https://i.ibb.co/DznB5q4/Itau.png" TargetMode="External"/><Relationship Id="rId294" Type="http://schemas.openxmlformats.org/officeDocument/2006/relationships/hyperlink" Target="https://i.ibb.co/DznB5q4/Itau.png" TargetMode="External"/><Relationship Id="rId295" Type="http://schemas.openxmlformats.org/officeDocument/2006/relationships/hyperlink" Target="https://i.ibb.co/DznB5q4/Itau.png" TargetMode="External"/><Relationship Id="rId296" Type="http://schemas.openxmlformats.org/officeDocument/2006/relationships/hyperlink" Target="https://i.ibb.co/DznB5q4/Itau.png" TargetMode="External"/><Relationship Id="rId297" Type="http://schemas.openxmlformats.org/officeDocument/2006/relationships/hyperlink" Target="https://i.ibb.co/DznB5q4/Itau.png" TargetMode="External"/><Relationship Id="rId298" Type="http://schemas.openxmlformats.org/officeDocument/2006/relationships/hyperlink" Target="https://i.ibb.co/DznB5q4/Itau.png" TargetMode="External"/><Relationship Id="rId299" Type="http://schemas.openxmlformats.org/officeDocument/2006/relationships/hyperlink" Target="https://i.ibb.co/DznB5q4/Itau.png" TargetMode="External"/><Relationship Id="rId300" Type="http://schemas.openxmlformats.org/officeDocument/2006/relationships/hyperlink" Target="https://i.ibb.co/DznB5q4/Itau.png" TargetMode="External"/><Relationship Id="rId301" Type="http://schemas.openxmlformats.org/officeDocument/2006/relationships/hyperlink" Target="https://i.ibb.co/DznB5q4/Itau.png" TargetMode="External"/><Relationship Id="rId302" Type="http://schemas.openxmlformats.org/officeDocument/2006/relationships/hyperlink" Target="https://i.ibb.co/DznB5q4/Itau.png" TargetMode="External"/><Relationship Id="rId303" Type="http://schemas.openxmlformats.org/officeDocument/2006/relationships/hyperlink" Target="https://i.ibb.co/DznB5q4/Itau.png" TargetMode="External"/><Relationship Id="rId304" Type="http://schemas.openxmlformats.org/officeDocument/2006/relationships/hyperlink" Target="https://i.ibb.co/DznB5q4/Itau.png" TargetMode="External"/><Relationship Id="rId305" Type="http://schemas.openxmlformats.org/officeDocument/2006/relationships/hyperlink" Target="https://i.ibb.co/DznB5q4/Itau.png" TargetMode="External"/><Relationship Id="rId306" Type="http://schemas.openxmlformats.org/officeDocument/2006/relationships/hyperlink" Target="https://i.ibb.co/DznB5q4/Itau.png" TargetMode="External"/><Relationship Id="rId307" Type="http://schemas.openxmlformats.org/officeDocument/2006/relationships/hyperlink" Target="https://i.ibb.co/DznB5q4/Itau.png" TargetMode="External"/><Relationship Id="rId308" Type="http://schemas.openxmlformats.org/officeDocument/2006/relationships/hyperlink" Target="https://i.ibb.co/DznB5q4/Itau.png" TargetMode="External"/><Relationship Id="rId309" Type="http://schemas.openxmlformats.org/officeDocument/2006/relationships/hyperlink" Target="https://i.ibb.co/DznB5q4/Itau.png" TargetMode="External"/><Relationship Id="rId310" Type="http://schemas.openxmlformats.org/officeDocument/2006/relationships/hyperlink" Target="https://i.ibb.co/DznB5q4/Itau.png" TargetMode="External"/><Relationship Id="rId311" Type="http://schemas.openxmlformats.org/officeDocument/2006/relationships/hyperlink" Target="https://i.ibb.co/DznB5q4/Itau.png" TargetMode="External"/><Relationship Id="rId312" Type="http://schemas.openxmlformats.org/officeDocument/2006/relationships/hyperlink" Target="https://i.ibb.co/DznB5q4/Itau.png" TargetMode="External"/><Relationship Id="rId313" Type="http://schemas.openxmlformats.org/officeDocument/2006/relationships/hyperlink" Target="https://i.ibb.co/DznB5q4/Itau.png" TargetMode="External"/><Relationship Id="rId314" Type="http://schemas.openxmlformats.org/officeDocument/2006/relationships/hyperlink" Target="https://i.ibb.co/DznB5q4/Itau.png" TargetMode="External"/><Relationship Id="rId315" Type="http://schemas.openxmlformats.org/officeDocument/2006/relationships/hyperlink" Target="https://i.ibb.co/DznB5q4/Itau.png" TargetMode="External"/><Relationship Id="rId316" Type="http://schemas.openxmlformats.org/officeDocument/2006/relationships/hyperlink" Target="https://i.ibb.co/DznB5q4/Itau.png" TargetMode="External"/><Relationship Id="rId317" Type="http://schemas.openxmlformats.org/officeDocument/2006/relationships/hyperlink" Target="https://i.ibb.co/DznB5q4/Itau.png" TargetMode="External"/><Relationship Id="rId318" Type="http://schemas.openxmlformats.org/officeDocument/2006/relationships/hyperlink" Target="https://i.ibb.co/DznB5q4/Itau.png" TargetMode="External"/><Relationship Id="rId319" Type="http://schemas.openxmlformats.org/officeDocument/2006/relationships/hyperlink" Target="https://i.ibb.co/DznB5q4/Itau.png" TargetMode="External"/><Relationship Id="rId320" Type="http://schemas.openxmlformats.org/officeDocument/2006/relationships/hyperlink" Target="https://i.ibb.co/DznB5q4/Itau.png" TargetMode="External"/><Relationship Id="rId321" Type="http://schemas.openxmlformats.org/officeDocument/2006/relationships/hyperlink" Target="https://i.ibb.co/DznB5q4/Itau.png" TargetMode="External"/><Relationship Id="rId322" Type="http://schemas.openxmlformats.org/officeDocument/2006/relationships/hyperlink" Target="https://i.ibb.co/DznB5q4/Itau.png" TargetMode="External"/><Relationship Id="rId323" Type="http://schemas.openxmlformats.org/officeDocument/2006/relationships/hyperlink" Target="https://i.ibb.co/DznB5q4/Itau.png" TargetMode="External"/><Relationship Id="rId324" Type="http://schemas.openxmlformats.org/officeDocument/2006/relationships/hyperlink" Target="https://i.ibb.co/DznB5q4/Itau.png" TargetMode="External"/><Relationship Id="rId325" Type="http://schemas.openxmlformats.org/officeDocument/2006/relationships/hyperlink" Target="https://i.ibb.co/DznB5q4/Itau.png" TargetMode="External"/><Relationship Id="rId326" Type="http://schemas.openxmlformats.org/officeDocument/2006/relationships/hyperlink" Target="https://i.ibb.co/DznB5q4/Itau.png" TargetMode="External"/><Relationship Id="rId327" Type="http://schemas.openxmlformats.org/officeDocument/2006/relationships/hyperlink" Target="https://i.ibb.co/DznB5q4/Itau.png" TargetMode="External"/><Relationship Id="rId328" Type="http://schemas.openxmlformats.org/officeDocument/2006/relationships/hyperlink" Target="https://i.ibb.co/DznB5q4/Itau.png" TargetMode="External"/><Relationship Id="rId329" Type="http://schemas.openxmlformats.org/officeDocument/2006/relationships/hyperlink" Target="https://i.ibb.co/DznB5q4/Itau.png" TargetMode="External"/><Relationship Id="rId330" Type="http://schemas.openxmlformats.org/officeDocument/2006/relationships/hyperlink" Target="https://i.ibb.co/DznB5q4/Itau.png" TargetMode="External"/><Relationship Id="rId331" Type="http://schemas.openxmlformats.org/officeDocument/2006/relationships/hyperlink" Target="https://i.ibb.co/DznB5q4/Itau.png" TargetMode="External"/><Relationship Id="rId332" Type="http://schemas.openxmlformats.org/officeDocument/2006/relationships/hyperlink" Target="https://i.ibb.co/DznB5q4/Itau.png" TargetMode="External"/><Relationship Id="rId333" Type="http://schemas.openxmlformats.org/officeDocument/2006/relationships/hyperlink" Target="https://i.ibb.co/DznB5q4/Itau.png" TargetMode="External"/><Relationship Id="rId334" Type="http://schemas.openxmlformats.org/officeDocument/2006/relationships/hyperlink" Target="https://i.ibb.co/DznB5q4/Itau.png" TargetMode="External"/><Relationship Id="rId335" Type="http://schemas.openxmlformats.org/officeDocument/2006/relationships/hyperlink" Target="https://i.ibb.co/DznB5q4/Itau.png" TargetMode="External"/><Relationship Id="rId336" Type="http://schemas.openxmlformats.org/officeDocument/2006/relationships/hyperlink" Target="https://i.ibb.co/DznB5q4/Itau.png" TargetMode="External"/><Relationship Id="rId337" Type="http://schemas.openxmlformats.org/officeDocument/2006/relationships/hyperlink" Target="https://i.ibb.co/DznB5q4/Itau.png" TargetMode="External"/><Relationship Id="rId338" Type="http://schemas.openxmlformats.org/officeDocument/2006/relationships/hyperlink" Target="https://i.ibb.co/DznB5q4/Itau.png" TargetMode="External"/><Relationship Id="rId339" Type="http://schemas.openxmlformats.org/officeDocument/2006/relationships/hyperlink" Target="https://i.ibb.co/DznB5q4/Itau.png" TargetMode="External"/><Relationship Id="rId340" Type="http://schemas.openxmlformats.org/officeDocument/2006/relationships/hyperlink" Target="https://i.ibb.co/DznB5q4/Itau.png" TargetMode="External"/><Relationship Id="rId341" Type="http://schemas.openxmlformats.org/officeDocument/2006/relationships/hyperlink" Target="https://i.ibb.co/DznB5q4/Itau.png" TargetMode="External"/><Relationship Id="rId342" Type="http://schemas.openxmlformats.org/officeDocument/2006/relationships/hyperlink" Target="https://i.ibb.co/DznB5q4/Itau.png" TargetMode="External"/><Relationship Id="rId343" Type="http://schemas.openxmlformats.org/officeDocument/2006/relationships/hyperlink" Target="https://i.ibb.co/DznB5q4/Itau.png" TargetMode="External"/><Relationship Id="rId344" Type="http://schemas.openxmlformats.org/officeDocument/2006/relationships/hyperlink" Target="https://i.ibb.co/DznB5q4/Itau.png" TargetMode="External"/><Relationship Id="rId345" Type="http://schemas.openxmlformats.org/officeDocument/2006/relationships/hyperlink" Target="https://i.ibb.co/DznB5q4/Itau.png" TargetMode="External"/><Relationship Id="rId346" Type="http://schemas.openxmlformats.org/officeDocument/2006/relationships/hyperlink" Target="https://i.ibb.co/DznB5q4/Itau.png" TargetMode="External"/><Relationship Id="rId347" Type="http://schemas.openxmlformats.org/officeDocument/2006/relationships/hyperlink" Target="https://i.ibb.co/DznB5q4/Itau.png" TargetMode="External"/><Relationship Id="rId348" Type="http://schemas.openxmlformats.org/officeDocument/2006/relationships/hyperlink" Target="https://i.ibb.co/DznB5q4/Itau.png" TargetMode="External"/><Relationship Id="rId349" Type="http://schemas.openxmlformats.org/officeDocument/2006/relationships/hyperlink" Target="https://i.ibb.co/DznB5q4/Itau.png" TargetMode="External"/><Relationship Id="rId350" Type="http://schemas.openxmlformats.org/officeDocument/2006/relationships/hyperlink" Target="https://i.ibb.co/DznB5q4/Itau.png" TargetMode="External"/><Relationship Id="rId351" Type="http://schemas.openxmlformats.org/officeDocument/2006/relationships/hyperlink" Target="https://i.ibb.co/DznB5q4/Itau.png" TargetMode="External"/><Relationship Id="rId352" Type="http://schemas.openxmlformats.org/officeDocument/2006/relationships/hyperlink" Target="https://i.ibb.co/DznB5q4/Itau.png" TargetMode="External"/><Relationship Id="rId353" Type="http://schemas.openxmlformats.org/officeDocument/2006/relationships/hyperlink" Target="https://i.ibb.co/DznB5q4/Itau.png" TargetMode="External"/><Relationship Id="rId354" Type="http://schemas.openxmlformats.org/officeDocument/2006/relationships/hyperlink" Target="https://i.ibb.co/DznB5q4/Itau.png" TargetMode="External"/><Relationship Id="rId355" Type="http://schemas.openxmlformats.org/officeDocument/2006/relationships/hyperlink" Target="https://i.ibb.co/DznB5q4/Itau.png" TargetMode="External"/><Relationship Id="rId356" Type="http://schemas.openxmlformats.org/officeDocument/2006/relationships/hyperlink" Target="https://i.ibb.co/DznB5q4/Itau.png" TargetMode="External"/><Relationship Id="rId357" Type="http://schemas.openxmlformats.org/officeDocument/2006/relationships/hyperlink" Target="https://i.ibb.co/DznB5q4/Itau.png" TargetMode="External"/><Relationship Id="rId358" Type="http://schemas.openxmlformats.org/officeDocument/2006/relationships/hyperlink" Target="https://i.ibb.co/DznB5q4/Itau.png" TargetMode="External"/><Relationship Id="rId359" Type="http://schemas.openxmlformats.org/officeDocument/2006/relationships/hyperlink" Target="https://i.ibb.co/DznB5q4/Itau.png" TargetMode="External"/><Relationship Id="rId360" Type="http://schemas.openxmlformats.org/officeDocument/2006/relationships/hyperlink" Target="https://i.ibb.co/DznB5q4/Itau.png" TargetMode="External"/><Relationship Id="rId361" Type="http://schemas.openxmlformats.org/officeDocument/2006/relationships/hyperlink" Target="https://i.ibb.co/DznB5q4/Itau.png" TargetMode="External"/><Relationship Id="rId362" Type="http://schemas.openxmlformats.org/officeDocument/2006/relationships/hyperlink" Target="https://i.ibb.co/DznB5q4/Itau.png" TargetMode="External"/><Relationship Id="rId363" Type="http://schemas.openxmlformats.org/officeDocument/2006/relationships/hyperlink" Target="https://i.ibb.co/DznB5q4/Itau.png" TargetMode="External"/><Relationship Id="rId364" Type="http://schemas.openxmlformats.org/officeDocument/2006/relationships/hyperlink" Target="https://i.ibb.co/DznB5q4/Itau.png" TargetMode="External"/><Relationship Id="rId365" Type="http://schemas.openxmlformats.org/officeDocument/2006/relationships/hyperlink" Target="https://i.ibb.co/DznB5q4/Itau.png" TargetMode="External"/><Relationship Id="rId366" Type="http://schemas.openxmlformats.org/officeDocument/2006/relationships/hyperlink" Target="https://i.ibb.co/DznB5q4/Itau.png" TargetMode="External"/><Relationship Id="rId367" Type="http://schemas.openxmlformats.org/officeDocument/2006/relationships/hyperlink" Target="https://i.ibb.co/DznB5q4/Itau.png" TargetMode="External"/><Relationship Id="rId368" Type="http://schemas.openxmlformats.org/officeDocument/2006/relationships/hyperlink" Target="https://i.ibb.co/DznB5q4/Itau.png" TargetMode="External"/><Relationship Id="rId369" Type="http://schemas.openxmlformats.org/officeDocument/2006/relationships/hyperlink" Target="https://i.ibb.co/DznB5q4/Itau.png" TargetMode="External"/><Relationship Id="rId370" Type="http://schemas.openxmlformats.org/officeDocument/2006/relationships/hyperlink" Target="https://i.ibb.co/DznB5q4/Itau.png" TargetMode="External"/><Relationship Id="rId371" Type="http://schemas.openxmlformats.org/officeDocument/2006/relationships/hyperlink" Target="https://i.ibb.co/DznB5q4/Itau.png" TargetMode="External"/><Relationship Id="rId372" Type="http://schemas.openxmlformats.org/officeDocument/2006/relationships/hyperlink" Target="https://i.ibb.co/DznB5q4/Itau.png" TargetMode="External"/><Relationship Id="rId373" Type="http://schemas.openxmlformats.org/officeDocument/2006/relationships/hyperlink" Target="https://i.ibb.co/DznB5q4/Itau.png" TargetMode="External"/><Relationship Id="rId374" Type="http://schemas.openxmlformats.org/officeDocument/2006/relationships/hyperlink" Target="https://i.ibb.co/DznB5q4/Itau.png" TargetMode="External"/><Relationship Id="rId375" Type="http://schemas.openxmlformats.org/officeDocument/2006/relationships/hyperlink" Target="https://i.ibb.co/DznB5q4/Itau.png" TargetMode="External"/><Relationship Id="rId376" Type="http://schemas.openxmlformats.org/officeDocument/2006/relationships/hyperlink" Target="https://i.ibb.co/DznB5q4/Itau.png" TargetMode="External"/><Relationship Id="rId377" Type="http://schemas.openxmlformats.org/officeDocument/2006/relationships/hyperlink" Target="https://i.ibb.co/DznB5q4/Itau.png" TargetMode="External"/><Relationship Id="rId378" Type="http://schemas.openxmlformats.org/officeDocument/2006/relationships/hyperlink" Target="https://i.ibb.co/DznB5q4/Itau.png" TargetMode="External"/><Relationship Id="rId379" Type="http://schemas.openxmlformats.org/officeDocument/2006/relationships/hyperlink" Target="https://i.ibb.co/DznB5q4/Itau.png" TargetMode="External"/><Relationship Id="rId380" Type="http://schemas.openxmlformats.org/officeDocument/2006/relationships/hyperlink" Target="https://i.ibb.co/DznB5q4/Itau.png" TargetMode="External"/><Relationship Id="rId381" Type="http://schemas.openxmlformats.org/officeDocument/2006/relationships/hyperlink" Target="https://i.ibb.co/DznB5q4/Itau.png" TargetMode="External"/><Relationship Id="rId382" Type="http://schemas.openxmlformats.org/officeDocument/2006/relationships/hyperlink" Target="https://i.ibb.co/DznB5q4/Itau.png" TargetMode="External"/><Relationship Id="rId383" Type="http://schemas.openxmlformats.org/officeDocument/2006/relationships/hyperlink" Target="https://i.ibb.co/DznB5q4/Itau.png" TargetMode="External"/><Relationship Id="rId384" Type="http://schemas.openxmlformats.org/officeDocument/2006/relationships/hyperlink" Target="https://i.ibb.co/DznB5q4/Itau.png" TargetMode="External"/><Relationship Id="rId385" Type="http://schemas.openxmlformats.org/officeDocument/2006/relationships/hyperlink" Target="https://i.ibb.co/DznB5q4/Itau.png" TargetMode="External"/><Relationship Id="rId386" Type="http://schemas.openxmlformats.org/officeDocument/2006/relationships/hyperlink" Target="https://i.ibb.co/DznB5q4/Itau.png" TargetMode="External"/><Relationship Id="rId387" Type="http://schemas.openxmlformats.org/officeDocument/2006/relationships/hyperlink" Target="https://i.ibb.co/DznB5q4/Itau.png" TargetMode="External"/><Relationship Id="rId388" Type="http://schemas.openxmlformats.org/officeDocument/2006/relationships/hyperlink" Target="https://i.ibb.co/DznB5q4/Itau.png" TargetMode="External"/><Relationship Id="rId389" Type="http://schemas.openxmlformats.org/officeDocument/2006/relationships/hyperlink" Target="https://i.ibb.co/DznB5q4/Itau.png" TargetMode="External"/><Relationship Id="rId390" Type="http://schemas.openxmlformats.org/officeDocument/2006/relationships/hyperlink" Target="https://i.ibb.co/DznB5q4/Itau.png" TargetMode="External"/><Relationship Id="rId391" Type="http://schemas.openxmlformats.org/officeDocument/2006/relationships/hyperlink" Target="https://i.ibb.co/DznB5q4/Itau.png" TargetMode="External"/><Relationship Id="rId392" Type="http://schemas.openxmlformats.org/officeDocument/2006/relationships/hyperlink" Target="https://i.ibb.co/DznB5q4/Itau.png" TargetMode="External"/><Relationship Id="rId393" Type="http://schemas.openxmlformats.org/officeDocument/2006/relationships/hyperlink" Target="https://i.ibb.co/DznB5q4/Itau.png" TargetMode="External"/><Relationship Id="rId394" Type="http://schemas.openxmlformats.org/officeDocument/2006/relationships/hyperlink" Target="https://i.ibb.co/DznB5q4/Itau.png" TargetMode="External"/><Relationship Id="rId395" Type="http://schemas.openxmlformats.org/officeDocument/2006/relationships/hyperlink" Target="https://i.ibb.co/DznB5q4/Itau.png" TargetMode="External"/><Relationship Id="rId396" Type="http://schemas.openxmlformats.org/officeDocument/2006/relationships/hyperlink" Target="https://i.ibb.co/DznB5q4/Itau.png" TargetMode="External"/><Relationship Id="rId397" Type="http://schemas.openxmlformats.org/officeDocument/2006/relationships/hyperlink" Target="https://i.ibb.co/DznB5q4/Itau.png" TargetMode="External"/><Relationship Id="rId398" Type="http://schemas.openxmlformats.org/officeDocument/2006/relationships/hyperlink" Target="https://i.ibb.co/DznB5q4/Itau.png" TargetMode="External"/><Relationship Id="rId399" Type="http://schemas.openxmlformats.org/officeDocument/2006/relationships/hyperlink" Target="https://i.ibb.co/DznB5q4/Itau.png" TargetMode="External"/><Relationship Id="rId400" Type="http://schemas.openxmlformats.org/officeDocument/2006/relationships/hyperlink" Target="https://i.ibb.co/DznB5q4/Itau.png" TargetMode="External"/><Relationship Id="rId401" Type="http://schemas.openxmlformats.org/officeDocument/2006/relationships/hyperlink" Target="https://i.ibb.co/DznB5q4/Itau.png" TargetMode="External"/><Relationship Id="rId402" Type="http://schemas.openxmlformats.org/officeDocument/2006/relationships/hyperlink" Target="https://i.ibb.co/DznB5q4/Itau.png" TargetMode="External"/><Relationship Id="rId403" Type="http://schemas.openxmlformats.org/officeDocument/2006/relationships/hyperlink" Target="https://i.ibb.co/DznB5q4/Itau.png" TargetMode="External"/><Relationship Id="rId404" Type="http://schemas.openxmlformats.org/officeDocument/2006/relationships/hyperlink" Target="https://i.ibb.co/DznB5q4/Itau.png" TargetMode="External"/><Relationship Id="rId405" Type="http://schemas.openxmlformats.org/officeDocument/2006/relationships/hyperlink" Target="https://i.ibb.co/DznB5q4/Itau.png" TargetMode="External"/><Relationship Id="rId406" Type="http://schemas.openxmlformats.org/officeDocument/2006/relationships/hyperlink" Target="https://i.ibb.co/DznB5q4/Itau.png" TargetMode="External"/><Relationship Id="rId407" Type="http://schemas.openxmlformats.org/officeDocument/2006/relationships/hyperlink" Target="https://i.ibb.co/DznB5q4/Itau.png" TargetMode="External"/><Relationship Id="rId408" Type="http://schemas.openxmlformats.org/officeDocument/2006/relationships/hyperlink" Target="https://i.ibb.co/DznB5q4/Itau.png" TargetMode="External"/><Relationship Id="rId409" Type="http://schemas.openxmlformats.org/officeDocument/2006/relationships/hyperlink" Target="https://i.ibb.co/DznB5q4/Itau.png" TargetMode="External"/><Relationship Id="rId410" Type="http://schemas.openxmlformats.org/officeDocument/2006/relationships/hyperlink" Target="https://i.ibb.co/DznB5q4/Itau.png" TargetMode="External"/><Relationship Id="rId411" Type="http://schemas.openxmlformats.org/officeDocument/2006/relationships/hyperlink" Target="https://i.ibb.co/DznB5q4/Itau.png" TargetMode="External"/><Relationship Id="rId412" Type="http://schemas.openxmlformats.org/officeDocument/2006/relationships/hyperlink" Target="https://i.ibb.co/DznB5q4/Itau.png" TargetMode="External"/><Relationship Id="rId413" Type="http://schemas.openxmlformats.org/officeDocument/2006/relationships/hyperlink" Target="https://i.ibb.co/DznB5q4/Itau.png" TargetMode="External"/><Relationship Id="rId414" Type="http://schemas.openxmlformats.org/officeDocument/2006/relationships/hyperlink" Target="https://i.ibb.co/DznB5q4/Itau.png" TargetMode="External"/><Relationship Id="rId415" Type="http://schemas.openxmlformats.org/officeDocument/2006/relationships/hyperlink" Target="https://i.ibb.co/DznB5q4/Itau.png" TargetMode="External"/><Relationship Id="rId416" Type="http://schemas.openxmlformats.org/officeDocument/2006/relationships/hyperlink" Target="https://i.ibb.co/DznB5q4/Itau.png" TargetMode="External"/><Relationship Id="rId417" Type="http://schemas.openxmlformats.org/officeDocument/2006/relationships/hyperlink" Target="https://i.ibb.co/DznB5q4/Itau.png" TargetMode="External"/><Relationship Id="rId418" Type="http://schemas.openxmlformats.org/officeDocument/2006/relationships/hyperlink" Target="https://i.ibb.co/DznB5q4/Itau.png" TargetMode="External"/><Relationship Id="rId419" Type="http://schemas.openxmlformats.org/officeDocument/2006/relationships/hyperlink" Target="https://i.ibb.co/DznB5q4/Itau.png" TargetMode="External"/><Relationship Id="rId420" Type="http://schemas.openxmlformats.org/officeDocument/2006/relationships/hyperlink" Target="https://i.ibb.co/DznB5q4/Itau.png" TargetMode="External"/><Relationship Id="rId421" Type="http://schemas.openxmlformats.org/officeDocument/2006/relationships/hyperlink" Target="https://i.ibb.co/DznB5q4/Itau.png" TargetMode="External"/><Relationship Id="rId422" Type="http://schemas.openxmlformats.org/officeDocument/2006/relationships/hyperlink" Target="https://i.ibb.co/DznB5q4/Itau.png" TargetMode="External"/><Relationship Id="rId423" Type="http://schemas.openxmlformats.org/officeDocument/2006/relationships/hyperlink" Target="https://i.ibb.co/DznB5q4/Itau.png" TargetMode="External"/><Relationship Id="rId424" Type="http://schemas.openxmlformats.org/officeDocument/2006/relationships/hyperlink" Target="https://i.ibb.co/DznB5q4/Itau.png" TargetMode="External"/><Relationship Id="rId425" Type="http://schemas.openxmlformats.org/officeDocument/2006/relationships/hyperlink" Target="https://i.ibb.co/DznB5q4/Itau.png" TargetMode="External"/><Relationship Id="rId426" Type="http://schemas.openxmlformats.org/officeDocument/2006/relationships/hyperlink" Target="https://i.ibb.co/DznB5q4/Itau.png" TargetMode="External"/><Relationship Id="rId427" Type="http://schemas.openxmlformats.org/officeDocument/2006/relationships/hyperlink" Target="https://i.ibb.co/DznB5q4/Itau.png" TargetMode="External"/><Relationship Id="rId428" Type="http://schemas.openxmlformats.org/officeDocument/2006/relationships/hyperlink" Target="https://i.ibb.co/DznB5q4/Itau.png" TargetMode="External"/><Relationship Id="rId429" Type="http://schemas.openxmlformats.org/officeDocument/2006/relationships/hyperlink" Target="https://i.ibb.co/DznB5q4/Itau.png" TargetMode="External"/><Relationship Id="rId430" Type="http://schemas.openxmlformats.org/officeDocument/2006/relationships/hyperlink" Target="https://i.ibb.co/DznB5q4/Itau.png" TargetMode="External"/><Relationship Id="rId431" Type="http://schemas.openxmlformats.org/officeDocument/2006/relationships/hyperlink" Target="https://i.ibb.co/DznB5q4/Itau.png" TargetMode="External"/><Relationship Id="rId432" Type="http://schemas.openxmlformats.org/officeDocument/2006/relationships/hyperlink" Target="https://i.ibb.co/DznB5q4/Itau.png" TargetMode="External"/><Relationship Id="rId433" Type="http://schemas.openxmlformats.org/officeDocument/2006/relationships/hyperlink" Target="https://i.ibb.co/DznB5q4/Itau.png" TargetMode="External"/><Relationship Id="rId434" Type="http://schemas.openxmlformats.org/officeDocument/2006/relationships/hyperlink" Target="https://i.ibb.co/DznB5q4/Itau.png" TargetMode="External"/><Relationship Id="rId435" Type="http://schemas.openxmlformats.org/officeDocument/2006/relationships/hyperlink" Target="https://i.ibb.co/DznB5q4/Itau.png" TargetMode="External"/><Relationship Id="rId436" Type="http://schemas.openxmlformats.org/officeDocument/2006/relationships/hyperlink" Target="https://i.ibb.co/DznB5q4/Itau.png" TargetMode="External"/><Relationship Id="rId437" Type="http://schemas.openxmlformats.org/officeDocument/2006/relationships/hyperlink" Target="https://i.ibb.co/DznB5q4/Itau.png" TargetMode="External"/><Relationship Id="rId438" Type="http://schemas.openxmlformats.org/officeDocument/2006/relationships/hyperlink" Target="https://i.ibb.co/DznB5q4/Itau.png" TargetMode="External"/><Relationship Id="rId439" Type="http://schemas.openxmlformats.org/officeDocument/2006/relationships/hyperlink" Target="https://i.ibb.co/DznB5q4/Itau.png" TargetMode="External"/><Relationship Id="rId440" Type="http://schemas.openxmlformats.org/officeDocument/2006/relationships/hyperlink" Target="https://i.ibb.co/DznB5q4/Itau.png" TargetMode="External"/><Relationship Id="rId441" Type="http://schemas.openxmlformats.org/officeDocument/2006/relationships/hyperlink" Target="https://i.ibb.co/DznB5q4/Itau.png" TargetMode="External"/><Relationship Id="rId442" Type="http://schemas.openxmlformats.org/officeDocument/2006/relationships/hyperlink" Target="https://i.ibb.co/DznB5q4/Itau.png" TargetMode="External"/><Relationship Id="rId443" Type="http://schemas.openxmlformats.org/officeDocument/2006/relationships/hyperlink" Target="https://i.ibb.co/DznB5q4/Itau.png" TargetMode="External"/><Relationship Id="rId444" Type="http://schemas.openxmlformats.org/officeDocument/2006/relationships/hyperlink" Target="https://i.ibb.co/DznB5q4/Itau.png" TargetMode="External"/><Relationship Id="rId445" Type="http://schemas.openxmlformats.org/officeDocument/2006/relationships/hyperlink" Target="https://i.ibb.co/DznB5q4/Itau.png" TargetMode="External"/><Relationship Id="rId446" Type="http://schemas.openxmlformats.org/officeDocument/2006/relationships/hyperlink" Target="https://i.ibb.co/DznB5q4/Itau.png" TargetMode="External"/><Relationship Id="rId447" Type="http://schemas.openxmlformats.org/officeDocument/2006/relationships/hyperlink" Target="https://i.ibb.co/DznB5q4/Itau.png" TargetMode="External"/><Relationship Id="rId448" Type="http://schemas.openxmlformats.org/officeDocument/2006/relationships/hyperlink" Target="https://i.ibb.co/DznB5q4/Itau.png" TargetMode="External"/><Relationship Id="rId449" Type="http://schemas.openxmlformats.org/officeDocument/2006/relationships/hyperlink" Target="https://i.ibb.co/DznB5q4/Itau.png" TargetMode="External"/><Relationship Id="rId450" Type="http://schemas.openxmlformats.org/officeDocument/2006/relationships/hyperlink" Target="https://i.ibb.co/DznB5q4/Itau.png" TargetMode="External"/><Relationship Id="rId451" Type="http://schemas.openxmlformats.org/officeDocument/2006/relationships/hyperlink" Target="https://i.ibb.co/DznB5q4/Itau.png" TargetMode="External"/><Relationship Id="rId452" Type="http://schemas.openxmlformats.org/officeDocument/2006/relationships/hyperlink" Target="https://i.ibb.co/DznB5q4/Itau.png" TargetMode="External"/><Relationship Id="rId453" Type="http://schemas.openxmlformats.org/officeDocument/2006/relationships/hyperlink" Target="https://i.ibb.co/DznB5q4/Itau.png" TargetMode="External"/><Relationship Id="rId454" Type="http://schemas.openxmlformats.org/officeDocument/2006/relationships/hyperlink" Target="https://i.ibb.co/DznB5q4/Itau.png" TargetMode="External"/><Relationship Id="rId455" Type="http://schemas.openxmlformats.org/officeDocument/2006/relationships/hyperlink" Target="https://i.ibb.co/DznB5q4/Itau.png" TargetMode="External"/><Relationship Id="rId456" Type="http://schemas.openxmlformats.org/officeDocument/2006/relationships/hyperlink" Target="https://i.ibb.co/DznB5q4/Itau.png" TargetMode="External"/><Relationship Id="rId457" Type="http://schemas.openxmlformats.org/officeDocument/2006/relationships/hyperlink" Target="https://i.ibb.co/DznB5q4/Itau.png" TargetMode="External"/><Relationship Id="rId458" Type="http://schemas.openxmlformats.org/officeDocument/2006/relationships/hyperlink" Target="https://i.ibb.co/DznB5q4/Itau.png" TargetMode="External"/><Relationship Id="rId459" Type="http://schemas.openxmlformats.org/officeDocument/2006/relationships/hyperlink" Target="https://i.ibb.co/DznB5q4/Itau.png" TargetMode="External"/><Relationship Id="rId460" Type="http://schemas.openxmlformats.org/officeDocument/2006/relationships/hyperlink" Target="https://i.ibb.co/DznB5q4/Itau.png" TargetMode="External"/><Relationship Id="rId461" Type="http://schemas.openxmlformats.org/officeDocument/2006/relationships/hyperlink" Target="https://i.ibb.co/DznB5q4/Itau.png" TargetMode="External"/><Relationship Id="rId462" Type="http://schemas.openxmlformats.org/officeDocument/2006/relationships/hyperlink" Target="https://i.ibb.co/DznB5q4/Itau.png" TargetMode="External"/><Relationship Id="rId463" Type="http://schemas.openxmlformats.org/officeDocument/2006/relationships/hyperlink" Target="https://i.ibb.co/DznB5q4/Itau.png" TargetMode="External"/><Relationship Id="rId464" Type="http://schemas.openxmlformats.org/officeDocument/2006/relationships/hyperlink" Target="https://i.ibb.co/DznB5q4/Itau.png" TargetMode="External"/><Relationship Id="rId465" Type="http://schemas.openxmlformats.org/officeDocument/2006/relationships/hyperlink" Target="https://i.ibb.co/DznB5q4/Itau.png" TargetMode="External"/><Relationship Id="rId466" Type="http://schemas.openxmlformats.org/officeDocument/2006/relationships/hyperlink" Target="https://i.ibb.co/DznB5q4/Itau.png" TargetMode="External"/><Relationship Id="rId467" Type="http://schemas.openxmlformats.org/officeDocument/2006/relationships/hyperlink" Target="https://i.ibb.co/DznB5q4/Itau.png" TargetMode="External"/><Relationship Id="rId468" Type="http://schemas.openxmlformats.org/officeDocument/2006/relationships/hyperlink" Target="https://i.ibb.co/DznB5q4/Itau.png" TargetMode="External"/><Relationship Id="rId469" Type="http://schemas.openxmlformats.org/officeDocument/2006/relationships/hyperlink" Target="https://i.ibb.co/DznB5q4/Itau.png" TargetMode="External"/><Relationship Id="rId470" Type="http://schemas.openxmlformats.org/officeDocument/2006/relationships/hyperlink" Target="https://i.ibb.co/DznB5q4/Itau.png" TargetMode="External"/><Relationship Id="rId471" Type="http://schemas.openxmlformats.org/officeDocument/2006/relationships/hyperlink" Target="https://i.ibb.co/DznB5q4/Itau.png" TargetMode="External"/><Relationship Id="rId472" Type="http://schemas.openxmlformats.org/officeDocument/2006/relationships/hyperlink" Target="https://i.ibb.co/DznB5q4/Itau.png" TargetMode="External"/><Relationship Id="rId473" Type="http://schemas.openxmlformats.org/officeDocument/2006/relationships/hyperlink" Target="https://i.ibb.co/DznB5q4/Itau.png" TargetMode="External"/><Relationship Id="rId474" Type="http://schemas.openxmlformats.org/officeDocument/2006/relationships/hyperlink" Target="https://i.ibb.co/DznB5q4/Itau.png" TargetMode="External"/><Relationship Id="rId475" Type="http://schemas.openxmlformats.org/officeDocument/2006/relationships/hyperlink" Target="https://i.ibb.co/DznB5q4/Itau.png" TargetMode="External"/><Relationship Id="rId476" Type="http://schemas.openxmlformats.org/officeDocument/2006/relationships/hyperlink" Target="https://i.ibb.co/DznB5q4/Itau.png" TargetMode="External"/><Relationship Id="rId477" Type="http://schemas.openxmlformats.org/officeDocument/2006/relationships/hyperlink" Target="https://i.ibb.co/DznB5q4/Itau.png" TargetMode="External"/><Relationship Id="rId478" Type="http://schemas.openxmlformats.org/officeDocument/2006/relationships/hyperlink" Target="https://i.ibb.co/DznB5q4/Itau.png" TargetMode="External"/><Relationship Id="rId479" Type="http://schemas.openxmlformats.org/officeDocument/2006/relationships/hyperlink" Target="https://i.ibb.co/DznB5q4/Itau.png" TargetMode="External"/><Relationship Id="rId480" Type="http://schemas.openxmlformats.org/officeDocument/2006/relationships/hyperlink" Target="https://i.ibb.co/DznB5q4/Itau.png" TargetMode="External"/><Relationship Id="rId481" Type="http://schemas.openxmlformats.org/officeDocument/2006/relationships/hyperlink" Target="https://i.ibb.co/DznB5q4/Itau.png" TargetMode="External"/><Relationship Id="rId482" Type="http://schemas.openxmlformats.org/officeDocument/2006/relationships/hyperlink" Target="https://i.ibb.co/DznB5q4/Itau.png" TargetMode="External"/><Relationship Id="rId483" Type="http://schemas.openxmlformats.org/officeDocument/2006/relationships/hyperlink" Target="https://i.ibb.co/DznB5q4/Itau.png" TargetMode="External"/><Relationship Id="rId484" Type="http://schemas.openxmlformats.org/officeDocument/2006/relationships/hyperlink" Target="https://i.ibb.co/DznB5q4/Itau.png" TargetMode="External"/><Relationship Id="rId485" Type="http://schemas.openxmlformats.org/officeDocument/2006/relationships/hyperlink" Target="https://i.ibb.co/DznB5q4/Itau.png" TargetMode="External"/><Relationship Id="rId486" Type="http://schemas.openxmlformats.org/officeDocument/2006/relationships/hyperlink" Target="https://i.ibb.co/DznB5q4/Itau.png" TargetMode="External"/><Relationship Id="rId487" Type="http://schemas.openxmlformats.org/officeDocument/2006/relationships/hyperlink" Target="https://i.ibb.co/DznB5q4/Itau.png" TargetMode="External"/><Relationship Id="rId488" Type="http://schemas.openxmlformats.org/officeDocument/2006/relationships/hyperlink" Target="https://i.ibb.co/DznB5q4/Itau.png" TargetMode="External"/><Relationship Id="rId489" Type="http://schemas.openxmlformats.org/officeDocument/2006/relationships/hyperlink" Target="https://i.ibb.co/DznB5q4/Itau.png" TargetMode="External"/><Relationship Id="rId490" Type="http://schemas.openxmlformats.org/officeDocument/2006/relationships/hyperlink" Target="https://i.ibb.co/DznB5q4/Itau.png" TargetMode="External"/><Relationship Id="rId491" Type="http://schemas.openxmlformats.org/officeDocument/2006/relationships/hyperlink" Target="https://i.ibb.co/DznB5q4/Itau.png" TargetMode="External"/><Relationship Id="rId492" Type="http://schemas.openxmlformats.org/officeDocument/2006/relationships/hyperlink" Target="https://i.ibb.co/DznB5q4/Itau.png" TargetMode="External"/><Relationship Id="rId493" Type="http://schemas.openxmlformats.org/officeDocument/2006/relationships/hyperlink" Target="https://i.ibb.co/DznB5q4/Itau.png" TargetMode="External"/><Relationship Id="rId494" Type="http://schemas.openxmlformats.org/officeDocument/2006/relationships/hyperlink" Target="https://i.ibb.co/DznB5q4/Itau.png" TargetMode="External"/><Relationship Id="rId495" Type="http://schemas.openxmlformats.org/officeDocument/2006/relationships/hyperlink" Target="https://i.ibb.co/DznB5q4/Itau.png" TargetMode="External"/><Relationship Id="rId496" Type="http://schemas.openxmlformats.org/officeDocument/2006/relationships/hyperlink" Target="https://i.ibb.co/DznB5q4/Itau.png" TargetMode="External"/><Relationship Id="rId497" Type="http://schemas.openxmlformats.org/officeDocument/2006/relationships/hyperlink" Target="https://i.ibb.co/DznB5q4/Itau.png" TargetMode="External"/><Relationship Id="rId498" Type="http://schemas.openxmlformats.org/officeDocument/2006/relationships/hyperlink" Target="https://i.ibb.co/DznB5q4/Itau.png" TargetMode="External"/><Relationship Id="rId499" Type="http://schemas.openxmlformats.org/officeDocument/2006/relationships/hyperlink" Target="https://i.ibb.co/DznB5q4/Itau.png" TargetMode="External"/><Relationship Id="rId500" Type="http://schemas.openxmlformats.org/officeDocument/2006/relationships/hyperlink" Target="https://i.ibb.co/DznB5q4/Itau.png" TargetMode="External"/><Relationship Id="rId501" Type="http://schemas.openxmlformats.org/officeDocument/2006/relationships/hyperlink" Target="https://i.ibb.co/DznB5q4/Itau.png" TargetMode="External"/><Relationship Id="rId502" Type="http://schemas.openxmlformats.org/officeDocument/2006/relationships/hyperlink" Target="https://i.ibb.co/DznB5q4/Itau.png" TargetMode="External"/><Relationship Id="rId503" Type="http://schemas.openxmlformats.org/officeDocument/2006/relationships/hyperlink" Target="https://i.ibb.co/DznB5q4/Itau.png" TargetMode="External"/><Relationship Id="rId504" Type="http://schemas.openxmlformats.org/officeDocument/2006/relationships/hyperlink" Target="https://i.ibb.co/DznB5q4/Itau.png" TargetMode="External"/><Relationship Id="rId505" Type="http://schemas.openxmlformats.org/officeDocument/2006/relationships/hyperlink" Target="https://i.ibb.co/DznB5q4/Itau.png" TargetMode="External"/><Relationship Id="rId506" Type="http://schemas.openxmlformats.org/officeDocument/2006/relationships/hyperlink" Target="https://i.ibb.co/DznB5q4/Itau.png" TargetMode="External"/><Relationship Id="rId507" Type="http://schemas.openxmlformats.org/officeDocument/2006/relationships/hyperlink" Target="https://i.ibb.co/DznB5q4/Itau.png" TargetMode="External"/><Relationship Id="rId508" Type="http://schemas.openxmlformats.org/officeDocument/2006/relationships/hyperlink" Target="https://i.ibb.co/DznB5q4/Itau.png" TargetMode="External"/><Relationship Id="rId509" Type="http://schemas.openxmlformats.org/officeDocument/2006/relationships/hyperlink" Target="https://i.ibb.co/DznB5q4/Itau.png" TargetMode="External"/><Relationship Id="rId510" Type="http://schemas.openxmlformats.org/officeDocument/2006/relationships/hyperlink" Target="https://i.ibb.co/DznB5q4/Itau.png" TargetMode="External"/><Relationship Id="rId511" Type="http://schemas.openxmlformats.org/officeDocument/2006/relationships/hyperlink" Target="https://i.ibb.co/DznB5q4/Itau.png" TargetMode="External"/><Relationship Id="rId512" Type="http://schemas.openxmlformats.org/officeDocument/2006/relationships/hyperlink" Target="https://i.ibb.co/DznB5q4/Itau.png" TargetMode="External"/><Relationship Id="rId513" Type="http://schemas.openxmlformats.org/officeDocument/2006/relationships/hyperlink" Target="https://i.ibb.co/DznB5q4/Itau.png" TargetMode="External"/><Relationship Id="rId514" Type="http://schemas.openxmlformats.org/officeDocument/2006/relationships/hyperlink" Target="https://i.ibb.co/DznB5q4/Itau.png" TargetMode="External"/><Relationship Id="rId515" Type="http://schemas.openxmlformats.org/officeDocument/2006/relationships/hyperlink" Target="https://i.ibb.co/DznB5q4/Itau.png" TargetMode="External"/><Relationship Id="rId516" Type="http://schemas.openxmlformats.org/officeDocument/2006/relationships/hyperlink" Target="https://i.ibb.co/DznB5q4/Itau.png" TargetMode="External"/><Relationship Id="rId517" Type="http://schemas.openxmlformats.org/officeDocument/2006/relationships/hyperlink" Target="https://i.ibb.co/DznB5q4/Itau.png" TargetMode="External"/><Relationship Id="rId518" Type="http://schemas.openxmlformats.org/officeDocument/2006/relationships/hyperlink" Target="https://i.ibb.co/DznB5q4/Itau.png" TargetMode="External"/><Relationship Id="rId519" Type="http://schemas.openxmlformats.org/officeDocument/2006/relationships/hyperlink" Target="https://i.ibb.co/DznB5q4/Itau.png" TargetMode="External"/><Relationship Id="rId520" Type="http://schemas.openxmlformats.org/officeDocument/2006/relationships/hyperlink" Target="https://i.ibb.co/DznB5q4/Itau.png" TargetMode="External"/><Relationship Id="rId521" Type="http://schemas.openxmlformats.org/officeDocument/2006/relationships/hyperlink" Target="https://i.ibb.co/DznB5q4/Itau.png" TargetMode="External"/><Relationship Id="rId522" Type="http://schemas.openxmlformats.org/officeDocument/2006/relationships/hyperlink" Target="https://i.ibb.co/DznB5q4/Itau.png" TargetMode="External"/><Relationship Id="rId523" Type="http://schemas.openxmlformats.org/officeDocument/2006/relationships/hyperlink" Target="https://i.ibb.co/DznB5q4/Itau.png" TargetMode="External"/><Relationship Id="rId524" Type="http://schemas.openxmlformats.org/officeDocument/2006/relationships/hyperlink" Target="https://i.ibb.co/DznB5q4/Itau.png" TargetMode="External"/><Relationship Id="rId525" Type="http://schemas.openxmlformats.org/officeDocument/2006/relationships/hyperlink" Target="https://i.ibb.co/DznB5q4/Itau.png" TargetMode="External"/><Relationship Id="rId526" Type="http://schemas.openxmlformats.org/officeDocument/2006/relationships/hyperlink" Target="https://i.ibb.co/DznB5q4/Itau.png" TargetMode="External"/><Relationship Id="rId527" Type="http://schemas.openxmlformats.org/officeDocument/2006/relationships/hyperlink" Target="https://i.ibb.co/DznB5q4/Itau.png" TargetMode="External"/><Relationship Id="rId528" Type="http://schemas.openxmlformats.org/officeDocument/2006/relationships/hyperlink" Target="https://i.ibb.co/DznB5q4/Itau.png" TargetMode="External"/><Relationship Id="rId529" Type="http://schemas.openxmlformats.org/officeDocument/2006/relationships/hyperlink" Target="https://i.ibb.co/DznB5q4/Itau.png" TargetMode="External"/><Relationship Id="rId530" Type="http://schemas.openxmlformats.org/officeDocument/2006/relationships/hyperlink" Target="https://i.ibb.co/DznB5q4/Itau.png" TargetMode="External"/><Relationship Id="rId531" Type="http://schemas.openxmlformats.org/officeDocument/2006/relationships/hyperlink" Target="https://i.ibb.co/DznB5q4/Itau.png" TargetMode="External"/><Relationship Id="rId532" Type="http://schemas.openxmlformats.org/officeDocument/2006/relationships/hyperlink" Target="https://i.ibb.co/DznB5q4/Itau.png" TargetMode="External"/><Relationship Id="rId533" Type="http://schemas.openxmlformats.org/officeDocument/2006/relationships/hyperlink" Target="https://i.ibb.co/DznB5q4/Itau.png" TargetMode="External"/><Relationship Id="rId534" Type="http://schemas.openxmlformats.org/officeDocument/2006/relationships/hyperlink" Target="https://i.ibb.co/DznB5q4/Itau.png" TargetMode="External"/><Relationship Id="rId535" Type="http://schemas.openxmlformats.org/officeDocument/2006/relationships/hyperlink" Target="https://i.ibb.co/DznB5q4/Itau.png" TargetMode="External"/><Relationship Id="rId536" Type="http://schemas.openxmlformats.org/officeDocument/2006/relationships/hyperlink" Target="https://i.ibb.co/DznB5q4/Itau.png" TargetMode="External"/><Relationship Id="rId537" Type="http://schemas.openxmlformats.org/officeDocument/2006/relationships/hyperlink" Target="https://i.ibb.co/DznB5q4/Itau.png" TargetMode="External"/><Relationship Id="rId538" Type="http://schemas.openxmlformats.org/officeDocument/2006/relationships/hyperlink" Target="https://i.ibb.co/DznB5q4/Itau.png" TargetMode="External"/><Relationship Id="rId539" Type="http://schemas.openxmlformats.org/officeDocument/2006/relationships/hyperlink" Target="https://i.ibb.co/DznB5q4/Itau.png" TargetMode="External"/><Relationship Id="rId540" Type="http://schemas.openxmlformats.org/officeDocument/2006/relationships/hyperlink" Target="https://i.ibb.co/DznB5q4/Itau.png" TargetMode="External"/><Relationship Id="rId541" Type="http://schemas.openxmlformats.org/officeDocument/2006/relationships/hyperlink" Target="https://i.ibb.co/DznB5q4/Itau.png" TargetMode="External"/><Relationship Id="rId542" Type="http://schemas.openxmlformats.org/officeDocument/2006/relationships/hyperlink" Target="https://i.ibb.co/DznB5q4/Itau.png" TargetMode="External"/><Relationship Id="rId543" Type="http://schemas.openxmlformats.org/officeDocument/2006/relationships/hyperlink" Target="https://i.ibb.co/DznB5q4/Itau.png" TargetMode="External"/><Relationship Id="rId544" Type="http://schemas.openxmlformats.org/officeDocument/2006/relationships/hyperlink" Target="https://i.ibb.co/DznB5q4/Itau.png" TargetMode="External"/><Relationship Id="rId545" Type="http://schemas.openxmlformats.org/officeDocument/2006/relationships/hyperlink" Target="https://i.ibb.co/DznB5q4/Itau.png" TargetMode="External"/><Relationship Id="rId546" Type="http://schemas.openxmlformats.org/officeDocument/2006/relationships/hyperlink" Target="https://i.ibb.co/DznB5q4/Itau.png" TargetMode="External"/><Relationship Id="rId547" Type="http://schemas.openxmlformats.org/officeDocument/2006/relationships/hyperlink" Target="https://i.ibb.co/DznB5q4/Itau.png" TargetMode="External"/><Relationship Id="rId548" Type="http://schemas.openxmlformats.org/officeDocument/2006/relationships/hyperlink" Target="https://i.ibb.co/DznB5q4/Itau.png" TargetMode="External"/><Relationship Id="rId549" Type="http://schemas.openxmlformats.org/officeDocument/2006/relationships/hyperlink" Target="https://i.ibb.co/DznB5q4/Itau.png" TargetMode="External"/><Relationship Id="rId550" Type="http://schemas.openxmlformats.org/officeDocument/2006/relationships/hyperlink" Target="https://i.ibb.co/DznB5q4/Itau.png" TargetMode="External"/><Relationship Id="rId551" Type="http://schemas.openxmlformats.org/officeDocument/2006/relationships/hyperlink" Target="https://i.ibb.co/DznB5q4/Itau.png" TargetMode="External"/><Relationship Id="rId552" Type="http://schemas.openxmlformats.org/officeDocument/2006/relationships/hyperlink" Target="https://i.ibb.co/DznB5q4/Itau.png" TargetMode="External"/><Relationship Id="rId553" Type="http://schemas.openxmlformats.org/officeDocument/2006/relationships/hyperlink" Target="https://i.ibb.co/DznB5q4/Itau.png" TargetMode="External"/><Relationship Id="rId554" Type="http://schemas.openxmlformats.org/officeDocument/2006/relationships/hyperlink" Target="https://i.ibb.co/DznB5q4/Itau.png" TargetMode="External"/><Relationship Id="rId555" Type="http://schemas.openxmlformats.org/officeDocument/2006/relationships/hyperlink" Target="https://i.ibb.co/DznB5q4/Itau.png" TargetMode="External"/><Relationship Id="rId556" Type="http://schemas.openxmlformats.org/officeDocument/2006/relationships/hyperlink" Target="https://i.ibb.co/DznB5q4/Itau.png" TargetMode="External"/><Relationship Id="rId557" Type="http://schemas.openxmlformats.org/officeDocument/2006/relationships/hyperlink" Target="https://i.ibb.co/DznB5q4/Itau.png" TargetMode="External"/><Relationship Id="rId558" Type="http://schemas.openxmlformats.org/officeDocument/2006/relationships/hyperlink" Target="https://i.ibb.co/DznB5q4/Itau.png" TargetMode="External"/><Relationship Id="rId559" Type="http://schemas.openxmlformats.org/officeDocument/2006/relationships/hyperlink" Target="https://i.ibb.co/DznB5q4/Itau.png" TargetMode="External"/><Relationship Id="rId560" Type="http://schemas.openxmlformats.org/officeDocument/2006/relationships/hyperlink" Target="https://i.ibb.co/DznB5q4/Itau.png" TargetMode="External"/><Relationship Id="rId561" Type="http://schemas.openxmlformats.org/officeDocument/2006/relationships/hyperlink" Target="https://i.ibb.co/DznB5q4/Itau.png" TargetMode="External"/><Relationship Id="rId562" Type="http://schemas.openxmlformats.org/officeDocument/2006/relationships/hyperlink" Target="https://i.ibb.co/DznB5q4/Itau.png" TargetMode="External"/><Relationship Id="rId563" Type="http://schemas.openxmlformats.org/officeDocument/2006/relationships/hyperlink" Target="https://i.ibb.co/DznB5q4/Itau.png" TargetMode="External"/><Relationship Id="rId564" Type="http://schemas.openxmlformats.org/officeDocument/2006/relationships/hyperlink" Target="https://i.ibb.co/DznB5q4/Itau.png" TargetMode="External"/><Relationship Id="rId565" Type="http://schemas.openxmlformats.org/officeDocument/2006/relationships/hyperlink" Target="https://i.ibb.co/DznB5q4/Itau.png" TargetMode="External"/><Relationship Id="rId566" Type="http://schemas.openxmlformats.org/officeDocument/2006/relationships/hyperlink" Target="https://i.ibb.co/DznB5q4/Itau.png" TargetMode="External"/><Relationship Id="rId567" Type="http://schemas.openxmlformats.org/officeDocument/2006/relationships/hyperlink" Target="https://i.ibb.co/DznB5q4/Itau.png" TargetMode="External"/><Relationship Id="rId568" Type="http://schemas.openxmlformats.org/officeDocument/2006/relationships/hyperlink" Target="https://i.ibb.co/DznB5q4/Itau.png" TargetMode="External"/><Relationship Id="rId569" Type="http://schemas.openxmlformats.org/officeDocument/2006/relationships/hyperlink" Target="https://i.ibb.co/DznB5q4/Itau.png" TargetMode="External"/><Relationship Id="rId570" Type="http://schemas.openxmlformats.org/officeDocument/2006/relationships/hyperlink" Target="https://i.ibb.co/DznB5q4/Itau.png" TargetMode="External"/><Relationship Id="rId571" Type="http://schemas.openxmlformats.org/officeDocument/2006/relationships/hyperlink" Target="https://i.ibb.co/DznB5q4/Itau.png" TargetMode="External"/><Relationship Id="rId572" Type="http://schemas.openxmlformats.org/officeDocument/2006/relationships/hyperlink" Target="https://i.ibb.co/DznB5q4/Itau.png" TargetMode="External"/><Relationship Id="rId573" Type="http://schemas.openxmlformats.org/officeDocument/2006/relationships/hyperlink" Target="https://i.ibb.co/DznB5q4/Itau.png" TargetMode="External"/><Relationship Id="rId574" Type="http://schemas.openxmlformats.org/officeDocument/2006/relationships/hyperlink" Target="https://i.ibb.co/DznB5q4/Itau.png" TargetMode="External"/><Relationship Id="rId575" Type="http://schemas.openxmlformats.org/officeDocument/2006/relationships/hyperlink" Target="https://i.ibb.co/DznB5q4/Itau.png" TargetMode="External"/><Relationship Id="rId576" Type="http://schemas.openxmlformats.org/officeDocument/2006/relationships/hyperlink" Target="https://i.ibb.co/DznB5q4/Itau.png" TargetMode="External"/><Relationship Id="rId577" Type="http://schemas.openxmlformats.org/officeDocument/2006/relationships/hyperlink" Target="https://i.ibb.co/DznB5q4/Itau.png" TargetMode="External"/><Relationship Id="rId578" Type="http://schemas.openxmlformats.org/officeDocument/2006/relationships/hyperlink" Target="https://i.ibb.co/DznB5q4/Itau.png" TargetMode="External"/><Relationship Id="rId579" Type="http://schemas.openxmlformats.org/officeDocument/2006/relationships/hyperlink" Target="https://i.ibb.co/DznB5q4/Itau.png" TargetMode="External"/><Relationship Id="rId580" Type="http://schemas.openxmlformats.org/officeDocument/2006/relationships/hyperlink" Target="https://i.ibb.co/DznB5q4/Itau.png" TargetMode="External"/><Relationship Id="rId581" Type="http://schemas.openxmlformats.org/officeDocument/2006/relationships/hyperlink" Target="https://i.ibb.co/DznB5q4/Itau.png" TargetMode="External"/><Relationship Id="rId582" Type="http://schemas.openxmlformats.org/officeDocument/2006/relationships/hyperlink" Target="https://i.ibb.co/DznB5q4/Itau.png" TargetMode="External"/><Relationship Id="rId583" Type="http://schemas.openxmlformats.org/officeDocument/2006/relationships/hyperlink" Target="https://i.ibb.co/DznB5q4/Itau.png" TargetMode="External"/><Relationship Id="rId584" Type="http://schemas.openxmlformats.org/officeDocument/2006/relationships/hyperlink" Target="https://i.ibb.co/DznB5q4/Itau.png" TargetMode="External"/><Relationship Id="rId585" Type="http://schemas.openxmlformats.org/officeDocument/2006/relationships/hyperlink" Target="https://i.ibb.co/DznB5q4/Itau.png" TargetMode="External"/><Relationship Id="rId586" Type="http://schemas.openxmlformats.org/officeDocument/2006/relationships/hyperlink" Target="https://i.ibb.co/DznB5q4/Itau.png" TargetMode="External"/><Relationship Id="rId587" Type="http://schemas.openxmlformats.org/officeDocument/2006/relationships/hyperlink" Target="https://i.ibb.co/DznB5q4/Itau.png" TargetMode="External"/><Relationship Id="rId588" Type="http://schemas.openxmlformats.org/officeDocument/2006/relationships/hyperlink" Target="https://i.ibb.co/DznB5q4/Itau.png" TargetMode="External"/><Relationship Id="rId589" Type="http://schemas.openxmlformats.org/officeDocument/2006/relationships/hyperlink" Target="https://i.ibb.co/DznB5q4/Itau.png" TargetMode="External"/><Relationship Id="rId590" Type="http://schemas.openxmlformats.org/officeDocument/2006/relationships/hyperlink" Target="https://i.ibb.co/DznB5q4/Itau.png" TargetMode="External"/><Relationship Id="rId591" Type="http://schemas.openxmlformats.org/officeDocument/2006/relationships/hyperlink" Target="https://i.ibb.co/DznB5q4/Itau.png" TargetMode="External"/><Relationship Id="rId592" Type="http://schemas.openxmlformats.org/officeDocument/2006/relationships/hyperlink" Target="https://i.ibb.co/DznB5q4/Itau.png" TargetMode="External"/><Relationship Id="rId593" Type="http://schemas.openxmlformats.org/officeDocument/2006/relationships/hyperlink" Target="https://i.ibb.co/DznB5q4/Itau.png" TargetMode="External"/><Relationship Id="rId594" Type="http://schemas.openxmlformats.org/officeDocument/2006/relationships/hyperlink" Target="https://i.ibb.co/DznB5q4/Itau.png" TargetMode="External"/><Relationship Id="rId595" Type="http://schemas.openxmlformats.org/officeDocument/2006/relationships/hyperlink" Target="https://i.ibb.co/DznB5q4/Itau.png" TargetMode="External"/><Relationship Id="rId596" Type="http://schemas.openxmlformats.org/officeDocument/2006/relationships/hyperlink" Target="https://i.ibb.co/DznB5q4/Itau.png" TargetMode="External"/><Relationship Id="rId597" Type="http://schemas.openxmlformats.org/officeDocument/2006/relationships/hyperlink" Target="https://i.ibb.co/DznB5q4/Itau.png" TargetMode="External"/><Relationship Id="rId598" Type="http://schemas.openxmlformats.org/officeDocument/2006/relationships/hyperlink" Target="https://i.ibb.co/DznB5q4/Itau.png" TargetMode="External"/><Relationship Id="rId599" Type="http://schemas.openxmlformats.org/officeDocument/2006/relationships/hyperlink" Target="https://i.ibb.co/DznB5q4/Itau.png" TargetMode="External"/><Relationship Id="rId600" Type="http://schemas.openxmlformats.org/officeDocument/2006/relationships/hyperlink" Target="https://i.ibb.co/DznB5q4/Itau.png" TargetMode="External"/><Relationship Id="rId601" Type="http://schemas.openxmlformats.org/officeDocument/2006/relationships/hyperlink" Target="https://i.ibb.co/DznB5q4/Itau.png" TargetMode="External"/><Relationship Id="rId602" Type="http://schemas.openxmlformats.org/officeDocument/2006/relationships/hyperlink" Target="https://i.ibb.co/DznB5q4/Itau.png" TargetMode="External"/><Relationship Id="rId603" Type="http://schemas.openxmlformats.org/officeDocument/2006/relationships/hyperlink" Target="https://i.ibb.co/DznB5q4/Itau.png" TargetMode="External"/><Relationship Id="rId604" Type="http://schemas.openxmlformats.org/officeDocument/2006/relationships/hyperlink" Target="https://i.ibb.co/DznB5q4/Itau.png" TargetMode="External"/><Relationship Id="rId605" Type="http://schemas.openxmlformats.org/officeDocument/2006/relationships/hyperlink" Target="https://i.ibb.co/DznB5q4/Itau.png" TargetMode="External"/><Relationship Id="rId606" Type="http://schemas.openxmlformats.org/officeDocument/2006/relationships/hyperlink" Target="https://i.ibb.co/DznB5q4/Itau.png" TargetMode="External"/><Relationship Id="rId607" Type="http://schemas.openxmlformats.org/officeDocument/2006/relationships/hyperlink" Target="https://i.ibb.co/DznB5q4/Itau.png" TargetMode="External"/><Relationship Id="rId608" Type="http://schemas.openxmlformats.org/officeDocument/2006/relationships/hyperlink" Target="https://i.ibb.co/DznB5q4/Itau.png" TargetMode="External"/><Relationship Id="rId609" Type="http://schemas.openxmlformats.org/officeDocument/2006/relationships/hyperlink" Target="https://i.ibb.co/DznB5q4/Itau.png" TargetMode="External"/><Relationship Id="rId610" Type="http://schemas.openxmlformats.org/officeDocument/2006/relationships/hyperlink" Target="https://i.ibb.co/DznB5q4/Itau.png" TargetMode="External"/><Relationship Id="rId611" Type="http://schemas.openxmlformats.org/officeDocument/2006/relationships/hyperlink" Target="https://i.ibb.co/DznB5q4/Itau.png" TargetMode="External"/><Relationship Id="rId612" Type="http://schemas.openxmlformats.org/officeDocument/2006/relationships/hyperlink" Target="https://i.ibb.co/DznB5q4/Itau.png" TargetMode="External"/><Relationship Id="rId613" Type="http://schemas.openxmlformats.org/officeDocument/2006/relationships/hyperlink" Target="https://i.ibb.co/DznB5q4/Itau.png" TargetMode="External"/><Relationship Id="rId614" Type="http://schemas.openxmlformats.org/officeDocument/2006/relationships/hyperlink" Target="https://i.ibb.co/DznB5q4/Itau.png" TargetMode="External"/><Relationship Id="rId615" Type="http://schemas.openxmlformats.org/officeDocument/2006/relationships/hyperlink" Target="https://i.ibb.co/DznB5q4/Itau.png" TargetMode="External"/><Relationship Id="rId616" Type="http://schemas.openxmlformats.org/officeDocument/2006/relationships/hyperlink" Target="https://i.ibb.co/DznB5q4/Itau.png" TargetMode="External"/><Relationship Id="rId617" Type="http://schemas.openxmlformats.org/officeDocument/2006/relationships/hyperlink" Target="https://i.ibb.co/DznB5q4/Itau.png" TargetMode="External"/><Relationship Id="rId618" Type="http://schemas.openxmlformats.org/officeDocument/2006/relationships/hyperlink" Target="https://i.ibb.co/DznB5q4/Itau.png" TargetMode="External"/><Relationship Id="rId619" Type="http://schemas.openxmlformats.org/officeDocument/2006/relationships/hyperlink" Target="https://i.ibb.co/DznB5q4/Itau.png" TargetMode="External"/><Relationship Id="rId620" Type="http://schemas.openxmlformats.org/officeDocument/2006/relationships/hyperlink" Target="https://i.ibb.co/DznB5q4/Itau.png" TargetMode="External"/><Relationship Id="rId621" Type="http://schemas.openxmlformats.org/officeDocument/2006/relationships/hyperlink" Target="https://i.ibb.co/DznB5q4/Itau.png" TargetMode="External"/><Relationship Id="rId622" Type="http://schemas.openxmlformats.org/officeDocument/2006/relationships/hyperlink" Target="https://i.ibb.co/DznB5q4/Itau.png" TargetMode="External"/><Relationship Id="rId623" Type="http://schemas.openxmlformats.org/officeDocument/2006/relationships/hyperlink" Target="https://i.ibb.co/DznB5q4/Itau.png" TargetMode="External"/><Relationship Id="rId624" Type="http://schemas.openxmlformats.org/officeDocument/2006/relationships/hyperlink" Target="https://i.ibb.co/DznB5q4/Itau.png" TargetMode="External"/><Relationship Id="rId625" Type="http://schemas.openxmlformats.org/officeDocument/2006/relationships/hyperlink" Target="https://i.ibb.co/DznB5q4/Itau.png" TargetMode="External"/><Relationship Id="rId626" Type="http://schemas.openxmlformats.org/officeDocument/2006/relationships/hyperlink" Target="https://i.ibb.co/DznB5q4/Itau.png" TargetMode="External"/><Relationship Id="rId627" Type="http://schemas.openxmlformats.org/officeDocument/2006/relationships/hyperlink" Target="https://i.ibb.co/DznB5q4/Itau.png" TargetMode="External"/><Relationship Id="rId628" Type="http://schemas.openxmlformats.org/officeDocument/2006/relationships/hyperlink" Target="https://i.ibb.co/DznB5q4/Itau.png" TargetMode="External"/><Relationship Id="rId629" Type="http://schemas.openxmlformats.org/officeDocument/2006/relationships/hyperlink" Target="https://i.ibb.co/DznB5q4/Itau.png" TargetMode="External"/><Relationship Id="rId630" Type="http://schemas.openxmlformats.org/officeDocument/2006/relationships/hyperlink" Target="https://i.ibb.co/DznB5q4/Itau.png" TargetMode="External"/><Relationship Id="rId631" Type="http://schemas.openxmlformats.org/officeDocument/2006/relationships/hyperlink" Target="https://i.ibb.co/DznB5q4/Itau.png" TargetMode="External"/><Relationship Id="rId632" Type="http://schemas.openxmlformats.org/officeDocument/2006/relationships/hyperlink" Target="https://i.ibb.co/DznB5q4/Itau.png" TargetMode="External"/><Relationship Id="rId633" Type="http://schemas.openxmlformats.org/officeDocument/2006/relationships/hyperlink" Target="https://i.ibb.co/DznB5q4/Itau.png" TargetMode="External"/><Relationship Id="rId634" Type="http://schemas.openxmlformats.org/officeDocument/2006/relationships/hyperlink" Target="https://i.ibb.co/DznB5q4/Itau.png" TargetMode="External"/><Relationship Id="rId635" Type="http://schemas.openxmlformats.org/officeDocument/2006/relationships/hyperlink" Target="https://i.ibb.co/DznB5q4/Itau.png" TargetMode="External"/><Relationship Id="rId636" Type="http://schemas.openxmlformats.org/officeDocument/2006/relationships/hyperlink" Target="https://i.ibb.co/DznB5q4/Itau.png" TargetMode="External"/><Relationship Id="rId637" Type="http://schemas.openxmlformats.org/officeDocument/2006/relationships/hyperlink" Target="https://i.ibb.co/DznB5q4/Itau.png" TargetMode="External"/><Relationship Id="rId638" Type="http://schemas.openxmlformats.org/officeDocument/2006/relationships/hyperlink" Target="https://i.ibb.co/DznB5q4/Itau.png" TargetMode="External"/><Relationship Id="rId639" Type="http://schemas.openxmlformats.org/officeDocument/2006/relationships/hyperlink" Target="https://i.ibb.co/DznB5q4/Itau.png" TargetMode="External"/><Relationship Id="rId640" Type="http://schemas.openxmlformats.org/officeDocument/2006/relationships/hyperlink" Target="https://i.ibb.co/DznB5q4/Itau.png" TargetMode="External"/><Relationship Id="rId641" Type="http://schemas.openxmlformats.org/officeDocument/2006/relationships/hyperlink" Target="https://i.ibb.co/DznB5q4/Itau.png" TargetMode="External"/><Relationship Id="rId642" Type="http://schemas.openxmlformats.org/officeDocument/2006/relationships/hyperlink" Target="https://i.ibb.co/DznB5q4/Itau.png" TargetMode="External"/><Relationship Id="rId643" Type="http://schemas.openxmlformats.org/officeDocument/2006/relationships/hyperlink" Target="https://i.ibb.co/DznB5q4/Itau.png" TargetMode="External"/><Relationship Id="rId644" Type="http://schemas.openxmlformats.org/officeDocument/2006/relationships/hyperlink" Target="https://i.ibb.co/DznB5q4/Itau.png" TargetMode="External"/><Relationship Id="rId645" Type="http://schemas.openxmlformats.org/officeDocument/2006/relationships/hyperlink" Target="https://i.ibb.co/DznB5q4/Itau.png" TargetMode="External"/><Relationship Id="rId646" Type="http://schemas.openxmlformats.org/officeDocument/2006/relationships/hyperlink" Target="https://i.ibb.co/DznB5q4/Itau.png" TargetMode="External"/><Relationship Id="rId647" Type="http://schemas.openxmlformats.org/officeDocument/2006/relationships/hyperlink" Target="https://i.ibb.co/DznB5q4/Itau.png" TargetMode="External"/><Relationship Id="rId648" Type="http://schemas.openxmlformats.org/officeDocument/2006/relationships/hyperlink" Target="https://i.ibb.co/DznB5q4/Itau.png" TargetMode="External"/><Relationship Id="rId649" Type="http://schemas.openxmlformats.org/officeDocument/2006/relationships/hyperlink" Target="https://i.ibb.co/DznB5q4/Itau.png" TargetMode="External"/><Relationship Id="rId650" Type="http://schemas.openxmlformats.org/officeDocument/2006/relationships/hyperlink" Target="https://i.ibb.co/DznB5q4/Itau.png" TargetMode="External"/><Relationship Id="rId651" Type="http://schemas.openxmlformats.org/officeDocument/2006/relationships/hyperlink" Target="https://i.ibb.co/DznB5q4/Itau.png" TargetMode="External"/><Relationship Id="rId652" Type="http://schemas.openxmlformats.org/officeDocument/2006/relationships/hyperlink" Target="https://i.ibb.co/DznB5q4/Itau.png" TargetMode="External"/><Relationship Id="rId653" Type="http://schemas.openxmlformats.org/officeDocument/2006/relationships/hyperlink" Target="https://i.ibb.co/DznB5q4/Itau.png" TargetMode="External"/><Relationship Id="rId654" Type="http://schemas.openxmlformats.org/officeDocument/2006/relationships/hyperlink" Target="https://i.ibb.co/DznB5q4/Itau.png" TargetMode="External"/><Relationship Id="rId655" Type="http://schemas.openxmlformats.org/officeDocument/2006/relationships/hyperlink" Target="https://i.ibb.co/DznB5q4/Itau.png" TargetMode="External"/><Relationship Id="rId656" Type="http://schemas.openxmlformats.org/officeDocument/2006/relationships/hyperlink" Target="https://i.ibb.co/DznB5q4/Itau.png" TargetMode="External"/><Relationship Id="rId657" Type="http://schemas.openxmlformats.org/officeDocument/2006/relationships/hyperlink" Target="https://i.ibb.co/DznB5q4/Itau.png" TargetMode="External"/><Relationship Id="rId658" Type="http://schemas.openxmlformats.org/officeDocument/2006/relationships/hyperlink" Target="https://i.ibb.co/DznB5q4/Itau.png" TargetMode="External"/><Relationship Id="rId659" Type="http://schemas.openxmlformats.org/officeDocument/2006/relationships/hyperlink" Target="https://i.ibb.co/DznB5q4/Itau.png" TargetMode="External"/><Relationship Id="rId660" Type="http://schemas.openxmlformats.org/officeDocument/2006/relationships/hyperlink" Target="https://i.ibb.co/DznB5q4/Itau.png" TargetMode="External"/><Relationship Id="rId661" Type="http://schemas.openxmlformats.org/officeDocument/2006/relationships/hyperlink" Target="https://i.ibb.co/DznB5q4/Itau.png" TargetMode="External"/><Relationship Id="rId662" Type="http://schemas.openxmlformats.org/officeDocument/2006/relationships/hyperlink" Target="https://i.ibb.co/DznB5q4/Itau.png" TargetMode="External"/><Relationship Id="rId663" Type="http://schemas.openxmlformats.org/officeDocument/2006/relationships/hyperlink" Target="https://i.ibb.co/DznB5q4/Itau.png" TargetMode="External"/><Relationship Id="rId664" Type="http://schemas.openxmlformats.org/officeDocument/2006/relationships/hyperlink" Target="https://i.ibb.co/DznB5q4/Itau.png" TargetMode="External"/><Relationship Id="rId665" Type="http://schemas.openxmlformats.org/officeDocument/2006/relationships/hyperlink" Target="https://i.ibb.co/DznB5q4/Itau.png" TargetMode="External"/><Relationship Id="rId666" Type="http://schemas.openxmlformats.org/officeDocument/2006/relationships/hyperlink" Target="https://i.ibb.co/DznB5q4/Itau.png" TargetMode="External"/><Relationship Id="rId667" Type="http://schemas.openxmlformats.org/officeDocument/2006/relationships/hyperlink" Target="https://i.ibb.co/DznB5q4/Itau.png" TargetMode="External"/><Relationship Id="rId668" Type="http://schemas.openxmlformats.org/officeDocument/2006/relationships/hyperlink" Target="https://i.ibb.co/DznB5q4/Itau.png" TargetMode="External"/><Relationship Id="rId669" Type="http://schemas.openxmlformats.org/officeDocument/2006/relationships/hyperlink" Target="https://i.ibb.co/DznB5q4/Itau.png" TargetMode="External"/><Relationship Id="rId670" Type="http://schemas.openxmlformats.org/officeDocument/2006/relationships/hyperlink" Target="https://i.ibb.co/DznB5q4/Itau.png" TargetMode="External"/><Relationship Id="rId671" Type="http://schemas.openxmlformats.org/officeDocument/2006/relationships/hyperlink" Target="https://i.ibb.co/DznB5q4/Itau.png" TargetMode="External"/><Relationship Id="rId672" Type="http://schemas.openxmlformats.org/officeDocument/2006/relationships/hyperlink" Target="https://i.ibb.co/DznB5q4/Itau.png" TargetMode="External"/><Relationship Id="rId673" Type="http://schemas.openxmlformats.org/officeDocument/2006/relationships/hyperlink" Target="https://i.ibb.co/DznB5q4/Itau.png" TargetMode="External"/><Relationship Id="rId674" Type="http://schemas.openxmlformats.org/officeDocument/2006/relationships/hyperlink" Target="https://i.ibb.co/DznB5q4/Itau.png" TargetMode="External"/><Relationship Id="rId675" Type="http://schemas.openxmlformats.org/officeDocument/2006/relationships/hyperlink" Target="https://i.ibb.co/DznB5q4/Itau.png" TargetMode="External"/><Relationship Id="rId676" Type="http://schemas.openxmlformats.org/officeDocument/2006/relationships/hyperlink" Target="https://i.ibb.co/DznB5q4/Itau.png" TargetMode="External"/><Relationship Id="rId677" Type="http://schemas.openxmlformats.org/officeDocument/2006/relationships/hyperlink" Target="https://i.ibb.co/DznB5q4/Itau.png" TargetMode="External"/><Relationship Id="rId678" Type="http://schemas.openxmlformats.org/officeDocument/2006/relationships/hyperlink" Target="https://i.ibb.co/DznB5q4/Itau.png" TargetMode="External"/><Relationship Id="rId679" Type="http://schemas.openxmlformats.org/officeDocument/2006/relationships/hyperlink" Target="https://i.ibb.co/DznB5q4/Itau.png" TargetMode="External"/><Relationship Id="rId680" Type="http://schemas.openxmlformats.org/officeDocument/2006/relationships/hyperlink" Target="https://i.ibb.co/DznB5q4/Itau.png" TargetMode="External"/><Relationship Id="rId681" Type="http://schemas.openxmlformats.org/officeDocument/2006/relationships/hyperlink" Target="https://i.ibb.co/DznB5q4/Itau.png" TargetMode="External"/><Relationship Id="rId682" Type="http://schemas.openxmlformats.org/officeDocument/2006/relationships/hyperlink" Target="https://i.ibb.co/DznB5q4/Itau.png" TargetMode="External"/><Relationship Id="rId683" Type="http://schemas.openxmlformats.org/officeDocument/2006/relationships/hyperlink" Target="https://i.ibb.co/DznB5q4/Itau.png" TargetMode="External"/><Relationship Id="rId684" Type="http://schemas.openxmlformats.org/officeDocument/2006/relationships/hyperlink" Target="https://i.ibb.co/DznB5q4/Itau.png" TargetMode="External"/><Relationship Id="rId685" Type="http://schemas.openxmlformats.org/officeDocument/2006/relationships/hyperlink" Target="https://i.ibb.co/DznB5q4/Itau.png" TargetMode="External"/><Relationship Id="rId686" Type="http://schemas.openxmlformats.org/officeDocument/2006/relationships/hyperlink" Target="https://i.ibb.co/DznB5q4/Itau.png" TargetMode="External"/><Relationship Id="rId687" Type="http://schemas.openxmlformats.org/officeDocument/2006/relationships/hyperlink" Target="https://i.ibb.co/DznB5q4/Itau.png" TargetMode="External"/><Relationship Id="rId688" Type="http://schemas.openxmlformats.org/officeDocument/2006/relationships/hyperlink" Target="https://i.ibb.co/DznB5q4/Itau.png" TargetMode="External"/><Relationship Id="rId689" Type="http://schemas.openxmlformats.org/officeDocument/2006/relationships/hyperlink" Target="https://i.ibb.co/DznB5q4/Itau.png" TargetMode="External"/><Relationship Id="rId690" Type="http://schemas.openxmlformats.org/officeDocument/2006/relationships/hyperlink" Target="https://i.ibb.co/DznB5q4/Itau.png" TargetMode="External"/><Relationship Id="rId691" Type="http://schemas.openxmlformats.org/officeDocument/2006/relationships/hyperlink" Target="https://i.ibb.co/DznB5q4/Itau.png" TargetMode="External"/><Relationship Id="rId692" Type="http://schemas.openxmlformats.org/officeDocument/2006/relationships/hyperlink" Target="https://i.ibb.co/DznB5q4/Itau.png" TargetMode="External"/><Relationship Id="rId693" Type="http://schemas.openxmlformats.org/officeDocument/2006/relationships/hyperlink" Target="https://i.ibb.co/DznB5q4/Itau.png" TargetMode="External"/><Relationship Id="rId694" Type="http://schemas.openxmlformats.org/officeDocument/2006/relationships/hyperlink" Target="https://i.ibb.co/DznB5q4/Itau.png" TargetMode="External"/><Relationship Id="rId695" Type="http://schemas.openxmlformats.org/officeDocument/2006/relationships/hyperlink" Target="https://i.ibb.co/DznB5q4/Itau.png" TargetMode="External"/><Relationship Id="rId696" Type="http://schemas.openxmlformats.org/officeDocument/2006/relationships/hyperlink" Target="https://i.ibb.co/DznB5q4/Itau.png" TargetMode="External"/><Relationship Id="rId697" Type="http://schemas.openxmlformats.org/officeDocument/2006/relationships/hyperlink" Target="https://i.ibb.co/DznB5q4/Itau.png" TargetMode="External"/><Relationship Id="rId698" Type="http://schemas.openxmlformats.org/officeDocument/2006/relationships/hyperlink" Target="https://i.ibb.co/DznB5q4/Itau.png" TargetMode="External"/><Relationship Id="rId699" Type="http://schemas.openxmlformats.org/officeDocument/2006/relationships/hyperlink" Target="https://i.ibb.co/DznB5q4/Itau.png" TargetMode="External"/><Relationship Id="rId700" Type="http://schemas.openxmlformats.org/officeDocument/2006/relationships/hyperlink" Target="https://i.ibb.co/DznB5q4/Itau.png" TargetMode="External"/><Relationship Id="rId701" Type="http://schemas.openxmlformats.org/officeDocument/2006/relationships/hyperlink" Target="https://i.ibb.co/DznB5q4/Itau.png" TargetMode="External"/><Relationship Id="rId702" Type="http://schemas.openxmlformats.org/officeDocument/2006/relationships/hyperlink" Target="https://i.ibb.co/DznB5q4/Itau.png" TargetMode="External"/><Relationship Id="rId703" Type="http://schemas.openxmlformats.org/officeDocument/2006/relationships/hyperlink" Target="https://i.ibb.co/DznB5q4/Itau.png" TargetMode="External"/><Relationship Id="rId704" Type="http://schemas.openxmlformats.org/officeDocument/2006/relationships/hyperlink" Target="https://i.ibb.co/DznB5q4/Itau.png" TargetMode="External"/><Relationship Id="rId705" Type="http://schemas.openxmlformats.org/officeDocument/2006/relationships/hyperlink" Target="https://i.ibb.co/DznB5q4/Itau.png" TargetMode="External"/><Relationship Id="rId706" Type="http://schemas.openxmlformats.org/officeDocument/2006/relationships/hyperlink" Target="https://i.ibb.co/DznB5q4/Itau.png" TargetMode="External"/><Relationship Id="rId707" Type="http://schemas.openxmlformats.org/officeDocument/2006/relationships/hyperlink" Target="https://i.ibb.co/DznB5q4/Itau.png" TargetMode="External"/><Relationship Id="rId708" Type="http://schemas.openxmlformats.org/officeDocument/2006/relationships/hyperlink" Target="https://i.ibb.co/DznB5q4/Itau.png" TargetMode="External"/><Relationship Id="rId709" Type="http://schemas.openxmlformats.org/officeDocument/2006/relationships/hyperlink" Target="https://i.ibb.co/DznB5q4/Itau.png" TargetMode="External"/><Relationship Id="rId710" Type="http://schemas.openxmlformats.org/officeDocument/2006/relationships/hyperlink" Target="https://i.ibb.co/DznB5q4/Itau.png" TargetMode="External"/><Relationship Id="rId711" Type="http://schemas.openxmlformats.org/officeDocument/2006/relationships/hyperlink" Target="https://i.ibb.co/DznB5q4/Itau.png" TargetMode="External"/><Relationship Id="rId712" Type="http://schemas.openxmlformats.org/officeDocument/2006/relationships/hyperlink" Target="https://i.ibb.co/DznB5q4/Itau.png" TargetMode="External"/><Relationship Id="rId713" Type="http://schemas.openxmlformats.org/officeDocument/2006/relationships/hyperlink" Target="https://i.ibb.co/DznB5q4/Itau.png" TargetMode="External"/><Relationship Id="rId714" Type="http://schemas.openxmlformats.org/officeDocument/2006/relationships/hyperlink" Target="https://i.ibb.co/DznB5q4/Itau.png" TargetMode="External"/><Relationship Id="rId715" Type="http://schemas.openxmlformats.org/officeDocument/2006/relationships/hyperlink" Target="https://i.ibb.co/DznB5q4/Itau.png" TargetMode="External"/><Relationship Id="rId716" Type="http://schemas.openxmlformats.org/officeDocument/2006/relationships/hyperlink" Target="https://i.ibb.co/DznB5q4/Itau.png" TargetMode="External"/><Relationship Id="rId717" Type="http://schemas.openxmlformats.org/officeDocument/2006/relationships/hyperlink" Target="https://i.ibb.co/DznB5q4/Itau.png" TargetMode="External"/><Relationship Id="rId718" Type="http://schemas.openxmlformats.org/officeDocument/2006/relationships/hyperlink" Target="https://i.ibb.co/DznB5q4/Itau.png" TargetMode="External"/><Relationship Id="rId719" Type="http://schemas.openxmlformats.org/officeDocument/2006/relationships/hyperlink" Target="https://i.ibb.co/DznB5q4/Itau.png" TargetMode="External"/><Relationship Id="rId720" Type="http://schemas.openxmlformats.org/officeDocument/2006/relationships/hyperlink" Target="https://i.ibb.co/DznB5q4/Itau.png" TargetMode="External"/><Relationship Id="rId721" Type="http://schemas.openxmlformats.org/officeDocument/2006/relationships/hyperlink" Target="https://i.ibb.co/DznB5q4/Itau.png" TargetMode="External"/><Relationship Id="rId722" Type="http://schemas.openxmlformats.org/officeDocument/2006/relationships/hyperlink" Target="https://i.ibb.co/DznB5q4/Itau.png" TargetMode="External"/><Relationship Id="rId723" Type="http://schemas.openxmlformats.org/officeDocument/2006/relationships/hyperlink" Target="https://i.ibb.co/DznB5q4/Itau.png" TargetMode="External"/><Relationship Id="rId724" Type="http://schemas.openxmlformats.org/officeDocument/2006/relationships/hyperlink" Target="https://i.ibb.co/DznB5q4/Itau.png" TargetMode="External"/><Relationship Id="rId725" Type="http://schemas.openxmlformats.org/officeDocument/2006/relationships/hyperlink" Target="https://i.ibb.co/DznB5q4/Itau.png" TargetMode="External"/><Relationship Id="rId726" Type="http://schemas.openxmlformats.org/officeDocument/2006/relationships/hyperlink" Target="https://i.ibb.co/DznB5q4/Itau.png" TargetMode="External"/><Relationship Id="rId727" Type="http://schemas.openxmlformats.org/officeDocument/2006/relationships/hyperlink" Target="https://i.ibb.co/DznB5q4/Itau.png" TargetMode="External"/><Relationship Id="rId728" Type="http://schemas.openxmlformats.org/officeDocument/2006/relationships/hyperlink" Target="https://i.ibb.co/DznB5q4/Itau.png" TargetMode="External"/><Relationship Id="rId729" Type="http://schemas.openxmlformats.org/officeDocument/2006/relationships/hyperlink" Target="https://i.ibb.co/DznB5q4/Itau.png" TargetMode="External"/><Relationship Id="rId730" Type="http://schemas.openxmlformats.org/officeDocument/2006/relationships/hyperlink" Target="https://i.ibb.co/DznB5q4/Itau.png" TargetMode="External"/><Relationship Id="rId731" Type="http://schemas.openxmlformats.org/officeDocument/2006/relationships/hyperlink" Target="https://i.ibb.co/DznB5q4/Itau.png" TargetMode="External"/><Relationship Id="rId732" Type="http://schemas.openxmlformats.org/officeDocument/2006/relationships/hyperlink" Target="https://i.ibb.co/DznB5q4/Itau.png" TargetMode="External"/><Relationship Id="rId733" Type="http://schemas.openxmlformats.org/officeDocument/2006/relationships/hyperlink" Target="https://i.ibb.co/DznB5q4/Itau.png" TargetMode="External"/><Relationship Id="rId734" Type="http://schemas.openxmlformats.org/officeDocument/2006/relationships/hyperlink" Target="https://i.ibb.co/DznB5q4/Itau.png" TargetMode="External"/><Relationship Id="rId735" Type="http://schemas.openxmlformats.org/officeDocument/2006/relationships/hyperlink" Target="https://i.ibb.co/DznB5q4/Itau.png" TargetMode="External"/><Relationship Id="rId736" Type="http://schemas.openxmlformats.org/officeDocument/2006/relationships/hyperlink" Target="https://i.ibb.co/DznB5q4/Itau.png" TargetMode="External"/><Relationship Id="rId737" Type="http://schemas.openxmlformats.org/officeDocument/2006/relationships/hyperlink" Target="https://i.ibb.co/DznB5q4/Itau.png" TargetMode="External"/><Relationship Id="rId738" Type="http://schemas.openxmlformats.org/officeDocument/2006/relationships/hyperlink" Target="https://i.ibb.co/DznB5q4/Itau.png" TargetMode="External"/><Relationship Id="rId739" Type="http://schemas.openxmlformats.org/officeDocument/2006/relationships/hyperlink" Target="https://i.ibb.co/DznB5q4/Itau.png" TargetMode="External"/><Relationship Id="rId740" Type="http://schemas.openxmlformats.org/officeDocument/2006/relationships/hyperlink" Target="https://i.ibb.co/DznB5q4/Itau.png" TargetMode="External"/><Relationship Id="rId741" Type="http://schemas.openxmlformats.org/officeDocument/2006/relationships/hyperlink" Target="https://i.ibb.co/DznB5q4/Itau.png" TargetMode="External"/><Relationship Id="rId742" Type="http://schemas.openxmlformats.org/officeDocument/2006/relationships/hyperlink" Target="https://i.ibb.co/DznB5q4/Itau.png" TargetMode="External"/><Relationship Id="rId743" Type="http://schemas.openxmlformats.org/officeDocument/2006/relationships/hyperlink" Target="https://i.ibb.co/DznB5q4/Itau.png" TargetMode="External"/><Relationship Id="rId744" Type="http://schemas.openxmlformats.org/officeDocument/2006/relationships/hyperlink" Target="https://i.ibb.co/DznB5q4/Itau.png" TargetMode="External"/><Relationship Id="rId745" Type="http://schemas.openxmlformats.org/officeDocument/2006/relationships/hyperlink" Target="https://i.ibb.co/DznB5q4/Itau.png" TargetMode="External"/><Relationship Id="rId746" Type="http://schemas.openxmlformats.org/officeDocument/2006/relationships/hyperlink" Target="https://i.ibb.co/DznB5q4/Itau.png" TargetMode="External"/><Relationship Id="rId747" Type="http://schemas.openxmlformats.org/officeDocument/2006/relationships/hyperlink" Target="https://i.ibb.co/DznB5q4/Itau.png" TargetMode="External"/><Relationship Id="rId748" Type="http://schemas.openxmlformats.org/officeDocument/2006/relationships/hyperlink" Target="https://i.ibb.co/DznB5q4/Itau.png" TargetMode="External"/><Relationship Id="rId749" Type="http://schemas.openxmlformats.org/officeDocument/2006/relationships/hyperlink" Target="https://i.ibb.co/DznB5q4/Itau.png" TargetMode="External"/><Relationship Id="rId750" Type="http://schemas.openxmlformats.org/officeDocument/2006/relationships/hyperlink" Target="https://i.ibb.co/DznB5q4/Itau.png" TargetMode="External"/><Relationship Id="rId751" Type="http://schemas.openxmlformats.org/officeDocument/2006/relationships/hyperlink" Target="https://i.ibb.co/DznB5q4/Itau.png" TargetMode="External"/><Relationship Id="rId752" Type="http://schemas.openxmlformats.org/officeDocument/2006/relationships/hyperlink" Target="https://i.ibb.co/DznB5q4/Itau.png" TargetMode="External"/><Relationship Id="rId753" Type="http://schemas.openxmlformats.org/officeDocument/2006/relationships/hyperlink" Target="https://i.ibb.co/DznB5q4/Itau.png" TargetMode="External"/><Relationship Id="rId754" Type="http://schemas.openxmlformats.org/officeDocument/2006/relationships/hyperlink" Target="https://i.ibb.co/DznB5q4/Itau.png" TargetMode="External"/><Relationship Id="rId755" Type="http://schemas.openxmlformats.org/officeDocument/2006/relationships/hyperlink" Target="https://i.ibb.co/DznB5q4/Itau.png" TargetMode="External"/><Relationship Id="rId756" Type="http://schemas.openxmlformats.org/officeDocument/2006/relationships/hyperlink" Target="https://i.ibb.co/DznB5q4/Itau.png" TargetMode="External"/><Relationship Id="rId757" Type="http://schemas.openxmlformats.org/officeDocument/2006/relationships/hyperlink" Target="https://i.ibb.co/DznB5q4/Itau.png" TargetMode="External"/><Relationship Id="rId758" Type="http://schemas.openxmlformats.org/officeDocument/2006/relationships/hyperlink" Target="https://i.ibb.co/DznB5q4/Itau.png" TargetMode="External"/><Relationship Id="rId759" Type="http://schemas.openxmlformats.org/officeDocument/2006/relationships/hyperlink" Target="https://i.ibb.co/DznB5q4/Itau.png" TargetMode="External"/><Relationship Id="rId760" Type="http://schemas.openxmlformats.org/officeDocument/2006/relationships/hyperlink" Target="https://i.ibb.co/DznB5q4/Itau.png" TargetMode="External"/><Relationship Id="rId761" Type="http://schemas.openxmlformats.org/officeDocument/2006/relationships/hyperlink" Target="https://i.ibb.co/DznB5q4/Itau.png" TargetMode="External"/><Relationship Id="rId762" Type="http://schemas.openxmlformats.org/officeDocument/2006/relationships/hyperlink" Target="https://i.ibb.co/DznB5q4/Itau.png" TargetMode="External"/><Relationship Id="rId763" Type="http://schemas.openxmlformats.org/officeDocument/2006/relationships/hyperlink" Target="https://i.ibb.co/DznB5q4/Itau.png" TargetMode="External"/><Relationship Id="rId764" Type="http://schemas.openxmlformats.org/officeDocument/2006/relationships/hyperlink" Target="https://i.ibb.co/DznB5q4/Itau.png" TargetMode="External"/><Relationship Id="rId765" Type="http://schemas.openxmlformats.org/officeDocument/2006/relationships/hyperlink" Target="https://i.ibb.co/DznB5q4/Itau.png" TargetMode="External"/><Relationship Id="rId766" Type="http://schemas.openxmlformats.org/officeDocument/2006/relationships/hyperlink" Target="https://i.ibb.co/DznB5q4/Itau.png" TargetMode="External"/><Relationship Id="rId767" Type="http://schemas.openxmlformats.org/officeDocument/2006/relationships/hyperlink" Target="https://i.ibb.co/DznB5q4/Itau.png" TargetMode="External"/><Relationship Id="rId768" Type="http://schemas.openxmlformats.org/officeDocument/2006/relationships/hyperlink" Target="https://i.ibb.co/DznB5q4/Itau.png" TargetMode="External"/><Relationship Id="rId769" Type="http://schemas.openxmlformats.org/officeDocument/2006/relationships/hyperlink" Target="https://i.ibb.co/DznB5q4/Itau.png" TargetMode="External"/><Relationship Id="rId770" Type="http://schemas.openxmlformats.org/officeDocument/2006/relationships/hyperlink" Target="https://i.ibb.co/DznB5q4/Itau.png" TargetMode="External"/><Relationship Id="rId771" Type="http://schemas.openxmlformats.org/officeDocument/2006/relationships/hyperlink" Target="https://i.ibb.co/DznB5q4/Itau.png" TargetMode="External"/><Relationship Id="rId772" Type="http://schemas.openxmlformats.org/officeDocument/2006/relationships/hyperlink" Target="https://i.ibb.co/DznB5q4/Itau.png" TargetMode="External"/><Relationship Id="rId773" Type="http://schemas.openxmlformats.org/officeDocument/2006/relationships/hyperlink" Target="https://i.ibb.co/DznB5q4/Itau.png" TargetMode="External"/><Relationship Id="rId774" Type="http://schemas.openxmlformats.org/officeDocument/2006/relationships/hyperlink" Target="https://i.ibb.co/DznB5q4/Itau.png" TargetMode="External"/><Relationship Id="rId775" Type="http://schemas.openxmlformats.org/officeDocument/2006/relationships/hyperlink" Target="https://i.ibb.co/DznB5q4/Itau.png" TargetMode="External"/><Relationship Id="rId776" Type="http://schemas.openxmlformats.org/officeDocument/2006/relationships/hyperlink" Target="https://i.ibb.co/DznB5q4/Itau.png" TargetMode="External"/><Relationship Id="rId777" Type="http://schemas.openxmlformats.org/officeDocument/2006/relationships/hyperlink" Target="https://i.ibb.co/DznB5q4/Itau.png" TargetMode="External"/><Relationship Id="rId778" Type="http://schemas.openxmlformats.org/officeDocument/2006/relationships/hyperlink" Target="https://i.ibb.co/DznB5q4/Itau.png" TargetMode="External"/><Relationship Id="rId779" Type="http://schemas.openxmlformats.org/officeDocument/2006/relationships/hyperlink" Target="https://i.ibb.co/DznB5q4/Itau.png" TargetMode="External"/><Relationship Id="rId780" Type="http://schemas.openxmlformats.org/officeDocument/2006/relationships/hyperlink" Target="https://i.ibb.co/DznB5q4/Itau.png" TargetMode="External"/><Relationship Id="rId781" Type="http://schemas.openxmlformats.org/officeDocument/2006/relationships/hyperlink" Target="https://i.ibb.co/DznB5q4/Itau.png" TargetMode="External"/><Relationship Id="rId782" Type="http://schemas.openxmlformats.org/officeDocument/2006/relationships/hyperlink" Target="https://i.ibb.co/DznB5q4/Itau.png" TargetMode="External"/><Relationship Id="rId783" Type="http://schemas.openxmlformats.org/officeDocument/2006/relationships/hyperlink" Target="https://i.ibb.co/DznB5q4/Itau.png" TargetMode="External"/><Relationship Id="rId784" Type="http://schemas.openxmlformats.org/officeDocument/2006/relationships/hyperlink" Target="https://i.ibb.co/DznB5q4/Itau.png" TargetMode="External"/><Relationship Id="rId785" Type="http://schemas.openxmlformats.org/officeDocument/2006/relationships/hyperlink" Target="https://i.ibb.co/DznB5q4/Itau.png" TargetMode="External"/><Relationship Id="rId786" Type="http://schemas.openxmlformats.org/officeDocument/2006/relationships/hyperlink" Target="https://i.ibb.co/DznB5q4/Itau.png" TargetMode="External"/><Relationship Id="rId787" Type="http://schemas.openxmlformats.org/officeDocument/2006/relationships/hyperlink" Target="https://i.ibb.co/DznB5q4/Itau.png" TargetMode="External"/><Relationship Id="rId788" Type="http://schemas.openxmlformats.org/officeDocument/2006/relationships/hyperlink" Target="https://i.ibb.co/DznB5q4/Itau.png" TargetMode="External"/><Relationship Id="rId789" Type="http://schemas.openxmlformats.org/officeDocument/2006/relationships/hyperlink" Target="https://i.ibb.co/DznB5q4/Itau.png" TargetMode="External"/><Relationship Id="rId790" Type="http://schemas.openxmlformats.org/officeDocument/2006/relationships/hyperlink" Target="https://i.ibb.co/DznB5q4/Itau.png" TargetMode="External"/><Relationship Id="rId791" Type="http://schemas.openxmlformats.org/officeDocument/2006/relationships/hyperlink" Target="https://i.ibb.co/DznB5q4/Itau.png" TargetMode="External"/><Relationship Id="rId792" Type="http://schemas.openxmlformats.org/officeDocument/2006/relationships/hyperlink" Target="https://i.ibb.co/DznB5q4/Itau.png" TargetMode="External"/><Relationship Id="rId793" Type="http://schemas.openxmlformats.org/officeDocument/2006/relationships/hyperlink" Target="https://i.ibb.co/DznB5q4/Itau.png" TargetMode="External"/><Relationship Id="rId794" Type="http://schemas.openxmlformats.org/officeDocument/2006/relationships/hyperlink" Target="https://i.ibb.co/DznB5q4/Itau.png" TargetMode="External"/><Relationship Id="rId795" Type="http://schemas.openxmlformats.org/officeDocument/2006/relationships/hyperlink" Target="https://i.ibb.co/DznB5q4/Itau.png" TargetMode="External"/><Relationship Id="rId796" Type="http://schemas.openxmlformats.org/officeDocument/2006/relationships/hyperlink" Target="https://i.ibb.co/DznB5q4/Itau.png" TargetMode="External"/><Relationship Id="rId797" Type="http://schemas.openxmlformats.org/officeDocument/2006/relationships/hyperlink" Target="https://i.ibb.co/DznB5q4/Itau.png" TargetMode="External"/><Relationship Id="rId798" Type="http://schemas.openxmlformats.org/officeDocument/2006/relationships/hyperlink" Target="https://i.ibb.co/DznB5q4/Itau.png" TargetMode="External"/><Relationship Id="rId799" Type="http://schemas.openxmlformats.org/officeDocument/2006/relationships/hyperlink" Target="https://i.ibb.co/DznB5q4/Itau.png" TargetMode="External"/><Relationship Id="rId800" Type="http://schemas.openxmlformats.org/officeDocument/2006/relationships/hyperlink" Target="https://i.ibb.co/DznB5q4/Itau.png" TargetMode="External"/><Relationship Id="rId801" Type="http://schemas.openxmlformats.org/officeDocument/2006/relationships/hyperlink" Target="https://i.ibb.co/DznB5q4/Itau.png" TargetMode="External"/><Relationship Id="rId802" Type="http://schemas.openxmlformats.org/officeDocument/2006/relationships/hyperlink" Target="https://i.ibb.co/DznB5q4/Itau.png" TargetMode="External"/><Relationship Id="rId803" Type="http://schemas.openxmlformats.org/officeDocument/2006/relationships/hyperlink" Target="https://i.ibb.co/DznB5q4/Itau.png" TargetMode="External"/><Relationship Id="rId804" Type="http://schemas.openxmlformats.org/officeDocument/2006/relationships/hyperlink" Target="https://i.ibb.co/DznB5q4/Itau.png" TargetMode="External"/><Relationship Id="rId805" Type="http://schemas.openxmlformats.org/officeDocument/2006/relationships/hyperlink" Target="https://i.ibb.co/DznB5q4/Itau.png" TargetMode="External"/><Relationship Id="rId806" Type="http://schemas.openxmlformats.org/officeDocument/2006/relationships/hyperlink" Target="https://i.ibb.co/DznB5q4/Itau.png" TargetMode="External"/><Relationship Id="rId807" Type="http://schemas.openxmlformats.org/officeDocument/2006/relationships/hyperlink" Target="https://i.ibb.co/DznB5q4/Itau.png" TargetMode="External"/><Relationship Id="rId808" Type="http://schemas.openxmlformats.org/officeDocument/2006/relationships/hyperlink" Target="https://i.ibb.co/DznB5q4/Itau.png" TargetMode="External"/><Relationship Id="rId809" Type="http://schemas.openxmlformats.org/officeDocument/2006/relationships/hyperlink" Target="https://i.ibb.co/DznB5q4/Itau.png" TargetMode="External"/><Relationship Id="rId810" Type="http://schemas.openxmlformats.org/officeDocument/2006/relationships/hyperlink" Target="https://i.ibb.co/DznB5q4/Itau.png" TargetMode="External"/><Relationship Id="rId811" Type="http://schemas.openxmlformats.org/officeDocument/2006/relationships/hyperlink" Target="https://i.ibb.co/DznB5q4/Itau.png" TargetMode="External"/><Relationship Id="rId812" Type="http://schemas.openxmlformats.org/officeDocument/2006/relationships/hyperlink" Target="https://i.ibb.co/DznB5q4/Itau.png" TargetMode="External"/><Relationship Id="rId813" Type="http://schemas.openxmlformats.org/officeDocument/2006/relationships/hyperlink" Target="https://i.ibb.co/DznB5q4/Itau.png" TargetMode="External"/><Relationship Id="rId814" Type="http://schemas.openxmlformats.org/officeDocument/2006/relationships/hyperlink" Target="https://i.ibb.co/DznB5q4/Itau.png" TargetMode="External"/><Relationship Id="rId815" Type="http://schemas.openxmlformats.org/officeDocument/2006/relationships/hyperlink" Target="https://i.ibb.co/DznB5q4/Itau.png" TargetMode="External"/><Relationship Id="rId816" Type="http://schemas.openxmlformats.org/officeDocument/2006/relationships/hyperlink" Target="https://i.ibb.co/DznB5q4/Itau.png" TargetMode="External"/><Relationship Id="rId817" Type="http://schemas.openxmlformats.org/officeDocument/2006/relationships/hyperlink" Target="https://i.ibb.co/DznB5q4/Itau.png" TargetMode="External"/><Relationship Id="rId818" Type="http://schemas.openxmlformats.org/officeDocument/2006/relationships/hyperlink" Target="https://i.ibb.co/DznB5q4/Itau.png" TargetMode="External"/><Relationship Id="rId819" Type="http://schemas.openxmlformats.org/officeDocument/2006/relationships/hyperlink" Target="https://i.ibb.co/DznB5q4/Itau.png" TargetMode="External"/><Relationship Id="rId820" Type="http://schemas.openxmlformats.org/officeDocument/2006/relationships/hyperlink" Target="https://i.ibb.co/DznB5q4/Itau.png" TargetMode="External"/><Relationship Id="rId821" Type="http://schemas.openxmlformats.org/officeDocument/2006/relationships/hyperlink" Target="https://i.ibb.co/DznB5q4/Itau.png" TargetMode="External"/><Relationship Id="rId822" Type="http://schemas.openxmlformats.org/officeDocument/2006/relationships/hyperlink" Target="https://i.ibb.co/DznB5q4/Itau.png" TargetMode="External"/><Relationship Id="rId823" Type="http://schemas.openxmlformats.org/officeDocument/2006/relationships/hyperlink" Target="https://i.ibb.co/DznB5q4/Itau.png" TargetMode="External"/><Relationship Id="rId824" Type="http://schemas.openxmlformats.org/officeDocument/2006/relationships/hyperlink" Target="https://i.ibb.co/DznB5q4/Itau.png" TargetMode="External"/><Relationship Id="rId825" Type="http://schemas.openxmlformats.org/officeDocument/2006/relationships/hyperlink" Target="https://i.ibb.co/DznB5q4/Itau.png" TargetMode="External"/><Relationship Id="rId826" Type="http://schemas.openxmlformats.org/officeDocument/2006/relationships/hyperlink" Target="https://i.ibb.co/DznB5q4/Itau.png" TargetMode="External"/><Relationship Id="rId827" Type="http://schemas.openxmlformats.org/officeDocument/2006/relationships/hyperlink" Target="https://i.ibb.co/DznB5q4/Itau.png" TargetMode="External"/><Relationship Id="rId828" Type="http://schemas.openxmlformats.org/officeDocument/2006/relationships/hyperlink" Target="https://i.ibb.co/DznB5q4/Itau.png" TargetMode="External"/><Relationship Id="rId829" Type="http://schemas.openxmlformats.org/officeDocument/2006/relationships/hyperlink" Target="https://i.ibb.co/DznB5q4/Itau.png" TargetMode="External"/><Relationship Id="rId830" Type="http://schemas.openxmlformats.org/officeDocument/2006/relationships/hyperlink" Target="https://i.ibb.co/DznB5q4/Itau.png" TargetMode="External"/><Relationship Id="rId831" Type="http://schemas.openxmlformats.org/officeDocument/2006/relationships/hyperlink" Target="https://i.ibb.co/DznB5q4/Itau.png" TargetMode="External"/><Relationship Id="rId832" Type="http://schemas.openxmlformats.org/officeDocument/2006/relationships/hyperlink" Target="https://i.ibb.co/DznB5q4/Itau.png" TargetMode="External"/><Relationship Id="rId833" Type="http://schemas.openxmlformats.org/officeDocument/2006/relationships/hyperlink" Target="https://i.ibb.co/DznB5q4/Itau.png" TargetMode="External"/><Relationship Id="rId834" Type="http://schemas.openxmlformats.org/officeDocument/2006/relationships/hyperlink" Target="https://i.ibb.co/DznB5q4/Itau.png" TargetMode="External"/><Relationship Id="rId835" Type="http://schemas.openxmlformats.org/officeDocument/2006/relationships/hyperlink" Target="https://i.ibb.co/DznB5q4/Itau.png" TargetMode="External"/><Relationship Id="rId836" Type="http://schemas.openxmlformats.org/officeDocument/2006/relationships/hyperlink" Target="https://i.ibb.co/DznB5q4/Itau.png" TargetMode="External"/><Relationship Id="rId837" Type="http://schemas.openxmlformats.org/officeDocument/2006/relationships/hyperlink" Target="https://i.ibb.co/DznB5q4/Itau.png" TargetMode="External"/><Relationship Id="rId838" Type="http://schemas.openxmlformats.org/officeDocument/2006/relationships/hyperlink" Target="https://i.ibb.co/DznB5q4/Itau.png" TargetMode="External"/><Relationship Id="rId839" Type="http://schemas.openxmlformats.org/officeDocument/2006/relationships/hyperlink" Target="https://i.ibb.co/DznB5q4/Itau.png" TargetMode="External"/><Relationship Id="rId840" Type="http://schemas.openxmlformats.org/officeDocument/2006/relationships/hyperlink" Target="https://i.ibb.co/DznB5q4/Itau.png" TargetMode="External"/><Relationship Id="rId841" Type="http://schemas.openxmlformats.org/officeDocument/2006/relationships/hyperlink" Target="https://i.ibb.co/DznB5q4/Itau.png" TargetMode="External"/><Relationship Id="rId842" Type="http://schemas.openxmlformats.org/officeDocument/2006/relationships/hyperlink" Target="https://i.ibb.co/DznB5q4/Itau.png" TargetMode="External"/><Relationship Id="rId843" Type="http://schemas.openxmlformats.org/officeDocument/2006/relationships/hyperlink" Target="https://i.ibb.co/DznB5q4/Itau.png" TargetMode="External"/><Relationship Id="rId844" Type="http://schemas.openxmlformats.org/officeDocument/2006/relationships/hyperlink" Target="https://i.ibb.co/DznB5q4/Itau.png" TargetMode="External"/><Relationship Id="rId845" Type="http://schemas.openxmlformats.org/officeDocument/2006/relationships/hyperlink" Target="https://i.ibb.co/DznB5q4/Itau.png" TargetMode="External"/><Relationship Id="rId846" Type="http://schemas.openxmlformats.org/officeDocument/2006/relationships/hyperlink" Target="https://i.ibb.co/DznB5q4/Itau.png" TargetMode="External"/><Relationship Id="rId847" Type="http://schemas.openxmlformats.org/officeDocument/2006/relationships/hyperlink" Target="https://i.ibb.co/DznB5q4/Itau.png" TargetMode="External"/><Relationship Id="rId848" Type="http://schemas.openxmlformats.org/officeDocument/2006/relationships/hyperlink" Target="https://i.ibb.co/DznB5q4/Itau.png" TargetMode="External"/><Relationship Id="rId849" Type="http://schemas.openxmlformats.org/officeDocument/2006/relationships/hyperlink" Target="https://i.ibb.co/DznB5q4/Itau.png" TargetMode="External"/><Relationship Id="rId850" Type="http://schemas.openxmlformats.org/officeDocument/2006/relationships/hyperlink" Target="https://i.ibb.co/DznB5q4/Itau.png" TargetMode="External"/><Relationship Id="rId851" Type="http://schemas.openxmlformats.org/officeDocument/2006/relationships/hyperlink" Target="https://i.ibb.co/DznB5q4/Itau.png" TargetMode="External"/><Relationship Id="rId852" Type="http://schemas.openxmlformats.org/officeDocument/2006/relationships/hyperlink" Target="https://i.ibb.co/DznB5q4/Itau.png" TargetMode="External"/><Relationship Id="rId853" Type="http://schemas.openxmlformats.org/officeDocument/2006/relationships/hyperlink" Target="https://i.ibb.co/DznB5q4/Itau.png" TargetMode="External"/><Relationship Id="rId854" Type="http://schemas.openxmlformats.org/officeDocument/2006/relationships/hyperlink" Target="https://i.ibb.co/DznB5q4/Itau.png" TargetMode="External"/><Relationship Id="rId855" Type="http://schemas.openxmlformats.org/officeDocument/2006/relationships/hyperlink" Target="https://i.ibb.co/DznB5q4/Itau.png" TargetMode="External"/><Relationship Id="rId856" Type="http://schemas.openxmlformats.org/officeDocument/2006/relationships/hyperlink" Target="https://i.ibb.co/DznB5q4/Itau.png" TargetMode="External"/><Relationship Id="rId857" Type="http://schemas.openxmlformats.org/officeDocument/2006/relationships/hyperlink" Target="https://i.ibb.co/DznB5q4/Itau.png" TargetMode="External"/><Relationship Id="rId858" Type="http://schemas.openxmlformats.org/officeDocument/2006/relationships/hyperlink" Target="https://i.ibb.co/DznB5q4/Itau.png" TargetMode="External"/><Relationship Id="rId859" Type="http://schemas.openxmlformats.org/officeDocument/2006/relationships/hyperlink" Target="https://i.ibb.co/DznB5q4/Itau.png" TargetMode="External"/><Relationship Id="rId860" Type="http://schemas.openxmlformats.org/officeDocument/2006/relationships/hyperlink" Target="https://i.ibb.co/DznB5q4/Itau.png" TargetMode="External"/><Relationship Id="rId861" Type="http://schemas.openxmlformats.org/officeDocument/2006/relationships/hyperlink" Target="https://i.ibb.co/DznB5q4/Itau.png" TargetMode="External"/><Relationship Id="rId862" Type="http://schemas.openxmlformats.org/officeDocument/2006/relationships/hyperlink" Target="https://i.ibb.co/DznB5q4/Itau.png" TargetMode="External"/><Relationship Id="rId863" Type="http://schemas.openxmlformats.org/officeDocument/2006/relationships/hyperlink" Target="https://i.ibb.co/DznB5q4/Itau.png" TargetMode="External"/><Relationship Id="rId864" Type="http://schemas.openxmlformats.org/officeDocument/2006/relationships/hyperlink" Target="https://i.ibb.co/DznB5q4/Itau.png" TargetMode="External"/><Relationship Id="rId865" Type="http://schemas.openxmlformats.org/officeDocument/2006/relationships/hyperlink" Target="https://i.ibb.co/DznB5q4/Itau.png" TargetMode="External"/><Relationship Id="rId866" Type="http://schemas.openxmlformats.org/officeDocument/2006/relationships/hyperlink" Target="https://i.ibb.co/DznB5q4/Itau.png" TargetMode="External"/><Relationship Id="rId867" Type="http://schemas.openxmlformats.org/officeDocument/2006/relationships/hyperlink" Target="https://i.ibb.co/DznB5q4/Itau.png" TargetMode="External"/><Relationship Id="rId868" Type="http://schemas.openxmlformats.org/officeDocument/2006/relationships/hyperlink" Target="https://i.ibb.co/DznB5q4/Itau.png" TargetMode="External"/><Relationship Id="rId869" Type="http://schemas.openxmlformats.org/officeDocument/2006/relationships/hyperlink" Target="https://i.ibb.co/DznB5q4/Itau.png" TargetMode="External"/><Relationship Id="rId870" Type="http://schemas.openxmlformats.org/officeDocument/2006/relationships/hyperlink" Target="https://i.ibb.co/DznB5q4/Itau.png" TargetMode="External"/><Relationship Id="rId871" Type="http://schemas.openxmlformats.org/officeDocument/2006/relationships/hyperlink" Target="https://i.ibb.co/DznB5q4/Itau.png" TargetMode="External"/><Relationship Id="rId872" Type="http://schemas.openxmlformats.org/officeDocument/2006/relationships/hyperlink" Target="https://i.ibb.co/DznB5q4/Itau.png" TargetMode="External"/><Relationship Id="rId873" Type="http://schemas.openxmlformats.org/officeDocument/2006/relationships/hyperlink" Target="https://i.ibb.co/DznB5q4/Itau.png" TargetMode="External"/><Relationship Id="rId874" Type="http://schemas.openxmlformats.org/officeDocument/2006/relationships/hyperlink" Target="https://i.ibb.co/DznB5q4/Itau.png" TargetMode="External"/><Relationship Id="rId875" Type="http://schemas.openxmlformats.org/officeDocument/2006/relationships/hyperlink" Target="https://i.ibb.co/DznB5q4/Itau.png" TargetMode="External"/><Relationship Id="rId876" Type="http://schemas.openxmlformats.org/officeDocument/2006/relationships/hyperlink" Target="https://i.ibb.co/DznB5q4/Itau.png" TargetMode="External"/><Relationship Id="rId877" Type="http://schemas.openxmlformats.org/officeDocument/2006/relationships/hyperlink" Target="https://i.ibb.co/DznB5q4/Itau.png" TargetMode="External"/><Relationship Id="rId878" Type="http://schemas.openxmlformats.org/officeDocument/2006/relationships/hyperlink" Target="https://i.ibb.co/DznB5q4/Itau.png" TargetMode="External"/><Relationship Id="rId879" Type="http://schemas.openxmlformats.org/officeDocument/2006/relationships/hyperlink" Target="https://i.ibb.co/DznB5q4/Itau.png" TargetMode="External"/><Relationship Id="rId880" Type="http://schemas.openxmlformats.org/officeDocument/2006/relationships/hyperlink" Target="https://i.ibb.co/DznB5q4/Itau.png" TargetMode="External"/><Relationship Id="rId881" Type="http://schemas.openxmlformats.org/officeDocument/2006/relationships/hyperlink" Target="https://i.ibb.co/DznB5q4/Itau.png" TargetMode="External"/><Relationship Id="rId882" Type="http://schemas.openxmlformats.org/officeDocument/2006/relationships/hyperlink" Target="https://i.ibb.co/DznB5q4/Itau.png" TargetMode="External"/><Relationship Id="rId883" Type="http://schemas.openxmlformats.org/officeDocument/2006/relationships/hyperlink" Target="https://i.ibb.co/DznB5q4/Itau.png" TargetMode="External"/><Relationship Id="rId884" Type="http://schemas.openxmlformats.org/officeDocument/2006/relationships/hyperlink" Target="https://i.ibb.co/DznB5q4/Itau.png" TargetMode="External"/><Relationship Id="rId885" Type="http://schemas.openxmlformats.org/officeDocument/2006/relationships/hyperlink" Target="https://i.ibb.co/DznB5q4/Itau.png" TargetMode="External"/><Relationship Id="rId886" Type="http://schemas.openxmlformats.org/officeDocument/2006/relationships/hyperlink" Target="https://i.ibb.co/DznB5q4/Itau.png" TargetMode="External"/><Relationship Id="rId887" Type="http://schemas.openxmlformats.org/officeDocument/2006/relationships/hyperlink" Target="https://i.ibb.co/DznB5q4/Itau.png" TargetMode="External"/><Relationship Id="rId888" Type="http://schemas.openxmlformats.org/officeDocument/2006/relationships/hyperlink" Target="https://i.ibb.co/DznB5q4/Itau.png" TargetMode="External"/><Relationship Id="rId889" Type="http://schemas.openxmlformats.org/officeDocument/2006/relationships/hyperlink" Target="https://i.ibb.co/DznB5q4/Itau.png" TargetMode="External"/><Relationship Id="rId890" Type="http://schemas.openxmlformats.org/officeDocument/2006/relationships/hyperlink" Target="https://i.ibb.co/DznB5q4/Itau.png" TargetMode="External"/><Relationship Id="rId891" Type="http://schemas.openxmlformats.org/officeDocument/2006/relationships/hyperlink" Target="https://i.ibb.co/DznB5q4/Itau.png" TargetMode="External"/><Relationship Id="rId892" Type="http://schemas.openxmlformats.org/officeDocument/2006/relationships/hyperlink" Target="https://i.ibb.co/DznB5q4/Itau.png" TargetMode="External"/><Relationship Id="rId893" Type="http://schemas.openxmlformats.org/officeDocument/2006/relationships/hyperlink" Target="https://i.ibb.co/DznB5q4/Itau.png" TargetMode="External"/><Relationship Id="rId894" Type="http://schemas.openxmlformats.org/officeDocument/2006/relationships/hyperlink" Target="https://i.ibb.co/DznB5q4/Itau.png" TargetMode="External"/><Relationship Id="rId895" Type="http://schemas.openxmlformats.org/officeDocument/2006/relationships/hyperlink" Target="https://i.ibb.co/DznB5q4/Itau.png" TargetMode="External"/><Relationship Id="rId896" Type="http://schemas.openxmlformats.org/officeDocument/2006/relationships/hyperlink" Target="https://i.ibb.co/DznB5q4/Itau.png" TargetMode="External"/><Relationship Id="rId897" Type="http://schemas.openxmlformats.org/officeDocument/2006/relationships/hyperlink" Target="https://i.ibb.co/DznB5q4/Itau.png" TargetMode="External"/><Relationship Id="rId898" Type="http://schemas.openxmlformats.org/officeDocument/2006/relationships/hyperlink" Target="https://i.ibb.co/DznB5q4/Itau.png" TargetMode="External"/><Relationship Id="rId899" Type="http://schemas.openxmlformats.org/officeDocument/2006/relationships/hyperlink" Target="https://i.ibb.co/DznB5q4/Itau.png" TargetMode="External"/><Relationship Id="rId900" Type="http://schemas.openxmlformats.org/officeDocument/2006/relationships/hyperlink" Target="https://i.ibb.co/DznB5q4/Itau.png" TargetMode="External"/><Relationship Id="rId901" Type="http://schemas.openxmlformats.org/officeDocument/2006/relationships/hyperlink" Target="https://i.ibb.co/DznB5q4/Itau.png" TargetMode="External"/><Relationship Id="rId902" Type="http://schemas.openxmlformats.org/officeDocument/2006/relationships/hyperlink" Target="https://i.ibb.co/DznB5q4/Itau.png" TargetMode="External"/><Relationship Id="rId903" Type="http://schemas.openxmlformats.org/officeDocument/2006/relationships/hyperlink" Target="https://i.ibb.co/DznB5q4/Itau.png" TargetMode="External"/><Relationship Id="rId904" Type="http://schemas.openxmlformats.org/officeDocument/2006/relationships/hyperlink" Target="https://i.ibb.co/DznB5q4/Itau.png" TargetMode="External"/><Relationship Id="rId905" Type="http://schemas.openxmlformats.org/officeDocument/2006/relationships/hyperlink" Target="https://i.ibb.co/DznB5q4/Itau.png" TargetMode="External"/><Relationship Id="rId906" Type="http://schemas.openxmlformats.org/officeDocument/2006/relationships/hyperlink" Target="https://i.ibb.co/DznB5q4/Itau.png" TargetMode="External"/><Relationship Id="rId907" Type="http://schemas.openxmlformats.org/officeDocument/2006/relationships/hyperlink" Target="https://i.ibb.co/DznB5q4/Itau.png" TargetMode="External"/><Relationship Id="rId908" Type="http://schemas.openxmlformats.org/officeDocument/2006/relationships/hyperlink" Target="https://i.ibb.co/DznB5q4/Itau.png" TargetMode="External"/><Relationship Id="rId909" Type="http://schemas.openxmlformats.org/officeDocument/2006/relationships/hyperlink" Target="https://i.ibb.co/DznB5q4/Itau.png" TargetMode="External"/><Relationship Id="rId910" Type="http://schemas.openxmlformats.org/officeDocument/2006/relationships/hyperlink" Target="https://i.ibb.co/DznB5q4/Itau.png" TargetMode="External"/><Relationship Id="rId911" Type="http://schemas.openxmlformats.org/officeDocument/2006/relationships/hyperlink" Target="https://i.ibb.co/DznB5q4/Itau.png" TargetMode="External"/><Relationship Id="rId912" Type="http://schemas.openxmlformats.org/officeDocument/2006/relationships/hyperlink" Target="https://i.ibb.co/DznB5q4/Itau.png" TargetMode="External"/><Relationship Id="rId913" Type="http://schemas.openxmlformats.org/officeDocument/2006/relationships/hyperlink" Target="https://i.ibb.co/DznB5q4/Itau.png" TargetMode="External"/><Relationship Id="rId914" Type="http://schemas.openxmlformats.org/officeDocument/2006/relationships/hyperlink" Target="https://i.ibb.co/DznB5q4/Itau.png" TargetMode="External"/><Relationship Id="rId915" Type="http://schemas.openxmlformats.org/officeDocument/2006/relationships/hyperlink" Target="https://i.ibb.co/DznB5q4/Itau.png" TargetMode="External"/><Relationship Id="rId916" Type="http://schemas.openxmlformats.org/officeDocument/2006/relationships/hyperlink" Target="https://i.ibb.co/DznB5q4/Itau.png" TargetMode="External"/><Relationship Id="rId917" Type="http://schemas.openxmlformats.org/officeDocument/2006/relationships/hyperlink" Target="https://i.ibb.co/DznB5q4/Itau.png" TargetMode="External"/><Relationship Id="rId918" Type="http://schemas.openxmlformats.org/officeDocument/2006/relationships/hyperlink" Target="https://i.ibb.co/DznB5q4/Itau.png" TargetMode="External"/><Relationship Id="rId919" Type="http://schemas.openxmlformats.org/officeDocument/2006/relationships/hyperlink" Target="https://i.ibb.co/DznB5q4/Itau.png" TargetMode="External"/><Relationship Id="rId920" Type="http://schemas.openxmlformats.org/officeDocument/2006/relationships/hyperlink" Target="https://i.ibb.co/DznB5q4/Itau.png" TargetMode="External"/><Relationship Id="rId921" Type="http://schemas.openxmlformats.org/officeDocument/2006/relationships/hyperlink" Target="https://i.ibb.co/DznB5q4/Itau.png" TargetMode="External"/><Relationship Id="rId922" Type="http://schemas.openxmlformats.org/officeDocument/2006/relationships/hyperlink" Target="https://i.ibb.co/DznB5q4/Itau.png" TargetMode="External"/><Relationship Id="rId923" Type="http://schemas.openxmlformats.org/officeDocument/2006/relationships/hyperlink" Target="https://i.ibb.co/DznB5q4/Itau.png" TargetMode="External"/><Relationship Id="rId924" Type="http://schemas.openxmlformats.org/officeDocument/2006/relationships/hyperlink" Target="https://i.ibb.co/DznB5q4/Itau.png" TargetMode="External"/><Relationship Id="rId925" Type="http://schemas.openxmlformats.org/officeDocument/2006/relationships/hyperlink" Target="https://i.ibb.co/DznB5q4/Itau.png" TargetMode="External"/><Relationship Id="rId926" Type="http://schemas.openxmlformats.org/officeDocument/2006/relationships/hyperlink" Target="https://i.ibb.co/DznB5q4/Itau.png" TargetMode="External"/><Relationship Id="rId927" Type="http://schemas.openxmlformats.org/officeDocument/2006/relationships/hyperlink" Target="https://i.ibb.co/DznB5q4/Itau.png" TargetMode="External"/><Relationship Id="rId928" Type="http://schemas.openxmlformats.org/officeDocument/2006/relationships/hyperlink" Target="https://i.ibb.co/DznB5q4/Itau.png" TargetMode="External"/><Relationship Id="rId929" Type="http://schemas.openxmlformats.org/officeDocument/2006/relationships/hyperlink" Target="https://i.ibb.co/DznB5q4/Itau.png" TargetMode="External"/><Relationship Id="rId930" Type="http://schemas.openxmlformats.org/officeDocument/2006/relationships/hyperlink" Target="https://i.ibb.co/DznB5q4/Itau.png" TargetMode="External"/><Relationship Id="rId931" Type="http://schemas.openxmlformats.org/officeDocument/2006/relationships/hyperlink" Target="https://i.ibb.co/DznB5q4/Itau.png" TargetMode="External"/><Relationship Id="rId932" Type="http://schemas.openxmlformats.org/officeDocument/2006/relationships/hyperlink" Target="https://i.ibb.co/DznB5q4/Itau.png" TargetMode="External"/><Relationship Id="rId933" Type="http://schemas.openxmlformats.org/officeDocument/2006/relationships/hyperlink" Target="https://i.ibb.co/DznB5q4/Itau.png" TargetMode="External"/><Relationship Id="rId934" Type="http://schemas.openxmlformats.org/officeDocument/2006/relationships/hyperlink" Target="https://i.ibb.co/DznB5q4/Itau.png" TargetMode="External"/><Relationship Id="rId935" Type="http://schemas.openxmlformats.org/officeDocument/2006/relationships/hyperlink" Target="https://i.ibb.co/DznB5q4/Itau.png" TargetMode="External"/><Relationship Id="rId936" Type="http://schemas.openxmlformats.org/officeDocument/2006/relationships/hyperlink" Target="https://i.ibb.co/DznB5q4/Itau.png" TargetMode="External"/><Relationship Id="rId937" Type="http://schemas.openxmlformats.org/officeDocument/2006/relationships/hyperlink" Target="https://i.ibb.co/DznB5q4/Itau.png" TargetMode="External"/><Relationship Id="rId938" Type="http://schemas.openxmlformats.org/officeDocument/2006/relationships/hyperlink" Target="https://i.ibb.co/DznB5q4/Itau.png" TargetMode="External"/><Relationship Id="rId939" Type="http://schemas.openxmlformats.org/officeDocument/2006/relationships/hyperlink" Target="https://i.ibb.co/DznB5q4/Itau.png" TargetMode="External"/><Relationship Id="rId940" Type="http://schemas.openxmlformats.org/officeDocument/2006/relationships/hyperlink" Target="https://i.ibb.co/DznB5q4/Itau.png" TargetMode="External"/><Relationship Id="rId941" Type="http://schemas.openxmlformats.org/officeDocument/2006/relationships/hyperlink" Target="https://i.ibb.co/DznB5q4/Itau.png" TargetMode="External"/><Relationship Id="rId942" Type="http://schemas.openxmlformats.org/officeDocument/2006/relationships/hyperlink" Target="https://i.ibb.co/DznB5q4/Itau.png" TargetMode="External"/><Relationship Id="rId943" Type="http://schemas.openxmlformats.org/officeDocument/2006/relationships/hyperlink" Target="https://i.ibb.co/DznB5q4/Itau.png" TargetMode="External"/><Relationship Id="rId944" Type="http://schemas.openxmlformats.org/officeDocument/2006/relationships/hyperlink" Target="https://i.ibb.co/DznB5q4/Itau.png" TargetMode="External"/><Relationship Id="rId945" Type="http://schemas.openxmlformats.org/officeDocument/2006/relationships/hyperlink" Target="https://i.ibb.co/DznB5q4/Itau.png" TargetMode="External"/><Relationship Id="rId946" Type="http://schemas.openxmlformats.org/officeDocument/2006/relationships/hyperlink" Target="https://i.ibb.co/DznB5q4/Itau.png" TargetMode="External"/><Relationship Id="rId947" Type="http://schemas.openxmlformats.org/officeDocument/2006/relationships/hyperlink" Target="https://i.ibb.co/DznB5q4/Itau.png" TargetMode="External"/><Relationship Id="rId948" Type="http://schemas.openxmlformats.org/officeDocument/2006/relationships/hyperlink" Target="https://i.ibb.co/DznB5q4/Itau.png" TargetMode="External"/><Relationship Id="rId949" Type="http://schemas.openxmlformats.org/officeDocument/2006/relationships/hyperlink" Target="https://i.ibb.co/DznB5q4/Itau.png" TargetMode="External"/><Relationship Id="rId950" Type="http://schemas.openxmlformats.org/officeDocument/2006/relationships/hyperlink" Target="https://i.ibb.co/DznB5q4/Itau.png" TargetMode="External"/><Relationship Id="rId951" Type="http://schemas.openxmlformats.org/officeDocument/2006/relationships/hyperlink" Target="https://i.ibb.co/DznB5q4/Itau.png" TargetMode="External"/><Relationship Id="rId952" Type="http://schemas.openxmlformats.org/officeDocument/2006/relationships/hyperlink" Target="https://i.ibb.co/DznB5q4/Itau.png" TargetMode="External"/><Relationship Id="rId953" Type="http://schemas.openxmlformats.org/officeDocument/2006/relationships/hyperlink" Target="https://i.ibb.co/DznB5q4/Itau.png" TargetMode="External"/><Relationship Id="rId954" Type="http://schemas.openxmlformats.org/officeDocument/2006/relationships/hyperlink" Target="https://i.ibb.co/DznB5q4/Itau.png" TargetMode="External"/><Relationship Id="rId955" Type="http://schemas.openxmlformats.org/officeDocument/2006/relationships/hyperlink" Target="https://i.ibb.co/DznB5q4/Itau.png" TargetMode="External"/><Relationship Id="rId956" Type="http://schemas.openxmlformats.org/officeDocument/2006/relationships/hyperlink" Target="https://i.ibb.co/DznB5q4/Itau.png" TargetMode="External"/><Relationship Id="rId957" Type="http://schemas.openxmlformats.org/officeDocument/2006/relationships/hyperlink" Target="https://i.ibb.co/DznB5q4/Itau.png" TargetMode="External"/><Relationship Id="rId958" Type="http://schemas.openxmlformats.org/officeDocument/2006/relationships/hyperlink" Target="https://i.ibb.co/DznB5q4/Itau.png" TargetMode="External"/><Relationship Id="rId959" Type="http://schemas.openxmlformats.org/officeDocument/2006/relationships/hyperlink" Target="https://i.ibb.co/DznB5q4/Itau.png" TargetMode="External"/><Relationship Id="rId960" Type="http://schemas.openxmlformats.org/officeDocument/2006/relationships/hyperlink" Target="https://i.ibb.co/DznB5q4/Itau.png" TargetMode="External"/><Relationship Id="rId961" Type="http://schemas.openxmlformats.org/officeDocument/2006/relationships/hyperlink" Target="https://i.ibb.co/DznB5q4/Itau.png" TargetMode="External"/><Relationship Id="rId962" Type="http://schemas.openxmlformats.org/officeDocument/2006/relationships/hyperlink" Target="https://i.ibb.co/DznB5q4/Itau.png" TargetMode="External"/><Relationship Id="rId963" Type="http://schemas.openxmlformats.org/officeDocument/2006/relationships/hyperlink" Target="https://i.ibb.co/DznB5q4/Itau.png" TargetMode="External"/><Relationship Id="rId964" Type="http://schemas.openxmlformats.org/officeDocument/2006/relationships/hyperlink" Target="https://i.ibb.co/DznB5q4/Itau.png" TargetMode="External"/><Relationship Id="rId965" Type="http://schemas.openxmlformats.org/officeDocument/2006/relationships/hyperlink" Target="https://i.ibb.co/DznB5q4/Itau.png" TargetMode="External"/><Relationship Id="rId966" Type="http://schemas.openxmlformats.org/officeDocument/2006/relationships/hyperlink" Target="https://i.ibb.co/DznB5q4/Itau.png" TargetMode="External"/><Relationship Id="rId967" Type="http://schemas.openxmlformats.org/officeDocument/2006/relationships/hyperlink" Target="https://i.ibb.co/DznB5q4/Itau.png" TargetMode="External"/><Relationship Id="rId968" Type="http://schemas.openxmlformats.org/officeDocument/2006/relationships/hyperlink" Target="https://i.ibb.co/DznB5q4/Itau.png" TargetMode="External"/><Relationship Id="rId969" Type="http://schemas.openxmlformats.org/officeDocument/2006/relationships/hyperlink" Target="https://i.ibb.co/DznB5q4/Itau.png" TargetMode="External"/><Relationship Id="rId970" Type="http://schemas.openxmlformats.org/officeDocument/2006/relationships/hyperlink" Target="https://i.ibb.co/DznB5q4/Itau.png" TargetMode="External"/><Relationship Id="rId971" Type="http://schemas.openxmlformats.org/officeDocument/2006/relationships/hyperlink" Target="https://i.ibb.co/DznB5q4/Itau.png" TargetMode="External"/><Relationship Id="rId972" Type="http://schemas.openxmlformats.org/officeDocument/2006/relationships/hyperlink" Target="https://i.ibb.co/DznB5q4/Itau.png" TargetMode="External"/><Relationship Id="rId973" Type="http://schemas.openxmlformats.org/officeDocument/2006/relationships/hyperlink" Target="https://i.ibb.co/DznB5q4/Itau.png" TargetMode="External"/><Relationship Id="rId974" Type="http://schemas.openxmlformats.org/officeDocument/2006/relationships/hyperlink" Target="https://i.ibb.co/DznB5q4/Itau.png" TargetMode="External"/><Relationship Id="rId975" Type="http://schemas.openxmlformats.org/officeDocument/2006/relationships/hyperlink" Target="https://i.ibb.co/DznB5q4/Itau.png" TargetMode="External"/><Relationship Id="rId976" Type="http://schemas.openxmlformats.org/officeDocument/2006/relationships/hyperlink" Target="https://i.ibb.co/DznB5q4/Itau.png" TargetMode="External"/><Relationship Id="rId977" Type="http://schemas.openxmlformats.org/officeDocument/2006/relationships/hyperlink" Target="https://i.ibb.co/DznB5q4/Itau.png" TargetMode="External"/><Relationship Id="rId978" Type="http://schemas.openxmlformats.org/officeDocument/2006/relationships/hyperlink" Target="https://i.ibb.co/DznB5q4/Itau.png" TargetMode="External"/><Relationship Id="rId979" Type="http://schemas.openxmlformats.org/officeDocument/2006/relationships/hyperlink" Target="https://i.ibb.co/DznB5q4/Itau.png" TargetMode="External"/><Relationship Id="rId980" Type="http://schemas.openxmlformats.org/officeDocument/2006/relationships/hyperlink" Target="https://i.ibb.co/DznB5q4/Itau.png" TargetMode="External"/><Relationship Id="rId981" Type="http://schemas.openxmlformats.org/officeDocument/2006/relationships/hyperlink" Target="https://i.ibb.co/DznB5q4/Itau.png" TargetMode="External"/><Relationship Id="rId982" Type="http://schemas.openxmlformats.org/officeDocument/2006/relationships/hyperlink" Target="https://i.ibb.co/DznB5q4/Itau.png" TargetMode="External"/><Relationship Id="rId983" Type="http://schemas.openxmlformats.org/officeDocument/2006/relationships/hyperlink" Target="https://i.ibb.co/DznB5q4/Itau.png" TargetMode="External"/><Relationship Id="rId984" Type="http://schemas.openxmlformats.org/officeDocument/2006/relationships/hyperlink" Target="https://i.ibb.co/DznB5q4/Itau.png" TargetMode="External"/><Relationship Id="rId985" Type="http://schemas.openxmlformats.org/officeDocument/2006/relationships/hyperlink" Target="https://i.ibb.co/DznB5q4/Itau.png" TargetMode="External"/><Relationship Id="rId986" Type="http://schemas.openxmlformats.org/officeDocument/2006/relationships/hyperlink" Target="https://i.ibb.co/DznB5q4/Itau.png" TargetMode="External"/><Relationship Id="rId987" Type="http://schemas.openxmlformats.org/officeDocument/2006/relationships/hyperlink" Target="https://i.ibb.co/DznB5q4/Itau.png" TargetMode="External"/><Relationship Id="rId988" Type="http://schemas.openxmlformats.org/officeDocument/2006/relationships/hyperlink" Target="https://i.ibb.co/DznB5q4/Itau.png" TargetMode="External"/><Relationship Id="rId989" Type="http://schemas.openxmlformats.org/officeDocument/2006/relationships/hyperlink" Target="https://i.ibb.co/DznB5q4/Itau.png" TargetMode="External"/><Relationship Id="rId990" Type="http://schemas.openxmlformats.org/officeDocument/2006/relationships/hyperlink" Target="https://i.ibb.co/DznB5q4/Itau.png" TargetMode="External"/><Relationship Id="rId991" Type="http://schemas.openxmlformats.org/officeDocument/2006/relationships/hyperlink" Target="https://i.ibb.co/DznB5q4/Itau.png" TargetMode="External"/><Relationship Id="rId992" Type="http://schemas.openxmlformats.org/officeDocument/2006/relationships/hyperlink" Target="https://i.ibb.co/DznB5q4/Itau.png" TargetMode="External"/><Relationship Id="rId993" Type="http://schemas.openxmlformats.org/officeDocument/2006/relationships/hyperlink" Target="https://i.ibb.co/DznB5q4/Itau.png" TargetMode="External"/><Relationship Id="rId994" Type="http://schemas.openxmlformats.org/officeDocument/2006/relationships/hyperlink" Target="https://i.ibb.co/DznB5q4/Itau.png" TargetMode="External"/><Relationship Id="rId995" Type="http://schemas.openxmlformats.org/officeDocument/2006/relationships/hyperlink" Target="https://i.ibb.co/DznB5q4/Itau.png" TargetMode="External"/><Relationship Id="rId996" Type="http://schemas.openxmlformats.org/officeDocument/2006/relationships/hyperlink" Target="https://i.ibb.co/DznB5q4/Itau.png" TargetMode="External"/><Relationship Id="rId997" Type="http://schemas.openxmlformats.org/officeDocument/2006/relationships/hyperlink" Target="https://i.ibb.co/DznB5q4/Itau.png" TargetMode="External"/><Relationship Id="rId998" Type="http://schemas.openxmlformats.org/officeDocument/2006/relationships/hyperlink" Target="https://i.ibb.co/DznB5q4/Itau.png" TargetMode="External"/><Relationship Id="rId999" Type="http://schemas.openxmlformats.org/officeDocument/2006/relationships/hyperlink" Target="https://i.ibb.co/DznB5q4/Itau.png" TargetMode="External"/><Relationship Id="rId1000" Type="http://schemas.openxmlformats.org/officeDocument/2006/relationships/hyperlink" Target="https://i.ibb.co/DznB5q4/Itau.png" TargetMode="External"/><Relationship Id="rId1001" Type="http://schemas.openxmlformats.org/officeDocument/2006/relationships/hyperlink" Target="https://i.ibb.co/DznB5q4/Itau.png" TargetMode="External"/><Relationship Id="rId1002" Type="http://schemas.openxmlformats.org/officeDocument/2006/relationships/hyperlink" Target="https://i.ibb.co/DznB5q4/Itau.png" TargetMode="External"/><Relationship Id="rId1003" Type="http://schemas.openxmlformats.org/officeDocument/2006/relationships/hyperlink" Target="https://i.ibb.co/DznB5q4/Itau.png" TargetMode="External"/><Relationship Id="rId1004" Type="http://schemas.openxmlformats.org/officeDocument/2006/relationships/hyperlink" Target="https://i.ibb.co/DznB5q4/Itau.png" TargetMode="External"/><Relationship Id="rId1005" Type="http://schemas.openxmlformats.org/officeDocument/2006/relationships/hyperlink" Target="https://i.ibb.co/DznB5q4/Itau.png" TargetMode="External"/><Relationship Id="rId1006" Type="http://schemas.openxmlformats.org/officeDocument/2006/relationships/hyperlink" Target="https://i.ibb.co/DznB5q4/Itau.png" TargetMode="External"/><Relationship Id="rId1007" Type="http://schemas.openxmlformats.org/officeDocument/2006/relationships/hyperlink" Target="https://i.ibb.co/DznB5q4/Itau.png" TargetMode="External"/><Relationship Id="rId1008" Type="http://schemas.openxmlformats.org/officeDocument/2006/relationships/hyperlink" Target="https://i.ibb.co/DznB5q4/Itau.png" TargetMode="External"/><Relationship Id="rId1009" Type="http://schemas.openxmlformats.org/officeDocument/2006/relationships/hyperlink" Target="https://i.ibb.co/DznB5q4/Itau.png" TargetMode="External"/><Relationship Id="rId1010" Type="http://schemas.openxmlformats.org/officeDocument/2006/relationships/hyperlink" Target="https://i.ibb.co/DznB5q4/Itau.png" TargetMode="External"/><Relationship Id="rId1011" Type="http://schemas.openxmlformats.org/officeDocument/2006/relationships/hyperlink" Target="https://i.ibb.co/DznB5q4/Itau.png" TargetMode="External"/><Relationship Id="rId1012" Type="http://schemas.openxmlformats.org/officeDocument/2006/relationships/hyperlink" Target="https://i.ibb.co/DznB5q4/Itau.png" TargetMode="External"/><Relationship Id="rId1013" Type="http://schemas.openxmlformats.org/officeDocument/2006/relationships/hyperlink" Target="https://i.ibb.co/DznB5q4/Itau.png" TargetMode="External"/><Relationship Id="rId1014" Type="http://schemas.openxmlformats.org/officeDocument/2006/relationships/hyperlink" Target="https://i.ibb.co/DznB5q4/Itau.png" TargetMode="External"/><Relationship Id="rId1015" Type="http://schemas.openxmlformats.org/officeDocument/2006/relationships/hyperlink" Target="https://i.ibb.co/DznB5q4/Itau.png" TargetMode="External"/><Relationship Id="rId1016" Type="http://schemas.openxmlformats.org/officeDocument/2006/relationships/hyperlink" Target="https://i.ibb.co/DznB5q4/Itau.png" TargetMode="External"/><Relationship Id="rId1017" Type="http://schemas.openxmlformats.org/officeDocument/2006/relationships/hyperlink" Target="https://i.ibb.co/DznB5q4/Itau.png" TargetMode="External"/><Relationship Id="rId1018" Type="http://schemas.openxmlformats.org/officeDocument/2006/relationships/hyperlink" Target="https://i.ibb.co/DznB5q4/Itau.png" TargetMode="External"/><Relationship Id="rId1019" Type="http://schemas.openxmlformats.org/officeDocument/2006/relationships/hyperlink" Target="https://i.ibb.co/DznB5q4/Itau.png" TargetMode="External"/><Relationship Id="rId1020" Type="http://schemas.openxmlformats.org/officeDocument/2006/relationships/hyperlink" Target="https://i.ibb.co/DznB5q4/Itau.png" TargetMode="External"/><Relationship Id="rId1021" Type="http://schemas.openxmlformats.org/officeDocument/2006/relationships/hyperlink" Target="https://i.ibb.co/DznB5q4/Itau.png" TargetMode="External"/><Relationship Id="rId1022" Type="http://schemas.openxmlformats.org/officeDocument/2006/relationships/hyperlink" Target="https://i.ibb.co/DznB5q4/Itau.png" TargetMode="External"/><Relationship Id="rId1023" Type="http://schemas.openxmlformats.org/officeDocument/2006/relationships/hyperlink" Target="https://i.ibb.co/DznB5q4/Itau.png" TargetMode="External"/><Relationship Id="rId1024" Type="http://schemas.openxmlformats.org/officeDocument/2006/relationships/hyperlink" Target="https://i.ibb.co/DznB5q4/Itau.png" TargetMode="External"/><Relationship Id="rId1025" Type="http://schemas.openxmlformats.org/officeDocument/2006/relationships/hyperlink" Target="https://i.ibb.co/DznB5q4/Itau.png" TargetMode="External"/><Relationship Id="rId1026" Type="http://schemas.openxmlformats.org/officeDocument/2006/relationships/hyperlink" Target="https://i.ibb.co/DznB5q4/Itau.png" TargetMode="External"/><Relationship Id="rId1027" Type="http://schemas.openxmlformats.org/officeDocument/2006/relationships/hyperlink" Target="https://i.ibb.co/DznB5q4/Itau.png" TargetMode="External"/><Relationship Id="rId1028" Type="http://schemas.openxmlformats.org/officeDocument/2006/relationships/hyperlink" Target="https://i.ibb.co/DznB5q4/Itau.png" TargetMode="External"/><Relationship Id="rId1029" Type="http://schemas.openxmlformats.org/officeDocument/2006/relationships/hyperlink" Target="https://i.ibb.co/DznB5q4/Itau.png" TargetMode="External"/><Relationship Id="rId1030" Type="http://schemas.openxmlformats.org/officeDocument/2006/relationships/hyperlink" Target="https://i.ibb.co/DznB5q4/Itau.png" TargetMode="External"/><Relationship Id="rId1031" Type="http://schemas.openxmlformats.org/officeDocument/2006/relationships/hyperlink" Target="https://i.ibb.co/DznB5q4/Itau.png" TargetMode="External"/><Relationship Id="rId1032" Type="http://schemas.openxmlformats.org/officeDocument/2006/relationships/hyperlink" Target="https://i.ibb.co/DznB5q4/Itau.png" TargetMode="External"/><Relationship Id="rId1033" Type="http://schemas.openxmlformats.org/officeDocument/2006/relationships/hyperlink" Target="https://i.ibb.co/DznB5q4/Itau.png" TargetMode="External"/><Relationship Id="rId1034" Type="http://schemas.openxmlformats.org/officeDocument/2006/relationships/hyperlink" Target="https://i.ibb.co/DznB5q4/Itau.png" TargetMode="External"/><Relationship Id="rId1035" Type="http://schemas.openxmlformats.org/officeDocument/2006/relationships/hyperlink" Target="https://i.ibb.co/DznB5q4/Itau.png" TargetMode="External"/><Relationship Id="rId1036" Type="http://schemas.openxmlformats.org/officeDocument/2006/relationships/hyperlink" Target="https://i.ibb.co/DznB5q4/Itau.png" TargetMode="External"/><Relationship Id="rId1037" Type="http://schemas.openxmlformats.org/officeDocument/2006/relationships/hyperlink" Target="https://i.ibb.co/DznB5q4/Itau.png" TargetMode="External"/><Relationship Id="rId1038" Type="http://schemas.openxmlformats.org/officeDocument/2006/relationships/hyperlink" Target="https://i.ibb.co/DznB5q4/Itau.png" TargetMode="External"/><Relationship Id="rId1039" Type="http://schemas.openxmlformats.org/officeDocument/2006/relationships/hyperlink" Target="https://i.ibb.co/DznB5q4/Itau.png" TargetMode="External"/><Relationship Id="rId1040" Type="http://schemas.openxmlformats.org/officeDocument/2006/relationships/hyperlink" Target="https://i.ibb.co/DznB5q4/Itau.png" TargetMode="External"/><Relationship Id="rId1041" Type="http://schemas.openxmlformats.org/officeDocument/2006/relationships/hyperlink" Target="https://i.ibb.co/DznB5q4/Itau.png" TargetMode="External"/><Relationship Id="rId1042" Type="http://schemas.openxmlformats.org/officeDocument/2006/relationships/hyperlink" Target="https://i.ibb.co/DznB5q4/Itau.png" TargetMode="External"/><Relationship Id="rId1043" Type="http://schemas.openxmlformats.org/officeDocument/2006/relationships/hyperlink" Target="https://i.ibb.co/DznB5q4/Itau.png" TargetMode="External"/><Relationship Id="rId1044" Type="http://schemas.openxmlformats.org/officeDocument/2006/relationships/hyperlink" Target="https://i.ibb.co/DznB5q4/Itau.png" TargetMode="External"/><Relationship Id="rId1045" Type="http://schemas.openxmlformats.org/officeDocument/2006/relationships/hyperlink" Target="https://i.ibb.co/DznB5q4/Itau.png" TargetMode="External"/><Relationship Id="rId1046" Type="http://schemas.openxmlformats.org/officeDocument/2006/relationships/hyperlink" Target="https://i.ibb.co/DznB5q4/Itau.png" TargetMode="External"/><Relationship Id="rId1047" Type="http://schemas.openxmlformats.org/officeDocument/2006/relationships/hyperlink" Target="https://i.ibb.co/DznB5q4/Itau.png" TargetMode="External"/><Relationship Id="rId1048" Type="http://schemas.openxmlformats.org/officeDocument/2006/relationships/hyperlink" Target="https://i.ibb.co/DznB5q4/Itau.png" TargetMode="External"/><Relationship Id="rId1049" Type="http://schemas.openxmlformats.org/officeDocument/2006/relationships/hyperlink" Target="https://i.ibb.co/DznB5q4/Itau.png" TargetMode="External"/><Relationship Id="rId1050" Type="http://schemas.openxmlformats.org/officeDocument/2006/relationships/hyperlink" Target="https://i.ibb.co/DznB5q4/Itau.png" TargetMode="External"/><Relationship Id="rId1051" Type="http://schemas.openxmlformats.org/officeDocument/2006/relationships/hyperlink" Target="https://i.ibb.co/DznB5q4/Itau.png" TargetMode="External"/><Relationship Id="rId1052" Type="http://schemas.openxmlformats.org/officeDocument/2006/relationships/hyperlink" Target="https://i.ibb.co/DznB5q4/Itau.png" TargetMode="External"/><Relationship Id="rId1053" Type="http://schemas.openxmlformats.org/officeDocument/2006/relationships/hyperlink" Target="https://i.ibb.co/DznB5q4/Itau.png" TargetMode="External"/><Relationship Id="rId1054" Type="http://schemas.openxmlformats.org/officeDocument/2006/relationships/hyperlink" Target="https://i.ibb.co/DznB5q4/Itau.png" TargetMode="External"/><Relationship Id="rId1055" Type="http://schemas.openxmlformats.org/officeDocument/2006/relationships/hyperlink" Target="https://i.ibb.co/DznB5q4/Itau.png" TargetMode="External"/><Relationship Id="rId1056" Type="http://schemas.openxmlformats.org/officeDocument/2006/relationships/hyperlink" Target="https://i.ibb.co/DznB5q4/Itau.png" TargetMode="External"/><Relationship Id="rId1057" Type="http://schemas.openxmlformats.org/officeDocument/2006/relationships/hyperlink" Target="https://i.ibb.co/DznB5q4/Itau.png" TargetMode="External"/><Relationship Id="rId1058" Type="http://schemas.openxmlformats.org/officeDocument/2006/relationships/hyperlink" Target="https://i.ibb.co/DznB5q4/Itau.png" TargetMode="External"/><Relationship Id="rId1059" Type="http://schemas.openxmlformats.org/officeDocument/2006/relationships/hyperlink" Target="https://i.ibb.co/DznB5q4/Itau.png" TargetMode="External"/><Relationship Id="rId1060" Type="http://schemas.openxmlformats.org/officeDocument/2006/relationships/hyperlink" Target="https://i.ibb.co/DznB5q4/Itau.png" TargetMode="External"/><Relationship Id="rId1061" Type="http://schemas.openxmlformats.org/officeDocument/2006/relationships/hyperlink" Target="https://i.ibb.co/DznB5q4/Itau.png" TargetMode="External"/><Relationship Id="rId1062" Type="http://schemas.openxmlformats.org/officeDocument/2006/relationships/hyperlink" Target="https://i.ibb.co/DznB5q4/Itau.png" TargetMode="External"/><Relationship Id="rId1063" Type="http://schemas.openxmlformats.org/officeDocument/2006/relationships/hyperlink" Target="https://i.ibb.co/DznB5q4/Itau.png" TargetMode="External"/><Relationship Id="rId1064" Type="http://schemas.openxmlformats.org/officeDocument/2006/relationships/hyperlink" Target="https://i.ibb.co/DznB5q4/Itau.png" TargetMode="External"/><Relationship Id="rId1065" Type="http://schemas.openxmlformats.org/officeDocument/2006/relationships/hyperlink" Target="https://i.ibb.co/DznB5q4/Itau.png" TargetMode="External"/><Relationship Id="rId1066" Type="http://schemas.openxmlformats.org/officeDocument/2006/relationships/hyperlink" Target="https://i.ibb.co/DznB5q4/Itau.png" TargetMode="External"/><Relationship Id="rId1067" Type="http://schemas.openxmlformats.org/officeDocument/2006/relationships/hyperlink" Target="https://i.ibb.co/DznB5q4/Itau.png" TargetMode="External"/><Relationship Id="rId1068" Type="http://schemas.openxmlformats.org/officeDocument/2006/relationships/hyperlink" Target="https://i.ibb.co/DznB5q4/Itau.png" TargetMode="External"/><Relationship Id="rId1069" Type="http://schemas.openxmlformats.org/officeDocument/2006/relationships/hyperlink" Target="https://i.ibb.co/DznB5q4/Itau.png" TargetMode="External"/><Relationship Id="rId1070" Type="http://schemas.openxmlformats.org/officeDocument/2006/relationships/hyperlink" Target="https://i.ibb.co/DznB5q4/Itau.png" TargetMode="External"/><Relationship Id="rId1071" Type="http://schemas.openxmlformats.org/officeDocument/2006/relationships/hyperlink" Target="https://i.ibb.co/DznB5q4/Itau.png" TargetMode="External"/><Relationship Id="rId1072" Type="http://schemas.openxmlformats.org/officeDocument/2006/relationships/hyperlink" Target="https://i.ibb.co/DznB5q4/Itau.png" TargetMode="External"/><Relationship Id="rId1073" Type="http://schemas.openxmlformats.org/officeDocument/2006/relationships/hyperlink" Target="https://i.ibb.co/DznB5q4/Itau.png" TargetMode="External"/><Relationship Id="rId1074" Type="http://schemas.openxmlformats.org/officeDocument/2006/relationships/hyperlink" Target="https://i.ibb.co/DznB5q4/Itau.png" TargetMode="External"/><Relationship Id="rId1075" Type="http://schemas.openxmlformats.org/officeDocument/2006/relationships/hyperlink" Target="https://i.ibb.co/DznB5q4/Itau.png" TargetMode="External"/><Relationship Id="rId1076" Type="http://schemas.openxmlformats.org/officeDocument/2006/relationships/hyperlink" Target="https://i.ibb.co/DznB5q4/Itau.png" TargetMode="External"/><Relationship Id="rId1077" Type="http://schemas.openxmlformats.org/officeDocument/2006/relationships/hyperlink" Target="https://i.ibb.co/DznB5q4/Itau.png" TargetMode="External"/><Relationship Id="rId1078" Type="http://schemas.openxmlformats.org/officeDocument/2006/relationships/hyperlink" Target="https://i.ibb.co/DznB5q4/Itau.png" TargetMode="External"/><Relationship Id="rId1079" Type="http://schemas.openxmlformats.org/officeDocument/2006/relationships/hyperlink" Target="https://i.ibb.co/DznB5q4/Itau.png" TargetMode="External"/><Relationship Id="rId1080" Type="http://schemas.openxmlformats.org/officeDocument/2006/relationships/hyperlink" Target="https://i.ibb.co/DznB5q4/Itau.png" TargetMode="External"/><Relationship Id="rId1081" Type="http://schemas.openxmlformats.org/officeDocument/2006/relationships/hyperlink" Target="https://i.ibb.co/DznB5q4/Itau.png" TargetMode="External"/><Relationship Id="rId1082" Type="http://schemas.openxmlformats.org/officeDocument/2006/relationships/hyperlink" Target="https://i.ibb.co/DznB5q4/Itau.png" TargetMode="External"/><Relationship Id="rId1083" Type="http://schemas.openxmlformats.org/officeDocument/2006/relationships/hyperlink" Target="https://i.ibb.co/DznB5q4/Itau.png" TargetMode="External"/><Relationship Id="rId1084" Type="http://schemas.openxmlformats.org/officeDocument/2006/relationships/hyperlink" Target="https://i.ibb.co/DznB5q4/Itau.png" TargetMode="External"/><Relationship Id="rId1085" Type="http://schemas.openxmlformats.org/officeDocument/2006/relationships/hyperlink" Target="https://i.ibb.co/DznB5q4/Itau.png" TargetMode="External"/><Relationship Id="rId1086" Type="http://schemas.openxmlformats.org/officeDocument/2006/relationships/hyperlink" Target="https://i.ibb.co/DznB5q4/Itau.png" TargetMode="External"/><Relationship Id="rId1087" Type="http://schemas.openxmlformats.org/officeDocument/2006/relationships/hyperlink" Target="https://i.ibb.co/DznB5q4/Itau.png" TargetMode="External"/><Relationship Id="rId1088" Type="http://schemas.openxmlformats.org/officeDocument/2006/relationships/hyperlink" Target="https://i.ibb.co/DznB5q4/Itau.png" TargetMode="External"/><Relationship Id="rId1089" Type="http://schemas.openxmlformats.org/officeDocument/2006/relationships/hyperlink" Target="https://i.ibb.co/DznB5q4/Itau.png" TargetMode="External"/><Relationship Id="rId1090" Type="http://schemas.openxmlformats.org/officeDocument/2006/relationships/hyperlink" Target="https://i.ibb.co/DznB5q4/Itau.png" TargetMode="External"/><Relationship Id="rId1091" Type="http://schemas.openxmlformats.org/officeDocument/2006/relationships/hyperlink" Target="https://i.ibb.co/DznB5q4/Itau.png" TargetMode="External"/><Relationship Id="rId1092" Type="http://schemas.openxmlformats.org/officeDocument/2006/relationships/hyperlink" Target="https://i.ibb.co/DznB5q4/Itau.png" TargetMode="External"/><Relationship Id="rId1093" Type="http://schemas.openxmlformats.org/officeDocument/2006/relationships/hyperlink" Target="https://i.ibb.co/DznB5q4/Itau.png" TargetMode="External"/><Relationship Id="rId1094" Type="http://schemas.openxmlformats.org/officeDocument/2006/relationships/hyperlink" Target="https://i.ibb.co/DznB5q4/Itau.png" TargetMode="External"/><Relationship Id="rId1095" Type="http://schemas.openxmlformats.org/officeDocument/2006/relationships/hyperlink" Target="https://i.ibb.co/DznB5q4/Itau.png" TargetMode="External"/><Relationship Id="rId1096" Type="http://schemas.openxmlformats.org/officeDocument/2006/relationships/hyperlink" Target="https://i.ibb.co/DznB5q4/Itau.png" TargetMode="External"/><Relationship Id="rId1097" Type="http://schemas.openxmlformats.org/officeDocument/2006/relationships/hyperlink" Target="https://i.ibb.co/DznB5q4/Itau.png" TargetMode="External"/><Relationship Id="rId1098" Type="http://schemas.openxmlformats.org/officeDocument/2006/relationships/hyperlink" Target="https://i.ibb.co/DznB5q4/Itau.png" TargetMode="External"/><Relationship Id="rId1099" Type="http://schemas.openxmlformats.org/officeDocument/2006/relationships/hyperlink" Target="https://i.ibb.co/DznB5q4/Itau.png" TargetMode="External"/><Relationship Id="rId1100" Type="http://schemas.openxmlformats.org/officeDocument/2006/relationships/hyperlink" Target="https://i.ibb.co/DznB5q4/Itau.png" TargetMode="External"/><Relationship Id="rId1101" Type="http://schemas.openxmlformats.org/officeDocument/2006/relationships/hyperlink" Target="https://i.ibb.co/DznB5q4/Itau.png" TargetMode="External"/><Relationship Id="rId1102" Type="http://schemas.openxmlformats.org/officeDocument/2006/relationships/hyperlink" Target="https://i.ibb.co/DznB5q4/Itau.png" TargetMode="External"/><Relationship Id="rId1103" Type="http://schemas.openxmlformats.org/officeDocument/2006/relationships/hyperlink" Target="https://i.ibb.co/DznB5q4/Itau.png" TargetMode="External"/><Relationship Id="rId1104" Type="http://schemas.openxmlformats.org/officeDocument/2006/relationships/hyperlink" Target="https://i.ibb.co/DznB5q4/Itau.png" TargetMode="External"/><Relationship Id="rId1105" Type="http://schemas.openxmlformats.org/officeDocument/2006/relationships/hyperlink" Target="https://i.ibb.co/DznB5q4/Itau.png" TargetMode="External"/><Relationship Id="rId1106" Type="http://schemas.openxmlformats.org/officeDocument/2006/relationships/hyperlink" Target="https://i.ibb.co/DznB5q4/Itau.png" TargetMode="External"/><Relationship Id="rId1107" Type="http://schemas.openxmlformats.org/officeDocument/2006/relationships/hyperlink" Target="https://i.ibb.co/DznB5q4/Itau.png" TargetMode="External"/><Relationship Id="rId1108" Type="http://schemas.openxmlformats.org/officeDocument/2006/relationships/hyperlink" Target="https://i.ibb.co/DznB5q4/Itau.png" TargetMode="External"/><Relationship Id="rId1109" Type="http://schemas.openxmlformats.org/officeDocument/2006/relationships/hyperlink" Target="https://i.ibb.co/DznB5q4/Itau.png" TargetMode="External"/><Relationship Id="rId1110" Type="http://schemas.openxmlformats.org/officeDocument/2006/relationships/hyperlink" Target="https://i.ibb.co/DznB5q4/Itau.png" TargetMode="External"/><Relationship Id="rId1111" Type="http://schemas.openxmlformats.org/officeDocument/2006/relationships/hyperlink" Target="https://i.ibb.co/DznB5q4/Itau.png" TargetMode="External"/><Relationship Id="rId1112" Type="http://schemas.openxmlformats.org/officeDocument/2006/relationships/hyperlink" Target="https://i.ibb.co/DznB5q4/Itau.png" TargetMode="External"/><Relationship Id="rId1113" Type="http://schemas.openxmlformats.org/officeDocument/2006/relationships/hyperlink" Target="https://i.ibb.co/DznB5q4/Itau.png" TargetMode="External"/><Relationship Id="rId1114" Type="http://schemas.openxmlformats.org/officeDocument/2006/relationships/hyperlink" Target="https://i.ibb.co/DznB5q4/Itau.png" TargetMode="External"/><Relationship Id="rId1115" Type="http://schemas.openxmlformats.org/officeDocument/2006/relationships/hyperlink" Target="https://i.ibb.co/DznB5q4/Itau.png" TargetMode="External"/><Relationship Id="rId1116" Type="http://schemas.openxmlformats.org/officeDocument/2006/relationships/hyperlink" Target="https://i.ibb.co/DznB5q4/Itau.png" TargetMode="External"/><Relationship Id="rId1117" Type="http://schemas.openxmlformats.org/officeDocument/2006/relationships/hyperlink" Target="https://i.ibb.co/DznB5q4/Itau.png" TargetMode="External"/><Relationship Id="rId1118" Type="http://schemas.openxmlformats.org/officeDocument/2006/relationships/hyperlink" Target="https://i.ibb.co/DznB5q4/Itau.png" TargetMode="External"/><Relationship Id="rId1119" Type="http://schemas.openxmlformats.org/officeDocument/2006/relationships/hyperlink" Target="https://i.ibb.co/DznB5q4/Itau.png" TargetMode="External"/><Relationship Id="rId1120" Type="http://schemas.openxmlformats.org/officeDocument/2006/relationships/hyperlink" Target="https://i.ibb.co/DznB5q4/Itau.png" TargetMode="External"/><Relationship Id="rId1121" Type="http://schemas.openxmlformats.org/officeDocument/2006/relationships/hyperlink" Target="https://i.ibb.co/DznB5q4/Itau.png" TargetMode="External"/><Relationship Id="rId1122" Type="http://schemas.openxmlformats.org/officeDocument/2006/relationships/hyperlink" Target="https://i.ibb.co/DznB5q4/Itau.png" TargetMode="External"/><Relationship Id="rId1123" Type="http://schemas.openxmlformats.org/officeDocument/2006/relationships/hyperlink" Target="https://i.ibb.co/DznB5q4/Itau.png" TargetMode="External"/><Relationship Id="rId1124" Type="http://schemas.openxmlformats.org/officeDocument/2006/relationships/hyperlink" Target="https://i.ibb.co/DznB5q4/Itau.png" TargetMode="External"/><Relationship Id="rId1125" Type="http://schemas.openxmlformats.org/officeDocument/2006/relationships/hyperlink" Target="https://i.ibb.co/DznB5q4/Itau.png" TargetMode="External"/><Relationship Id="rId1126" Type="http://schemas.openxmlformats.org/officeDocument/2006/relationships/hyperlink" Target="https://i.ibb.co/DznB5q4/Itau.png" TargetMode="External"/><Relationship Id="rId1127" Type="http://schemas.openxmlformats.org/officeDocument/2006/relationships/hyperlink" Target="https://i.ibb.co/DznB5q4/Itau.png" TargetMode="External"/><Relationship Id="rId1128" Type="http://schemas.openxmlformats.org/officeDocument/2006/relationships/hyperlink" Target="https://i.ibb.co/DznB5q4/Itau.png" TargetMode="External"/><Relationship Id="rId1129" Type="http://schemas.openxmlformats.org/officeDocument/2006/relationships/hyperlink" Target="https://i.ibb.co/DznB5q4/Itau.png" TargetMode="External"/><Relationship Id="rId1130" Type="http://schemas.openxmlformats.org/officeDocument/2006/relationships/hyperlink" Target="https://i.ibb.co/DznB5q4/Itau.png" TargetMode="External"/><Relationship Id="rId1131" Type="http://schemas.openxmlformats.org/officeDocument/2006/relationships/hyperlink" Target="https://i.ibb.co/DznB5q4/Itau.png" TargetMode="External"/><Relationship Id="rId1132" Type="http://schemas.openxmlformats.org/officeDocument/2006/relationships/hyperlink" Target="https://i.ibb.co/DznB5q4/Itau.png" TargetMode="External"/><Relationship Id="rId1133" Type="http://schemas.openxmlformats.org/officeDocument/2006/relationships/hyperlink" Target="https://i.ibb.co/DznB5q4/Itau.png" TargetMode="External"/><Relationship Id="rId1134" Type="http://schemas.openxmlformats.org/officeDocument/2006/relationships/hyperlink" Target="https://i.ibb.co/DznB5q4/Itau.png" TargetMode="External"/><Relationship Id="rId1135" Type="http://schemas.openxmlformats.org/officeDocument/2006/relationships/hyperlink" Target="https://i.ibb.co/DznB5q4/Itau.png" TargetMode="External"/><Relationship Id="rId1136" Type="http://schemas.openxmlformats.org/officeDocument/2006/relationships/hyperlink" Target="https://i.ibb.co/DznB5q4/Itau.png" TargetMode="External"/><Relationship Id="rId1137" Type="http://schemas.openxmlformats.org/officeDocument/2006/relationships/hyperlink" Target="https://i.ibb.co/DznB5q4/Itau.png" TargetMode="External"/><Relationship Id="rId1138" Type="http://schemas.openxmlformats.org/officeDocument/2006/relationships/hyperlink" Target="https://i.ibb.co/DznB5q4/Itau.png" TargetMode="External"/><Relationship Id="rId1139" Type="http://schemas.openxmlformats.org/officeDocument/2006/relationships/hyperlink" Target="https://i.ibb.co/DznB5q4/Itau.png" TargetMode="External"/><Relationship Id="rId1140" Type="http://schemas.openxmlformats.org/officeDocument/2006/relationships/hyperlink" Target="https://i.ibb.co/DznB5q4/Itau.png" TargetMode="External"/><Relationship Id="rId1141" Type="http://schemas.openxmlformats.org/officeDocument/2006/relationships/hyperlink" Target="https://i.ibb.co/DznB5q4/Itau.png" TargetMode="External"/><Relationship Id="rId1142" Type="http://schemas.openxmlformats.org/officeDocument/2006/relationships/hyperlink" Target="https://i.ibb.co/DznB5q4/Itau.png" TargetMode="External"/><Relationship Id="rId1143" Type="http://schemas.openxmlformats.org/officeDocument/2006/relationships/hyperlink" Target="https://i.ibb.co/DznB5q4/Itau.png" TargetMode="External"/><Relationship Id="rId1144" Type="http://schemas.openxmlformats.org/officeDocument/2006/relationships/hyperlink" Target="https://i.ibb.co/DznB5q4/Itau.png" TargetMode="External"/><Relationship Id="rId1145" Type="http://schemas.openxmlformats.org/officeDocument/2006/relationships/hyperlink" Target="https://i.ibb.co/DznB5q4/Itau.png" TargetMode="External"/><Relationship Id="rId1146" Type="http://schemas.openxmlformats.org/officeDocument/2006/relationships/hyperlink" Target="https://i.ibb.co/DznB5q4/Itau.png" TargetMode="External"/><Relationship Id="rId1147" Type="http://schemas.openxmlformats.org/officeDocument/2006/relationships/hyperlink" Target="https://i.ibb.co/DznB5q4/Itau.png" TargetMode="External"/><Relationship Id="rId1148" Type="http://schemas.openxmlformats.org/officeDocument/2006/relationships/hyperlink" Target="https://i.ibb.co/DznB5q4/Itau.png" TargetMode="External"/><Relationship Id="rId1149" Type="http://schemas.openxmlformats.org/officeDocument/2006/relationships/hyperlink" Target="https://i.ibb.co/DznB5q4/Itau.png" TargetMode="External"/><Relationship Id="rId1150" Type="http://schemas.openxmlformats.org/officeDocument/2006/relationships/hyperlink" Target="https://i.ibb.co/DznB5q4/Itau.png" TargetMode="External"/><Relationship Id="rId1151" Type="http://schemas.openxmlformats.org/officeDocument/2006/relationships/hyperlink" Target="https://i.ibb.co/DznB5q4/Itau.png" TargetMode="External"/><Relationship Id="rId1152" Type="http://schemas.openxmlformats.org/officeDocument/2006/relationships/hyperlink" Target="https://i.ibb.co/DznB5q4/Itau.png" TargetMode="External"/><Relationship Id="rId1153" Type="http://schemas.openxmlformats.org/officeDocument/2006/relationships/hyperlink" Target="https://i.ibb.co/DznB5q4/Itau.png" TargetMode="External"/><Relationship Id="rId1154" Type="http://schemas.openxmlformats.org/officeDocument/2006/relationships/hyperlink" Target="https://i.ibb.co/DznB5q4/Itau.png" TargetMode="External"/><Relationship Id="rId1155" Type="http://schemas.openxmlformats.org/officeDocument/2006/relationships/hyperlink" Target="https://i.ibb.co/DznB5q4/Itau.png" TargetMode="External"/><Relationship Id="rId1156" Type="http://schemas.openxmlformats.org/officeDocument/2006/relationships/hyperlink" Target="https://i.ibb.co/DznB5q4/Itau.png" TargetMode="External"/><Relationship Id="rId1157" Type="http://schemas.openxmlformats.org/officeDocument/2006/relationships/hyperlink" Target="https://i.ibb.co/DznB5q4/Itau.png" TargetMode="External"/><Relationship Id="rId1158" Type="http://schemas.openxmlformats.org/officeDocument/2006/relationships/hyperlink" Target="https://i.ibb.co/DznB5q4/Itau.png" TargetMode="External"/><Relationship Id="rId1159" Type="http://schemas.openxmlformats.org/officeDocument/2006/relationships/hyperlink" Target="https://i.ibb.co/DznB5q4/Itau.png" TargetMode="External"/><Relationship Id="rId1160" Type="http://schemas.openxmlformats.org/officeDocument/2006/relationships/hyperlink" Target="https://i.ibb.co/DznB5q4/Itau.png" TargetMode="External"/><Relationship Id="rId1161" Type="http://schemas.openxmlformats.org/officeDocument/2006/relationships/hyperlink" Target="https://i.ibb.co/DznB5q4/Itau.png" TargetMode="External"/><Relationship Id="rId1162" Type="http://schemas.openxmlformats.org/officeDocument/2006/relationships/hyperlink" Target="https://i.ibb.co/DznB5q4/Itau.png" TargetMode="External"/><Relationship Id="rId1163" Type="http://schemas.openxmlformats.org/officeDocument/2006/relationships/hyperlink" Target="https://i.ibb.co/DznB5q4/Itau.png" TargetMode="External"/><Relationship Id="rId1164" Type="http://schemas.openxmlformats.org/officeDocument/2006/relationships/hyperlink" Target="https://i.ibb.co/DznB5q4/Itau.png" TargetMode="External"/><Relationship Id="rId1165" Type="http://schemas.openxmlformats.org/officeDocument/2006/relationships/hyperlink" Target="https://i.ibb.co/DznB5q4/Itau.png" TargetMode="External"/><Relationship Id="rId1166" Type="http://schemas.openxmlformats.org/officeDocument/2006/relationships/hyperlink" Target="https://i.ibb.co/DznB5q4/Itau.png" TargetMode="External"/><Relationship Id="rId1167" Type="http://schemas.openxmlformats.org/officeDocument/2006/relationships/hyperlink" Target="https://i.ibb.co/DznB5q4/Itau.png" TargetMode="External"/><Relationship Id="rId1168" Type="http://schemas.openxmlformats.org/officeDocument/2006/relationships/hyperlink" Target="https://i.ibb.co/DznB5q4/Itau.png" TargetMode="External"/><Relationship Id="rId1169" Type="http://schemas.openxmlformats.org/officeDocument/2006/relationships/hyperlink" Target="https://i.ibb.co/DznB5q4/Itau.png" TargetMode="External"/><Relationship Id="rId1170" Type="http://schemas.openxmlformats.org/officeDocument/2006/relationships/hyperlink" Target="https://i.ibb.co/DznB5q4/Itau.png" TargetMode="External"/><Relationship Id="rId1171" Type="http://schemas.openxmlformats.org/officeDocument/2006/relationships/hyperlink" Target="https://i.ibb.co/DznB5q4/Itau.png" TargetMode="External"/><Relationship Id="rId1172" Type="http://schemas.openxmlformats.org/officeDocument/2006/relationships/hyperlink" Target="https://i.ibb.co/DznB5q4/Itau.png" TargetMode="External"/><Relationship Id="rId1173" Type="http://schemas.openxmlformats.org/officeDocument/2006/relationships/hyperlink" Target="https://i.ibb.co/DznB5q4/Itau.png" TargetMode="External"/><Relationship Id="rId1174" Type="http://schemas.openxmlformats.org/officeDocument/2006/relationships/hyperlink" Target="https://i.ibb.co/DznB5q4/Itau.png" TargetMode="External"/><Relationship Id="rId1175" Type="http://schemas.openxmlformats.org/officeDocument/2006/relationships/hyperlink" Target="https://i.ibb.co/DznB5q4/Itau.png" TargetMode="External"/><Relationship Id="rId1176" Type="http://schemas.openxmlformats.org/officeDocument/2006/relationships/hyperlink" Target="https://i.ibb.co/DznB5q4/Itau.png" TargetMode="External"/><Relationship Id="rId1177" Type="http://schemas.openxmlformats.org/officeDocument/2006/relationships/hyperlink" Target="https://i.ibb.co/DznB5q4/Itau.png" TargetMode="External"/><Relationship Id="rId1178" Type="http://schemas.openxmlformats.org/officeDocument/2006/relationships/hyperlink" Target="https://i.ibb.co/DznB5q4/Itau.png" TargetMode="External"/><Relationship Id="rId1179" Type="http://schemas.openxmlformats.org/officeDocument/2006/relationships/hyperlink" Target="https://i.ibb.co/DznB5q4/Itau.png" TargetMode="External"/><Relationship Id="rId1180" Type="http://schemas.openxmlformats.org/officeDocument/2006/relationships/hyperlink" Target="https://i.ibb.co/DznB5q4/Itau.png" TargetMode="External"/><Relationship Id="rId1181" Type="http://schemas.openxmlformats.org/officeDocument/2006/relationships/hyperlink" Target="https://i.ibb.co/DznB5q4/Itau.png" TargetMode="External"/><Relationship Id="rId1182" Type="http://schemas.openxmlformats.org/officeDocument/2006/relationships/hyperlink" Target="https://i.ibb.co/DznB5q4/Itau.png" TargetMode="External"/><Relationship Id="rId1183" Type="http://schemas.openxmlformats.org/officeDocument/2006/relationships/hyperlink" Target="https://i.ibb.co/DznB5q4/Itau.png" TargetMode="External"/><Relationship Id="rId1184" Type="http://schemas.openxmlformats.org/officeDocument/2006/relationships/hyperlink" Target="https://i.ibb.co/DznB5q4/Itau.png" TargetMode="External"/><Relationship Id="rId1185" Type="http://schemas.openxmlformats.org/officeDocument/2006/relationships/hyperlink" Target="https://i.ibb.co/DznB5q4/Itau.png" TargetMode="External"/><Relationship Id="rId1186" Type="http://schemas.openxmlformats.org/officeDocument/2006/relationships/hyperlink" Target="https://i.ibb.co/DznB5q4/Itau.png" TargetMode="External"/><Relationship Id="rId1187" Type="http://schemas.openxmlformats.org/officeDocument/2006/relationships/hyperlink" Target="https://i.ibb.co/DznB5q4/Itau.png" TargetMode="External"/><Relationship Id="rId1188" Type="http://schemas.openxmlformats.org/officeDocument/2006/relationships/hyperlink" Target="https://i.ibb.co/DznB5q4/Itau.png" TargetMode="External"/><Relationship Id="rId1189" Type="http://schemas.openxmlformats.org/officeDocument/2006/relationships/hyperlink" Target="https://i.ibb.co/DznB5q4/Itau.png" TargetMode="External"/><Relationship Id="rId1190" Type="http://schemas.openxmlformats.org/officeDocument/2006/relationships/hyperlink" Target="https://i.ibb.co/DznB5q4/Itau.png" TargetMode="External"/><Relationship Id="rId1191" Type="http://schemas.openxmlformats.org/officeDocument/2006/relationships/hyperlink" Target="https://i.ibb.co/DznB5q4/Itau.png" TargetMode="External"/><Relationship Id="rId1192" Type="http://schemas.openxmlformats.org/officeDocument/2006/relationships/hyperlink" Target="https://i.ibb.co/DznB5q4/Itau.png" TargetMode="External"/><Relationship Id="rId1193" Type="http://schemas.openxmlformats.org/officeDocument/2006/relationships/hyperlink" Target="https://i.ibb.co/DznB5q4/Itau.png" TargetMode="External"/><Relationship Id="rId1194" Type="http://schemas.openxmlformats.org/officeDocument/2006/relationships/hyperlink" Target="https://i.ibb.co/DznB5q4/Itau.png" TargetMode="External"/><Relationship Id="rId1195" Type="http://schemas.openxmlformats.org/officeDocument/2006/relationships/hyperlink" Target="https://i.ibb.co/DznB5q4/Itau.png" TargetMode="External"/><Relationship Id="rId1196" Type="http://schemas.openxmlformats.org/officeDocument/2006/relationships/hyperlink" Target="https://i.ibb.co/DznB5q4/Itau.png" TargetMode="External"/><Relationship Id="rId1197" Type="http://schemas.openxmlformats.org/officeDocument/2006/relationships/hyperlink" Target="https://i.ibb.co/DznB5q4/Itau.png" TargetMode="External"/><Relationship Id="rId1198" Type="http://schemas.openxmlformats.org/officeDocument/2006/relationships/hyperlink" Target="https://i.ibb.co/DznB5q4/Itau.png" TargetMode="External"/><Relationship Id="rId1199" Type="http://schemas.openxmlformats.org/officeDocument/2006/relationships/hyperlink" Target="https://i.ibb.co/DznB5q4/Itau.png" TargetMode="External"/><Relationship Id="rId1200" Type="http://schemas.openxmlformats.org/officeDocument/2006/relationships/hyperlink" Target="https://i.ibb.co/DznB5q4/Itau.png" TargetMode="External"/><Relationship Id="rId1201" Type="http://schemas.openxmlformats.org/officeDocument/2006/relationships/hyperlink" Target="https://i.ibb.co/DznB5q4/Itau.png" TargetMode="External"/><Relationship Id="rId1202" Type="http://schemas.openxmlformats.org/officeDocument/2006/relationships/hyperlink" Target="https://i.ibb.co/DznB5q4/Itau.png" TargetMode="External"/><Relationship Id="rId1203" Type="http://schemas.openxmlformats.org/officeDocument/2006/relationships/hyperlink" Target="https://i.ibb.co/DznB5q4/Itau.png" TargetMode="External"/><Relationship Id="rId1204" Type="http://schemas.openxmlformats.org/officeDocument/2006/relationships/hyperlink" Target="https://i.ibb.co/DznB5q4/Itau.png" TargetMode="External"/><Relationship Id="rId1205" Type="http://schemas.openxmlformats.org/officeDocument/2006/relationships/hyperlink" Target="https://i.ibb.co/DznB5q4/Itau.png" TargetMode="External"/><Relationship Id="rId1206" Type="http://schemas.openxmlformats.org/officeDocument/2006/relationships/hyperlink" Target="https://i.ibb.co/DznB5q4/Itau.png" TargetMode="External"/><Relationship Id="rId1207" Type="http://schemas.openxmlformats.org/officeDocument/2006/relationships/hyperlink" Target="https://i.ibb.co/DznB5q4/Itau.png" TargetMode="External"/><Relationship Id="rId1208" Type="http://schemas.openxmlformats.org/officeDocument/2006/relationships/hyperlink" Target="https://i.ibb.co/DznB5q4/Itau.png" TargetMode="External"/><Relationship Id="rId1209" Type="http://schemas.openxmlformats.org/officeDocument/2006/relationships/hyperlink" Target="https://i.ibb.co/DznB5q4/Itau.png" TargetMode="External"/><Relationship Id="rId1210" Type="http://schemas.openxmlformats.org/officeDocument/2006/relationships/hyperlink" Target="https://i.ibb.co/DznB5q4/Itau.png" TargetMode="External"/><Relationship Id="rId1211" Type="http://schemas.openxmlformats.org/officeDocument/2006/relationships/hyperlink" Target="https://i.ibb.co/DznB5q4/Itau.png" TargetMode="External"/><Relationship Id="rId1212" Type="http://schemas.openxmlformats.org/officeDocument/2006/relationships/hyperlink" Target="https://i.ibb.co/DznB5q4/Itau.png" TargetMode="External"/><Relationship Id="rId1213" Type="http://schemas.openxmlformats.org/officeDocument/2006/relationships/hyperlink" Target="https://i.ibb.co/DznB5q4/Itau.png" TargetMode="External"/><Relationship Id="rId1214" Type="http://schemas.openxmlformats.org/officeDocument/2006/relationships/hyperlink" Target="https://i.ibb.co/DznB5q4/Itau.png" TargetMode="External"/><Relationship Id="rId1215" Type="http://schemas.openxmlformats.org/officeDocument/2006/relationships/hyperlink" Target="https://i.ibb.co/DznB5q4/Itau.png" TargetMode="External"/><Relationship Id="rId1216" Type="http://schemas.openxmlformats.org/officeDocument/2006/relationships/hyperlink" Target="https://i.ibb.co/DznB5q4/Itau.png" TargetMode="External"/><Relationship Id="rId1217" Type="http://schemas.openxmlformats.org/officeDocument/2006/relationships/hyperlink" Target="https://i.ibb.co/DznB5q4/Itau.png" TargetMode="External"/><Relationship Id="rId1218" Type="http://schemas.openxmlformats.org/officeDocument/2006/relationships/hyperlink" Target="https://i.ibb.co/DznB5q4/Itau.png" TargetMode="External"/><Relationship Id="rId1219" Type="http://schemas.openxmlformats.org/officeDocument/2006/relationships/hyperlink" Target="https://i.ibb.co/DznB5q4/Itau.png" TargetMode="External"/><Relationship Id="rId1220" Type="http://schemas.openxmlformats.org/officeDocument/2006/relationships/hyperlink" Target="https://i.ibb.co/DznB5q4/Itau.png" TargetMode="External"/><Relationship Id="rId1221" Type="http://schemas.openxmlformats.org/officeDocument/2006/relationships/hyperlink" Target="https://i.ibb.co/DznB5q4/Itau.png" TargetMode="External"/><Relationship Id="rId1222" Type="http://schemas.openxmlformats.org/officeDocument/2006/relationships/hyperlink" Target="https://i.ibb.co/DznB5q4/Itau.png" TargetMode="External"/><Relationship Id="rId1223" Type="http://schemas.openxmlformats.org/officeDocument/2006/relationships/hyperlink" Target="https://i.ibb.co/DznB5q4/Itau.png" TargetMode="External"/><Relationship Id="rId1224" Type="http://schemas.openxmlformats.org/officeDocument/2006/relationships/hyperlink" Target="https://i.ibb.co/DznB5q4/Itau.png" TargetMode="External"/><Relationship Id="rId1225" Type="http://schemas.openxmlformats.org/officeDocument/2006/relationships/hyperlink" Target="https://i.ibb.co/DznB5q4/Itau.png" TargetMode="External"/><Relationship Id="rId1226" Type="http://schemas.openxmlformats.org/officeDocument/2006/relationships/hyperlink" Target="https://i.ibb.co/DznB5q4/Itau.png" TargetMode="External"/><Relationship Id="rId1227" Type="http://schemas.openxmlformats.org/officeDocument/2006/relationships/hyperlink" Target="https://i.ibb.co/DznB5q4/Itau.png" TargetMode="External"/><Relationship Id="rId1228" Type="http://schemas.openxmlformats.org/officeDocument/2006/relationships/hyperlink" Target="https://i.ibb.co/DznB5q4/Itau.png" TargetMode="External"/><Relationship Id="rId1229" Type="http://schemas.openxmlformats.org/officeDocument/2006/relationships/hyperlink" Target="https://i.ibb.co/DznB5q4/Itau.png" TargetMode="External"/><Relationship Id="rId1230" Type="http://schemas.openxmlformats.org/officeDocument/2006/relationships/hyperlink" Target="https://i.ibb.co/DznB5q4/Itau.png" TargetMode="External"/><Relationship Id="rId1231" Type="http://schemas.openxmlformats.org/officeDocument/2006/relationships/hyperlink" Target="https://i.ibb.co/DznB5q4/Itau.png" TargetMode="External"/><Relationship Id="rId1232" Type="http://schemas.openxmlformats.org/officeDocument/2006/relationships/hyperlink" Target="https://i.ibb.co/DznB5q4/Itau.png" TargetMode="External"/><Relationship Id="rId1233" Type="http://schemas.openxmlformats.org/officeDocument/2006/relationships/hyperlink" Target="https://i.ibb.co/DznB5q4/Itau.png" TargetMode="External"/><Relationship Id="rId1234" Type="http://schemas.openxmlformats.org/officeDocument/2006/relationships/hyperlink" Target="https://i.ibb.co/DznB5q4/Itau.png" TargetMode="External"/><Relationship Id="rId1235" Type="http://schemas.openxmlformats.org/officeDocument/2006/relationships/hyperlink" Target="https://i.ibb.co/DznB5q4/Itau.png" TargetMode="External"/><Relationship Id="rId1236" Type="http://schemas.openxmlformats.org/officeDocument/2006/relationships/hyperlink" Target="https://i.ibb.co/DznB5q4/Itau.png" TargetMode="External"/><Relationship Id="rId1237" Type="http://schemas.openxmlformats.org/officeDocument/2006/relationships/hyperlink" Target="https://i.ibb.co/DznB5q4/Itau.png" TargetMode="External"/><Relationship Id="rId1238" Type="http://schemas.openxmlformats.org/officeDocument/2006/relationships/hyperlink" Target="https://i.ibb.co/DznB5q4/Itau.png" TargetMode="External"/><Relationship Id="rId1239" Type="http://schemas.openxmlformats.org/officeDocument/2006/relationships/hyperlink" Target="https://i.ibb.co/DznB5q4/Itau.png" TargetMode="External"/><Relationship Id="rId1240" Type="http://schemas.openxmlformats.org/officeDocument/2006/relationships/hyperlink" Target="https://i.ibb.co/DznB5q4/Itau.png" TargetMode="External"/><Relationship Id="rId1241" Type="http://schemas.openxmlformats.org/officeDocument/2006/relationships/hyperlink" Target="https://i.ibb.co/DznB5q4/Itau.png" TargetMode="External"/><Relationship Id="rId1242" Type="http://schemas.openxmlformats.org/officeDocument/2006/relationships/hyperlink" Target="https://i.ibb.co/DznB5q4/Itau.png" TargetMode="External"/><Relationship Id="rId1243" Type="http://schemas.openxmlformats.org/officeDocument/2006/relationships/hyperlink" Target="https://i.ibb.co/DznB5q4/Itau.png" TargetMode="External"/><Relationship Id="rId1244" Type="http://schemas.openxmlformats.org/officeDocument/2006/relationships/hyperlink" Target="https://i.ibb.co/DznB5q4/Itau.png" TargetMode="External"/><Relationship Id="rId1245" Type="http://schemas.openxmlformats.org/officeDocument/2006/relationships/hyperlink" Target="https://i.ibb.co/DznB5q4/Itau.png" TargetMode="External"/><Relationship Id="rId1246" Type="http://schemas.openxmlformats.org/officeDocument/2006/relationships/hyperlink" Target="https://i.ibb.co/DznB5q4/Itau.png" TargetMode="External"/><Relationship Id="rId1247" Type="http://schemas.openxmlformats.org/officeDocument/2006/relationships/hyperlink" Target="https://i.ibb.co/DznB5q4/Itau.png" TargetMode="External"/><Relationship Id="rId1248" Type="http://schemas.openxmlformats.org/officeDocument/2006/relationships/hyperlink" Target="https://i.ibb.co/DznB5q4/Itau.png" TargetMode="External"/><Relationship Id="rId1249" Type="http://schemas.openxmlformats.org/officeDocument/2006/relationships/hyperlink" Target="https://i.ibb.co/DznB5q4/Itau.png" TargetMode="External"/><Relationship Id="rId1250" Type="http://schemas.openxmlformats.org/officeDocument/2006/relationships/hyperlink" Target="https://i.ibb.co/DznB5q4/Itau.png" TargetMode="External"/><Relationship Id="rId1251" Type="http://schemas.openxmlformats.org/officeDocument/2006/relationships/hyperlink" Target="https://i.ibb.co/DznB5q4/Itau.png" TargetMode="External"/><Relationship Id="rId1252" Type="http://schemas.openxmlformats.org/officeDocument/2006/relationships/hyperlink" Target="https://i.ibb.co/DznB5q4/Itau.png" TargetMode="External"/><Relationship Id="rId1253" Type="http://schemas.openxmlformats.org/officeDocument/2006/relationships/hyperlink" Target="https://i.ibb.co/DznB5q4/Itau.png" TargetMode="External"/><Relationship Id="rId1254" Type="http://schemas.openxmlformats.org/officeDocument/2006/relationships/hyperlink" Target="https://i.ibb.co/DznB5q4/Itau.png" TargetMode="External"/><Relationship Id="rId1255" Type="http://schemas.openxmlformats.org/officeDocument/2006/relationships/hyperlink" Target="https://i.ibb.co/DznB5q4/Itau.png" TargetMode="External"/><Relationship Id="rId1256" Type="http://schemas.openxmlformats.org/officeDocument/2006/relationships/hyperlink" Target="https://i.ibb.co/DznB5q4/Itau.png" TargetMode="External"/><Relationship Id="rId1257" Type="http://schemas.openxmlformats.org/officeDocument/2006/relationships/hyperlink" Target="https://i.ibb.co/DznB5q4/Itau.png" TargetMode="External"/><Relationship Id="rId1258" Type="http://schemas.openxmlformats.org/officeDocument/2006/relationships/hyperlink" Target="https://i.ibb.co/DznB5q4/Itau.png" TargetMode="External"/><Relationship Id="rId1259" Type="http://schemas.openxmlformats.org/officeDocument/2006/relationships/hyperlink" Target="https://i.ibb.co/DznB5q4/Itau.png" TargetMode="External"/><Relationship Id="rId1260" Type="http://schemas.openxmlformats.org/officeDocument/2006/relationships/hyperlink" Target="https://i.ibb.co/DznB5q4/Itau.png" TargetMode="External"/><Relationship Id="rId1261" Type="http://schemas.openxmlformats.org/officeDocument/2006/relationships/hyperlink" Target="https://i.ibb.co/DznB5q4/Itau.png" TargetMode="External"/><Relationship Id="rId1262" Type="http://schemas.openxmlformats.org/officeDocument/2006/relationships/hyperlink" Target="https://i.ibb.co/DznB5q4/Itau.png" TargetMode="External"/><Relationship Id="rId1263" Type="http://schemas.openxmlformats.org/officeDocument/2006/relationships/hyperlink" Target="https://i.ibb.co/DznB5q4/Itau.png" TargetMode="External"/><Relationship Id="rId1264" Type="http://schemas.openxmlformats.org/officeDocument/2006/relationships/hyperlink" Target="https://i.ibb.co/DznB5q4/Itau.png" TargetMode="External"/><Relationship Id="rId1265" Type="http://schemas.openxmlformats.org/officeDocument/2006/relationships/hyperlink" Target="https://i.ibb.co/DznB5q4/Itau.png" TargetMode="External"/><Relationship Id="rId1266" Type="http://schemas.openxmlformats.org/officeDocument/2006/relationships/hyperlink" Target="https://i.ibb.co/DznB5q4/Itau.png" TargetMode="External"/><Relationship Id="rId1267" Type="http://schemas.openxmlformats.org/officeDocument/2006/relationships/hyperlink" Target="https://i.ibb.co/DznB5q4/Itau.png" TargetMode="External"/><Relationship Id="rId1268" Type="http://schemas.openxmlformats.org/officeDocument/2006/relationships/hyperlink" Target="https://i.ibb.co/DznB5q4/Itau.png" TargetMode="External"/><Relationship Id="rId1269" Type="http://schemas.openxmlformats.org/officeDocument/2006/relationships/hyperlink" Target="https://i.ibb.co/DznB5q4/Itau.png" TargetMode="External"/><Relationship Id="rId1270" Type="http://schemas.openxmlformats.org/officeDocument/2006/relationships/hyperlink" Target="https://i.ibb.co/DznB5q4/Itau.png" TargetMode="External"/><Relationship Id="rId1271" Type="http://schemas.openxmlformats.org/officeDocument/2006/relationships/hyperlink" Target="https://i.ibb.co/DznB5q4/Itau.png" TargetMode="External"/><Relationship Id="rId1272" Type="http://schemas.openxmlformats.org/officeDocument/2006/relationships/hyperlink" Target="https://i.ibb.co/DznB5q4/Itau.png" TargetMode="External"/><Relationship Id="rId1273" Type="http://schemas.openxmlformats.org/officeDocument/2006/relationships/hyperlink" Target="https://i.ibb.co/DznB5q4/Itau.png" TargetMode="External"/><Relationship Id="rId1274" Type="http://schemas.openxmlformats.org/officeDocument/2006/relationships/hyperlink" Target="https://i.ibb.co/DznB5q4/Itau.png" TargetMode="External"/><Relationship Id="rId1275" Type="http://schemas.openxmlformats.org/officeDocument/2006/relationships/hyperlink" Target="https://i.ibb.co/DznB5q4/Itau.png" TargetMode="External"/><Relationship Id="rId1276" Type="http://schemas.openxmlformats.org/officeDocument/2006/relationships/hyperlink" Target="https://i.ibb.co/DznB5q4/Itau.png" TargetMode="External"/><Relationship Id="rId1277" Type="http://schemas.openxmlformats.org/officeDocument/2006/relationships/hyperlink" Target="https://i.ibb.co/DznB5q4/Itau.png" TargetMode="External"/><Relationship Id="rId1278" Type="http://schemas.openxmlformats.org/officeDocument/2006/relationships/hyperlink" Target="https://i.ibb.co/DznB5q4/Itau.png" TargetMode="External"/><Relationship Id="rId1279" Type="http://schemas.openxmlformats.org/officeDocument/2006/relationships/hyperlink" Target="https://i.ibb.co/DznB5q4/Itau.png" TargetMode="External"/><Relationship Id="rId1280" Type="http://schemas.openxmlformats.org/officeDocument/2006/relationships/hyperlink" Target="https://i.ibb.co/DznB5q4/Itau.png" TargetMode="External"/><Relationship Id="rId1281" Type="http://schemas.openxmlformats.org/officeDocument/2006/relationships/hyperlink" Target="https://i.ibb.co/DznB5q4/Itau.png" TargetMode="External"/><Relationship Id="rId1282" Type="http://schemas.openxmlformats.org/officeDocument/2006/relationships/hyperlink" Target="https://i.ibb.co/DznB5q4/Itau.png" TargetMode="External"/><Relationship Id="rId1283" Type="http://schemas.openxmlformats.org/officeDocument/2006/relationships/hyperlink" Target="https://i.ibb.co/DznB5q4/Itau.png" TargetMode="External"/><Relationship Id="rId1284" Type="http://schemas.openxmlformats.org/officeDocument/2006/relationships/hyperlink" Target="https://i.ibb.co/DznB5q4/Itau.png" TargetMode="External"/><Relationship Id="rId1285" Type="http://schemas.openxmlformats.org/officeDocument/2006/relationships/hyperlink" Target="https://i.ibb.co/DznB5q4/Itau.png" TargetMode="External"/><Relationship Id="rId1286" Type="http://schemas.openxmlformats.org/officeDocument/2006/relationships/hyperlink" Target="https://i.ibb.co/DznB5q4/Itau.png" TargetMode="External"/><Relationship Id="rId1287" Type="http://schemas.openxmlformats.org/officeDocument/2006/relationships/hyperlink" Target="https://i.ibb.co/DznB5q4/Itau.png" TargetMode="External"/><Relationship Id="rId1288" Type="http://schemas.openxmlformats.org/officeDocument/2006/relationships/hyperlink" Target="https://i.ibb.co/DznB5q4/Itau.png" TargetMode="External"/><Relationship Id="rId1289" Type="http://schemas.openxmlformats.org/officeDocument/2006/relationships/hyperlink" Target="https://i.ibb.co/DznB5q4/Itau.png" TargetMode="External"/><Relationship Id="rId1290" Type="http://schemas.openxmlformats.org/officeDocument/2006/relationships/hyperlink" Target="https://i.ibb.co/DznB5q4/Itau.png" TargetMode="External"/><Relationship Id="rId1291" Type="http://schemas.openxmlformats.org/officeDocument/2006/relationships/hyperlink" Target="https://i.ibb.co/DznB5q4/Itau.png" TargetMode="External"/><Relationship Id="rId1292" Type="http://schemas.openxmlformats.org/officeDocument/2006/relationships/hyperlink" Target="https://i.ibb.co/DznB5q4/Itau.png" TargetMode="External"/><Relationship Id="rId1293" Type="http://schemas.openxmlformats.org/officeDocument/2006/relationships/hyperlink" Target="https://i.ibb.co/DznB5q4/Itau.png" TargetMode="External"/><Relationship Id="rId1294" Type="http://schemas.openxmlformats.org/officeDocument/2006/relationships/hyperlink" Target="https://i.ibb.co/DznB5q4/Itau.png" TargetMode="External"/><Relationship Id="rId1295" Type="http://schemas.openxmlformats.org/officeDocument/2006/relationships/hyperlink" Target="https://i.ibb.co/DznB5q4/Itau.png" TargetMode="External"/><Relationship Id="rId1296" Type="http://schemas.openxmlformats.org/officeDocument/2006/relationships/hyperlink" Target="https://i.ibb.co/DznB5q4/Itau.png" TargetMode="External"/><Relationship Id="rId1297" Type="http://schemas.openxmlformats.org/officeDocument/2006/relationships/hyperlink" Target="https://i.ibb.co/DznB5q4/Itau.png" TargetMode="External"/><Relationship Id="rId1298" Type="http://schemas.openxmlformats.org/officeDocument/2006/relationships/hyperlink" Target="https://i.ibb.co/DznB5q4/Itau.png" TargetMode="External"/><Relationship Id="rId1299" Type="http://schemas.openxmlformats.org/officeDocument/2006/relationships/hyperlink" Target="https://i.ibb.co/DznB5q4/Itau.png" TargetMode="External"/><Relationship Id="rId1300" Type="http://schemas.openxmlformats.org/officeDocument/2006/relationships/hyperlink" Target="https://i.ibb.co/DznB5q4/Itau.png" TargetMode="External"/><Relationship Id="rId1301" Type="http://schemas.openxmlformats.org/officeDocument/2006/relationships/hyperlink" Target="https://i.ibb.co/DznB5q4/Itau.png" TargetMode="External"/><Relationship Id="rId1302" Type="http://schemas.openxmlformats.org/officeDocument/2006/relationships/hyperlink" Target="https://i.ibb.co/DznB5q4/Itau.png" TargetMode="External"/><Relationship Id="rId1303" Type="http://schemas.openxmlformats.org/officeDocument/2006/relationships/hyperlink" Target="https://i.ibb.co/DznB5q4/Itau.png" TargetMode="External"/><Relationship Id="rId1304" Type="http://schemas.openxmlformats.org/officeDocument/2006/relationships/hyperlink" Target="https://i.ibb.co/DznB5q4/Itau.png" TargetMode="External"/><Relationship Id="rId1305" Type="http://schemas.openxmlformats.org/officeDocument/2006/relationships/hyperlink" Target="https://i.ibb.co/DznB5q4/Itau.png" TargetMode="External"/><Relationship Id="rId1306" Type="http://schemas.openxmlformats.org/officeDocument/2006/relationships/hyperlink" Target="https://i.ibb.co/DznB5q4/Itau.png" TargetMode="External"/><Relationship Id="rId1307" Type="http://schemas.openxmlformats.org/officeDocument/2006/relationships/hyperlink" Target="https://i.ibb.co/DznB5q4/Itau.png" TargetMode="External"/><Relationship Id="rId1308" Type="http://schemas.openxmlformats.org/officeDocument/2006/relationships/hyperlink" Target="https://i.ibb.co/DznB5q4/Itau.png" TargetMode="External"/><Relationship Id="rId1309" Type="http://schemas.openxmlformats.org/officeDocument/2006/relationships/hyperlink" Target="https://i.ibb.co/DznB5q4/Itau.png" TargetMode="External"/><Relationship Id="rId1310" Type="http://schemas.openxmlformats.org/officeDocument/2006/relationships/hyperlink" Target="https://i.ibb.co/DznB5q4/Itau.png" TargetMode="External"/><Relationship Id="rId1311" Type="http://schemas.openxmlformats.org/officeDocument/2006/relationships/hyperlink" Target="https://i.ibb.co/DznB5q4/Itau.png" TargetMode="External"/><Relationship Id="rId1312" Type="http://schemas.openxmlformats.org/officeDocument/2006/relationships/hyperlink" Target="https://i.ibb.co/DznB5q4/Itau.png" TargetMode="External"/><Relationship Id="rId1313" Type="http://schemas.openxmlformats.org/officeDocument/2006/relationships/hyperlink" Target="https://i.ibb.co/DznB5q4/Itau.png" TargetMode="External"/><Relationship Id="rId1314" Type="http://schemas.openxmlformats.org/officeDocument/2006/relationships/hyperlink" Target="https://i.ibb.co/DznB5q4/Itau.png" TargetMode="External"/><Relationship Id="rId1315" Type="http://schemas.openxmlformats.org/officeDocument/2006/relationships/hyperlink" Target="https://i.ibb.co/DznB5q4/Itau.png" TargetMode="External"/><Relationship Id="rId1316" Type="http://schemas.openxmlformats.org/officeDocument/2006/relationships/hyperlink" Target="https://i.ibb.co/DznB5q4/Itau.png" TargetMode="External"/><Relationship Id="rId1317" Type="http://schemas.openxmlformats.org/officeDocument/2006/relationships/hyperlink" Target="https://i.ibb.co/DznB5q4/Itau.png" TargetMode="External"/><Relationship Id="rId1318" Type="http://schemas.openxmlformats.org/officeDocument/2006/relationships/hyperlink" Target="https://i.ibb.co/DznB5q4/Itau.png" TargetMode="External"/><Relationship Id="rId1319" Type="http://schemas.openxmlformats.org/officeDocument/2006/relationships/hyperlink" Target="https://i.ibb.co/DznB5q4/Itau.png" TargetMode="External"/><Relationship Id="rId1320" Type="http://schemas.openxmlformats.org/officeDocument/2006/relationships/hyperlink" Target="https://i.ibb.co/DznB5q4/Itau.png" TargetMode="External"/><Relationship Id="rId1321" Type="http://schemas.openxmlformats.org/officeDocument/2006/relationships/hyperlink" Target="https://i.ibb.co/DznB5q4/Itau.png" TargetMode="External"/><Relationship Id="rId1322" Type="http://schemas.openxmlformats.org/officeDocument/2006/relationships/hyperlink" Target="https://i.ibb.co/DznB5q4/Itau.png" TargetMode="External"/><Relationship Id="rId1323" Type="http://schemas.openxmlformats.org/officeDocument/2006/relationships/hyperlink" Target="https://i.ibb.co/DznB5q4/Itau.png" TargetMode="External"/><Relationship Id="rId1324" Type="http://schemas.openxmlformats.org/officeDocument/2006/relationships/hyperlink" Target="https://i.ibb.co/DznB5q4/Itau.png" TargetMode="External"/><Relationship Id="rId1325" Type="http://schemas.openxmlformats.org/officeDocument/2006/relationships/hyperlink" Target="https://i.ibb.co/DznB5q4/Itau.png" TargetMode="External"/><Relationship Id="rId1326" Type="http://schemas.openxmlformats.org/officeDocument/2006/relationships/hyperlink" Target="https://i.ibb.co/DznB5q4/Itau.png" TargetMode="External"/><Relationship Id="rId1327" Type="http://schemas.openxmlformats.org/officeDocument/2006/relationships/hyperlink" Target="https://i.ibb.co/DznB5q4/Itau.png" TargetMode="External"/><Relationship Id="rId1328" Type="http://schemas.openxmlformats.org/officeDocument/2006/relationships/hyperlink" Target="https://i.ibb.co/DznB5q4/Itau.png" TargetMode="External"/><Relationship Id="rId1329" Type="http://schemas.openxmlformats.org/officeDocument/2006/relationships/hyperlink" Target="https://i.ibb.co/DznB5q4/Itau.png" TargetMode="External"/><Relationship Id="rId1330" Type="http://schemas.openxmlformats.org/officeDocument/2006/relationships/hyperlink" Target="https://i.ibb.co/DznB5q4/Itau.png" TargetMode="External"/><Relationship Id="rId1331" Type="http://schemas.openxmlformats.org/officeDocument/2006/relationships/hyperlink" Target="https://i.ibb.co/DznB5q4/Itau.png" TargetMode="External"/><Relationship Id="rId1332" Type="http://schemas.openxmlformats.org/officeDocument/2006/relationships/hyperlink" Target="https://i.ibb.co/DznB5q4/Itau.png" TargetMode="External"/><Relationship Id="rId1333" Type="http://schemas.openxmlformats.org/officeDocument/2006/relationships/hyperlink" Target="https://i.ibb.co/DznB5q4/Itau.png" TargetMode="External"/><Relationship Id="rId1334" Type="http://schemas.openxmlformats.org/officeDocument/2006/relationships/hyperlink" Target="https://i.ibb.co/DznB5q4/Itau.png" TargetMode="External"/><Relationship Id="rId1335" Type="http://schemas.openxmlformats.org/officeDocument/2006/relationships/hyperlink" Target="https://i.ibb.co/DznB5q4/Itau.png" TargetMode="External"/><Relationship Id="rId1336" Type="http://schemas.openxmlformats.org/officeDocument/2006/relationships/hyperlink" Target="https://i.ibb.co/DznB5q4/Itau.png" TargetMode="External"/><Relationship Id="rId1337" Type="http://schemas.openxmlformats.org/officeDocument/2006/relationships/hyperlink" Target="https://i.ibb.co/DznB5q4/Itau.png" TargetMode="External"/><Relationship Id="rId1338" Type="http://schemas.openxmlformats.org/officeDocument/2006/relationships/hyperlink" Target="https://i.ibb.co/DznB5q4/Itau.png" TargetMode="External"/><Relationship Id="rId1339" Type="http://schemas.openxmlformats.org/officeDocument/2006/relationships/hyperlink" Target="https://i.ibb.co/DznB5q4/Itau.png" TargetMode="External"/><Relationship Id="rId1340" Type="http://schemas.openxmlformats.org/officeDocument/2006/relationships/hyperlink" Target="https://i.ibb.co/DznB5q4/Itau.png" TargetMode="External"/><Relationship Id="rId1341" Type="http://schemas.openxmlformats.org/officeDocument/2006/relationships/hyperlink" Target="https://i.ibb.co/DznB5q4/Itau.png" TargetMode="External"/><Relationship Id="rId1342" Type="http://schemas.openxmlformats.org/officeDocument/2006/relationships/hyperlink" Target="https://i.ibb.co/DznB5q4/Itau.png" TargetMode="External"/><Relationship Id="rId1343" Type="http://schemas.openxmlformats.org/officeDocument/2006/relationships/hyperlink" Target="https://i.ibb.co/DznB5q4/Itau.png" TargetMode="External"/><Relationship Id="rId1344" Type="http://schemas.openxmlformats.org/officeDocument/2006/relationships/hyperlink" Target="https://i.ibb.co/DznB5q4/Itau.png" TargetMode="External"/><Relationship Id="rId1345" Type="http://schemas.openxmlformats.org/officeDocument/2006/relationships/hyperlink" Target="https://i.ibb.co/DznB5q4/Itau.png" TargetMode="External"/><Relationship Id="rId1346" Type="http://schemas.openxmlformats.org/officeDocument/2006/relationships/hyperlink" Target="https://i.ibb.co/DznB5q4/Itau.png" TargetMode="External"/><Relationship Id="rId1347" Type="http://schemas.openxmlformats.org/officeDocument/2006/relationships/hyperlink" Target="https://i.ibb.co/DznB5q4/Itau.png" TargetMode="External"/><Relationship Id="rId1348" Type="http://schemas.openxmlformats.org/officeDocument/2006/relationships/hyperlink" Target="https://i.ibb.co/DznB5q4/Itau.png" TargetMode="External"/><Relationship Id="rId1349" Type="http://schemas.openxmlformats.org/officeDocument/2006/relationships/hyperlink" Target="https://i.ibb.co/DznB5q4/Itau.png" TargetMode="External"/><Relationship Id="rId1350" Type="http://schemas.openxmlformats.org/officeDocument/2006/relationships/hyperlink" Target="https://i.ibb.co/DznB5q4/Itau.png" TargetMode="External"/><Relationship Id="rId1351" Type="http://schemas.openxmlformats.org/officeDocument/2006/relationships/hyperlink" Target="https://i.ibb.co/DznB5q4/Itau.png" TargetMode="External"/><Relationship Id="rId1352" Type="http://schemas.openxmlformats.org/officeDocument/2006/relationships/hyperlink" Target="https://i.ibb.co/DznB5q4/Itau.png" TargetMode="External"/><Relationship Id="rId1353" Type="http://schemas.openxmlformats.org/officeDocument/2006/relationships/hyperlink" Target="https://i.ibb.co/DznB5q4/Itau.png" TargetMode="External"/><Relationship Id="rId1354" Type="http://schemas.openxmlformats.org/officeDocument/2006/relationships/hyperlink" Target="https://i.ibb.co/DznB5q4/Itau.png" TargetMode="External"/><Relationship Id="rId1355" Type="http://schemas.openxmlformats.org/officeDocument/2006/relationships/hyperlink" Target="https://i.ibb.co/DznB5q4/Itau.png" TargetMode="External"/><Relationship Id="rId1356" Type="http://schemas.openxmlformats.org/officeDocument/2006/relationships/hyperlink" Target="https://i.ibb.co/DznB5q4/Itau.png" TargetMode="External"/><Relationship Id="rId1357" Type="http://schemas.openxmlformats.org/officeDocument/2006/relationships/hyperlink" Target="https://i.ibb.co/DznB5q4/Itau.png" TargetMode="External"/><Relationship Id="rId1358" Type="http://schemas.openxmlformats.org/officeDocument/2006/relationships/hyperlink" Target="https://i.ibb.co/DznB5q4/Itau.png" TargetMode="External"/><Relationship Id="rId1359" Type="http://schemas.openxmlformats.org/officeDocument/2006/relationships/hyperlink" Target="https://i.ibb.co/DznB5q4/Itau.png" TargetMode="External"/><Relationship Id="rId1360" Type="http://schemas.openxmlformats.org/officeDocument/2006/relationships/hyperlink" Target="https://i.ibb.co/DznB5q4/Itau.png" TargetMode="External"/><Relationship Id="rId1361" Type="http://schemas.openxmlformats.org/officeDocument/2006/relationships/hyperlink" Target="https://i.ibb.co/DznB5q4/Itau.png" TargetMode="External"/><Relationship Id="rId1362" Type="http://schemas.openxmlformats.org/officeDocument/2006/relationships/hyperlink" Target="https://i.ibb.co/DznB5q4/Itau.png" TargetMode="External"/><Relationship Id="rId1363" Type="http://schemas.openxmlformats.org/officeDocument/2006/relationships/hyperlink" Target="https://i.ibb.co/DznB5q4/Itau.png" TargetMode="External"/><Relationship Id="rId1364" Type="http://schemas.openxmlformats.org/officeDocument/2006/relationships/hyperlink" Target="https://i.ibb.co/DznB5q4/Itau.png" TargetMode="External"/><Relationship Id="rId1365" Type="http://schemas.openxmlformats.org/officeDocument/2006/relationships/hyperlink" Target="https://i.ibb.co/DznB5q4/Itau.png" TargetMode="External"/><Relationship Id="rId1366" Type="http://schemas.openxmlformats.org/officeDocument/2006/relationships/hyperlink" Target="https://i.ibb.co/DznB5q4/Itau.png" TargetMode="External"/><Relationship Id="rId1367" Type="http://schemas.openxmlformats.org/officeDocument/2006/relationships/hyperlink" Target="https://i.ibb.co/DznB5q4/Itau.png" TargetMode="External"/><Relationship Id="rId1368" Type="http://schemas.openxmlformats.org/officeDocument/2006/relationships/hyperlink" Target="https://i.ibb.co/DznB5q4/Itau.png" TargetMode="External"/><Relationship Id="rId1369" Type="http://schemas.openxmlformats.org/officeDocument/2006/relationships/hyperlink" Target="https://i.ibb.co/DznB5q4/Itau.png" TargetMode="External"/><Relationship Id="rId1370" Type="http://schemas.openxmlformats.org/officeDocument/2006/relationships/hyperlink" Target="https://i.ibb.co/DznB5q4/Itau.png" TargetMode="External"/><Relationship Id="rId1371" Type="http://schemas.openxmlformats.org/officeDocument/2006/relationships/hyperlink" Target="https://i.ibb.co/DznB5q4/Itau.png" TargetMode="External"/><Relationship Id="rId1372" Type="http://schemas.openxmlformats.org/officeDocument/2006/relationships/hyperlink" Target="https://i.ibb.co/DznB5q4/Itau.png" TargetMode="External"/><Relationship Id="rId1373" Type="http://schemas.openxmlformats.org/officeDocument/2006/relationships/hyperlink" Target="https://i.ibb.co/DznB5q4/Itau.png" TargetMode="External"/><Relationship Id="rId1374" Type="http://schemas.openxmlformats.org/officeDocument/2006/relationships/hyperlink" Target="https://i.ibb.co/DznB5q4/Itau.png" TargetMode="External"/><Relationship Id="rId1375" Type="http://schemas.openxmlformats.org/officeDocument/2006/relationships/hyperlink" Target="https://i.ibb.co/DznB5q4/Itau.png" TargetMode="External"/><Relationship Id="rId1376" Type="http://schemas.openxmlformats.org/officeDocument/2006/relationships/hyperlink" Target="https://i.ibb.co/DznB5q4/Itau.png" TargetMode="External"/><Relationship Id="rId1377" Type="http://schemas.openxmlformats.org/officeDocument/2006/relationships/hyperlink" Target="https://i.ibb.co/DznB5q4/Itau.png" TargetMode="External"/><Relationship Id="rId1378" Type="http://schemas.openxmlformats.org/officeDocument/2006/relationships/hyperlink" Target="https://i.ibb.co/DznB5q4/Itau.png" TargetMode="External"/><Relationship Id="rId1379" Type="http://schemas.openxmlformats.org/officeDocument/2006/relationships/hyperlink" Target="https://i.ibb.co/DznB5q4/Itau.png" TargetMode="External"/><Relationship Id="rId1380" Type="http://schemas.openxmlformats.org/officeDocument/2006/relationships/hyperlink" Target="https://i.ibb.co/DznB5q4/Itau.png" TargetMode="External"/><Relationship Id="rId1381" Type="http://schemas.openxmlformats.org/officeDocument/2006/relationships/hyperlink" Target="https://i.ibb.co/DznB5q4/Itau.png" TargetMode="External"/><Relationship Id="rId1382" Type="http://schemas.openxmlformats.org/officeDocument/2006/relationships/hyperlink" Target="https://i.ibb.co/DznB5q4/Itau.png" TargetMode="External"/><Relationship Id="rId1383" Type="http://schemas.openxmlformats.org/officeDocument/2006/relationships/hyperlink" Target="https://i.ibb.co/DznB5q4/Itau.png" TargetMode="External"/><Relationship Id="rId1384" Type="http://schemas.openxmlformats.org/officeDocument/2006/relationships/hyperlink" Target="https://i.ibb.co/DznB5q4/Itau.png" TargetMode="External"/><Relationship Id="rId1385" Type="http://schemas.openxmlformats.org/officeDocument/2006/relationships/hyperlink" Target="https://i.ibb.co/DznB5q4/Itau.png" TargetMode="External"/><Relationship Id="rId1386" Type="http://schemas.openxmlformats.org/officeDocument/2006/relationships/hyperlink" Target="https://i.ibb.co/DznB5q4/Itau.png" TargetMode="External"/><Relationship Id="rId1387" Type="http://schemas.openxmlformats.org/officeDocument/2006/relationships/hyperlink" Target="https://i.ibb.co/DznB5q4/Itau.png" TargetMode="External"/><Relationship Id="rId1388" Type="http://schemas.openxmlformats.org/officeDocument/2006/relationships/hyperlink" Target="https://i.ibb.co/DznB5q4/Itau.png" TargetMode="External"/><Relationship Id="rId1389" Type="http://schemas.openxmlformats.org/officeDocument/2006/relationships/hyperlink" Target="https://i.ibb.co/DznB5q4/Itau.png" TargetMode="External"/><Relationship Id="rId1390" Type="http://schemas.openxmlformats.org/officeDocument/2006/relationships/hyperlink" Target="https://i.ibb.co/DznB5q4/Itau.png" TargetMode="External"/><Relationship Id="rId1391" Type="http://schemas.openxmlformats.org/officeDocument/2006/relationships/hyperlink" Target="https://i.ibb.co/DznB5q4/Itau.png" TargetMode="External"/><Relationship Id="rId1392" Type="http://schemas.openxmlformats.org/officeDocument/2006/relationships/hyperlink" Target="https://i.ibb.co/DznB5q4/Itau.png" TargetMode="External"/><Relationship Id="rId1393" Type="http://schemas.openxmlformats.org/officeDocument/2006/relationships/hyperlink" Target="https://i.ibb.co/DznB5q4/Itau.png" TargetMode="External"/><Relationship Id="rId1394" Type="http://schemas.openxmlformats.org/officeDocument/2006/relationships/hyperlink" Target="https://i.ibb.co/DznB5q4/Itau.png" TargetMode="External"/><Relationship Id="rId1395" Type="http://schemas.openxmlformats.org/officeDocument/2006/relationships/hyperlink" Target="https://i.ibb.co/DznB5q4/Itau.png" TargetMode="External"/><Relationship Id="rId1396" Type="http://schemas.openxmlformats.org/officeDocument/2006/relationships/hyperlink" Target="https://i.ibb.co/DznB5q4/Itau.png" TargetMode="External"/><Relationship Id="rId1397" Type="http://schemas.openxmlformats.org/officeDocument/2006/relationships/hyperlink" Target="https://i.ibb.co/DznB5q4/Itau.png" TargetMode="External"/><Relationship Id="rId1398" Type="http://schemas.openxmlformats.org/officeDocument/2006/relationships/hyperlink" Target="https://i.ibb.co/DznB5q4/Itau.png" TargetMode="External"/><Relationship Id="rId1399" Type="http://schemas.openxmlformats.org/officeDocument/2006/relationships/hyperlink" Target="https://i.ibb.co/DznB5q4/Itau.png" TargetMode="External"/><Relationship Id="rId1400" Type="http://schemas.openxmlformats.org/officeDocument/2006/relationships/hyperlink" Target="https://i.ibb.co/DznB5q4/Itau.png" TargetMode="External"/><Relationship Id="rId1401" Type="http://schemas.openxmlformats.org/officeDocument/2006/relationships/hyperlink" Target="https://i.ibb.co/DznB5q4/Itau.png" TargetMode="External"/><Relationship Id="rId1402" Type="http://schemas.openxmlformats.org/officeDocument/2006/relationships/hyperlink" Target="https://i.ibb.co/DznB5q4/Itau.png" TargetMode="External"/><Relationship Id="rId1403" Type="http://schemas.openxmlformats.org/officeDocument/2006/relationships/hyperlink" Target="https://i.ibb.co/DznB5q4/Itau.png" TargetMode="External"/><Relationship Id="rId1404" Type="http://schemas.openxmlformats.org/officeDocument/2006/relationships/hyperlink" Target="https://i.ibb.co/DznB5q4/Itau.png" TargetMode="External"/><Relationship Id="rId1405" Type="http://schemas.openxmlformats.org/officeDocument/2006/relationships/hyperlink" Target="https://i.ibb.co/DznB5q4/Itau.png" TargetMode="External"/><Relationship Id="rId1406" Type="http://schemas.openxmlformats.org/officeDocument/2006/relationships/hyperlink" Target="https://i.ibb.co/DznB5q4/Itau.png" TargetMode="External"/><Relationship Id="rId1407" Type="http://schemas.openxmlformats.org/officeDocument/2006/relationships/hyperlink" Target="https://i.ibb.co/DznB5q4/Itau.png" TargetMode="External"/><Relationship Id="rId1408" Type="http://schemas.openxmlformats.org/officeDocument/2006/relationships/hyperlink" Target="https://i.ibb.co/DznB5q4/Itau.png" TargetMode="External"/><Relationship Id="rId1409" Type="http://schemas.openxmlformats.org/officeDocument/2006/relationships/hyperlink" Target="https://i.ibb.co/DznB5q4/Itau.png" TargetMode="External"/><Relationship Id="rId1410" Type="http://schemas.openxmlformats.org/officeDocument/2006/relationships/hyperlink" Target="https://i.ibb.co/DznB5q4/Itau.png" TargetMode="External"/><Relationship Id="rId1411" Type="http://schemas.openxmlformats.org/officeDocument/2006/relationships/hyperlink" Target="https://i.ibb.co/DznB5q4/Itau.png" TargetMode="External"/><Relationship Id="rId1412" Type="http://schemas.openxmlformats.org/officeDocument/2006/relationships/hyperlink" Target="https://i.ibb.co/DznB5q4/Itau.png" TargetMode="External"/><Relationship Id="rId1413" Type="http://schemas.openxmlformats.org/officeDocument/2006/relationships/hyperlink" Target="https://i.ibb.co/DznB5q4/Itau.png" TargetMode="External"/><Relationship Id="rId1414" Type="http://schemas.openxmlformats.org/officeDocument/2006/relationships/hyperlink" Target="https://i.ibb.co/DznB5q4/Itau.png" TargetMode="External"/><Relationship Id="rId1415" Type="http://schemas.openxmlformats.org/officeDocument/2006/relationships/hyperlink" Target="https://i.ibb.co/DznB5q4/Itau.png" TargetMode="External"/><Relationship Id="rId1416" Type="http://schemas.openxmlformats.org/officeDocument/2006/relationships/hyperlink" Target="https://i.ibb.co/DznB5q4/Itau.png" TargetMode="External"/><Relationship Id="rId1417" Type="http://schemas.openxmlformats.org/officeDocument/2006/relationships/hyperlink" Target="https://i.ibb.co/DznB5q4/Itau.png" TargetMode="External"/><Relationship Id="rId1418" Type="http://schemas.openxmlformats.org/officeDocument/2006/relationships/hyperlink" Target="https://i.ibb.co/DznB5q4/Itau.png" TargetMode="External"/><Relationship Id="rId1419" Type="http://schemas.openxmlformats.org/officeDocument/2006/relationships/hyperlink" Target="https://i.ibb.co/DznB5q4/Itau.png" TargetMode="External"/><Relationship Id="rId1420" Type="http://schemas.openxmlformats.org/officeDocument/2006/relationships/hyperlink" Target="https://i.ibb.co/DznB5q4/Itau.png" TargetMode="External"/><Relationship Id="rId1421" Type="http://schemas.openxmlformats.org/officeDocument/2006/relationships/hyperlink" Target="https://i.ibb.co/DznB5q4/Itau.png" TargetMode="External"/><Relationship Id="rId1422" Type="http://schemas.openxmlformats.org/officeDocument/2006/relationships/hyperlink" Target="https://i.ibb.co/DznB5q4/Itau.png" TargetMode="External"/><Relationship Id="rId1423" Type="http://schemas.openxmlformats.org/officeDocument/2006/relationships/hyperlink" Target="https://i.ibb.co/DznB5q4/Itau.png" TargetMode="External"/><Relationship Id="rId1424" Type="http://schemas.openxmlformats.org/officeDocument/2006/relationships/hyperlink" Target="https://i.ibb.co/DznB5q4/Itau.png" TargetMode="External"/><Relationship Id="rId1425" Type="http://schemas.openxmlformats.org/officeDocument/2006/relationships/hyperlink" Target="https://i.ibb.co/DznB5q4/Itau.png" TargetMode="External"/><Relationship Id="rId1426" Type="http://schemas.openxmlformats.org/officeDocument/2006/relationships/hyperlink" Target="https://i.ibb.co/DznB5q4/Itau.png" TargetMode="External"/><Relationship Id="rId1427" Type="http://schemas.openxmlformats.org/officeDocument/2006/relationships/hyperlink" Target="https://i.ibb.co/DznB5q4/Itau.png" TargetMode="External"/><Relationship Id="rId1428" Type="http://schemas.openxmlformats.org/officeDocument/2006/relationships/hyperlink" Target="https://i.ibb.co/DznB5q4/Itau.png" TargetMode="External"/><Relationship Id="rId1429" Type="http://schemas.openxmlformats.org/officeDocument/2006/relationships/hyperlink" Target="https://i.ibb.co/DznB5q4/Itau.png" TargetMode="External"/><Relationship Id="rId1430" Type="http://schemas.openxmlformats.org/officeDocument/2006/relationships/hyperlink" Target="https://i.ibb.co/DznB5q4/Itau.png" TargetMode="External"/><Relationship Id="rId1431" Type="http://schemas.openxmlformats.org/officeDocument/2006/relationships/hyperlink" Target="https://i.ibb.co/DznB5q4/Itau.png" TargetMode="External"/><Relationship Id="rId1432" Type="http://schemas.openxmlformats.org/officeDocument/2006/relationships/hyperlink" Target="https://i.ibb.co/DznB5q4/Itau.png" TargetMode="External"/><Relationship Id="rId1433" Type="http://schemas.openxmlformats.org/officeDocument/2006/relationships/hyperlink" Target="https://i.ibb.co/DznB5q4/Itau.png" TargetMode="External"/><Relationship Id="rId1434" Type="http://schemas.openxmlformats.org/officeDocument/2006/relationships/hyperlink" Target="https://i.ibb.co/DznB5q4/Itau.png" TargetMode="External"/><Relationship Id="rId1435" Type="http://schemas.openxmlformats.org/officeDocument/2006/relationships/hyperlink" Target="https://i.ibb.co/DznB5q4/Itau.png" TargetMode="External"/><Relationship Id="rId1436" Type="http://schemas.openxmlformats.org/officeDocument/2006/relationships/hyperlink" Target="https://i.ibb.co/DznB5q4/Itau.png" TargetMode="External"/><Relationship Id="rId1437" Type="http://schemas.openxmlformats.org/officeDocument/2006/relationships/hyperlink" Target="https://i.ibb.co/DznB5q4/Itau.png" TargetMode="External"/><Relationship Id="rId1438" Type="http://schemas.openxmlformats.org/officeDocument/2006/relationships/hyperlink" Target="https://i.ibb.co/DznB5q4/Itau.png" TargetMode="External"/><Relationship Id="rId1439" Type="http://schemas.openxmlformats.org/officeDocument/2006/relationships/hyperlink" Target="https://i.ibb.co/DznB5q4/Itau.png" TargetMode="External"/><Relationship Id="rId1440" Type="http://schemas.openxmlformats.org/officeDocument/2006/relationships/hyperlink" Target="https://i.ibb.co/DznB5q4/Itau.png" TargetMode="External"/><Relationship Id="rId1441" Type="http://schemas.openxmlformats.org/officeDocument/2006/relationships/hyperlink" Target="https://i.ibb.co/DznB5q4/Itau.png" TargetMode="External"/><Relationship Id="rId1442" Type="http://schemas.openxmlformats.org/officeDocument/2006/relationships/hyperlink" Target="https://i.ibb.co/DznB5q4/Itau.png" TargetMode="External"/><Relationship Id="rId1443" Type="http://schemas.openxmlformats.org/officeDocument/2006/relationships/hyperlink" Target="https://i.ibb.co/DznB5q4/Itau.png" TargetMode="External"/><Relationship Id="rId1444" Type="http://schemas.openxmlformats.org/officeDocument/2006/relationships/hyperlink" Target="https://i.ibb.co/DznB5q4/Itau.png" TargetMode="External"/><Relationship Id="rId1445" Type="http://schemas.openxmlformats.org/officeDocument/2006/relationships/hyperlink" Target="https://i.ibb.co/DznB5q4/Itau.png" TargetMode="External"/><Relationship Id="rId1446" Type="http://schemas.openxmlformats.org/officeDocument/2006/relationships/hyperlink" Target="https://i.ibb.co/DznB5q4/Itau.png" TargetMode="External"/><Relationship Id="rId1447" Type="http://schemas.openxmlformats.org/officeDocument/2006/relationships/hyperlink" Target="https://i.ibb.co/DznB5q4/Itau.png" TargetMode="External"/><Relationship Id="rId1448" Type="http://schemas.openxmlformats.org/officeDocument/2006/relationships/hyperlink" Target="https://i.ibb.co/DznB5q4/Itau.png" TargetMode="External"/><Relationship Id="rId1449" Type="http://schemas.openxmlformats.org/officeDocument/2006/relationships/hyperlink" Target="https://i.ibb.co/DznB5q4/Itau.png" TargetMode="External"/><Relationship Id="rId1450" Type="http://schemas.openxmlformats.org/officeDocument/2006/relationships/hyperlink" Target="https://i.ibb.co/DznB5q4/Itau.png" TargetMode="External"/><Relationship Id="rId1451" Type="http://schemas.openxmlformats.org/officeDocument/2006/relationships/hyperlink" Target="https://i.ibb.co/DznB5q4/Itau.png" TargetMode="External"/><Relationship Id="rId1452" Type="http://schemas.openxmlformats.org/officeDocument/2006/relationships/hyperlink" Target="https://i.ibb.co/DznB5q4/Itau.png" TargetMode="External"/><Relationship Id="rId1453" Type="http://schemas.openxmlformats.org/officeDocument/2006/relationships/hyperlink" Target="https://i.ibb.co/DznB5q4/Itau.png" TargetMode="External"/><Relationship Id="rId1454" Type="http://schemas.openxmlformats.org/officeDocument/2006/relationships/hyperlink" Target="https://i.ibb.co/DznB5q4/Itau.png" TargetMode="External"/><Relationship Id="rId1455" Type="http://schemas.openxmlformats.org/officeDocument/2006/relationships/hyperlink" Target="https://i.ibb.co/DznB5q4/Itau.png" TargetMode="External"/><Relationship Id="rId1456" Type="http://schemas.openxmlformats.org/officeDocument/2006/relationships/hyperlink" Target="https://i.ibb.co/DznB5q4/Itau.png" TargetMode="External"/><Relationship Id="rId1457" Type="http://schemas.openxmlformats.org/officeDocument/2006/relationships/hyperlink" Target="https://i.ibb.co/DznB5q4/Itau.png" TargetMode="External"/><Relationship Id="rId1458" Type="http://schemas.openxmlformats.org/officeDocument/2006/relationships/hyperlink" Target="https://i.ibb.co/DznB5q4/Itau.png" TargetMode="External"/><Relationship Id="rId1459" Type="http://schemas.openxmlformats.org/officeDocument/2006/relationships/hyperlink" Target="https://i.ibb.co/DznB5q4/Itau.png" TargetMode="External"/><Relationship Id="rId1460" Type="http://schemas.openxmlformats.org/officeDocument/2006/relationships/hyperlink" Target="https://i.ibb.co/DznB5q4/Itau.png" TargetMode="External"/><Relationship Id="rId1461" Type="http://schemas.openxmlformats.org/officeDocument/2006/relationships/hyperlink" Target="https://i.ibb.co/DznB5q4/Itau.png" TargetMode="External"/><Relationship Id="rId1462" Type="http://schemas.openxmlformats.org/officeDocument/2006/relationships/hyperlink" Target="https://i.ibb.co/DznB5q4/Itau.png" TargetMode="External"/><Relationship Id="rId1463" Type="http://schemas.openxmlformats.org/officeDocument/2006/relationships/hyperlink" Target="https://i.ibb.co/DznB5q4/Itau.png" TargetMode="External"/><Relationship Id="rId1464" Type="http://schemas.openxmlformats.org/officeDocument/2006/relationships/hyperlink" Target="https://i.ibb.co/DznB5q4/Itau.png" TargetMode="External"/><Relationship Id="rId1465" Type="http://schemas.openxmlformats.org/officeDocument/2006/relationships/hyperlink" Target="https://i.ibb.co/DznB5q4/Itau.png" TargetMode="External"/><Relationship Id="rId1466" Type="http://schemas.openxmlformats.org/officeDocument/2006/relationships/hyperlink" Target="https://i.ibb.co/DznB5q4/Itau.png" TargetMode="External"/><Relationship Id="rId1467" Type="http://schemas.openxmlformats.org/officeDocument/2006/relationships/hyperlink" Target="https://i.ibb.co/DznB5q4/Itau.png" TargetMode="External"/><Relationship Id="rId1468" Type="http://schemas.openxmlformats.org/officeDocument/2006/relationships/hyperlink" Target="https://i.ibb.co/DznB5q4/Itau.png" TargetMode="External"/><Relationship Id="rId1469" Type="http://schemas.openxmlformats.org/officeDocument/2006/relationships/hyperlink" Target="https://i.ibb.co/DznB5q4/Itau.png" TargetMode="External"/><Relationship Id="rId1470" Type="http://schemas.openxmlformats.org/officeDocument/2006/relationships/hyperlink" Target="https://i.ibb.co/DznB5q4/Itau.png" TargetMode="External"/><Relationship Id="rId1471" Type="http://schemas.openxmlformats.org/officeDocument/2006/relationships/hyperlink" Target="https://i.ibb.co/DznB5q4/Itau.png" TargetMode="External"/><Relationship Id="rId1472" Type="http://schemas.openxmlformats.org/officeDocument/2006/relationships/hyperlink" Target="https://i.ibb.co/DznB5q4/Itau.png" TargetMode="External"/><Relationship Id="rId1473" Type="http://schemas.openxmlformats.org/officeDocument/2006/relationships/hyperlink" Target="https://i.ibb.co/DznB5q4/Itau.png" TargetMode="External"/><Relationship Id="rId1474" Type="http://schemas.openxmlformats.org/officeDocument/2006/relationships/hyperlink" Target="https://i.ibb.co/DznB5q4/Itau.png" TargetMode="External"/><Relationship Id="rId1475" Type="http://schemas.openxmlformats.org/officeDocument/2006/relationships/hyperlink" Target="https://i.ibb.co/DznB5q4/Itau.png" TargetMode="External"/><Relationship Id="rId1476" Type="http://schemas.openxmlformats.org/officeDocument/2006/relationships/hyperlink" Target="https://i.ibb.co/DznB5q4/Itau.png" TargetMode="External"/><Relationship Id="rId1477" Type="http://schemas.openxmlformats.org/officeDocument/2006/relationships/hyperlink" Target="https://i.ibb.co/DznB5q4/Itau.png" TargetMode="External"/><Relationship Id="rId1478" Type="http://schemas.openxmlformats.org/officeDocument/2006/relationships/hyperlink" Target="https://i.ibb.co/DznB5q4/Itau.png" TargetMode="External"/><Relationship Id="rId1479" Type="http://schemas.openxmlformats.org/officeDocument/2006/relationships/hyperlink" Target="https://i.ibb.co/DznB5q4/Itau.png" TargetMode="External"/><Relationship Id="rId1480" Type="http://schemas.openxmlformats.org/officeDocument/2006/relationships/hyperlink" Target="https://i.ibb.co/DznB5q4/Itau.png" TargetMode="External"/><Relationship Id="rId1481" Type="http://schemas.openxmlformats.org/officeDocument/2006/relationships/hyperlink" Target="https://i.ibb.co/DznB5q4/Itau.png" TargetMode="External"/><Relationship Id="rId1482" Type="http://schemas.openxmlformats.org/officeDocument/2006/relationships/hyperlink" Target="https://i.ibb.co/DznB5q4/Itau.png" TargetMode="External"/><Relationship Id="rId1483" Type="http://schemas.openxmlformats.org/officeDocument/2006/relationships/hyperlink" Target="https://i.ibb.co/DznB5q4/Itau.png" TargetMode="External"/><Relationship Id="rId1484" Type="http://schemas.openxmlformats.org/officeDocument/2006/relationships/hyperlink" Target="https://i.ibb.co/DznB5q4/Itau.png" TargetMode="External"/><Relationship Id="rId1485" Type="http://schemas.openxmlformats.org/officeDocument/2006/relationships/hyperlink" Target="https://i.ibb.co/DznB5q4/Itau.png" TargetMode="External"/><Relationship Id="rId1486" Type="http://schemas.openxmlformats.org/officeDocument/2006/relationships/hyperlink" Target="https://i.ibb.co/DznB5q4/Itau.png" TargetMode="External"/><Relationship Id="rId1487" Type="http://schemas.openxmlformats.org/officeDocument/2006/relationships/hyperlink" Target="https://i.ibb.co/DznB5q4/Itau.png" TargetMode="External"/><Relationship Id="rId1488" Type="http://schemas.openxmlformats.org/officeDocument/2006/relationships/hyperlink" Target="https://i.ibb.co/DznB5q4/Itau.png" TargetMode="External"/><Relationship Id="rId1489" Type="http://schemas.openxmlformats.org/officeDocument/2006/relationships/hyperlink" Target="https://i.ibb.co/DznB5q4/Itau.png" TargetMode="External"/><Relationship Id="rId1490" Type="http://schemas.openxmlformats.org/officeDocument/2006/relationships/hyperlink" Target="https://i.ibb.co/DznB5q4/Itau.png" TargetMode="External"/><Relationship Id="rId1491" Type="http://schemas.openxmlformats.org/officeDocument/2006/relationships/hyperlink" Target="https://i.ibb.co/DznB5q4/Itau.png" TargetMode="External"/><Relationship Id="rId1492" Type="http://schemas.openxmlformats.org/officeDocument/2006/relationships/hyperlink" Target="https://i.ibb.co/DznB5q4/Itau.png" TargetMode="External"/><Relationship Id="rId1493" Type="http://schemas.openxmlformats.org/officeDocument/2006/relationships/hyperlink" Target="https://i.ibb.co/DznB5q4/Itau.png" TargetMode="External"/><Relationship Id="rId1494" Type="http://schemas.openxmlformats.org/officeDocument/2006/relationships/hyperlink" Target="https://i.ibb.co/DznB5q4/Itau.png" TargetMode="External"/><Relationship Id="rId1495" Type="http://schemas.openxmlformats.org/officeDocument/2006/relationships/hyperlink" Target="https://i.ibb.co/DznB5q4/Itau.png" TargetMode="External"/><Relationship Id="rId1496" Type="http://schemas.openxmlformats.org/officeDocument/2006/relationships/hyperlink" Target="https://i.ibb.co/DznB5q4/Itau.png" TargetMode="External"/><Relationship Id="rId1497" Type="http://schemas.openxmlformats.org/officeDocument/2006/relationships/hyperlink" Target="https://i.ibb.co/DznB5q4/Itau.png" TargetMode="External"/><Relationship Id="rId1498" Type="http://schemas.openxmlformats.org/officeDocument/2006/relationships/hyperlink" Target="https://i.ibb.co/DznB5q4/Itau.png" TargetMode="External"/><Relationship Id="rId1499" Type="http://schemas.openxmlformats.org/officeDocument/2006/relationships/hyperlink" Target="https://i.ibb.co/DznB5q4/Itau.png" TargetMode="External"/><Relationship Id="rId1500" Type="http://schemas.openxmlformats.org/officeDocument/2006/relationships/hyperlink" Target="https://i.ibb.co/DznB5q4/Itau.png" TargetMode="External"/><Relationship Id="rId1501" Type="http://schemas.openxmlformats.org/officeDocument/2006/relationships/hyperlink" Target="https://i.ibb.co/DznB5q4/Itau.png" TargetMode="External"/><Relationship Id="rId1502" Type="http://schemas.openxmlformats.org/officeDocument/2006/relationships/hyperlink" Target="https://i.ibb.co/DznB5q4/Itau.png" TargetMode="External"/><Relationship Id="rId1503" Type="http://schemas.openxmlformats.org/officeDocument/2006/relationships/hyperlink" Target="https://i.ibb.co/DznB5q4/Itau.png" TargetMode="External"/><Relationship Id="rId1504" Type="http://schemas.openxmlformats.org/officeDocument/2006/relationships/hyperlink" Target="https://i.ibb.co/DznB5q4/Itau.png" TargetMode="External"/><Relationship Id="rId1505" Type="http://schemas.openxmlformats.org/officeDocument/2006/relationships/hyperlink" Target="https://i.ibb.co/DznB5q4/Itau.png" TargetMode="External"/><Relationship Id="rId1506" Type="http://schemas.openxmlformats.org/officeDocument/2006/relationships/hyperlink" Target="https://i.ibb.co/DznB5q4/Itau.png" TargetMode="External"/><Relationship Id="rId1507" Type="http://schemas.openxmlformats.org/officeDocument/2006/relationships/hyperlink" Target="https://i.ibb.co/DznB5q4/Itau.png" TargetMode="External"/><Relationship Id="rId1508" Type="http://schemas.openxmlformats.org/officeDocument/2006/relationships/hyperlink" Target="https://i.ibb.co/DznB5q4/Itau.png" TargetMode="External"/><Relationship Id="rId1509" Type="http://schemas.openxmlformats.org/officeDocument/2006/relationships/hyperlink" Target="https://i.ibb.co/DznB5q4/Itau.png" TargetMode="External"/><Relationship Id="rId1510" Type="http://schemas.openxmlformats.org/officeDocument/2006/relationships/hyperlink" Target="https://i.ibb.co/DznB5q4/Itau.png" TargetMode="External"/><Relationship Id="rId1511" Type="http://schemas.openxmlformats.org/officeDocument/2006/relationships/hyperlink" Target="https://i.ibb.co/DznB5q4/Itau.png" TargetMode="External"/><Relationship Id="rId1512" Type="http://schemas.openxmlformats.org/officeDocument/2006/relationships/hyperlink" Target="https://i.ibb.co/DznB5q4/Itau.png" TargetMode="External"/><Relationship Id="rId1513" Type="http://schemas.openxmlformats.org/officeDocument/2006/relationships/hyperlink" Target="https://i.ibb.co/DznB5q4/Itau.png" TargetMode="External"/><Relationship Id="rId1514" Type="http://schemas.openxmlformats.org/officeDocument/2006/relationships/hyperlink" Target="https://i.ibb.co/DznB5q4/Itau.png" TargetMode="External"/><Relationship Id="rId1515" Type="http://schemas.openxmlformats.org/officeDocument/2006/relationships/hyperlink" Target="https://i.ibb.co/DznB5q4/Itau.png" TargetMode="External"/><Relationship Id="rId1516" Type="http://schemas.openxmlformats.org/officeDocument/2006/relationships/hyperlink" Target="https://i.ibb.co/DznB5q4/Itau.png" TargetMode="External"/><Relationship Id="rId1517" Type="http://schemas.openxmlformats.org/officeDocument/2006/relationships/hyperlink" Target="https://i.ibb.co/DznB5q4/Itau.png" TargetMode="External"/><Relationship Id="rId1518" Type="http://schemas.openxmlformats.org/officeDocument/2006/relationships/hyperlink" Target="https://i.ibb.co/DznB5q4/Itau.png" TargetMode="External"/><Relationship Id="rId1519" Type="http://schemas.openxmlformats.org/officeDocument/2006/relationships/hyperlink" Target="https://i.ibb.co/DznB5q4/Itau.png" TargetMode="External"/><Relationship Id="rId1520" Type="http://schemas.openxmlformats.org/officeDocument/2006/relationships/hyperlink" Target="https://i.ibb.co/DznB5q4/Itau.png" TargetMode="External"/><Relationship Id="rId1521" Type="http://schemas.openxmlformats.org/officeDocument/2006/relationships/hyperlink" Target="https://i.ibb.co/DznB5q4/Itau.png" TargetMode="External"/><Relationship Id="rId1522" Type="http://schemas.openxmlformats.org/officeDocument/2006/relationships/hyperlink" Target="https://i.ibb.co/DznB5q4/Itau.png" TargetMode="External"/><Relationship Id="rId1523" Type="http://schemas.openxmlformats.org/officeDocument/2006/relationships/hyperlink" Target="https://i.ibb.co/DznB5q4/Itau.png" TargetMode="External"/><Relationship Id="rId1524" Type="http://schemas.openxmlformats.org/officeDocument/2006/relationships/hyperlink" Target="https://i.ibb.co/DznB5q4/Itau.png" TargetMode="External"/><Relationship Id="rId1525" Type="http://schemas.openxmlformats.org/officeDocument/2006/relationships/hyperlink" Target="https://i.ibb.co/DznB5q4/Itau.png" TargetMode="External"/><Relationship Id="rId1526" Type="http://schemas.openxmlformats.org/officeDocument/2006/relationships/hyperlink" Target="https://i.ibb.co/DznB5q4/Itau.png" TargetMode="External"/><Relationship Id="rId1527" Type="http://schemas.openxmlformats.org/officeDocument/2006/relationships/hyperlink" Target="https://i.ibb.co/DznB5q4/Itau.png" TargetMode="External"/><Relationship Id="rId1528" Type="http://schemas.openxmlformats.org/officeDocument/2006/relationships/hyperlink" Target="https://i.ibb.co/DznB5q4/Itau.png" TargetMode="External"/><Relationship Id="rId1529" Type="http://schemas.openxmlformats.org/officeDocument/2006/relationships/hyperlink" Target="https://i.ibb.co/DznB5q4/Itau.png" TargetMode="External"/><Relationship Id="rId1530" Type="http://schemas.openxmlformats.org/officeDocument/2006/relationships/hyperlink" Target="https://i.ibb.co/DznB5q4/Itau.png" TargetMode="External"/><Relationship Id="rId1531" Type="http://schemas.openxmlformats.org/officeDocument/2006/relationships/hyperlink" Target="https://i.ibb.co/DznB5q4/Itau.png" TargetMode="External"/><Relationship Id="rId1532" Type="http://schemas.openxmlformats.org/officeDocument/2006/relationships/hyperlink" Target="https://i.ibb.co/DznB5q4/Itau.png" TargetMode="External"/><Relationship Id="rId1533" Type="http://schemas.openxmlformats.org/officeDocument/2006/relationships/hyperlink" Target="https://i.ibb.co/DznB5q4/Itau.png" TargetMode="External"/><Relationship Id="rId1534" Type="http://schemas.openxmlformats.org/officeDocument/2006/relationships/hyperlink" Target="https://i.ibb.co/DznB5q4/Itau.png" TargetMode="External"/><Relationship Id="rId1535" Type="http://schemas.openxmlformats.org/officeDocument/2006/relationships/hyperlink" Target="https://i.ibb.co/DznB5q4/Itau.png" TargetMode="External"/><Relationship Id="rId1536" Type="http://schemas.openxmlformats.org/officeDocument/2006/relationships/hyperlink" Target="https://i.ibb.co/DznB5q4/Itau.png" TargetMode="External"/><Relationship Id="rId1537" Type="http://schemas.openxmlformats.org/officeDocument/2006/relationships/hyperlink" Target="https://i.ibb.co/DznB5q4/Itau.png" TargetMode="External"/><Relationship Id="rId1538" Type="http://schemas.openxmlformats.org/officeDocument/2006/relationships/hyperlink" Target="https://i.ibb.co/DznB5q4/Itau.png" TargetMode="External"/><Relationship Id="rId1539" Type="http://schemas.openxmlformats.org/officeDocument/2006/relationships/hyperlink" Target="https://i.ibb.co/DznB5q4/Itau.png" TargetMode="External"/><Relationship Id="rId1540" Type="http://schemas.openxmlformats.org/officeDocument/2006/relationships/hyperlink" Target="https://i.ibb.co/DznB5q4/Itau.png" TargetMode="External"/><Relationship Id="rId1541" Type="http://schemas.openxmlformats.org/officeDocument/2006/relationships/hyperlink" Target="https://i.ibb.co/DznB5q4/Itau.png" TargetMode="External"/><Relationship Id="rId1542" Type="http://schemas.openxmlformats.org/officeDocument/2006/relationships/hyperlink" Target="https://i.ibb.co/DznB5q4/Itau.png" TargetMode="External"/><Relationship Id="rId1543" Type="http://schemas.openxmlformats.org/officeDocument/2006/relationships/hyperlink" Target="https://i.ibb.co/DznB5q4/Itau.png" TargetMode="External"/><Relationship Id="rId1544" Type="http://schemas.openxmlformats.org/officeDocument/2006/relationships/hyperlink" Target="https://i.ibb.co/DznB5q4/Itau.png" TargetMode="External"/><Relationship Id="rId1545" Type="http://schemas.openxmlformats.org/officeDocument/2006/relationships/hyperlink" Target="https://i.ibb.co/DznB5q4/Itau.png" TargetMode="External"/><Relationship Id="rId1546" Type="http://schemas.openxmlformats.org/officeDocument/2006/relationships/hyperlink" Target="https://i.ibb.co/DznB5q4/Itau.png" TargetMode="External"/><Relationship Id="rId1547" Type="http://schemas.openxmlformats.org/officeDocument/2006/relationships/hyperlink" Target="https://i.ibb.co/DznB5q4/Itau.png" TargetMode="External"/><Relationship Id="rId1548" Type="http://schemas.openxmlformats.org/officeDocument/2006/relationships/hyperlink" Target="https://i.ibb.co/DznB5q4/Itau.png" TargetMode="External"/><Relationship Id="rId1549" Type="http://schemas.openxmlformats.org/officeDocument/2006/relationships/hyperlink" Target="https://i.ibb.co/DznB5q4/Itau.png" TargetMode="External"/><Relationship Id="rId1550" Type="http://schemas.openxmlformats.org/officeDocument/2006/relationships/hyperlink" Target="https://i.ibb.co/DznB5q4/Itau.png" TargetMode="External"/><Relationship Id="rId1551" Type="http://schemas.openxmlformats.org/officeDocument/2006/relationships/hyperlink" Target="https://i.ibb.co/DznB5q4/Itau.png" TargetMode="External"/><Relationship Id="rId1552" Type="http://schemas.openxmlformats.org/officeDocument/2006/relationships/hyperlink" Target="https://i.ibb.co/DznB5q4/Itau.png" TargetMode="External"/><Relationship Id="rId1553" Type="http://schemas.openxmlformats.org/officeDocument/2006/relationships/hyperlink" Target="https://i.ibb.co/DznB5q4/Itau.png" TargetMode="External"/><Relationship Id="rId1554" Type="http://schemas.openxmlformats.org/officeDocument/2006/relationships/hyperlink" Target="https://i.ibb.co/DznB5q4/Itau.png" TargetMode="External"/><Relationship Id="rId1555" Type="http://schemas.openxmlformats.org/officeDocument/2006/relationships/hyperlink" Target="https://i.ibb.co/DznB5q4/Itau.png" TargetMode="External"/><Relationship Id="rId1556" Type="http://schemas.openxmlformats.org/officeDocument/2006/relationships/hyperlink" Target="https://i.ibb.co/DznB5q4/Itau.png" TargetMode="External"/><Relationship Id="rId1557" Type="http://schemas.openxmlformats.org/officeDocument/2006/relationships/hyperlink" Target="https://i.ibb.co/DznB5q4/Itau.png" TargetMode="External"/><Relationship Id="rId1558" Type="http://schemas.openxmlformats.org/officeDocument/2006/relationships/hyperlink" Target="https://i.ibb.co/DznB5q4/Itau.png" TargetMode="External"/><Relationship Id="rId1559" Type="http://schemas.openxmlformats.org/officeDocument/2006/relationships/hyperlink" Target="https://i.ibb.co/DznB5q4/Itau.png" TargetMode="External"/><Relationship Id="rId1560" Type="http://schemas.openxmlformats.org/officeDocument/2006/relationships/hyperlink" Target="https://i.ibb.co/DznB5q4/Itau.png" TargetMode="External"/><Relationship Id="rId1561" Type="http://schemas.openxmlformats.org/officeDocument/2006/relationships/hyperlink" Target="https://i.ibb.co/DznB5q4/Itau.png" TargetMode="External"/><Relationship Id="rId1562" Type="http://schemas.openxmlformats.org/officeDocument/2006/relationships/hyperlink" Target="https://i.ibb.co/DznB5q4/Itau.png" TargetMode="External"/><Relationship Id="rId1563" Type="http://schemas.openxmlformats.org/officeDocument/2006/relationships/hyperlink" Target="https://i.ibb.co/DznB5q4/Itau.png" TargetMode="External"/><Relationship Id="rId1564" Type="http://schemas.openxmlformats.org/officeDocument/2006/relationships/hyperlink" Target="https://i.ibb.co/DznB5q4/Itau.png" TargetMode="External"/><Relationship Id="rId1565" Type="http://schemas.openxmlformats.org/officeDocument/2006/relationships/hyperlink" Target="https://i.ibb.co/DznB5q4/Itau.png" TargetMode="External"/><Relationship Id="rId1566" Type="http://schemas.openxmlformats.org/officeDocument/2006/relationships/hyperlink" Target="https://i.ibb.co/DznB5q4/Itau.png" TargetMode="External"/><Relationship Id="rId1567" Type="http://schemas.openxmlformats.org/officeDocument/2006/relationships/hyperlink" Target="https://i.ibb.co/DznB5q4/Itau.png" TargetMode="External"/><Relationship Id="rId1568" Type="http://schemas.openxmlformats.org/officeDocument/2006/relationships/hyperlink" Target="https://i.ibb.co/DznB5q4/Itau.png" TargetMode="External"/><Relationship Id="rId1569" Type="http://schemas.openxmlformats.org/officeDocument/2006/relationships/hyperlink" Target="https://i.ibb.co/DznB5q4/Itau.png" TargetMode="External"/><Relationship Id="rId1570" Type="http://schemas.openxmlformats.org/officeDocument/2006/relationships/hyperlink" Target="https://i.ibb.co/DznB5q4/Itau.png" TargetMode="External"/><Relationship Id="rId1571" Type="http://schemas.openxmlformats.org/officeDocument/2006/relationships/hyperlink" Target="https://i.ibb.co/DznB5q4/Itau.png" TargetMode="External"/><Relationship Id="rId1572" Type="http://schemas.openxmlformats.org/officeDocument/2006/relationships/hyperlink" Target="https://i.ibb.co/DznB5q4/Itau.png" TargetMode="External"/><Relationship Id="rId1573" Type="http://schemas.openxmlformats.org/officeDocument/2006/relationships/hyperlink" Target="https://i.ibb.co/DznB5q4/Itau.png" TargetMode="External"/><Relationship Id="rId1574" Type="http://schemas.openxmlformats.org/officeDocument/2006/relationships/hyperlink" Target="https://i.ibb.co/DznB5q4/Itau.png" TargetMode="External"/><Relationship Id="rId1575" Type="http://schemas.openxmlformats.org/officeDocument/2006/relationships/hyperlink" Target="https://i.ibb.co/DznB5q4/Itau.png" TargetMode="External"/><Relationship Id="rId1576" Type="http://schemas.openxmlformats.org/officeDocument/2006/relationships/hyperlink" Target="https://i.ibb.co/DznB5q4/Itau.png" TargetMode="External"/><Relationship Id="rId1577" Type="http://schemas.openxmlformats.org/officeDocument/2006/relationships/hyperlink" Target="https://i.ibb.co/DznB5q4/Itau.png" TargetMode="External"/><Relationship Id="rId1578" Type="http://schemas.openxmlformats.org/officeDocument/2006/relationships/hyperlink" Target="https://i.ibb.co/DznB5q4/Itau.png" TargetMode="External"/><Relationship Id="rId1579" Type="http://schemas.openxmlformats.org/officeDocument/2006/relationships/hyperlink" Target="https://i.ibb.co/DznB5q4/Itau.png" TargetMode="External"/><Relationship Id="rId1580" Type="http://schemas.openxmlformats.org/officeDocument/2006/relationships/hyperlink" Target="https://i.ibb.co/DznB5q4/Itau.png" TargetMode="External"/><Relationship Id="rId1581" Type="http://schemas.openxmlformats.org/officeDocument/2006/relationships/hyperlink" Target="https://i.ibb.co/DznB5q4/Itau.png" TargetMode="External"/><Relationship Id="rId1582" Type="http://schemas.openxmlformats.org/officeDocument/2006/relationships/hyperlink" Target="https://i.ibb.co/DznB5q4/Itau.png" TargetMode="External"/><Relationship Id="rId1583" Type="http://schemas.openxmlformats.org/officeDocument/2006/relationships/hyperlink" Target="https://i.ibb.co/DznB5q4/Itau.png" TargetMode="External"/><Relationship Id="rId1584" Type="http://schemas.openxmlformats.org/officeDocument/2006/relationships/hyperlink" Target="https://i.ibb.co/DznB5q4/Itau.png" TargetMode="External"/><Relationship Id="rId1585" Type="http://schemas.openxmlformats.org/officeDocument/2006/relationships/hyperlink" Target="https://i.ibb.co/DznB5q4/Itau.png" TargetMode="External"/><Relationship Id="rId1586" Type="http://schemas.openxmlformats.org/officeDocument/2006/relationships/hyperlink" Target="https://i.ibb.co/DznB5q4/Itau.png" TargetMode="External"/><Relationship Id="rId1587" Type="http://schemas.openxmlformats.org/officeDocument/2006/relationships/hyperlink" Target="https://i.ibb.co/DznB5q4/Itau.png" TargetMode="External"/><Relationship Id="rId1588" Type="http://schemas.openxmlformats.org/officeDocument/2006/relationships/hyperlink" Target="https://i.ibb.co/DznB5q4/Itau.png" TargetMode="External"/><Relationship Id="rId1589" Type="http://schemas.openxmlformats.org/officeDocument/2006/relationships/hyperlink" Target="https://i.ibb.co/DznB5q4/Itau.png" TargetMode="External"/><Relationship Id="rId1590" Type="http://schemas.openxmlformats.org/officeDocument/2006/relationships/hyperlink" Target="https://i.ibb.co/DznB5q4/Itau.png" TargetMode="External"/><Relationship Id="rId1591" Type="http://schemas.openxmlformats.org/officeDocument/2006/relationships/hyperlink" Target="https://i.ibb.co/DznB5q4/Itau.png" TargetMode="External"/><Relationship Id="rId1592" Type="http://schemas.openxmlformats.org/officeDocument/2006/relationships/hyperlink" Target="https://i.ibb.co/DznB5q4/Itau.png" TargetMode="External"/><Relationship Id="rId1593" Type="http://schemas.openxmlformats.org/officeDocument/2006/relationships/hyperlink" Target="https://i.ibb.co/DznB5q4/Itau.png" TargetMode="External"/><Relationship Id="rId1594" Type="http://schemas.openxmlformats.org/officeDocument/2006/relationships/hyperlink" Target="https://i.ibb.co/DznB5q4/Itau.png" TargetMode="External"/><Relationship Id="rId1595" Type="http://schemas.openxmlformats.org/officeDocument/2006/relationships/hyperlink" Target="https://i.ibb.co/DznB5q4/Itau.png" TargetMode="External"/><Relationship Id="rId1596" Type="http://schemas.openxmlformats.org/officeDocument/2006/relationships/hyperlink" Target="https://i.ibb.co/DznB5q4/Itau.png" TargetMode="External"/><Relationship Id="rId1597" Type="http://schemas.openxmlformats.org/officeDocument/2006/relationships/hyperlink" Target="https://i.ibb.co/DznB5q4/Itau.png" TargetMode="External"/><Relationship Id="rId1598" Type="http://schemas.openxmlformats.org/officeDocument/2006/relationships/hyperlink" Target="https://i.ibb.co/DznB5q4/Itau.png" TargetMode="External"/><Relationship Id="rId1599" Type="http://schemas.openxmlformats.org/officeDocument/2006/relationships/hyperlink" Target="https://i.ibb.co/DznB5q4/Itau.png" TargetMode="External"/><Relationship Id="rId1600" Type="http://schemas.openxmlformats.org/officeDocument/2006/relationships/hyperlink" Target="https://i.ibb.co/DznB5q4/Itau.png" TargetMode="External"/><Relationship Id="rId1601" Type="http://schemas.openxmlformats.org/officeDocument/2006/relationships/hyperlink" Target="https://i.ibb.co/DznB5q4/Itau.png" TargetMode="External"/><Relationship Id="rId1602" Type="http://schemas.openxmlformats.org/officeDocument/2006/relationships/hyperlink" Target="https://i.ibb.co/DznB5q4/Itau.png" TargetMode="External"/><Relationship Id="rId1603" Type="http://schemas.openxmlformats.org/officeDocument/2006/relationships/hyperlink" Target="https://i.ibb.co/DznB5q4/Itau.png" TargetMode="External"/><Relationship Id="rId1604" Type="http://schemas.openxmlformats.org/officeDocument/2006/relationships/hyperlink" Target="https://i.ibb.co/DznB5q4/Itau.png" TargetMode="External"/><Relationship Id="rId1605" Type="http://schemas.openxmlformats.org/officeDocument/2006/relationships/hyperlink" Target="https://i.ibb.co/DznB5q4/Itau.png" TargetMode="External"/><Relationship Id="rId1606" Type="http://schemas.openxmlformats.org/officeDocument/2006/relationships/hyperlink" Target="https://i.ibb.co/DznB5q4/Itau.png" TargetMode="External"/><Relationship Id="rId1607" Type="http://schemas.openxmlformats.org/officeDocument/2006/relationships/hyperlink" Target="https://i.ibb.co/DznB5q4/Itau.png" TargetMode="External"/><Relationship Id="rId1608" Type="http://schemas.openxmlformats.org/officeDocument/2006/relationships/hyperlink" Target="https://i.ibb.co/DznB5q4/Itau.png" TargetMode="External"/><Relationship Id="rId1609" Type="http://schemas.openxmlformats.org/officeDocument/2006/relationships/hyperlink" Target="https://i.ibb.co/DznB5q4/Itau.png" TargetMode="External"/><Relationship Id="rId1610" Type="http://schemas.openxmlformats.org/officeDocument/2006/relationships/hyperlink" Target="https://i.ibb.co/DznB5q4/Itau.png" TargetMode="External"/><Relationship Id="rId1611" Type="http://schemas.openxmlformats.org/officeDocument/2006/relationships/hyperlink" Target="https://i.ibb.co/DznB5q4/Itau.png" TargetMode="External"/><Relationship Id="rId1612" Type="http://schemas.openxmlformats.org/officeDocument/2006/relationships/hyperlink" Target="https://i.ibb.co/DznB5q4/Itau.png" TargetMode="External"/><Relationship Id="rId1613" Type="http://schemas.openxmlformats.org/officeDocument/2006/relationships/hyperlink" Target="https://i.ibb.co/DznB5q4/Itau.png" TargetMode="External"/><Relationship Id="rId1614" Type="http://schemas.openxmlformats.org/officeDocument/2006/relationships/hyperlink" Target="https://i.ibb.co/DznB5q4/Itau.png" TargetMode="External"/><Relationship Id="rId1615" Type="http://schemas.openxmlformats.org/officeDocument/2006/relationships/hyperlink" Target="https://i.ibb.co/DznB5q4/Itau.png" TargetMode="External"/><Relationship Id="rId1616" Type="http://schemas.openxmlformats.org/officeDocument/2006/relationships/hyperlink" Target="https://i.ibb.co/DznB5q4/Itau.png" TargetMode="External"/><Relationship Id="rId1617" Type="http://schemas.openxmlformats.org/officeDocument/2006/relationships/hyperlink" Target="https://i.ibb.co/DznB5q4/Itau.png" TargetMode="External"/><Relationship Id="rId1618" Type="http://schemas.openxmlformats.org/officeDocument/2006/relationships/hyperlink" Target="https://i.ibb.co/DznB5q4/Itau.png" TargetMode="External"/><Relationship Id="rId1619" Type="http://schemas.openxmlformats.org/officeDocument/2006/relationships/hyperlink" Target="https://i.ibb.co/DznB5q4/Itau.png" TargetMode="External"/><Relationship Id="rId1620" Type="http://schemas.openxmlformats.org/officeDocument/2006/relationships/hyperlink" Target="https://i.ibb.co/DznB5q4/Itau.png" TargetMode="External"/><Relationship Id="rId1621" Type="http://schemas.openxmlformats.org/officeDocument/2006/relationships/hyperlink" Target="https://i.ibb.co/DznB5q4/Itau.png" TargetMode="External"/><Relationship Id="rId1622" Type="http://schemas.openxmlformats.org/officeDocument/2006/relationships/hyperlink" Target="https://i.ibb.co/DznB5q4/Itau.png" TargetMode="External"/><Relationship Id="rId1623" Type="http://schemas.openxmlformats.org/officeDocument/2006/relationships/hyperlink" Target="https://i.ibb.co/DznB5q4/Itau.png" TargetMode="External"/><Relationship Id="rId1624" Type="http://schemas.openxmlformats.org/officeDocument/2006/relationships/hyperlink" Target="https://i.ibb.co/DznB5q4/Itau.png" TargetMode="External"/><Relationship Id="rId1625" Type="http://schemas.openxmlformats.org/officeDocument/2006/relationships/hyperlink" Target="https://i.ibb.co/DznB5q4/Itau.png" TargetMode="External"/><Relationship Id="rId1626" Type="http://schemas.openxmlformats.org/officeDocument/2006/relationships/hyperlink" Target="https://i.ibb.co/DznB5q4/Itau.png" TargetMode="External"/><Relationship Id="rId1627" Type="http://schemas.openxmlformats.org/officeDocument/2006/relationships/hyperlink" Target="https://i.ibb.co/DznB5q4/Itau.png" TargetMode="External"/><Relationship Id="rId1628" Type="http://schemas.openxmlformats.org/officeDocument/2006/relationships/hyperlink" Target="https://i.ibb.co/DznB5q4/Itau.png" TargetMode="External"/><Relationship Id="rId1629" Type="http://schemas.openxmlformats.org/officeDocument/2006/relationships/hyperlink" Target="https://i.ibb.co/DznB5q4/Itau.png" TargetMode="External"/><Relationship Id="rId1630" Type="http://schemas.openxmlformats.org/officeDocument/2006/relationships/hyperlink" Target="https://i.ibb.co/DznB5q4/Itau.png" TargetMode="External"/><Relationship Id="rId1631" Type="http://schemas.openxmlformats.org/officeDocument/2006/relationships/hyperlink" Target="https://i.ibb.co/DznB5q4/Itau.png" TargetMode="External"/><Relationship Id="rId1632" Type="http://schemas.openxmlformats.org/officeDocument/2006/relationships/hyperlink" Target="https://i.ibb.co/DznB5q4/Itau.png" TargetMode="External"/><Relationship Id="rId1633" Type="http://schemas.openxmlformats.org/officeDocument/2006/relationships/hyperlink" Target="https://i.ibb.co/DznB5q4/Itau.png" TargetMode="External"/><Relationship Id="rId1634" Type="http://schemas.openxmlformats.org/officeDocument/2006/relationships/hyperlink" Target="https://i.ibb.co/DznB5q4/Itau.png" TargetMode="External"/><Relationship Id="rId1635" Type="http://schemas.openxmlformats.org/officeDocument/2006/relationships/hyperlink" Target="https://i.ibb.co/DznB5q4/Itau.png" TargetMode="External"/><Relationship Id="rId1636" Type="http://schemas.openxmlformats.org/officeDocument/2006/relationships/hyperlink" Target="https://i.ibb.co/DznB5q4/Itau.png" TargetMode="External"/><Relationship Id="rId1637" Type="http://schemas.openxmlformats.org/officeDocument/2006/relationships/hyperlink" Target="https://i.ibb.co/DznB5q4/Itau.png" TargetMode="External"/><Relationship Id="rId1638" Type="http://schemas.openxmlformats.org/officeDocument/2006/relationships/hyperlink" Target="https://i.ibb.co/DznB5q4/Itau.png" TargetMode="External"/><Relationship Id="rId1639" Type="http://schemas.openxmlformats.org/officeDocument/2006/relationships/hyperlink" Target="https://i.ibb.co/DznB5q4/Itau.png" TargetMode="External"/><Relationship Id="rId1640" Type="http://schemas.openxmlformats.org/officeDocument/2006/relationships/hyperlink" Target="https://i.ibb.co/DznB5q4/Itau.png" TargetMode="External"/><Relationship Id="rId1641" Type="http://schemas.openxmlformats.org/officeDocument/2006/relationships/hyperlink" Target="https://i.ibb.co/DznB5q4/Itau.png" TargetMode="External"/><Relationship Id="rId1642" Type="http://schemas.openxmlformats.org/officeDocument/2006/relationships/hyperlink" Target="https://i.ibb.co/DznB5q4/Itau.png" TargetMode="External"/><Relationship Id="rId1643" Type="http://schemas.openxmlformats.org/officeDocument/2006/relationships/hyperlink" Target="https://i.ibb.co/DznB5q4/Itau.png" TargetMode="External"/><Relationship Id="rId1644" Type="http://schemas.openxmlformats.org/officeDocument/2006/relationships/hyperlink" Target="https://i.ibb.co/DznB5q4/Itau.png" TargetMode="External"/><Relationship Id="rId1645" Type="http://schemas.openxmlformats.org/officeDocument/2006/relationships/hyperlink" Target="https://i.ibb.co/DznB5q4/Itau.png" TargetMode="External"/><Relationship Id="rId1646" Type="http://schemas.openxmlformats.org/officeDocument/2006/relationships/hyperlink" Target="https://i.ibb.co/DznB5q4/Itau.png" TargetMode="External"/><Relationship Id="rId1647" Type="http://schemas.openxmlformats.org/officeDocument/2006/relationships/hyperlink" Target="https://i.ibb.co/DznB5q4/Itau.png" TargetMode="External"/><Relationship Id="rId1648" Type="http://schemas.openxmlformats.org/officeDocument/2006/relationships/hyperlink" Target="https://i.ibb.co/DznB5q4/Itau.png" TargetMode="External"/><Relationship Id="rId1649" Type="http://schemas.openxmlformats.org/officeDocument/2006/relationships/hyperlink" Target="https://i.ibb.co/DznB5q4/Itau.png" TargetMode="External"/><Relationship Id="rId1650" Type="http://schemas.openxmlformats.org/officeDocument/2006/relationships/hyperlink" Target="https://i.ibb.co/DznB5q4/Itau.png" TargetMode="External"/><Relationship Id="rId1651" Type="http://schemas.openxmlformats.org/officeDocument/2006/relationships/hyperlink" Target="https://i.ibb.co/DznB5q4/Itau.png" TargetMode="External"/><Relationship Id="rId1652" Type="http://schemas.openxmlformats.org/officeDocument/2006/relationships/hyperlink" Target="https://i.ibb.co/DznB5q4/Itau.png" TargetMode="External"/><Relationship Id="rId1653" Type="http://schemas.openxmlformats.org/officeDocument/2006/relationships/hyperlink" Target="https://i.ibb.co/DznB5q4/Itau.png" TargetMode="External"/><Relationship Id="rId1654" Type="http://schemas.openxmlformats.org/officeDocument/2006/relationships/hyperlink" Target="https://i.ibb.co/DznB5q4/Itau.png" TargetMode="External"/><Relationship Id="rId1655" Type="http://schemas.openxmlformats.org/officeDocument/2006/relationships/hyperlink" Target="https://i.ibb.co/DznB5q4/Itau.png" TargetMode="External"/><Relationship Id="rId1656" Type="http://schemas.openxmlformats.org/officeDocument/2006/relationships/hyperlink" Target="https://i.ibb.co/DznB5q4/Itau.png" TargetMode="External"/><Relationship Id="rId1657" Type="http://schemas.openxmlformats.org/officeDocument/2006/relationships/hyperlink" Target="https://i.ibb.co/DznB5q4/Itau.png" TargetMode="External"/><Relationship Id="rId1658" Type="http://schemas.openxmlformats.org/officeDocument/2006/relationships/hyperlink" Target="https://i.ibb.co/DznB5q4/Itau.png" TargetMode="External"/><Relationship Id="rId1659" Type="http://schemas.openxmlformats.org/officeDocument/2006/relationships/hyperlink" Target="https://i.ibb.co/DznB5q4/Itau.png" TargetMode="External"/><Relationship Id="rId1660" Type="http://schemas.openxmlformats.org/officeDocument/2006/relationships/hyperlink" Target="https://i.ibb.co/DznB5q4/Itau.png" TargetMode="External"/><Relationship Id="rId1661" Type="http://schemas.openxmlformats.org/officeDocument/2006/relationships/hyperlink" Target="https://i.ibb.co/DznB5q4/Itau.png" TargetMode="External"/><Relationship Id="rId1662" Type="http://schemas.openxmlformats.org/officeDocument/2006/relationships/hyperlink" Target="https://i.ibb.co/DznB5q4/Itau.png" TargetMode="External"/><Relationship Id="rId1663" Type="http://schemas.openxmlformats.org/officeDocument/2006/relationships/hyperlink" Target="https://i.ibb.co/DznB5q4/Itau.png" TargetMode="External"/><Relationship Id="rId1664" Type="http://schemas.openxmlformats.org/officeDocument/2006/relationships/hyperlink" Target="https://i.ibb.co/DznB5q4/Itau.png" TargetMode="External"/><Relationship Id="rId1665" Type="http://schemas.openxmlformats.org/officeDocument/2006/relationships/hyperlink" Target="https://i.ibb.co/DznB5q4/Itau.png" TargetMode="External"/><Relationship Id="rId1666" Type="http://schemas.openxmlformats.org/officeDocument/2006/relationships/hyperlink" Target="https://i.ibb.co/DznB5q4/Itau.png" TargetMode="External"/><Relationship Id="rId1667" Type="http://schemas.openxmlformats.org/officeDocument/2006/relationships/hyperlink" Target="https://i.ibb.co/DznB5q4/Itau.png" TargetMode="External"/><Relationship Id="rId1668" Type="http://schemas.openxmlformats.org/officeDocument/2006/relationships/hyperlink" Target="https://i.ibb.co/DznB5q4/Itau.png" TargetMode="External"/><Relationship Id="rId1669" Type="http://schemas.openxmlformats.org/officeDocument/2006/relationships/hyperlink" Target="https://i.ibb.co/DznB5q4/Itau.png" TargetMode="External"/><Relationship Id="rId1670" Type="http://schemas.openxmlformats.org/officeDocument/2006/relationships/hyperlink" Target="https://i.ibb.co/DznB5q4/Itau.png" TargetMode="External"/><Relationship Id="rId1671" Type="http://schemas.openxmlformats.org/officeDocument/2006/relationships/hyperlink" Target="https://i.ibb.co/DznB5q4/Itau.png" TargetMode="External"/><Relationship Id="rId1672" Type="http://schemas.openxmlformats.org/officeDocument/2006/relationships/hyperlink" Target="https://i.ibb.co/DznB5q4/Itau.png" TargetMode="External"/><Relationship Id="rId1673" Type="http://schemas.openxmlformats.org/officeDocument/2006/relationships/hyperlink" Target="https://i.ibb.co/DznB5q4/Itau.png" TargetMode="External"/><Relationship Id="rId1674" Type="http://schemas.openxmlformats.org/officeDocument/2006/relationships/hyperlink" Target="https://i.ibb.co/DznB5q4/Itau.png" TargetMode="External"/><Relationship Id="rId1675" Type="http://schemas.openxmlformats.org/officeDocument/2006/relationships/hyperlink" Target="https://i.ibb.co/DznB5q4/Itau.png" TargetMode="External"/><Relationship Id="rId1676" Type="http://schemas.openxmlformats.org/officeDocument/2006/relationships/hyperlink" Target="https://i.ibb.co/DznB5q4/Itau.png" TargetMode="External"/><Relationship Id="rId1677" Type="http://schemas.openxmlformats.org/officeDocument/2006/relationships/hyperlink" Target="https://i.ibb.co/DznB5q4/Itau.png" TargetMode="External"/><Relationship Id="rId1678" Type="http://schemas.openxmlformats.org/officeDocument/2006/relationships/hyperlink" Target="https://i.ibb.co/DznB5q4/Itau.png" TargetMode="External"/><Relationship Id="rId1679" Type="http://schemas.openxmlformats.org/officeDocument/2006/relationships/hyperlink" Target="https://i.ibb.co/DznB5q4/Itau.png" TargetMode="External"/><Relationship Id="rId1680" Type="http://schemas.openxmlformats.org/officeDocument/2006/relationships/hyperlink" Target="https://i.ibb.co/DznB5q4/Itau.png" TargetMode="External"/><Relationship Id="rId1681" Type="http://schemas.openxmlformats.org/officeDocument/2006/relationships/hyperlink" Target="https://i.ibb.co/DznB5q4/Itau.png" TargetMode="External"/><Relationship Id="rId1682" Type="http://schemas.openxmlformats.org/officeDocument/2006/relationships/hyperlink" Target="https://i.ibb.co/DznB5q4/Itau.png" TargetMode="External"/><Relationship Id="rId1683" Type="http://schemas.openxmlformats.org/officeDocument/2006/relationships/hyperlink" Target="https://i.ibb.co/DznB5q4/Itau.png" TargetMode="External"/><Relationship Id="rId1684" Type="http://schemas.openxmlformats.org/officeDocument/2006/relationships/hyperlink" Target="https://i.ibb.co/DznB5q4/Itau.png" TargetMode="External"/><Relationship Id="rId1685" Type="http://schemas.openxmlformats.org/officeDocument/2006/relationships/hyperlink" Target="https://i.ibb.co/DznB5q4/Itau.png" TargetMode="External"/><Relationship Id="rId1686" Type="http://schemas.openxmlformats.org/officeDocument/2006/relationships/hyperlink" Target="https://i.ibb.co/DznB5q4/Itau.png" TargetMode="External"/><Relationship Id="rId1687" Type="http://schemas.openxmlformats.org/officeDocument/2006/relationships/hyperlink" Target="https://i.ibb.co/DznB5q4/Itau.png" TargetMode="External"/><Relationship Id="rId1688" Type="http://schemas.openxmlformats.org/officeDocument/2006/relationships/hyperlink" Target="https://i.ibb.co/DznB5q4/Itau.png" TargetMode="External"/><Relationship Id="rId1689" Type="http://schemas.openxmlformats.org/officeDocument/2006/relationships/hyperlink" Target="https://i.ibb.co/DznB5q4/Itau.png" TargetMode="External"/><Relationship Id="rId1690" Type="http://schemas.openxmlformats.org/officeDocument/2006/relationships/hyperlink" Target="https://i.ibb.co/DznB5q4/Itau.png" TargetMode="External"/><Relationship Id="rId1691" Type="http://schemas.openxmlformats.org/officeDocument/2006/relationships/hyperlink" Target="https://i.ibb.co/DznB5q4/Itau.png" TargetMode="External"/><Relationship Id="rId1692" Type="http://schemas.openxmlformats.org/officeDocument/2006/relationships/hyperlink" Target="https://i.ibb.co/DznB5q4/Itau.png" TargetMode="External"/><Relationship Id="rId1693" Type="http://schemas.openxmlformats.org/officeDocument/2006/relationships/hyperlink" Target="https://i.ibb.co/DznB5q4/Itau.png" TargetMode="External"/><Relationship Id="rId1694" Type="http://schemas.openxmlformats.org/officeDocument/2006/relationships/hyperlink" Target="https://i.ibb.co/DznB5q4/Itau.png" TargetMode="External"/><Relationship Id="rId1695" Type="http://schemas.openxmlformats.org/officeDocument/2006/relationships/hyperlink" Target="https://i.ibb.co/DznB5q4/Itau.png" TargetMode="External"/><Relationship Id="rId1696" Type="http://schemas.openxmlformats.org/officeDocument/2006/relationships/hyperlink" Target="https://i.ibb.co/DznB5q4/Itau.png" TargetMode="External"/><Relationship Id="rId1697" Type="http://schemas.openxmlformats.org/officeDocument/2006/relationships/hyperlink" Target="https://i.ibb.co/DznB5q4/Itau.png" TargetMode="External"/><Relationship Id="rId1698" Type="http://schemas.openxmlformats.org/officeDocument/2006/relationships/hyperlink" Target="https://i.ibb.co/DznB5q4/Itau.png" TargetMode="External"/><Relationship Id="rId1699" Type="http://schemas.openxmlformats.org/officeDocument/2006/relationships/hyperlink" Target="https://i.ibb.co/DznB5q4/Itau.png" TargetMode="External"/><Relationship Id="rId1700" Type="http://schemas.openxmlformats.org/officeDocument/2006/relationships/hyperlink" Target="https://i.ibb.co/DznB5q4/Itau.png" TargetMode="External"/><Relationship Id="rId1701" Type="http://schemas.openxmlformats.org/officeDocument/2006/relationships/hyperlink" Target="https://i.ibb.co/DznB5q4/Itau.png" TargetMode="External"/><Relationship Id="rId1702" Type="http://schemas.openxmlformats.org/officeDocument/2006/relationships/hyperlink" Target="https://i.ibb.co/DznB5q4/Itau.png" TargetMode="External"/><Relationship Id="rId1703" Type="http://schemas.openxmlformats.org/officeDocument/2006/relationships/hyperlink" Target="https://i.ibb.co/DznB5q4/Itau.png" TargetMode="External"/><Relationship Id="rId1704" Type="http://schemas.openxmlformats.org/officeDocument/2006/relationships/hyperlink" Target="https://i.ibb.co/DznB5q4/Itau.png" TargetMode="External"/><Relationship Id="rId1705" Type="http://schemas.openxmlformats.org/officeDocument/2006/relationships/hyperlink" Target="https://i.ibb.co/DznB5q4/Itau.png" TargetMode="External"/><Relationship Id="rId1706" Type="http://schemas.openxmlformats.org/officeDocument/2006/relationships/hyperlink" Target="https://i.ibb.co/DznB5q4/Itau.png" TargetMode="External"/><Relationship Id="rId1707" Type="http://schemas.openxmlformats.org/officeDocument/2006/relationships/hyperlink" Target="https://i.ibb.co/DznB5q4/Itau.png" TargetMode="External"/><Relationship Id="rId1708" Type="http://schemas.openxmlformats.org/officeDocument/2006/relationships/hyperlink" Target="https://i.ibb.co/DznB5q4/Itau.png" TargetMode="External"/><Relationship Id="rId1709" Type="http://schemas.openxmlformats.org/officeDocument/2006/relationships/hyperlink" Target="https://i.ibb.co/DznB5q4/Itau.png" TargetMode="External"/><Relationship Id="rId1710" Type="http://schemas.openxmlformats.org/officeDocument/2006/relationships/hyperlink" Target="https://i.ibb.co/DznB5q4/Itau.png" TargetMode="External"/><Relationship Id="rId1711" Type="http://schemas.openxmlformats.org/officeDocument/2006/relationships/hyperlink" Target="https://i.ibb.co/DznB5q4/Itau.png" TargetMode="External"/><Relationship Id="rId1712" Type="http://schemas.openxmlformats.org/officeDocument/2006/relationships/hyperlink" Target="https://i.ibb.co/DznB5q4/Itau.png" TargetMode="External"/><Relationship Id="rId1713" Type="http://schemas.openxmlformats.org/officeDocument/2006/relationships/hyperlink" Target="https://i.ibb.co/DznB5q4/Itau.png" TargetMode="External"/><Relationship Id="rId1714" Type="http://schemas.openxmlformats.org/officeDocument/2006/relationships/hyperlink" Target="https://i.ibb.co/DznB5q4/Itau.png" TargetMode="External"/><Relationship Id="rId1715" Type="http://schemas.openxmlformats.org/officeDocument/2006/relationships/hyperlink" Target="https://i.ibb.co/DznB5q4/Itau.png" TargetMode="External"/><Relationship Id="rId1716" Type="http://schemas.openxmlformats.org/officeDocument/2006/relationships/hyperlink" Target="https://i.ibb.co/DznB5q4/Itau.png" TargetMode="External"/><Relationship Id="rId1717" Type="http://schemas.openxmlformats.org/officeDocument/2006/relationships/hyperlink" Target="https://i.ibb.co/DznB5q4/Itau.png" TargetMode="External"/><Relationship Id="rId1718" Type="http://schemas.openxmlformats.org/officeDocument/2006/relationships/hyperlink" Target="https://i.ibb.co/DznB5q4/Itau.png" TargetMode="External"/><Relationship Id="rId1719" Type="http://schemas.openxmlformats.org/officeDocument/2006/relationships/hyperlink" Target="https://i.ibb.co/DznB5q4/Itau.png" TargetMode="External"/><Relationship Id="rId1720" Type="http://schemas.openxmlformats.org/officeDocument/2006/relationships/hyperlink" Target="https://i.ibb.co/DznB5q4/Itau.png" TargetMode="External"/><Relationship Id="rId1721" Type="http://schemas.openxmlformats.org/officeDocument/2006/relationships/hyperlink" Target="https://i.ibb.co/DznB5q4/Itau.png" TargetMode="External"/><Relationship Id="rId1722" Type="http://schemas.openxmlformats.org/officeDocument/2006/relationships/hyperlink" Target="https://i.ibb.co/DznB5q4/Itau.png" TargetMode="External"/><Relationship Id="rId1723" Type="http://schemas.openxmlformats.org/officeDocument/2006/relationships/hyperlink" Target="https://i.ibb.co/DznB5q4/Itau.png" TargetMode="External"/><Relationship Id="rId1724" Type="http://schemas.openxmlformats.org/officeDocument/2006/relationships/hyperlink" Target="https://i.ibb.co/DznB5q4/Itau.png" TargetMode="External"/><Relationship Id="rId1725" Type="http://schemas.openxmlformats.org/officeDocument/2006/relationships/hyperlink" Target="https://i.ibb.co/DznB5q4/Itau.png" TargetMode="External"/><Relationship Id="rId1726" Type="http://schemas.openxmlformats.org/officeDocument/2006/relationships/hyperlink" Target="https://i.ibb.co/DznB5q4/Itau.png" TargetMode="External"/><Relationship Id="rId1727" Type="http://schemas.openxmlformats.org/officeDocument/2006/relationships/hyperlink" Target="https://i.ibb.co/DznB5q4/Itau.png" TargetMode="External"/><Relationship Id="rId1728" Type="http://schemas.openxmlformats.org/officeDocument/2006/relationships/hyperlink" Target="https://i.ibb.co/DznB5q4/Itau.png" TargetMode="External"/><Relationship Id="rId1729" Type="http://schemas.openxmlformats.org/officeDocument/2006/relationships/hyperlink" Target="https://i.ibb.co/DznB5q4/Itau.png" TargetMode="External"/><Relationship Id="rId1730" Type="http://schemas.openxmlformats.org/officeDocument/2006/relationships/hyperlink" Target="https://i.ibb.co/DznB5q4/Itau.png" TargetMode="External"/><Relationship Id="rId1731" Type="http://schemas.openxmlformats.org/officeDocument/2006/relationships/hyperlink" Target="https://i.ibb.co/DznB5q4/Itau.png" TargetMode="External"/><Relationship Id="rId1732" Type="http://schemas.openxmlformats.org/officeDocument/2006/relationships/hyperlink" Target="https://i.ibb.co/DznB5q4/Itau.png" TargetMode="External"/><Relationship Id="rId1733" Type="http://schemas.openxmlformats.org/officeDocument/2006/relationships/hyperlink" Target="https://i.ibb.co/DznB5q4/Itau.png" TargetMode="External"/><Relationship Id="rId1734" Type="http://schemas.openxmlformats.org/officeDocument/2006/relationships/hyperlink" Target="https://i.ibb.co/DznB5q4/Itau.png" TargetMode="External"/><Relationship Id="rId1735" Type="http://schemas.openxmlformats.org/officeDocument/2006/relationships/hyperlink" Target="https://i.ibb.co/DznB5q4/Itau.png" TargetMode="External"/><Relationship Id="rId1736" Type="http://schemas.openxmlformats.org/officeDocument/2006/relationships/hyperlink" Target="https://i.ibb.co/DznB5q4/Itau.png" TargetMode="External"/><Relationship Id="rId1737" Type="http://schemas.openxmlformats.org/officeDocument/2006/relationships/hyperlink" Target="https://i.ibb.co/DznB5q4/Itau.png" TargetMode="External"/><Relationship Id="rId1738" Type="http://schemas.openxmlformats.org/officeDocument/2006/relationships/hyperlink" Target="https://i.ibb.co/DznB5q4/Itau.png" TargetMode="External"/><Relationship Id="rId1739" Type="http://schemas.openxmlformats.org/officeDocument/2006/relationships/hyperlink" Target="https://i.ibb.co/DznB5q4/Itau.png" TargetMode="External"/><Relationship Id="rId1740" Type="http://schemas.openxmlformats.org/officeDocument/2006/relationships/hyperlink" Target="https://i.ibb.co/DznB5q4/Itau.png" TargetMode="External"/><Relationship Id="rId1741" Type="http://schemas.openxmlformats.org/officeDocument/2006/relationships/hyperlink" Target="https://i.ibb.co/DznB5q4/Itau.png" TargetMode="External"/><Relationship Id="rId1742" Type="http://schemas.openxmlformats.org/officeDocument/2006/relationships/hyperlink" Target="https://i.ibb.co/DznB5q4/Itau.png" TargetMode="External"/><Relationship Id="rId1743" Type="http://schemas.openxmlformats.org/officeDocument/2006/relationships/hyperlink" Target="https://i.ibb.co/DznB5q4/Itau.png" TargetMode="External"/><Relationship Id="rId1744" Type="http://schemas.openxmlformats.org/officeDocument/2006/relationships/hyperlink" Target="https://i.ibb.co/DznB5q4/Itau.png" TargetMode="External"/><Relationship Id="rId1745" Type="http://schemas.openxmlformats.org/officeDocument/2006/relationships/hyperlink" Target="https://i.ibb.co/DznB5q4/Itau.png" TargetMode="External"/><Relationship Id="rId1746" Type="http://schemas.openxmlformats.org/officeDocument/2006/relationships/hyperlink" Target="https://i.ibb.co/DznB5q4/Itau.png" TargetMode="External"/><Relationship Id="rId1747" Type="http://schemas.openxmlformats.org/officeDocument/2006/relationships/hyperlink" Target="https://i.ibb.co/DznB5q4/Itau.png" TargetMode="External"/><Relationship Id="rId1748" Type="http://schemas.openxmlformats.org/officeDocument/2006/relationships/hyperlink" Target="https://i.ibb.co/DznB5q4/Itau.png" TargetMode="External"/><Relationship Id="rId1749" Type="http://schemas.openxmlformats.org/officeDocument/2006/relationships/hyperlink" Target="https://i.ibb.co/DznB5q4/Itau.png" TargetMode="External"/><Relationship Id="rId1750" Type="http://schemas.openxmlformats.org/officeDocument/2006/relationships/hyperlink" Target="https://i.ibb.co/DznB5q4/Itau.png" TargetMode="External"/><Relationship Id="rId1751" Type="http://schemas.openxmlformats.org/officeDocument/2006/relationships/hyperlink" Target="https://i.ibb.co/DznB5q4/Itau.png" TargetMode="External"/><Relationship Id="rId1752" Type="http://schemas.openxmlformats.org/officeDocument/2006/relationships/hyperlink" Target="https://i.ibb.co/DznB5q4/Itau.png" TargetMode="External"/><Relationship Id="rId1753" Type="http://schemas.openxmlformats.org/officeDocument/2006/relationships/hyperlink" Target="https://i.ibb.co/DznB5q4/Itau.png" TargetMode="External"/><Relationship Id="rId1754" Type="http://schemas.openxmlformats.org/officeDocument/2006/relationships/hyperlink" Target="https://i.ibb.co/DznB5q4/Itau.png" TargetMode="External"/><Relationship Id="rId1755" Type="http://schemas.openxmlformats.org/officeDocument/2006/relationships/hyperlink" Target="https://i.ibb.co/DznB5q4/Itau.png" TargetMode="External"/><Relationship Id="rId1756" Type="http://schemas.openxmlformats.org/officeDocument/2006/relationships/hyperlink" Target="https://i.ibb.co/DznB5q4/Itau.png" TargetMode="External"/><Relationship Id="rId1757" Type="http://schemas.openxmlformats.org/officeDocument/2006/relationships/hyperlink" Target="https://i.ibb.co/DznB5q4/Itau.png" TargetMode="External"/><Relationship Id="rId1758" Type="http://schemas.openxmlformats.org/officeDocument/2006/relationships/hyperlink" Target="https://i.ibb.co/DznB5q4/Itau.png" TargetMode="External"/><Relationship Id="rId1759" Type="http://schemas.openxmlformats.org/officeDocument/2006/relationships/hyperlink" Target="https://i.ibb.co/DznB5q4/Itau.png" TargetMode="External"/><Relationship Id="rId1760" Type="http://schemas.openxmlformats.org/officeDocument/2006/relationships/hyperlink" Target="https://i.ibb.co/DznB5q4/Itau.png" TargetMode="External"/><Relationship Id="rId1761" Type="http://schemas.openxmlformats.org/officeDocument/2006/relationships/hyperlink" Target="https://i.ibb.co/DznB5q4/Itau.png" TargetMode="External"/><Relationship Id="rId1762" Type="http://schemas.openxmlformats.org/officeDocument/2006/relationships/hyperlink" Target="https://i.ibb.co/DznB5q4/Itau.png" TargetMode="External"/><Relationship Id="rId1763" Type="http://schemas.openxmlformats.org/officeDocument/2006/relationships/hyperlink" Target="https://i.ibb.co/DznB5q4/Itau.png" TargetMode="External"/><Relationship Id="rId1764" Type="http://schemas.openxmlformats.org/officeDocument/2006/relationships/hyperlink" Target="https://i.ibb.co/DznB5q4/Itau.png" TargetMode="External"/><Relationship Id="rId1765" Type="http://schemas.openxmlformats.org/officeDocument/2006/relationships/hyperlink" Target="https://i.ibb.co/DznB5q4/Itau.png" TargetMode="External"/><Relationship Id="rId1766" Type="http://schemas.openxmlformats.org/officeDocument/2006/relationships/hyperlink" Target="https://i.ibb.co/DznB5q4/Itau.png" TargetMode="External"/><Relationship Id="rId1767" Type="http://schemas.openxmlformats.org/officeDocument/2006/relationships/hyperlink" Target="https://i.ibb.co/DznB5q4/Itau.png" TargetMode="External"/><Relationship Id="rId1768" Type="http://schemas.openxmlformats.org/officeDocument/2006/relationships/hyperlink" Target="https://i.ibb.co/DznB5q4/Itau.png" TargetMode="External"/><Relationship Id="rId1769" Type="http://schemas.openxmlformats.org/officeDocument/2006/relationships/hyperlink" Target="https://i.ibb.co/DznB5q4/Itau.png" TargetMode="External"/><Relationship Id="rId1770" Type="http://schemas.openxmlformats.org/officeDocument/2006/relationships/hyperlink" Target="https://i.ibb.co/DznB5q4/Itau.png" TargetMode="External"/><Relationship Id="rId1771" Type="http://schemas.openxmlformats.org/officeDocument/2006/relationships/hyperlink" Target="https://i.ibb.co/DznB5q4/Itau.png" TargetMode="External"/><Relationship Id="rId1772" Type="http://schemas.openxmlformats.org/officeDocument/2006/relationships/hyperlink" Target="https://i.ibb.co/DznB5q4/Itau.png" TargetMode="External"/><Relationship Id="rId1773" Type="http://schemas.openxmlformats.org/officeDocument/2006/relationships/hyperlink" Target="https://i.ibb.co/DznB5q4/Itau.png" TargetMode="External"/><Relationship Id="rId1774" Type="http://schemas.openxmlformats.org/officeDocument/2006/relationships/hyperlink" Target="https://i.ibb.co/DznB5q4/Itau.png" TargetMode="External"/><Relationship Id="rId1775" Type="http://schemas.openxmlformats.org/officeDocument/2006/relationships/hyperlink" Target="https://i.ibb.co/DznB5q4/Itau.png" TargetMode="External"/><Relationship Id="rId1776" Type="http://schemas.openxmlformats.org/officeDocument/2006/relationships/hyperlink" Target="https://i.ibb.co/DznB5q4/Itau.png" TargetMode="External"/><Relationship Id="rId1777" Type="http://schemas.openxmlformats.org/officeDocument/2006/relationships/hyperlink" Target="https://i.ibb.co/DznB5q4/Itau.png" TargetMode="External"/><Relationship Id="rId1778" Type="http://schemas.openxmlformats.org/officeDocument/2006/relationships/hyperlink" Target="https://i.ibb.co/DznB5q4/Itau.png" TargetMode="External"/><Relationship Id="rId1779" Type="http://schemas.openxmlformats.org/officeDocument/2006/relationships/hyperlink" Target="https://i.ibb.co/DznB5q4/Itau.png" TargetMode="External"/><Relationship Id="rId1780" Type="http://schemas.openxmlformats.org/officeDocument/2006/relationships/hyperlink" Target="https://i.ibb.co/DznB5q4/Itau.png" TargetMode="External"/><Relationship Id="rId1781" Type="http://schemas.openxmlformats.org/officeDocument/2006/relationships/hyperlink" Target="https://i.ibb.co/DznB5q4/Itau.png" TargetMode="External"/><Relationship Id="rId1782" Type="http://schemas.openxmlformats.org/officeDocument/2006/relationships/hyperlink" Target="https://i.ibb.co/DznB5q4/Itau.png" TargetMode="External"/><Relationship Id="rId1783" Type="http://schemas.openxmlformats.org/officeDocument/2006/relationships/hyperlink" Target="https://i.ibb.co/DznB5q4/Itau.png" TargetMode="External"/><Relationship Id="rId1784" Type="http://schemas.openxmlformats.org/officeDocument/2006/relationships/hyperlink" Target="https://i.ibb.co/DznB5q4/Itau.png" TargetMode="External"/><Relationship Id="rId1785" Type="http://schemas.openxmlformats.org/officeDocument/2006/relationships/hyperlink" Target="https://i.ibb.co/DznB5q4/Itau.png" TargetMode="External"/><Relationship Id="rId1786" Type="http://schemas.openxmlformats.org/officeDocument/2006/relationships/hyperlink" Target="https://i.ibb.co/DznB5q4/Itau.png" TargetMode="External"/><Relationship Id="rId1787" Type="http://schemas.openxmlformats.org/officeDocument/2006/relationships/hyperlink" Target="https://i.ibb.co/DznB5q4/Itau.png" TargetMode="External"/><Relationship Id="rId1788" Type="http://schemas.openxmlformats.org/officeDocument/2006/relationships/hyperlink" Target="https://i.ibb.co/DznB5q4/Itau.png" TargetMode="External"/><Relationship Id="rId1789" Type="http://schemas.openxmlformats.org/officeDocument/2006/relationships/hyperlink" Target="https://i.ibb.co/DznB5q4/Itau.png" TargetMode="External"/><Relationship Id="rId1790" Type="http://schemas.openxmlformats.org/officeDocument/2006/relationships/hyperlink" Target="https://i.ibb.co/DznB5q4/Itau.png" TargetMode="External"/><Relationship Id="rId1791" Type="http://schemas.openxmlformats.org/officeDocument/2006/relationships/hyperlink" Target="https://i.ibb.co/DznB5q4/Itau.png" TargetMode="External"/><Relationship Id="rId1792" Type="http://schemas.openxmlformats.org/officeDocument/2006/relationships/hyperlink" Target="https://i.ibb.co/DznB5q4/Itau.png" TargetMode="External"/><Relationship Id="rId1793" Type="http://schemas.openxmlformats.org/officeDocument/2006/relationships/hyperlink" Target="https://i.ibb.co/DznB5q4/Itau.png" TargetMode="External"/><Relationship Id="rId1794" Type="http://schemas.openxmlformats.org/officeDocument/2006/relationships/hyperlink" Target="https://i.ibb.co/DznB5q4/Itau.png" TargetMode="External"/><Relationship Id="rId1795" Type="http://schemas.openxmlformats.org/officeDocument/2006/relationships/hyperlink" Target="https://i.ibb.co/DznB5q4/Itau.png" TargetMode="External"/><Relationship Id="rId1796" Type="http://schemas.openxmlformats.org/officeDocument/2006/relationships/hyperlink" Target="https://i.ibb.co/DznB5q4/Itau.png" TargetMode="External"/><Relationship Id="rId1797" Type="http://schemas.openxmlformats.org/officeDocument/2006/relationships/hyperlink" Target="https://i.ibb.co/DznB5q4/Itau.png" TargetMode="External"/><Relationship Id="rId1798" Type="http://schemas.openxmlformats.org/officeDocument/2006/relationships/hyperlink" Target="https://i.ibb.co/DznB5q4/Itau.png" TargetMode="External"/><Relationship Id="rId1799" Type="http://schemas.openxmlformats.org/officeDocument/2006/relationships/hyperlink" Target="https://i.ibb.co/DznB5q4/Itau.png" TargetMode="External"/><Relationship Id="rId1800" Type="http://schemas.openxmlformats.org/officeDocument/2006/relationships/hyperlink" Target="https://i.ibb.co/DznB5q4/Itau.png" TargetMode="External"/><Relationship Id="rId1801" Type="http://schemas.openxmlformats.org/officeDocument/2006/relationships/hyperlink" Target="https://i.ibb.co/DznB5q4/Itau.png" TargetMode="External"/><Relationship Id="rId1802" Type="http://schemas.openxmlformats.org/officeDocument/2006/relationships/hyperlink" Target="https://i.ibb.co/DznB5q4/Itau.png" TargetMode="External"/><Relationship Id="rId1803" Type="http://schemas.openxmlformats.org/officeDocument/2006/relationships/hyperlink" Target="https://i.ibb.co/DznB5q4/Itau.png" TargetMode="External"/><Relationship Id="rId1804" Type="http://schemas.openxmlformats.org/officeDocument/2006/relationships/hyperlink" Target="https://i.ibb.co/DznB5q4/Itau.png" TargetMode="External"/><Relationship Id="rId1805" Type="http://schemas.openxmlformats.org/officeDocument/2006/relationships/hyperlink" Target="https://i.ibb.co/DznB5q4/Itau.png" TargetMode="External"/><Relationship Id="rId1806" Type="http://schemas.openxmlformats.org/officeDocument/2006/relationships/hyperlink" Target="https://i.ibb.co/DznB5q4/Itau.png" TargetMode="External"/><Relationship Id="rId1807" Type="http://schemas.openxmlformats.org/officeDocument/2006/relationships/hyperlink" Target="https://i.ibb.co/DznB5q4/Itau.png" TargetMode="External"/><Relationship Id="rId1808" Type="http://schemas.openxmlformats.org/officeDocument/2006/relationships/hyperlink" Target="https://i.ibb.co/DznB5q4/Itau.png" TargetMode="External"/><Relationship Id="rId1809" Type="http://schemas.openxmlformats.org/officeDocument/2006/relationships/hyperlink" Target="https://i.ibb.co/DznB5q4/Itau.png" TargetMode="External"/><Relationship Id="rId1810" Type="http://schemas.openxmlformats.org/officeDocument/2006/relationships/hyperlink" Target="https://i.ibb.co/DznB5q4/Itau.png" TargetMode="External"/><Relationship Id="rId1811" Type="http://schemas.openxmlformats.org/officeDocument/2006/relationships/hyperlink" Target="https://i.ibb.co/DznB5q4/Itau.png" TargetMode="External"/><Relationship Id="rId1812" Type="http://schemas.openxmlformats.org/officeDocument/2006/relationships/hyperlink" Target="https://i.ibb.co/DznB5q4/Itau.png" TargetMode="External"/><Relationship Id="rId1813" Type="http://schemas.openxmlformats.org/officeDocument/2006/relationships/hyperlink" Target="https://i.ibb.co/DznB5q4/Itau.png" TargetMode="External"/><Relationship Id="rId1814" Type="http://schemas.openxmlformats.org/officeDocument/2006/relationships/hyperlink" Target="https://i.ibb.co/DznB5q4/Itau.png" TargetMode="External"/><Relationship Id="rId1815" Type="http://schemas.openxmlformats.org/officeDocument/2006/relationships/hyperlink" Target="https://i.ibb.co/DznB5q4/Itau.png" TargetMode="External"/><Relationship Id="rId1816" Type="http://schemas.openxmlformats.org/officeDocument/2006/relationships/hyperlink" Target="https://i.ibb.co/DznB5q4/Itau.png" TargetMode="External"/><Relationship Id="rId1817" Type="http://schemas.openxmlformats.org/officeDocument/2006/relationships/hyperlink" Target="https://i.ibb.co/DznB5q4/Itau.png" TargetMode="External"/><Relationship Id="rId1818" Type="http://schemas.openxmlformats.org/officeDocument/2006/relationships/hyperlink" Target="https://i.ibb.co/DznB5q4/Itau.png" TargetMode="External"/><Relationship Id="rId1819" Type="http://schemas.openxmlformats.org/officeDocument/2006/relationships/hyperlink" Target="https://i.ibb.co/DznB5q4/Itau.png" TargetMode="External"/><Relationship Id="rId1820" Type="http://schemas.openxmlformats.org/officeDocument/2006/relationships/hyperlink" Target="https://i.ibb.co/DznB5q4/Itau.png" TargetMode="External"/><Relationship Id="rId1821" Type="http://schemas.openxmlformats.org/officeDocument/2006/relationships/hyperlink" Target="https://i.ibb.co/DznB5q4/Itau.png" TargetMode="External"/><Relationship Id="rId1822" Type="http://schemas.openxmlformats.org/officeDocument/2006/relationships/hyperlink" Target="https://i.ibb.co/DznB5q4/Itau.png" TargetMode="External"/><Relationship Id="rId1823" Type="http://schemas.openxmlformats.org/officeDocument/2006/relationships/hyperlink" Target="https://i.ibb.co/DznB5q4/Itau.png" TargetMode="External"/><Relationship Id="rId1824" Type="http://schemas.openxmlformats.org/officeDocument/2006/relationships/hyperlink" Target="https://i.ibb.co/DznB5q4/Itau.png" TargetMode="External"/><Relationship Id="rId1825" Type="http://schemas.openxmlformats.org/officeDocument/2006/relationships/hyperlink" Target="https://i.ibb.co/DznB5q4/Itau.png" TargetMode="External"/><Relationship Id="rId1826" Type="http://schemas.openxmlformats.org/officeDocument/2006/relationships/hyperlink" Target="https://i.ibb.co/DznB5q4/Itau.png" TargetMode="External"/><Relationship Id="rId1827" Type="http://schemas.openxmlformats.org/officeDocument/2006/relationships/hyperlink" Target="https://i.ibb.co/DznB5q4/Itau.png" TargetMode="External"/><Relationship Id="rId1828" Type="http://schemas.openxmlformats.org/officeDocument/2006/relationships/hyperlink" Target="https://i.ibb.co/DznB5q4/Itau.png" TargetMode="External"/><Relationship Id="rId1829" Type="http://schemas.openxmlformats.org/officeDocument/2006/relationships/hyperlink" Target="https://i.ibb.co/DznB5q4/Itau.png" TargetMode="External"/><Relationship Id="rId1830" Type="http://schemas.openxmlformats.org/officeDocument/2006/relationships/hyperlink" Target="https://i.ibb.co/DznB5q4/Itau.png" TargetMode="External"/><Relationship Id="rId1831" Type="http://schemas.openxmlformats.org/officeDocument/2006/relationships/hyperlink" Target="https://i.ibb.co/DznB5q4/Itau.png" TargetMode="External"/><Relationship Id="rId1832" Type="http://schemas.openxmlformats.org/officeDocument/2006/relationships/hyperlink" Target="https://i.ibb.co/DznB5q4/Itau.png" TargetMode="External"/><Relationship Id="rId1833" Type="http://schemas.openxmlformats.org/officeDocument/2006/relationships/hyperlink" Target="https://i.ibb.co/DznB5q4/Itau.png" TargetMode="External"/><Relationship Id="rId1834" Type="http://schemas.openxmlformats.org/officeDocument/2006/relationships/hyperlink" Target="https://i.ibb.co/DznB5q4/Itau.png" TargetMode="External"/><Relationship Id="rId1835" Type="http://schemas.openxmlformats.org/officeDocument/2006/relationships/hyperlink" Target="https://i.ibb.co/DznB5q4/Itau.png" TargetMode="External"/><Relationship Id="rId1836" Type="http://schemas.openxmlformats.org/officeDocument/2006/relationships/hyperlink" Target="https://i.ibb.co/DznB5q4/Itau.png" TargetMode="External"/><Relationship Id="rId1837" Type="http://schemas.openxmlformats.org/officeDocument/2006/relationships/hyperlink" Target="https://i.ibb.co/DznB5q4/Itau.png" TargetMode="External"/><Relationship Id="rId1838" Type="http://schemas.openxmlformats.org/officeDocument/2006/relationships/hyperlink" Target="https://i.ibb.co/DznB5q4/Itau.png" TargetMode="External"/><Relationship Id="rId1839" Type="http://schemas.openxmlformats.org/officeDocument/2006/relationships/hyperlink" Target="https://i.ibb.co/DznB5q4/Itau.png" TargetMode="External"/><Relationship Id="rId1840" Type="http://schemas.openxmlformats.org/officeDocument/2006/relationships/hyperlink" Target="https://i.ibb.co/DznB5q4/Itau.png" TargetMode="External"/><Relationship Id="rId1841" Type="http://schemas.openxmlformats.org/officeDocument/2006/relationships/hyperlink" Target="https://i.ibb.co/DznB5q4/Itau.png" TargetMode="External"/><Relationship Id="rId1842" Type="http://schemas.openxmlformats.org/officeDocument/2006/relationships/hyperlink" Target="https://i.ibb.co/DznB5q4/Itau.png" TargetMode="External"/><Relationship Id="rId1843" Type="http://schemas.openxmlformats.org/officeDocument/2006/relationships/hyperlink" Target="https://i.ibb.co/DznB5q4/Itau.png" TargetMode="External"/><Relationship Id="rId1844" Type="http://schemas.openxmlformats.org/officeDocument/2006/relationships/hyperlink" Target="https://i.ibb.co/DznB5q4/Itau.png" TargetMode="External"/><Relationship Id="rId1845" Type="http://schemas.openxmlformats.org/officeDocument/2006/relationships/hyperlink" Target="https://i.ibb.co/DznB5q4/Itau.png" TargetMode="External"/><Relationship Id="rId1846" Type="http://schemas.openxmlformats.org/officeDocument/2006/relationships/hyperlink" Target="https://i.ibb.co/DznB5q4/Itau.png" TargetMode="External"/><Relationship Id="rId1847" Type="http://schemas.openxmlformats.org/officeDocument/2006/relationships/hyperlink" Target="https://i.ibb.co/DznB5q4/Itau.png" TargetMode="External"/><Relationship Id="rId1848" Type="http://schemas.openxmlformats.org/officeDocument/2006/relationships/hyperlink" Target="https://i.ibb.co/DznB5q4/Itau.png" TargetMode="External"/><Relationship Id="rId1849" Type="http://schemas.openxmlformats.org/officeDocument/2006/relationships/hyperlink" Target="https://i.ibb.co/DznB5q4/Itau.png" TargetMode="External"/><Relationship Id="rId1850" Type="http://schemas.openxmlformats.org/officeDocument/2006/relationships/hyperlink" Target="https://i.ibb.co/DznB5q4/Itau.png" TargetMode="External"/><Relationship Id="rId1851" Type="http://schemas.openxmlformats.org/officeDocument/2006/relationships/hyperlink" Target="https://i.ibb.co/DznB5q4/Itau.png" TargetMode="External"/><Relationship Id="rId1852" Type="http://schemas.openxmlformats.org/officeDocument/2006/relationships/hyperlink" Target="https://i.ibb.co/DznB5q4/Itau.png" TargetMode="External"/><Relationship Id="rId1853" Type="http://schemas.openxmlformats.org/officeDocument/2006/relationships/hyperlink" Target="https://i.ibb.co/DznB5q4/Itau.png" TargetMode="External"/><Relationship Id="rId1854" Type="http://schemas.openxmlformats.org/officeDocument/2006/relationships/hyperlink" Target="https://i.ibb.co/DznB5q4/Itau.png" TargetMode="External"/><Relationship Id="rId1855" Type="http://schemas.openxmlformats.org/officeDocument/2006/relationships/hyperlink" Target="https://i.ibb.co/DznB5q4/Itau.png" TargetMode="External"/><Relationship Id="rId1856" Type="http://schemas.openxmlformats.org/officeDocument/2006/relationships/hyperlink" Target="https://i.ibb.co/DznB5q4/Itau.png" TargetMode="External"/><Relationship Id="rId1857" Type="http://schemas.openxmlformats.org/officeDocument/2006/relationships/hyperlink" Target="https://i.ibb.co/DznB5q4/Itau.png" TargetMode="External"/><Relationship Id="rId1858" Type="http://schemas.openxmlformats.org/officeDocument/2006/relationships/hyperlink" Target="https://i.ibb.co/DznB5q4/Itau.png" TargetMode="External"/><Relationship Id="rId1859" Type="http://schemas.openxmlformats.org/officeDocument/2006/relationships/hyperlink" Target="https://i.ibb.co/DznB5q4/Itau.png" TargetMode="External"/><Relationship Id="rId1860" Type="http://schemas.openxmlformats.org/officeDocument/2006/relationships/hyperlink" Target="https://i.ibb.co/DznB5q4/Itau.png" TargetMode="External"/><Relationship Id="rId1861" Type="http://schemas.openxmlformats.org/officeDocument/2006/relationships/hyperlink" Target="https://i.ibb.co/DznB5q4/Itau.png" TargetMode="External"/><Relationship Id="rId1862" Type="http://schemas.openxmlformats.org/officeDocument/2006/relationships/hyperlink" Target="https://i.ibb.co/DznB5q4/Itau.png" TargetMode="External"/><Relationship Id="rId1863" Type="http://schemas.openxmlformats.org/officeDocument/2006/relationships/hyperlink" Target="https://i.ibb.co/DznB5q4/Itau.png" TargetMode="External"/><Relationship Id="rId1864" Type="http://schemas.openxmlformats.org/officeDocument/2006/relationships/hyperlink" Target="https://i.ibb.co/DznB5q4/Itau.png" TargetMode="External"/><Relationship Id="rId1865" Type="http://schemas.openxmlformats.org/officeDocument/2006/relationships/hyperlink" Target="https://i.ibb.co/DznB5q4/Itau.png" TargetMode="External"/><Relationship Id="rId1866" Type="http://schemas.openxmlformats.org/officeDocument/2006/relationships/hyperlink" Target="https://i.ibb.co/DznB5q4/Itau.png" TargetMode="External"/><Relationship Id="rId1867" Type="http://schemas.openxmlformats.org/officeDocument/2006/relationships/hyperlink" Target="https://i.ibb.co/DznB5q4/Itau.png" TargetMode="External"/><Relationship Id="rId1868" Type="http://schemas.openxmlformats.org/officeDocument/2006/relationships/hyperlink" Target="https://i.ibb.co/DznB5q4/Itau.png" TargetMode="External"/><Relationship Id="rId1869" Type="http://schemas.openxmlformats.org/officeDocument/2006/relationships/hyperlink" Target="https://i.ibb.co/DznB5q4/Itau.png" TargetMode="External"/><Relationship Id="rId1870" Type="http://schemas.openxmlformats.org/officeDocument/2006/relationships/hyperlink" Target="https://i.ibb.co/DznB5q4/Itau.png" TargetMode="External"/><Relationship Id="rId1871" Type="http://schemas.openxmlformats.org/officeDocument/2006/relationships/hyperlink" Target="https://i.ibb.co/DznB5q4/Itau.png" TargetMode="External"/><Relationship Id="rId1872" Type="http://schemas.openxmlformats.org/officeDocument/2006/relationships/hyperlink" Target="https://i.ibb.co/DznB5q4/Itau.png" TargetMode="External"/><Relationship Id="rId1873" Type="http://schemas.openxmlformats.org/officeDocument/2006/relationships/hyperlink" Target="https://i.ibb.co/DznB5q4/Itau.png" TargetMode="External"/><Relationship Id="rId1874" Type="http://schemas.openxmlformats.org/officeDocument/2006/relationships/hyperlink" Target="https://i.ibb.co/DznB5q4/Itau.png" TargetMode="External"/><Relationship Id="rId1875" Type="http://schemas.openxmlformats.org/officeDocument/2006/relationships/hyperlink" Target="https://i.ibb.co/DznB5q4/Itau.png" TargetMode="External"/><Relationship Id="rId1876" Type="http://schemas.openxmlformats.org/officeDocument/2006/relationships/hyperlink" Target="https://i.ibb.co/DznB5q4/Itau.png" TargetMode="External"/><Relationship Id="rId1877" Type="http://schemas.openxmlformats.org/officeDocument/2006/relationships/hyperlink" Target="https://i.ibb.co/DznB5q4/Itau.png" TargetMode="External"/><Relationship Id="rId1878" Type="http://schemas.openxmlformats.org/officeDocument/2006/relationships/hyperlink" Target="https://i.ibb.co/DznB5q4/Itau.png" TargetMode="External"/><Relationship Id="rId1879" Type="http://schemas.openxmlformats.org/officeDocument/2006/relationships/hyperlink" Target="https://i.ibb.co/DznB5q4/Itau.png" TargetMode="External"/><Relationship Id="rId1880" Type="http://schemas.openxmlformats.org/officeDocument/2006/relationships/hyperlink" Target="https://i.ibb.co/DznB5q4/Itau.png" TargetMode="External"/><Relationship Id="rId1881" Type="http://schemas.openxmlformats.org/officeDocument/2006/relationships/hyperlink" Target="https://i.ibb.co/DznB5q4/Itau.png" TargetMode="External"/><Relationship Id="rId1882" Type="http://schemas.openxmlformats.org/officeDocument/2006/relationships/hyperlink" Target="https://i.ibb.co/DznB5q4/Itau.png" TargetMode="External"/><Relationship Id="rId1883" Type="http://schemas.openxmlformats.org/officeDocument/2006/relationships/hyperlink" Target="https://i.ibb.co/DznB5q4/Itau.png" TargetMode="External"/><Relationship Id="rId1884" Type="http://schemas.openxmlformats.org/officeDocument/2006/relationships/hyperlink" Target="https://i.ibb.co/DznB5q4/Itau.png" TargetMode="External"/><Relationship Id="rId1885" Type="http://schemas.openxmlformats.org/officeDocument/2006/relationships/hyperlink" Target="https://i.ibb.co/DznB5q4/Itau.png" TargetMode="External"/><Relationship Id="rId1886" Type="http://schemas.openxmlformats.org/officeDocument/2006/relationships/hyperlink" Target="https://i.ibb.co/DznB5q4/Itau.png" TargetMode="External"/><Relationship Id="rId1887" Type="http://schemas.openxmlformats.org/officeDocument/2006/relationships/hyperlink" Target="https://i.ibb.co/DznB5q4/Itau.png" TargetMode="External"/><Relationship Id="rId1888" Type="http://schemas.openxmlformats.org/officeDocument/2006/relationships/hyperlink" Target="https://i.ibb.co/DznB5q4/Itau.png" TargetMode="External"/><Relationship Id="rId1889" Type="http://schemas.openxmlformats.org/officeDocument/2006/relationships/hyperlink" Target="https://i.ibb.co/DznB5q4/Itau.png" TargetMode="External"/><Relationship Id="rId1890" Type="http://schemas.openxmlformats.org/officeDocument/2006/relationships/hyperlink" Target="https://i.ibb.co/DznB5q4/Itau.png" TargetMode="External"/><Relationship Id="rId1891" Type="http://schemas.openxmlformats.org/officeDocument/2006/relationships/hyperlink" Target="https://i.ibb.co/DznB5q4/Itau.png" TargetMode="External"/><Relationship Id="rId1892" Type="http://schemas.openxmlformats.org/officeDocument/2006/relationships/hyperlink" Target="https://i.ibb.co/DznB5q4/Itau.png" TargetMode="External"/><Relationship Id="rId1893" Type="http://schemas.openxmlformats.org/officeDocument/2006/relationships/hyperlink" Target="https://i.ibb.co/DznB5q4/Itau.png" TargetMode="External"/><Relationship Id="rId1894" Type="http://schemas.openxmlformats.org/officeDocument/2006/relationships/hyperlink" Target="https://i.ibb.co/DznB5q4/Itau.png" TargetMode="External"/><Relationship Id="rId1895" Type="http://schemas.openxmlformats.org/officeDocument/2006/relationships/hyperlink" Target="https://i.ibb.co/DznB5q4/Itau.png" TargetMode="External"/><Relationship Id="rId1896" Type="http://schemas.openxmlformats.org/officeDocument/2006/relationships/hyperlink" Target="https://i.ibb.co/DznB5q4/Itau.png" TargetMode="External"/><Relationship Id="rId1897" Type="http://schemas.openxmlformats.org/officeDocument/2006/relationships/hyperlink" Target="https://i.ibb.co/DznB5q4/Itau.png" TargetMode="External"/><Relationship Id="rId1898" Type="http://schemas.openxmlformats.org/officeDocument/2006/relationships/hyperlink" Target="https://i.ibb.co/DznB5q4/Itau.png" TargetMode="External"/><Relationship Id="rId1899" Type="http://schemas.openxmlformats.org/officeDocument/2006/relationships/hyperlink" Target="https://i.ibb.co/DznB5q4/Itau.png" TargetMode="External"/><Relationship Id="rId1900" Type="http://schemas.openxmlformats.org/officeDocument/2006/relationships/hyperlink" Target="https://i.ibb.co/DznB5q4/Itau.png" TargetMode="External"/><Relationship Id="rId1901" Type="http://schemas.openxmlformats.org/officeDocument/2006/relationships/hyperlink" Target="https://i.ibb.co/DznB5q4/Itau.png" TargetMode="External"/><Relationship Id="rId1902" Type="http://schemas.openxmlformats.org/officeDocument/2006/relationships/hyperlink" Target="https://i.ibb.co/DznB5q4/Itau.png" TargetMode="External"/><Relationship Id="rId1903" Type="http://schemas.openxmlformats.org/officeDocument/2006/relationships/hyperlink" Target="https://i.ibb.co/DznB5q4/Itau.png" TargetMode="External"/><Relationship Id="rId1904" Type="http://schemas.openxmlformats.org/officeDocument/2006/relationships/hyperlink" Target="https://i.ibb.co/DznB5q4/Itau.png" TargetMode="External"/><Relationship Id="rId1905" Type="http://schemas.openxmlformats.org/officeDocument/2006/relationships/hyperlink" Target="https://i.ibb.co/DznB5q4/Itau.png" TargetMode="External"/><Relationship Id="rId1906" Type="http://schemas.openxmlformats.org/officeDocument/2006/relationships/hyperlink" Target="https://i.ibb.co/DznB5q4/Itau.png" TargetMode="External"/><Relationship Id="rId1907" Type="http://schemas.openxmlformats.org/officeDocument/2006/relationships/hyperlink" Target="https://i.ibb.co/DznB5q4/Itau.png" TargetMode="External"/><Relationship Id="rId1908" Type="http://schemas.openxmlformats.org/officeDocument/2006/relationships/hyperlink" Target="https://i.ibb.co/DznB5q4/Itau.png" TargetMode="External"/><Relationship Id="rId1909" Type="http://schemas.openxmlformats.org/officeDocument/2006/relationships/hyperlink" Target="https://i.ibb.co/DznB5q4/Itau.png" TargetMode="External"/><Relationship Id="rId1910" Type="http://schemas.openxmlformats.org/officeDocument/2006/relationships/hyperlink" Target="https://i.ibb.co/DznB5q4/Itau.png" TargetMode="External"/><Relationship Id="rId1911" Type="http://schemas.openxmlformats.org/officeDocument/2006/relationships/hyperlink" Target="https://i.ibb.co/DznB5q4/Itau.png" TargetMode="External"/><Relationship Id="rId1912" Type="http://schemas.openxmlformats.org/officeDocument/2006/relationships/hyperlink" Target="https://i.ibb.co/DznB5q4/Itau.png" TargetMode="External"/><Relationship Id="rId1913" Type="http://schemas.openxmlformats.org/officeDocument/2006/relationships/hyperlink" Target="https://i.ibb.co/DznB5q4/Itau.png" TargetMode="External"/><Relationship Id="rId1914" Type="http://schemas.openxmlformats.org/officeDocument/2006/relationships/hyperlink" Target="https://i.ibb.co/DznB5q4/Itau.png" TargetMode="External"/><Relationship Id="rId1915" Type="http://schemas.openxmlformats.org/officeDocument/2006/relationships/hyperlink" Target="https://i.ibb.co/DznB5q4/Itau.png" TargetMode="External"/><Relationship Id="rId1916" Type="http://schemas.openxmlformats.org/officeDocument/2006/relationships/hyperlink" Target="https://i.ibb.co/DznB5q4/Itau.png" TargetMode="External"/><Relationship Id="rId1917" Type="http://schemas.openxmlformats.org/officeDocument/2006/relationships/hyperlink" Target="https://i.ibb.co/DznB5q4/Itau.png" TargetMode="External"/><Relationship Id="rId1918" Type="http://schemas.openxmlformats.org/officeDocument/2006/relationships/hyperlink" Target="https://i.ibb.co/DznB5q4/Itau.png" TargetMode="External"/><Relationship Id="rId1919" Type="http://schemas.openxmlformats.org/officeDocument/2006/relationships/hyperlink" Target="https://i.ibb.co/DznB5q4/Itau.png" TargetMode="External"/><Relationship Id="rId1920" Type="http://schemas.openxmlformats.org/officeDocument/2006/relationships/hyperlink" Target="https://i.ibb.co/DznB5q4/Itau.png" TargetMode="External"/><Relationship Id="rId1921" Type="http://schemas.openxmlformats.org/officeDocument/2006/relationships/hyperlink" Target="https://i.ibb.co/DznB5q4/Itau.png" TargetMode="External"/><Relationship Id="rId1922" Type="http://schemas.openxmlformats.org/officeDocument/2006/relationships/hyperlink" Target="https://i.ibb.co/DznB5q4/Itau.png" TargetMode="External"/><Relationship Id="rId1923" Type="http://schemas.openxmlformats.org/officeDocument/2006/relationships/hyperlink" Target="https://i.ibb.co/DznB5q4/Itau.png" TargetMode="External"/><Relationship Id="rId1924" Type="http://schemas.openxmlformats.org/officeDocument/2006/relationships/hyperlink" Target="https://i.ibb.co/DznB5q4/Itau.png" TargetMode="External"/><Relationship Id="rId1925" Type="http://schemas.openxmlformats.org/officeDocument/2006/relationships/hyperlink" Target="https://i.ibb.co/DznB5q4/Itau.png" TargetMode="External"/><Relationship Id="rId1926" Type="http://schemas.openxmlformats.org/officeDocument/2006/relationships/hyperlink" Target="https://i.ibb.co/DznB5q4/Itau.png" TargetMode="External"/><Relationship Id="rId1927" Type="http://schemas.openxmlformats.org/officeDocument/2006/relationships/hyperlink" Target="https://i.ibb.co/DznB5q4/Itau.png" TargetMode="External"/><Relationship Id="rId1928" Type="http://schemas.openxmlformats.org/officeDocument/2006/relationships/hyperlink" Target="https://i.ibb.co/DznB5q4/Itau.png" TargetMode="External"/><Relationship Id="rId1929" Type="http://schemas.openxmlformats.org/officeDocument/2006/relationships/hyperlink" Target="https://i.ibb.co/DznB5q4/Itau.png" TargetMode="External"/><Relationship Id="rId1930" Type="http://schemas.openxmlformats.org/officeDocument/2006/relationships/hyperlink" Target="https://i.ibb.co/DznB5q4/Itau.png" TargetMode="External"/><Relationship Id="rId1931" Type="http://schemas.openxmlformats.org/officeDocument/2006/relationships/hyperlink" Target="https://i.ibb.co/DznB5q4/Itau.png" TargetMode="External"/><Relationship Id="rId1932" Type="http://schemas.openxmlformats.org/officeDocument/2006/relationships/hyperlink" Target="https://i.ibb.co/DznB5q4/Itau.png" TargetMode="External"/><Relationship Id="rId1933" Type="http://schemas.openxmlformats.org/officeDocument/2006/relationships/hyperlink" Target="https://i.ibb.co/DznB5q4/Itau.png" TargetMode="External"/><Relationship Id="rId1934" Type="http://schemas.openxmlformats.org/officeDocument/2006/relationships/hyperlink" Target="https://i.ibb.co/DznB5q4/Itau.png" TargetMode="External"/><Relationship Id="rId1935" Type="http://schemas.openxmlformats.org/officeDocument/2006/relationships/hyperlink" Target="https://i.ibb.co/DznB5q4/Itau.png" TargetMode="External"/><Relationship Id="rId1936" Type="http://schemas.openxmlformats.org/officeDocument/2006/relationships/hyperlink" Target="https://i.ibb.co/DznB5q4/Itau.png" TargetMode="External"/><Relationship Id="rId1937" Type="http://schemas.openxmlformats.org/officeDocument/2006/relationships/hyperlink" Target="https://i.ibb.co/DznB5q4/Itau.png" TargetMode="External"/><Relationship Id="rId1938" Type="http://schemas.openxmlformats.org/officeDocument/2006/relationships/hyperlink" Target="https://i.ibb.co/DznB5q4/Itau.png" TargetMode="External"/><Relationship Id="rId1939" Type="http://schemas.openxmlformats.org/officeDocument/2006/relationships/hyperlink" Target="https://i.ibb.co/DznB5q4/Itau.png" TargetMode="External"/><Relationship Id="rId1940" Type="http://schemas.openxmlformats.org/officeDocument/2006/relationships/hyperlink" Target="https://i.ibb.co/DznB5q4/Itau.png" TargetMode="External"/><Relationship Id="rId1941" Type="http://schemas.openxmlformats.org/officeDocument/2006/relationships/hyperlink" Target="https://i.ibb.co/DznB5q4/Itau.png" TargetMode="External"/><Relationship Id="rId1942" Type="http://schemas.openxmlformats.org/officeDocument/2006/relationships/hyperlink" Target="https://i.ibb.co/DznB5q4/Itau.png" TargetMode="External"/><Relationship Id="rId1943" Type="http://schemas.openxmlformats.org/officeDocument/2006/relationships/hyperlink" Target="https://i.ibb.co/DznB5q4/Itau.png" TargetMode="External"/><Relationship Id="rId1944" Type="http://schemas.openxmlformats.org/officeDocument/2006/relationships/hyperlink" Target="https://i.ibb.co/DznB5q4/Itau.png" TargetMode="External"/><Relationship Id="rId1945" Type="http://schemas.openxmlformats.org/officeDocument/2006/relationships/hyperlink" Target="https://i.ibb.co/DznB5q4/Itau.png" TargetMode="External"/><Relationship Id="rId1946" Type="http://schemas.openxmlformats.org/officeDocument/2006/relationships/hyperlink" Target="https://i.ibb.co/DznB5q4/Itau.png" TargetMode="External"/><Relationship Id="rId1947" Type="http://schemas.openxmlformats.org/officeDocument/2006/relationships/hyperlink" Target="https://i.ibb.co/DznB5q4/Itau.png" TargetMode="External"/><Relationship Id="rId1948" Type="http://schemas.openxmlformats.org/officeDocument/2006/relationships/hyperlink" Target="https://i.ibb.co/DznB5q4/Itau.png" TargetMode="External"/><Relationship Id="rId1949" Type="http://schemas.openxmlformats.org/officeDocument/2006/relationships/hyperlink" Target="https://i.ibb.co/DznB5q4/Itau.png" TargetMode="External"/><Relationship Id="rId1950" Type="http://schemas.openxmlformats.org/officeDocument/2006/relationships/hyperlink" Target="https://i.ibb.co/DznB5q4/Itau.png" TargetMode="External"/><Relationship Id="rId1951" Type="http://schemas.openxmlformats.org/officeDocument/2006/relationships/hyperlink" Target="https://i.ibb.co/DznB5q4/Itau.png" TargetMode="External"/><Relationship Id="rId1952" Type="http://schemas.openxmlformats.org/officeDocument/2006/relationships/hyperlink" Target="https://i.ibb.co/DznB5q4/Itau.png" TargetMode="External"/><Relationship Id="rId1953" Type="http://schemas.openxmlformats.org/officeDocument/2006/relationships/hyperlink" Target="https://i.ibb.co/DznB5q4/Itau.png" TargetMode="External"/><Relationship Id="rId1954" Type="http://schemas.openxmlformats.org/officeDocument/2006/relationships/hyperlink" Target="https://i.ibb.co/DznB5q4/Itau.png" TargetMode="External"/><Relationship Id="rId1955" Type="http://schemas.openxmlformats.org/officeDocument/2006/relationships/hyperlink" Target="https://i.ibb.co/DznB5q4/Itau.png" TargetMode="External"/><Relationship Id="rId1956" Type="http://schemas.openxmlformats.org/officeDocument/2006/relationships/hyperlink" Target="https://i.ibb.co/DznB5q4/Itau.png" TargetMode="External"/><Relationship Id="rId1957" Type="http://schemas.openxmlformats.org/officeDocument/2006/relationships/hyperlink" Target="https://i.ibb.co/DznB5q4/Itau.png" TargetMode="External"/><Relationship Id="rId1958" Type="http://schemas.openxmlformats.org/officeDocument/2006/relationships/hyperlink" Target="https://i.ibb.co/DznB5q4/Itau.png" TargetMode="External"/><Relationship Id="rId1959" Type="http://schemas.openxmlformats.org/officeDocument/2006/relationships/hyperlink" Target="https://i.ibb.co/DznB5q4/Itau.png" TargetMode="External"/><Relationship Id="rId1960" Type="http://schemas.openxmlformats.org/officeDocument/2006/relationships/hyperlink" Target="https://i.ibb.co/DznB5q4/Itau.png" TargetMode="External"/><Relationship Id="rId1961" Type="http://schemas.openxmlformats.org/officeDocument/2006/relationships/hyperlink" Target="https://i.ibb.co/DznB5q4/Itau.png" TargetMode="External"/><Relationship Id="rId1962" Type="http://schemas.openxmlformats.org/officeDocument/2006/relationships/hyperlink" Target="https://i.ibb.co/DznB5q4/Itau.png" TargetMode="External"/><Relationship Id="rId1963" Type="http://schemas.openxmlformats.org/officeDocument/2006/relationships/hyperlink" Target="https://i.ibb.co/DznB5q4/Itau.png" TargetMode="External"/><Relationship Id="rId1964" Type="http://schemas.openxmlformats.org/officeDocument/2006/relationships/hyperlink" Target="https://i.ibb.co/DznB5q4/Itau.png" TargetMode="External"/><Relationship Id="rId1965" Type="http://schemas.openxmlformats.org/officeDocument/2006/relationships/hyperlink" Target="https://i.ibb.co/DznB5q4/Itau.png" TargetMode="External"/><Relationship Id="rId1966" Type="http://schemas.openxmlformats.org/officeDocument/2006/relationships/hyperlink" Target="https://i.ibb.co/DznB5q4/Itau.png" TargetMode="External"/><Relationship Id="rId1967" Type="http://schemas.openxmlformats.org/officeDocument/2006/relationships/hyperlink" Target="https://i.ibb.co/DznB5q4/Itau.png" TargetMode="External"/><Relationship Id="rId1968" Type="http://schemas.openxmlformats.org/officeDocument/2006/relationships/hyperlink" Target="https://i.ibb.co/DznB5q4/Itau.png" TargetMode="External"/><Relationship Id="rId1969" Type="http://schemas.openxmlformats.org/officeDocument/2006/relationships/hyperlink" Target="https://i.ibb.co/DznB5q4/Itau.png" TargetMode="External"/><Relationship Id="rId1970" Type="http://schemas.openxmlformats.org/officeDocument/2006/relationships/hyperlink" Target="https://i.ibb.co/DznB5q4/Itau.png" TargetMode="External"/><Relationship Id="rId1971" Type="http://schemas.openxmlformats.org/officeDocument/2006/relationships/hyperlink" Target="https://i.ibb.co/DznB5q4/Itau.png" TargetMode="External"/><Relationship Id="rId1972" Type="http://schemas.openxmlformats.org/officeDocument/2006/relationships/hyperlink" Target="https://i.ibb.co/DznB5q4/Itau.png" TargetMode="External"/><Relationship Id="rId1973" Type="http://schemas.openxmlformats.org/officeDocument/2006/relationships/hyperlink" Target="https://i.ibb.co/DznB5q4/Itau.png" TargetMode="External"/><Relationship Id="rId1974" Type="http://schemas.openxmlformats.org/officeDocument/2006/relationships/hyperlink" Target="https://i.ibb.co/DznB5q4/Itau.png" TargetMode="External"/><Relationship Id="rId1975" Type="http://schemas.openxmlformats.org/officeDocument/2006/relationships/hyperlink" Target="https://i.ibb.co/DznB5q4/Itau.png" TargetMode="External"/><Relationship Id="rId1976" Type="http://schemas.openxmlformats.org/officeDocument/2006/relationships/hyperlink" Target="https://i.ibb.co/DznB5q4/Itau.png" TargetMode="External"/><Relationship Id="rId1977" Type="http://schemas.openxmlformats.org/officeDocument/2006/relationships/hyperlink" Target="https://i.ibb.co/DznB5q4/Itau.png" TargetMode="External"/><Relationship Id="rId1978" Type="http://schemas.openxmlformats.org/officeDocument/2006/relationships/hyperlink" Target="https://i.ibb.co/DznB5q4/Itau.png" TargetMode="External"/><Relationship Id="rId1979" Type="http://schemas.openxmlformats.org/officeDocument/2006/relationships/hyperlink" Target="https://i.ibb.co/DznB5q4/Itau.png" TargetMode="External"/><Relationship Id="rId1980" Type="http://schemas.openxmlformats.org/officeDocument/2006/relationships/hyperlink" Target="https://i.ibb.co/DznB5q4/Itau.png" TargetMode="External"/><Relationship Id="rId1981" Type="http://schemas.openxmlformats.org/officeDocument/2006/relationships/hyperlink" Target="https://i.ibb.co/DznB5q4/Itau.png" TargetMode="External"/><Relationship Id="rId1982" Type="http://schemas.openxmlformats.org/officeDocument/2006/relationships/hyperlink" Target="https://i.ibb.co/DznB5q4/Itau.png" TargetMode="External"/><Relationship Id="rId1983" Type="http://schemas.openxmlformats.org/officeDocument/2006/relationships/hyperlink" Target="https://i.ibb.co/DznB5q4/Itau.png" TargetMode="External"/><Relationship Id="rId1984" Type="http://schemas.openxmlformats.org/officeDocument/2006/relationships/hyperlink" Target="https://i.ibb.co/DznB5q4/Itau.png" TargetMode="External"/><Relationship Id="rId1985" Type="http://schemas.openxmlformats.org/officeDocument/2006/relationships/hyperlink" Target="https://i.ibb.co/DznB5q4/Itau.png" TargetMode="External"/><Relationship Id="rId1986" Type="http://schemas.openxmlformats.org/officeDocument/2006/relationships/hyperlink" Target="https://i.ibb.co/DznB5q4/Itau.png" TargetMode="External"/><Relationship Id="rId1987" Type="http://schemas.openxmlformats.org/officeDocument/2006/relationships/hyperlink" Target="https://i.ibb.co/DznB5q4/Itau.png" TargetMode="External"/><Relationship Id="rId1988" Type="http://schemas.openxmlformats.org/officeDocument/2006/relationships/hyperlink" Target="https://i.ibb.co/DznB5q4/Itau.png" TargetMode="External"/><Relationship Id="rId1989" Type="http://schemas.openxmlformats.org/officeDocument/2006/relationships/hyperlink" Target="https://i.ibb.co/DznB5q4/Itau.png" TargetMode="External"/><Relationship Id="rId1990" Type="http://schemas.openxmlformats.org/officeDocument/2006/relationships/hyperlink" Target="https://i.ibb.co/DznB5q4/Itau.png" TargetMode="External"/><Relationship Id="rId1991" Type="http://schemas.openxmlformats.org/officeDocument/2006/relationships/hyperlink" Target="https://i.ibb.co/DznB5q4/Itau.png" TargetMode="External"/><Relationship Id="rId1992" Type="http://schemas.openxmlformats.org/officeDocument/2006/relationships/hyperlink" Target="https://i.ibb.co/DznB5q4/Itau.png" TargetMode="External"/><Relationship Id="rId1993" Type="http://schemas.openxmlformats.org/officeDocument/2006/relationships/hyperlink" Target="https://i.ibb.co/DznB5q4/Itau.png" TargetMode="External"/><Relationship Id="rId1994" Type="http://schemas.openxmlformats.org/officeDocument/2006/relationships/hyperlink" Target="https://i.ibb.co/DznB5q4/Itau.png" TargetMode="External"/><Relationship Id="rId1995" Type="http://schemas.openxmlformats.org/officeDocument/2006/relationships/hyperlink" Target="https://i.ibb.co/DznB5q4/Itau.png" TargetMode="External"/><Relationship Id="rId1996" Type="http://schemas.openxmlformats.org/officeDocument/2006/relationships/hyperlink" Target="https://i.ibb.co/DznB5q4/Itau.png" TargetMode="External"/><Relationship Id="rId1997" Type="http://schemas.openxmlformats.org/officeDocument/2006/relationships/hyperlink" Target="https://i.ibb.co/DznB5q4/Itau.png" TargetMode="External"/><Relationship Id="rId1998" Type="http://schemas.openxmlformats.org/officeDocument/2006/relationships/hyperlink" Target="https://i.ibb.co/DznB5q4/Itau.png" TargetMode="External"/><Relationship Id="rId1999" Type="http://schemas.openxmlformats.org/officeDocument/2006/relationships/hyperlink" Target="https://i.ibb.co/DznB5q4/Itau.png" TargetMode="External"/><Relationship Id="rId2000" Type="http://schemas.openxmlformats.org/officeDocument/2006/relationships/hyperlink" Target="https://i.ibb.co/DznB5q4/Itau.png" TargetMode="External"/><Relationship Id="rId2001" Type="http://schemas.openxmlformats.org/officeDocument/2006/relationships/hyperlink" Target="https://i.ibb.co/DznB5q4/Itau.png" TargetMode="External"/><Relationship Id="rId2002" Type="http://schemas.openxmlformats.org/officeDocument/2006/relationships/hyperlink" Target="https://i.ibb.co/DznB5q4/Itau.png" TargetMode="External"/><Relationship Id="rId2003" Type="http://schemas.openxmlformats.org/officeDocument/2006/relationships/hyperlink" Target="https://i.ibb.co/DznB5q4/Itau.png" TargetMode="External"/><Relationship Id="rId2004" Type="http://schemas.openxmlformats.org/officeDocument/2006/relationships/hyperlink" Target="https://i.ibb.co/DznB5q4/Itau.png" TargetMode="External"/><Relationship Id="rId2005" Type="http://schemas.openxmlformats.org/officeDocument/2006/relationships/hyperlink" Target="https://i.ibb.co/DznB5q4/Itau.png" TargetMode="External"/><Relationship Id="rId2006" Type="http://schemas.openxmlformats.org/officeDocument/2006/relationships/hyperlink" Target="https://i.ibb.co/DznB5q4/Itau.png" TargetMode="External"/><Relationship Id="rId2007" Type="http://schemas.openxmlformats.org/officeDocument/2006/relationships/hyperlink" Target="https://i.ibb.co/DznB5q4/Itau.png" TargetMode="External"/><Relationship Id="rId2008" Type="http://schemas.openxmlformats.org/officeDocument/2006/relationships/hyperlink" Target="https://i.ibb.co/DznB5q4/Itau.png" TargetMode="External"/><Relationship Id="rId2009" Type="http://schemas.openxmlformats.org/officeDocument/2006/relationships/hyperlink" Target="https://i.ibb.co/DznB5q4/Itau.png" TargetMode="External"/><Relationship Id="rId2010" Type="http://schemas.openxmlformats.org/officeDocument/2006/relationships/hyperlink" Target="https://i.ibb.co/DznB5q4/Itau.png" TargetMode="External"/><Relationship Id="rId2011" Type="http://schemas.openxmlformats.org/officeDocument/2006/relationships/hyperlink" Target="https://i.ibb.co/DznB5q4/Itau.png" TargetMode="External"/><Relationship Id="rId2012" Type="http://schemas.openxmlformats.org/officeDocument/2006/relationships/hyperlink" Target="https://i.ibb.co/DznB5q4/Itau.png" TargetMode="External"/><Relationship Id="rId2013" Type="http://schemas.openxmlformats.org/officeDocument/2006/relationships/hyperlink" Target="https://i.ibb.co/DznB5q4/Itau.png" TargetMode="External"/><Relationship Id="rId2014" Type="http://schemas.openxmlformats.org/officeDocument/2006/relationships/hyperlink" Target="https://i.ibb.co/DznB5q4/Itau.png" TargetMode="External"/><Relationship Id="rId2015" Type="http://schemas.openxmlformats.org/officeDocument/2006/relationships/hyperlink" Target="https://i.ibb.co/DznB5q4/Itau.png" TargetMode="External"/><Relationship Id="rId2016" Type="http://schemas.openxmlformats.org/officeDocument/2006/relationships/hyperlink" Target="https://i.ibb.co/DznB5q4/Itau.png" TargetMode="External"/><Relationship Id="rId2017" Type="http://schemas.openxmlformats.org/officeDocument/2006/relationships/hyperlink" Target="https://i.ibb.co/DznB5q4/Itau.png" TargetMode="External"/><Relationship Id="rId2018" Type="http://schemas.openxmlformats.org/officeDocument/2006/relationships/hyperlink" Target="https://i.ibb.co/DznB5q4/Itau.png" TargetMode="External"/><Relationship Id="rId2019" Type="http://schemas.openxmlformats.org/officeDocument/2006/relationships/hyperlink" Target="https://i.ibb.co/DznB5q4/Itau.png" TargetMode="External"/><Relationship Id="rId2020" Type="http://schemas.openxmlformats.org/officeDocument/2006/relationships/hyperlink" Target="https://i.ibb.co/DznB5q4/Itau.png" TargetMode="External"/><Relationship Id="rId2021" Type="http://schemas.openxmlformats.org/officeDocument/2006/relationships/hyperlink" Target="https://i.ibb.co/DznB5q4/Itau.png" TargetMode="External"/><Relationship Id="rId2022" Type="http://schemas.openxmlformats.org/officeDocument/2006/relationships/hyperlink" Target="https://i.ibb.co/DznB5q4/Itau.png" TargetMode="External"/><Relationship Id="rId2023" Type="http://schemas.openxmlformats.org/officeDocument/2006/relationships/hyperlink" Target="https://i.ibb.co/DznB5q4/Itau.png" TargetMode="External"/><Relationship Id="rId2024" Type="http://schemas.openxmlformats.org/officeDocument/2006/relationships/hyperlink" Target="https://i.ibb.co/DznB5q4/Itau.png" TargetMode="External"/><Relationship Id="rId2025" Type="http://schemas.openxmlformats.org/officeDocument/2006/relationships/hyperlink" Target="https://i.ibb.co/DznB5q4/Itau.png" TargetMode="External"/><Relationship Id="rId2026" Type="http://schemas.openxmlformats.org/officeDocument/2006/relationships/hyperlink" Target="https://i.ibb.co/DznB5q4/Itau.png" TargetMode="External"/><Relationship Id="rId2027" Type="http://schemas.openxmlformats.org/officeDocument/2006/relationships/hyperlink" Target="https://i.ibb.co/DznB5q4/Itau.png" TargetMode="External"/><Relationship Id="rId2028" Type="http://schemas.openxmlformats.org/officeDocument/2006/relationships/hyperlink" Target="https://i.ibb.co/DznB5q4/Itau.png" TargetMode="External"/><Relationship Id="rId2029" Type="http://schemas.openxmlformats.org/officeDocument/2006/relationships/hyperlink" Target="https://i.ibb.co/DznB5q4/Itau.png" TargetMode="External"/><Relationship Id="rId2030" Type="http://schemas.openxmlformats.org/officeDocument/2006/relationships/hyperlink" Target="https://i.ibb.co/DznB5q4/Itau.png" TargetMode="External"/><Relationship Id="rId2031" Type="http://schemas.openxmlformats.org/officeDocument/2006/relationships/hyperlink" Target="https://i.ibb.co/DznB5q4/Itau.png" TargetMode="External"/><Relationship Id="rId2032" Type="http://schemas.openxmlformats.org/officeDocument/2006/relationships/hyperlink" Target="https://i.ibb.co/DznB5q4/Itau.png" TargetMode="External"/><Relationship Id="rId2033" Type="http://schemas.openxmlformats.org/officeDocument/2006/relationships/hyperlink" Target="https://i.ibb.co/DznB5q4/Itau.png" TargetMode="External"/><Relationship Id="rId2034" Type="http://schemas.openxmlformats.org/officeDocument/2006/relationships/hyperlink" Target="https://i.ibb.co/DznB5q4/Itau.png" TargetMode="External"/><Relationship Id="rId2035" Type="http://schemas.openxmlformats.org/officeDocument/2006/relationships/hyperlink" Target="https://i.ibb.co/DznB5q4/Itau.png" TargetMode="External"/><Relationship Id="rId2036" Type="http://schemas.openxmlformats.org/officeDocument/2006/relationships/hyperlink" Target="https://i.ibb.co/DznB5q4/Itau.png" TargetMode="External"/><Relationship Id="rId2037" Type="http://schemas.openxmlformats.org/officeDocument/2006/relationships/hyperlink" Target="https://i.ibb.co/DznB5q4/Itau.png" TargetMode="External"/><Relationship Id="rId2038" Type="http://schemas.openxmlformats.org/officeDocument/2006/relationships/hyperlink" Target="https://i.ibb.co/DznB5q4/Itau.png" TargetMode="External"/><Relationship Id="rId2039" Type="http://schemas.openxmlformats.org/officeDocument/2006/relationships/hyperlink" Target="https://i.ibb.co/DznB5q4/Itau.png" TargetMode="External"/><Relationship Id="rId2040" Type="http://schemas.openxmlformats.org/officeDocument/2006/relationships/hyperlink" Target="https://i.ibb.co/DznB5q4/Itau.png" TargetMode="External"/><Relationship Id="rId2041" Type="http://schemas.openxmlformats.org/officeDocument/2006/relationships/hyperlink" Target="https://i.ibb.co/DznB5q4/Itau.png" TargetMode="External"/><Relationship Id="rId2042" Type="http://schemas.openxmlformats.org/officeDocument/2006/relationships/hyperlink" Target="https://i.ibb.co/DznB5q4/Itau.png" TargetMode="External"/><Relationship Id="rId2043" Type="http://schemas.openxmlformats.org/officeDocument/2006/relationships/hyperlink" Target="https://i.ibb.co/DznB5q4/Itau.png" TargetMode="External"/><Relationship Id="rId2044" Type="http://schemas.openxmlformats.org/officeDocument/2006/relationships/hyperlink" Target="https://i.ibb.co/DznB5q4/Itau.png" TargetMode="External"/><Relationship Id="rId2045" Type="http://schemas.openxmlformats.org/officeDocument/2006/relationships/hyperlink" Target="https://i.ibb.co/DznB5q4/Itau.png" TargetMode="External"/><Relationship Id="rId2046" Type="http://schemas.openxmlformats.org/officeDocument/2006/relationships/hyperlink" Target="https://i.ibb.co/DznB5q4/Itau.png" TargetMode="External"/><Relationship Id="rId2047" Type="http://schemas.openxmlformats.org/officeDocument/2006/relationships/hyperlink" Target="https://i.ibb.co/DznB5q4/Itau.png" TargetMode="External"/><Relationship Id="rId2048" Type="http://schemas.openxmlformats.org/officeDocument/2006/relationships/hyperlink" Target="https://i.ibb.co/DznB5q4/Itau.png" TargetMode="External"/><Relationship Id="rId2049" Type="http://schemas.openxmlformats.org/officeDocument/2006/relationships/hyperlink" Target="https://i.ibb.co/DznB5q4/Itau.png" TargetMode="External"/><Relationship Id="rId2050" Type="http://schemas.openxmlformats.org/officeDocument/2006/relationships/hyperlink" Target="https://i.ibb.co/DznB5q4/Itau.png" TargetMode="External"/><Relationship Id="rId2051" Type="http://schemas.openxmlformats.org/officeDocument/2006/relationships/hyperlink" Target="https://i.ibb.co/DznB5q4/Itau.png" TargetMode="External"/><Relationship Id="rId2052" Type="http://schemas.openxmlformats.org/officeDocument/2006/relationships/hyperlink" Target="https://i.ibb.co/DznB5q4/Itau.png" TargetMode="External"/><Relationship Id="rId2053" Type="http://schemas.openxmlformats.org/officeDocument/2006/relationships/hyperlink" Target="https://i.ibb.co/DznB5q4/Itau.png" TargetMode="External"/><Relationship Id="rId2054" Type="http://schemas.openxmlformats.org/officeDocument/2006/relationships/hyperlink" Target="https://i.ibb.co/DznB5q4/Itau.png" TargetMode="External"/><Relationship Id="rId2055" Type="http://schemas.openxmlformats.org/officeDocument/2006/relationships/hyperlink" Target="https://i.ibb.co/DznB5q4/Itau.png" TargetMode="External"/><Relationship Id="rId2056" Type="http://schemas.openxmlformats.org/officeDocument/2006/relationships/hyperlink" Target="https://i.ibb.co/DznB5q4/Itau.png" TargetMode="External"/><Relationship Id="rId2057" Type="http://schemas.openxmlformats.org/officeDocument/2006/relationships/hyperlink" Target="https://i.ibb.co/DznB5q4/Itau.png" TargetMode="External"/><Relationship Id="rId2058" Type="http://schemas.openxmlformats.org/officeDocument/2006/relationships/hyperlink" Target="https://i.ibb.co/DznB5q4/Itau.png" TargetMode="External"/><Relationship Id="rId2059" Type="http://schemas.openxmlformats.org/officeDocument/2006/relationships/hyperlink" Target="https://i.ibb.co/DznB5q4/Itau.png" TargetMode="External"/><Relationship Id="rId2060" Type="http://schemas.openxmlformats.org/officeDocument/2006/relationships/hyperlink" Target="https://i.ibb.co/DznB5q4/Itau.png" TargetMode="External"/><Relationship Id="rId2061" Type="http://schemas.openxmlformats.org/officeDocument/2006/relationships/hyperlink" Target="https://i.ibb.co/DznB5q4/Itau.png" TargetMode="External"/><Relationship Id="rId2062" Type="http://schemas.openxmlformats.org/officeDocument/2006/relationships/hyperlink" Target="https://i.ibb.co/DznB5q4/Itau.png" TargetMode="External"/><Relationship Id="rId2063" Type="http://schemas.openxmlformats.org/officeDocument/2006/relationships/hyperlink" Target="https://i.ibb.co/DznB5q4/Itau.png" TargetMode="External"/><Relationship Id="rId2064" Type="http://schemas.openxmlformats.org/officeDocument/2006/relationships/hyperlink" Target="https://i.ibb.co/DznB5q4/Itau.png" TargetMode="External"/><Relationship Id="rId2065" Type="http://schemas.openxmlformats.org/officeDocument/2006/relationships/hyperlink" Target="https://i.ibb.co/DznB5q4/Itau.png" TargetMode="External"/><Relationship Id="rId2066" Type="http://schemas.openxmlformats.org/officeDocument/2006/relationships/hyperlink" Target="https://i.ibb.co/DznB5q4/Itau.png" TargetMode="External"/><Relationship Id="rId2067" Type="http://schemas.openxmlformats.org/officeDocument/2006/relationships/hyperlink" Target="https://i.ibb.co/DznB5q4/Itau.png" TargetMode="External"/><Relationship Id="rId2068" Type="http://schemas.openxmlformats.org/officeDocument/2006/relationships/hyperlink" Target="https://i.ibb.co/DznB5q4/Itau.png" TargetMode="External"/><Relationship Id="rId2069" Type="http://schemas.openxmlformats.org/officeDocument/2006/relationships/hyperlink" Target="https://i.ibb.co/DznB5q4/Itau.png" TargetMode="External"/><Relationship Id="rId2070" Type="http://schemas.openxmlformats.org/officeDocument/2006/relationships/hyperlink" Target="https://i.ibb.co/DznB5q4/Itau.png" TargetMode="External"/><Relationship Id="rId2071" Type="http://schemas.openxmlformats.org/officeDocument/2006/relationships/hyperlink" Target="https://i.ibb.co/DznB5q4/Itau.png" TargetMode="External"/><Relationship Id="rId2072" Type="http://schemas.openxmlformats.org/officeDocument/2006/relationships/hyperlink" Target="https://i.ibb.co/DznB5q4/Itau.png" TargetMode="External"/><Relationship Id="rId2073" Type="http://schemas.openxmlformats.org/officeDocument/2006/relationships/hyperlink" Target="https://i.ibb.co/DznB5q4/Itau.png" TargetMode="External"/><Relationship Id="rId2074" Type="http://schemas.openxmlformats.org/officeDocument/2006/relationships/hyperlink" Target="https://i.ibb.co/DznB5q4/Itau.png" TargetMode="External"/><Relationship Id="rId2075" Type="http://schemas.openxmlformats.org/officeDocument/2006/relationships/hyperlink" Target="https://i.ibb.co/DznB5q4/Itau.png" TargetMode="External"/><Relationship Id="rId2076" Type="http://schemas.openxmlformats.org/officeDocument/2006/relationships/hyperlink" Target="https://i.ibb.co/DznB5q4/Itau.png" TargetMode="External"/><Relationship Id="rId2077" Type="http://schemas.openxmlformats.org/officeDocument/2006/relationships/hyperlink" Target="https://i.ibb.co/DznB5q4/Itau.png" TargetMode="External"/><Relationship Id="rId2078" Type="http://schemas.openxmlformats.org/officeDocument/2006/relationships/hyperlink" Target="https://i.ibb.co/DznB5q4/Itau.png" TargetMode="External"/><Relationship Id="rId2079" Type="http://schemas.openxmlformats.org/officeDocument/2006/relationships/hyperlink" Target="https://i.ibb.co/DznB5q4/Itau.png" TargetMode="External"/><Relationship Id="rId2080" Type="http://schemas.openxmlformats.org/officeDocument/2006/relationships/hyperlink" Target="https://i.ibb.co/DznB5q4/Itau.png" TargetMode="External"/><Relationship Id="rId2081" Type="http://schemas.openxmlformats.org/officeDocument/2006/relationships/hyperlink" Target="https://i.ibb.co/DznB5q4/Itau.png" TargetMode="External"/><Relationship Id="rId2082" Type="http://schemas.openxmlformats.org/officeDocument/2006/relationships/hyperlink" Target="https://i.ibb.co/DznB5q4/Itau.png" TargetMode="External"/><Relationship Id="rId2083" Type="http://schemas.openxmlformats.org/officeDocument/2006/relationships/hyperlink" Target="https://i.ibb.co/DznB5q4/Itau.png" TargetMode="External"/><Relationship Id="rId2084" Type="http://schemas.openxmlformats.org/officeDocument/2006/relationships/hyperlink" Target="https://i.ibb.co/DznB5q4/Itau.png" TargetMode="External"/><Relationship Id="rId2085" Type="http://schemas.openxmlformats.org/officeDocument/2006/relationships/hyperlink" Target="https://i.ibb.co/DznB5q4/Itau.png" TargetMode="External"/><Relationship Id="rId2086" Type="http://schemas.openxmlformats.org/officeDocument/2006/relationships/hyperlink" Target="https://i.ibb.co/DznB5q4/Itau.png" TargetMode="External"/><Relationship Id="rId2087" Type="http://schemas.openxmlformats.org/officeDocument/2006/relationships/hyperlink" Target="https://i.ibb.co/DznB5q4/Itau.png" TargetMode="External"/><Relationship Id="rId2088" Type="http://schemas.openxmlformats.org/officeDocument/2006/relationships/hyperlink" Target="https://i.ibb.co/DznB5q4/Itau.png" TargetMode="External"/><Relationship Id="rId2089" Type="http://schemas.openxmlformats.org/officeDocument/2006/relationships/hyperlink" Target="https://i.ibb.co/DznB5q4/Itau.png" TargetMode="External"/><Relationship Id="rId2090" Type="http://schemas.openxmlformats.org/officeDocument/2006/relationships/hyperlink" Target="https://i.ibb.co/DznB5q4/Itau.png" TargetMode="External"/><Relationship Id="rId2091" Type="http://schemas.openxmlformats.org/officeDocument/2006/relationships/hyperlink" Target="https://i.ibb.co/DznB5q4/Itau.png" TargetMode="External"/><Relationship Id="rId2092" Type="http://schemas.openxmlformats.org/officeDocument/2006/relationships/hyperlink" Target="https://i.ibb.co/DznB5q4/Itau.png" TargetMode="External"/><Relationship Id="rId2093" Type="http://schemas.openxmlformats.org/officeDocument/2006/relationships/hyperlink" Target="https://i.ibb.co/DznB5q4/Itau.png" TargetMode="External"/><Relationship Id="rId2094" Type="http://schemas.openxmlformats.org/officeDocument/2006/relationships/hyperlink" Target="https://i.ibb.co/DznB5q4/Itau.png" TargetMode="External"/><Relationship Id="rId2095" Type="http://schemas.openxmlformats.org/officeDocument/2006/relationships/hyperlink" Target="https://i.ibb.co/DznB5q4/Itau.png" TargetMode="External"/><Relationship Id="rId2096" Type="http://schemas.openxmlformats.org/officeDocument/2006/relationships/hyperlink" Target="https://i.ibb.co/DznB5q4/Itau.png" TargetMode="External"/><Relationship Id="rId2097" Type="http://schemas.openxmlformats.org/officeDocument/2006/relationships/hyperlink" Target="https://i.ibb.co/DznB5q4/Itau.png" TargetMode="External"/><Relationship Id="rId2098" Type="http://schemas.openxmlformats.org/officeDocument/2006/relationships/hyperlink" Target="https://i.ibb.co/DznB5q4/Itau.png" TargetMode="External"/><Relationship Id="rId2099" Type="http://schemas.openxmlformats.org/officeDocument/2006/relationships/hyperlink" Target="https://i.ibb.co/DznB5q4/Itau.png" TargetMode="External"/><Relationship Id="rId2100" Type="http://schemas.openxmlformats.org/officeDocument/2006/relationships/hyperlink" Target="https://i.ibb.co/DznB5q4/Itau.png" TargetMode="External"/><Relationship Id="rId2101" Type="http://schemas.openxmlformats.org/officeDocument/2006/relationships/hyperlink" Target="https://i.ibb.co/DznB5q4/Itau.png" TargetMode="External"/><Relationship Id="rId2102" Type="http://schemas.openxmlformats.org/officeDocument/2006/relationships/hyperlink" Target="https://i.ibb.co/DznB5q4/Itau.png" TargetMode="External"/><Relationship Id="rId2103" Type="http://schemas.openxmlformats.org/officeDocument/2006/relationships/hyperlink" Target="https://i.ibb.co/DznB5q4/Itau.png" TargetMode="External"/><Relationship Id="rId2104" Type="http://schemas.openxmlformats.org/officeDocument/2006/relationships/hyperlink" Target="https://i.ibb.co/DznB5q4/Itau.png" TargetMode="External"/><Relationship Id="rId2105" Type="http://schemas.openxmlformats.org/officeDocument/2006/relationships/hyperlink" Target="https://i.ibb.co/DznB5q4/Itau.png" TargetMode="External"/><Relationship Id="rId2106" Type="http://schemas.openxmlformats.org/officeDocument/2006/relationships/hyperlink" Target="https://i.ibb.co/DznB5q4/Itau.png" TargetMode="External"/><Relationship Id="rId2107" Type="http://schemas.openxmlformats.org/officeDocument/2006/relationships/hyperlink" Target="https://i.ibb.co/DznB5q4/Itau.png" TargetMode="External"/><Relationship Id="rId2108" Type="http://schemas.openxmlformats.org/officeDocument/2006/relationships/hyperlink" Target="https://i.ibb.co/DznB5q4/Itau.png" TargetMode="External"/><Relationship Id="rId2109" Type="http://schemas.openxmlformats.org/officeDocument/2006/relationships/hyperlink" Target="https://i.ibb.co/DznB5q4/Itau.png" TargetMode="External"/><Relationship Id="rId2110" Type="http://schemas.openxmlformats.org/officeDocument/2006/relationships/hyperlink" Target="https://i.ibb.co/DznB5q4/Itau.png" TargetMode="External"/><Relationship Id="rId2111" Type="http://schemas.openxmlformats.org/officeDocument/2006/relationships/hyperlink" Target="https://i.ibb.co/DznB5q4/Itau.png" TargetMode="External"/><Relationship Id="rId2112" Type="http://schemas.openxmlformats.org/officeDocument/2006/relationships/hyperlink" Target="https://i.ibb.co/DznB5q4/Itau.png" TargetMode="External"/><Relationship Id="rId2113" Type="http://schemas.openxmlformats.org/officeDocument/2006/relationships/hyperlink" Target="https://i.ibb.co/DznB5q4/Itau.png" TargetMode="External"/><Relationship Id="rId2114" Type="http://schemas.openxmlformats.org/officeDocument/2006/relationships/hyperlink" Target="https://i.ibb.co/DznB5q4/Itau.png" TargetMode="External"/><Relationship Id="rId2115" Type="http://schemas.openxmlformats.org/officeDocument/2006/relationships/hyperlink" Target="https://i.ibb.co/DznB5q4/Itau.png" TargetMode="External"/><Relationship Id="rId2116" Type="http://schemas.openxmlformats.org/officeDocument/2006/relationships/hyperlink" Target="https://i.ibb.co/DznB5q4/Itau.png" TargetMode="External"/><Relationship Id="rId2117" Type="http://schemas.openxmlformats.org/officeDocument/2006/relationships/hyperlink" Target="https://i.ibb.co/DznB5q4/Itau.png" TargetMode="External"/><Relationship Id="rId2118" Type="http://schemas.openxmlformats.org/officeDocument/2006/relationships/hyperlink" Target="https://i.ibb.co/DznB5q4/Itau.png" TargetMode="External"/><Relationship Id="rId2119" Type="http://schemas.openxmlformats.org/officeDocument/2006/relationships/hyperlink" Target="https://i.ibb.co/DznB5q4/Itau.png" TargetMode="External"/><Relationship Id="rId2120" Type="http://schemas.openxmlformats.org/officeDocument/2006/relationships/hyperlink" Target="https://i.ibb.co/DznB5q4/Itau.png" TargetMode="External"/><Relationship Id="rId2121" Type="http://schemas.openxmlformats.org/officeDocument/2006/relationships/hyperlink" Target="https://i.ibb.co/DznB5q4/Itau.png" TargetMode="External"/><Relationship Id="rId2122" Type="http://schemas.openxmlformats.org/officeDocument/2006/relationships/hyperlink" Target="https://i.ibb.co/DznB5q4/Itau.png" TargetMode="External"/><Relationship Id="rId2123" Type="http://schemas.openxmlformats.org/officeDocument/2006/relationships/hyperlink" Target="https://i.ibb.co/DznB5q4/Itau.png" TargetMode="External"/><Relationship Id="rId2124" Type="http://schemas.openxmlformats.org/officeDocument/2006/relationships/hyperlink" Target="https://i.ibb.co/DznB5q4/Itau.png" TargetMode="External"/><Relationship Id="rId2125" Type="http://schemas.openxmlformats.org/officeDocument/2006/relationships/hyperlink" Target="https://i.ibb.co/DznB5q4/Itau.png" TargetMode="External"/><Relationship Id="rId2126" Type="http://schemas.openxmlformats.org/officeDocument/2006/relationships/hyperlink" Target="https://i.ibb.co/DznB5q4/Itau.png" TargetMode="External"/><Relationship Id="rId2127" Type="http://schemas.openxmlformats.org/officeDocument/2006/relationships/hyperlink" Target="https://i.ibb.co/DznB5q4/Itau.png" TargetMode="External"/><Relationship Id="rId2128" Type="http://schemas.openxmlformats.org/officeDocument/2006/relationships/hyperlink" Target="https://i.ibb.co/DznB5q4/Itau.png" TargetMode="External"/><Relationship Id="rId2129" Type="http://schemas.openxmlformats.org/officeDocument/2006/relationships/hyperlink" Target="https://i.ibb.co/DznB5q4/Itau.png" TargetMode="External"/><Relationship Id="rId2130" Type="http://schemas.openxmlformats.org/officeDocument/2006/relationships/hyperlink" Target="https://i.ibb.co/DznB5q4/Itau.png" TargetMode="External"/><Relationship Id="rId2131" Type="http://schemas.openxmlformats.org/officeDocument/2006/relationships/hyperlink" Target="https://i.ibb.co/DznB5q4/Itau.png" TargetMode="External"/><Relationship Id="rId2132" Type="http://schemas.openxmlformats.org/officeDocument/2006/relationships/hyperlink" Target="https://i.ibb.co/DznB5q4/Itau.png" TargetMode="External"/><Relationship Id="rId2133" Type="http://schemas.openxmlformats.org/officeDocument/2006/relationships/hyperlink" Target="https://i.ibb.co/DznB5q4/Itau.png" TargetMode="External"/><Relationship Id="rId2134" Type="http://schemas.openxmlformats.org/officeDocument/2006/relationships/hyperlink" Target="https://i.ibb.co/DznB5q4/Itau.png" TargetMode="External"/><Relationship Id="rId2135" Type="http://schemas.openxmlformats.org/officeDocument/2006/relationships/hyperlink" Target="https://i.ibb.co/DznB5q4/Itau.png" TargetMode="External"/><Relationship Id="rId2136" Type="http://schemas.openxmlformats.org/officeDocument/2006/relationships/hyperlink" Target="https://i.ibb.co/DznB5q4/Itau.png" TargetMode="External"/><Relationship Id="rId2137" Type="http://schemas.openxmlformats.org/officeDocument/2006/relationships/hyperlink" Target="https://i.ibb.co/DznB5q4/Itau.png" TargetMode="External"/><Relationship Id="rId2138" Type="http://schemas.openxmlformats.org/officeDocument/2006/relationships/hyperlink" Target="https://i.ibb.co/DznB5q4/Itau.png" TargetMode="External"/><Relationship Id="rId2139" Type="http://schemas.openxmlformats.org/officeDocument/2006/relationships/hyperlink" Target="https://i.ibb.co/DznB5q4/Itau.png" TargetMode="External"/><Relationship Id="rId2140" Type="http://schemas.openxmlformats.org/officeDocument/2006/relationships/hyperlink" Target="https://i.ibb.co/DznB5q4/Itau.png" TargetMode="External"/><Relationship Id="rId2141" Type="http://schemas.openxmlformats.org/officeDocument/2006/relationships/hyperlink" Target="https://i.ibb.co/DznB5q4/Itau.png" TargetMode="External"/><Relationship Id="rId2142" Type="http://schemas.openxmlformats.org/officeDocument/2006/relationships/hyperlink" Target="https://i.ibb.co/DznB5q4/Itau.png" TargetMode="External"/><Relationship Id="rId2143" Type="http://schemas.openxmlformats.org/officeDocument/2006/relationships/hyperlink" Target="https://i.ibb.co/DznB5q4/Itau.png" TargetMode="External"/><Relationship Id="rId2144" Type="http://schemas.openxmlformats.org/officeDocument/2006/relationships/hyperlink" Target="https://i.ibb.co/DznB5q4/Itau.png" TargetMode="External"/><Relationship Id="rId2145" Type="http://schemas.openxmlformats.org/officeDocument/2006/relationships/hyperlink" Target="https://i.ibb.co/DznB5q4/Itau.png" TargetMode="External"/><Relationship Id="rId2146" Type="http://schemas.openxmlformats.org/officeDocument/2006/relationships/hyperlink" Target="https://i.ibb.co/DznB5q4/Itau.png" TargetMode="External"/><Relationship Id="rId2147" Type="http://schemas.openxmlformats.org/officeDocument/2006/relationships/hyperlink" Target="https://i.ibb.co/DznB5q4/Itau.png" TargetMode="External"/><Relationship Id="rId2148" Type="http://schemas.openxmlformats.org/officeDocument/2006/relationships/hyperlink" Target="https://i.ibb.co/DznB5q4/Itau.png" TargetMode="External"/><Relationship Id="rId2149" Type="http://schemas.openxmlformats.org/officeDocument/2006/relationships/hyperlink" Target="https://i.ibb.co/DznB5q4/Itau.png" TargetMode="External"/><Relationship Id="rId2150" Type="http://schemas.openxmlformats.org/officeDocument/2006/relationships/hyperlink" Target="https://i.ibb.co/DznB5q4/Itau.png" TargetMode="External"/><Relationship Id="rId2151" Type="http://schemas.openxmlformats.org/officeDocument/2006/relationships/hyperlink" Target="https://i.ibb.co/DznB5q4/Itau.png" TargetMode="External"/><Relationship Id="rId2152" Type="http://schemas.openxmlformats.org/officeDocument/2006/relationships/hyperlink" Target="https://i.ibb.co/DznB5q4/Itau.png" TargetMode="External"/><Relationship Id="rId2153" Type="http://schemas.openxmlformats.org/officeDocument/2006/relationships/hyperlink" Target="https://i.ibb.co/DznB5q4/Itau.png" TargetMode="External"/><Relationship Id="rId2154" Type="http://schemas.openxmlformats.org/officeDocument/2006/relationships/hyperlink" Target="https://i.ibb.co/DznB5q4/Itau.png" TargetMode="External"/><Relationship Id="rId2155" Type="http://schemas.openxmlformats.org/officeDocument/2006/relationships/hyperlink" Target="https://i.ibb.co/DznB5q4/Itau.png" TargetMode="External"/><Relationship Id="rId2156" Type="http://schemas.openxmlformats.org/officeDocument/2006/relationships/hyperlink" Target="https://i.ibb.co/DznB5q4/Itau.png" TargetMode="External"/><Relationship Id="rId2157" Type="http://schemas.openxmlformats.org/officeDocument/2006/relationships/hyperlink" Target="https://i.ibb.co/DznB5q4/Itau.png" TargetMode="External"/><Relationship Id="rId2158" Type="http://schemas.openxmlformats.org/officeDocument/2006/relationships/hyperlink" Target="https://i.ibb.co/DznB5q4/Itau.png" TargetMode="External"/><Relationship Id="rId2159" Type="http://schemas.openxmlformats.org/officeDocument/2006/relationships/hyperlink" Target="https://i.ibb.co/DznB5q4/Itau.png" TargetMode="External"/><Relationship Id="rId2160" Type="http://schemas.openxmlformats.org/officeDocument/2006/relationships/hyperlink" Target="https://i.ibb.co/DznB5q4/Itau.png" TargetMode="External"/><Relationship Id="rId2161" Type="http://schemas.openxmlformats.org/officeDocument/2006/relationships/hyperlink" Target="https://i.ibb.co/DznB5q4/Itau.png" TargetMode="External"/><Relationship Id="rId2162" Type="http://schemas.openxmlformats.org/officeDocument/2006/relationships/hyperlink" Target="https://i.ibb.co/DznB5q4/Itau.png" TargetMode="External"/><Relationship Id="rId2163" Type="http://schemas.openxmlformats.org/officeDocument/2006/relationships/hyperlink" Target="https://i.ibb.co/DznB5q4/Itau.png" TargetMode="External"/><Relationship Id="rId2164" Type="http://schemas.openxmlformats.org/officeDocument/2006/relationships/hyperlink" Target="https://i.ibb.co/DznB5q4/Itau.png" TargetMode="External"/><Relationship Id="rId2165" Type="http://schemas.openxmlformats.org/officeDocument/2006/relationships/hyperlink" Target="https://i.ibb.co/DznB5q4/Itau.png" TargetMode="External"/><Relationship Id="rId2166" Type="http://schemas.openxmlformats.org/officeDocument/2006/relationships/hyperlink" Target="https://i.ibb.co/DznB5q4/Itau.png" TargetMode="External"/><Relationship Id="rId2167" Type="http://schemas.openxmlformats.org/officeDocument/2006/relationships/hyperlink" Target="https://i.ibb.co/DznB5q4/Itau.png" TargetMode="External"/><Relationship Id="rId2168" Type="http://schemas.openxmlformats.org/officeDocument/2006/relationships/hyperlink" Target="https://i.ibb.co/DznB5q4/Itau.png" TargetMode="External"/><Relationship Id="rId2169" Type="http://schemas.openxmlformats.org/officeDocument/2006/relationships/hyperlink" Target="https://i.ibb.co/DznB5q4/Itau.png" TargetMode="External"/><Relationship Id="rId2170" Type="http://schemas.openxmlformats.org/officeDocument/2006/relationships/hyperlink" Target="https://i.ibb.co/DznB5q4/Itau.png" TargetMode="External"/><Relationship Id="rId2171" Type="http://schemas.openxmlformats.org/officeDocument/2006/relationships/hyperlink" Target="https://i.ibb.co/DznB5q4/Itau.png" TargetMode="External"/><Relationship Id="rId2172" Type="http://schemas.openxmlformats.org/officeDocument/2006/relationships/hyperlink" Target="https://i.ibb.co/DznB5q4/Itau.png" TargetMode="External"/><Relationship Id="rId2173" Type="http://schemas.openxmlformats.org/officeDocument/2006/relationships/hyperlink" Target="https://i.ibb.co/DznB5q4/Itau.png" TargetMode="External"/><Relationship Id="rId2174" Type="http://schemas.openxmlformats.org/officeDocument/2006/relationships/hyperlink" Target="https://i.ibb.co/DznB5q4/Itau.png" TargetMode="External"/><Relationship Id="rId2175" Type="http://schemas.openxmlformats.org/officeDocument/2006/relationships/hyperlink" Target="https://i.ibb.co/DznB5q4/Itau.png" TargetMode="External"/><Relationship Id="rId2176" Type="http://schemas.openxmlformats.org/officeDocument/2006/relationships/hyperlink" Target="https://i.ibb.co/DznB5q4/Itau.png" TargetMode="External"/><Relationship Id="rId2177" Type="http://schemas.openxmlformats.org/officeDocument/2006/relationships/hyperlink" Target="https://i.ibb.co/DznB5q4/Itau.png" TargetMode="External"/><Relationship Id="rId2178" Type="http://schemas.openxmlformats.org/officeDocument/2006/relationships/hyperlink" Target="https://i.ibb.co/DznB5q4/Itau.png" TargetMode="External"/><Relationship Id="rId2179" Type="http://schemas.openxmlformats.org/officeDocument/2006/relationships/hyperlink" Target="https://i.ibb.co/DznB5q4/Itau.png" TargetMode="External"/><Relationship Id="rId2180" Type="http://schemas.openxmlformats.org/officeDocument/2006/relationships/hyperlink" Target="https://i.ibb.co/DznB5q4/Itau.png" TargetMode="External"/><Relationship Id="rId2181" Type="http://schemas.openxmlformats.org/officeDocument/2006/relationships/hyperlink" Target="https://i.ibb.co/DznB5q4/Itau.png" TargetMode="External"/><Relationship Id="rId2182" Type="http://schemas.openxmlformats.org/officeDocument/2006/relationships/hyperlink" Target="https://i.ibb.co/DznB5q4/Itau.png" TargetMode="External"/><Relationship Id="rId2183" Type="http://schemas.openxmlformats.org/officeDocument/2006/relationships/hyperlink" Target="https://i.ibb.co/DznB5q4/Itau.png" TargetMode="External"/><Relationship Id="rId2184" Type="http://schemas.openxmlformats.org/officeDocument/2006/relationships/hyperlink" Target="https://i.ibb.co/DznB5q4/Itau.png" TargetMode="External"/><Relationship Id="rId2185" Type="http://schemas.openxmlformats.org/officeDocument/2006/relationships/hyperlink" Target="https://i.ibb.co/DznB5q4/Itau.png" TargetMode="External"/><Relationship Id="rId2186" Type="http://schemas.openxmlformats.org/officeDocument/2006/relationships/hyperlink" Target="https://i.ibb.co/DznB5q4/Itau.png" TargetMode="External"/><Relationship Id="rId2187" Type="http://schemas.openxmlformats.org/officeDocument/2006/relationships/hyperlink" Target="https://i.ibb.co/DznB5q4/Itau.png" TargetMode="External"/><Relationship Id="rId2188" Type="http://schemas.openxmlformats.org/officeDocument/2006/relationships/hyperlink" Target="https://i.ibb.co/DznB5q4/Itau.png" TargetMode="External"/><Relationship Id="rId2189" Type="http://schemas.openxmlformats.org/officeDocument/2006/relationships/hyperlink" Target="https://i.ibb.co/DznB5q4/Itau.png" TargetMode="External"/><Relationship Id="rId2190" Type="http://schemas.openxmlformats.org/officeDocument/2006/relationships/hyperlink" Target="https://i.ibb.co/DznB5q4/Itau.png" TargetMode="External"/><Relationship Id="rId2191" Type="http://schemas.openxmlformats.org/officeDocument/2006/relationships/hyperlink" Target="https://i.ibb.co/DznB5q4/Itau.png" TargetMode="External"/><Relationship Id="rId2192" Type="http://schemas.openxmlformats.org/officeDocument/2006/relationships/hyperlink" Target="https://i.ibb.co/DznB5q4/Itau.png" TargetMode="External"/><Relationship Id="rId2193" Type="http://schemas.openxmlformats.org/officeDocument/2006/relationships/hyperlink" Target="https://i.ibb.co/DznB5q4/Itau.png" TargetMode="External"/><Relationship Id="rId2194" Type="http://schemas.openxmlformats.org/officeDocument/2006/relationships/hyperlink" Target="https://i.ibb.co/DznB5q4/Itau.png" TargetMode="External"/><Relationship Id="rId2195" Type="http://schemas.openxmlformats.org/officeDocument/2006/relationships/hyperlink" Target="https://i.ibb.co/DznB5q4/Itau.png" TargetMode="External"/><Relationship Id="rId2196" Type="http://schemas.openxmlformats.org/officeDocument/2006/relationships/hyperlink" Target="https://i.ibb.co/DznB5q4/Itau.png" TargetMode="External"/><Relationship Id="rId2197" Type="http://schemas.openxmlformats.org/officeDocument/2006/relationships/hyperlink" Target="https://i.ibb.co/DznB5q4/Itau.png" TargetMode="External"/><Relationship Id="rId2198" Type="http://schemas.openxmlformats.org/officeDocument/2006/relationships/hyperlink" Target="https://i.ibb.co/DznB5q4/Itau.png" TargetMode="External"/><Relationship Id="rId2199" Type="http://schemas.openxmlformats.org/officeDocument/2006/relationships/hyperlink" Target="https://i.ibb.co/DznB5q4/Itau.png" TargetMode="External"/><Relationship Id="rId2200" Type="http://schemas.openxmlformats.org/officeDocument/2006/relationships/hyperlink" Target="https://i.ibb.co/DznB5q4/Itau.png" TargetMode="External"/><Relationship Id="rId2201" Type="http://schemas.openxmlformats.org/officeDocument/2006/relationships/hyperlink" Target="https://i.ibb.co/DznB5q4/Itau.png" TargetMode="External"/><Relationship Id="rId2202" Type="http://schemas.openxmlformats.org/officeDocument/2006/relationships/hyperlink" Target="https://i.ibb.co/DznB5q4/Itau.png" TargetMode="External"/><Relationship Id="rId2203" Type="http://schemas.openxmlformats.org/officeDocument/2006/relationships/hyperlink" Target="https://i.ibb.co/DznB5q4/Itau.png" TargetMode="External"/><Relationship Id="rId2204" Type="http://schemas.openxmlformats.org/officeDocument/2006/relationships/hyperlink" Target="https://i.ibb.co/DznB5q4/Itau.png" TargetMode="External"/><Relationship Id="rId2205" Type="http://schemas.openxmlformats.org/officeDocument/2006/relationships/hyperlink" Target="https://i.ibb.co/DznB5q4/Itau.png" TargetMode="External"/><Relationship Id="rId2206" Type="http://schemas.openxmlformats.org/officeDocument/2006/relationships/hyperlink" Target="https://i.ibb.co/DznB5q4/Itau.png" TargetMode="External"/><Relationship Id="rId2207" Type="http://schemas.openxmlformats.org/officeDocument/2006/relationships/hyperlink" Target="https://i.ibb.co/DznB5q4/Itau.png" TargetMode="External"/><Relationship Id="rId2208" Type="http://schemas.openxmlformats.org/officeDocument/2006/relationships/hyperlink" Target="https://i.ibb.co/DznB5q4/Itau.png" TargetMode="External"/><Relationship Id="rId2209" Type="http://schemas.openxmlformats.org/officeDocument/2006/relationships/hyperlink" Target="https://i.ibb.co/DznB5q4/Itau.png" TargetMode="External"/><Relationship Id="rId2210" Type="http://schemas.openxmlformats.org/officeDocument/2006/relationships/hyperlink" Target="https://i.ibb.co/DznB5q4/Itau.png" TargetMode="External"/><Relationship Id="rId2211" Type="http://schemas.openxmlformats.org/officeDocument/2006/relationships/hyperlink" Target="https://i.ibb.co/DznB5q4/Itau.png" TargetMode="External"/><Relationship Id="rId2212" Type="http://schemas.openxmlformats.org/officeDocument/2006/relationships/hyperlink" Target="https://i.ibb.co/DznB5q4/Itau.png" TargetMode="External"/><Relationship Id="rId2213" Type="http://schemas.openxmlformats.org/officeDocument/2006/relationships/hyperlink" Target="https://i.ibb.co/DznB5q4/Itau.png" TargetMode="External"/><Relationship Id="rId2214" Type="http://schemas.openxmlformats.org/officeDocument/2006/relationships/hyperlink" Target="https://i.ibb.co/DznB5q4/Itau.png" TargetMode="External"/><Relationship Id="rId2215" Type="http://schemas.openxmlformats.org/officeDocument/2006/relationships/hyperlink" Target="https://i.ibb.co/DznB5q4/Itau.png" TargetMode="External"/><Relationship Id="rId2216" Type="http://schemas.openxmlformats.org/officeDocument/2006/relationships/hyperlink" Target="https://i.ibb.co/DznB5q4/Itau.png" TargetMode="External"/><Relationship Id="rId2217" Type="http://schemas.openxmlformats.org/officeDocument/2006/relationships/hyperlink" Target="https://i.ibb.co/DznB5q4/Itau.png" TargetMode="External"/><Relationship Id="rId2218" Type="http://schemas.openxmlformats.org/officeDocument/2006/relationships/hyperlink" Target="https://i.ibb.co/DznB5q4/Itau.png" TargetMode="External"/><Relationship Id="rId2219" Type="http://schemas.openxmlformats.org/officeDocument/2006/relationships/hyperlink" Target="https://i.ibb.co/DznB5q4/Itau.png" TargetMode="External"/><Relationship Id="rId2220" Type="http://schemas.openxmlformats.org/officeDocument/2006/relationships/hyperlink" Target="https://i.ibb.co/DznB5q4/Itau.png" TargetMode="External"/><Relationship Id="rId2221" Type="http://schemas.openxmlformats.org/officeDocument/2006/relationships/hyperlink" Target="https://i.ibb.co/DznB5q4/Itau.png" TargetMode="External"/><Relationship Id="rId2222" Type="http://schemas.openxmlformats.org/officeDocument/2006/relationships/hyperlink" Target="https://i.ibb.co/DznB5q4/Itau.png" TargetMode="External"/><Relationship Id="rId2223" Type="http://schemas.openxmlformats.org/officeDocument/2006/relationships/hyperlink" Target="https://i.ibb.co/DznB5q4/Itau.png" TargetMode="External"/><Relationship Id="rId2224" Type="http://schemas.openxmlformats.org/officeDocument/2006/relationships/hyperlink" Target="https://i.ibb.co/DznB5q4/Itau.png" TargetMode="External"/><Relationship Id="rId2225" Type="http://schemas.openxmlformats.org/officeDocument/2006/relationships/hyperlink" Target="https://i.ibb.co/DznB5q4/Itau.png" TargetMode="External"/><Relationship Id="rId2226" Type="http://schemas.openxmlformats.org/officeDocument/2006/relationships/hyperlink" Target="https://i.ibb.co/DznB5q4/Itau.png" TargetMode="External"/><Relationship Id="rId2227" Type="http://schemas.openxmlformats.org/officeDocument/2006/relationships/hyperlink" Target="https://i.ibb.co/DznB5q4/Itau.png" TargetMode="External"/><Relationship Id="rId2228" Type="http://schemas.openxmlformats.org/officeDocument/2006/relationships/hyperlink" Target="https://i.ibb.co/DznB5q4/Itau.png" TargetMode="External"/><Relationship Id="rId2229" Type="http://schemas.openxmlformats.org/officeDocument/2006/relationships/hyperlink" Target="https://i.ibb.co/DznB5q4/Itau.png" TargetMode="External"/><Relationship Id="rId2230" Type="http://schemas.openxmlformats.org/officeDocument/2006/relationships/hyperlink" Target="https://i.ibb.co/DznB5q4/Itau.png" TargetMode="External"/><Relationship Id="rId2231" Type="http://schemas.openxmlformats.org/officeDocument/2006/relationships/hyperlink" Target="https://i.ibb.co/DznB5q4/Itau.png" TargetMode="External"/><Relationship Id="rId2232" Type="http://schemas.openxmlformats.org/officeDocument/2006/relationships/hyperlink" Target="https://i.ibb.co/DznB5q4/Itau.png" TargetMode="External"/><Relationship Id="rId2233" Type="http://schemas.openxmlformats.org/officeDocument/2006/relationships/hyperlink" Target="https://i.ibb.co/DznB5q4/Itau.png" TargetMode="External"/><Relationship Id="rId2234" Type="http://schemas.openxmlformats.org/officeDocument/2006/relationships/hyperlink" Target="https://i.ibb.co/DznB5q4/Itau.png" TargetMode="External"/><Relationship Id="rId2235" Type="http://schemas.openxmlformats.org/officeDocument/2006/relationships/hyperlink" Target="https://i.ibb.co/DznB5q4/Itau.png" TargetMode="External"/><Relationship Id="rId2236" Type="http://schemas.openxmlformats.org/officeDocument/2006/relationships/hyperlink" Target="https://i.ibb.co/DznB5q4/Itau.png" TargetMode="External"/><Relationship Id="rId2237" Type="http://schemas.openxmlformats.org/officeDocument/2006/relationships/hyperlink" Target="https://i.ibb.co/DznB5q4/Itau.png" TargetMode="External"/><Relationship Id="rId2238" Type="http://schemas.openxmlformats.org/officeDocument/2006/relationships/hyperlink" Target="https://i.ibb.co/DznB5q4/Itau.png" TargetMode="External"/><Relationship Id="rId2239" Type="http://schemas.openxmlformats.org/officeDocument/2006/relationships/hyperlink" Target="https://i.ibb.co/DznB5q4/Itau.png" TargetMode="External"/><Relationship Id="rId2240" Type="http://schemas.openxmlformats.org/officeDocument/2006/relationships/hyperlink" Target="https://i.ibb.co/DznB5q4/Itau.png" TargetMode="External"/><Relationship Id="rId2241" Type="http://schemas.openxmlformats.org/officeDocument/2006/relationships/hyperlink" Target="https://i.ibb.co/DznB5q4/Itau.png" TargetMode="External"/><Relationship Id="rId2242" Type="http://schemas.openxmlformats.org/officeDocument/2006/relationships/hyperlink" Target="https://i.ibb.co/DznB5q4/Itau.png" TargetMode="External"/><Relationship Id="rId2243" Type="http://schemas.openxmlformats.org/officeDocument/2006/relationships/hyperlink" Target="https://i.ibb.co/DznB5q4/Itau.png" TargetMode="External"/><Relationship Id="rId2244" Type="http://schemas.openxmlformats.org/officeDocument/2006/relationships/hyperlink" Target="https://i.ibb.co/DznB5q4/Itau.png" TargetMode="External"/><Relationship Id="rId2245" Type="http://schemas.openxmlformats.org/officeDocument/2006/relationships/hyperlink" Target="https://i.ibb.co/DznB5q4/Itau.png" TargetMode="External"/><Relationship Id="rId2246" Type="http://schemas.openxmlformats.org/officeDocument/2006/relationships/hyperlink" Target="https://i.ibb.co/DznB5q4/Itau.png" TargetMode="External"/><Relationship Id="rId2247" Type="http://schemas.openxmlformats.org/officeDocument/2006/relationships/hyperlink" Target="https://i.ibb.co/DznB5q4/Itau.png" TargetMode="External"/><Relationship Id="rId2248" Type="http://schemas.openxmlformats.org/officeDocument/2006/relationships/hyperlink" Target="https://i.ibb.co/DznB5q4/Itau.png" TargetMode="External"/><Relationship Id="rId2249" Type="http://schemas.openxmlformats.org/officeDocument/2006/relationships/hyperlink" Target="https://i.ibb.co/DznB5q4/Itau.png" TargetMode="External"/><Relationship Id="rId2250" Type="http://schemas.openxmlformats.org/officeDocument/2006/relationships/hyperlink" Target="https://i.ibb.co/DznB5q4/Itau.png" TargetMode="External"/><Relationship Id="rId2251" Type="http://schemas.openxmlformats.org/officeDocument/2006/relationships/hyperlink" Target="https://i.ibb.co/DznB5q4/Itau.png" TargetMode="External"/><Relationship Id="rId2252" Type="http://schemas.openxmlformats.org/officeDocument/2006/relationships/hyperlink" Target="https://i.ibb.co/DznB5q4/Itau.png" TargetMode="External"/><Relationship Id="rId2253" Type="http://schemas.openxmlformats.org/officeDocument/2006/relationships/hyperlink" Target="https://i.ibb.co/DznB5q4/Itau.png" TargetMode="External"/><Relationship Id="rId2254" Type="http://schemas.openxmlformats.org/officeDocument/2006/relationships/hyperlink" Target="https://i.ibb.co/DznB5q4/Itau.png" TargetMode="External"/><Relationship Id="rId2255" Type="http://schemas.openxmlformats.org/officeDocument/2006/relationships/hyperlink" Target="https://i.ibb.co/DznB5q4/Itau.png" TargetMode="External"/><Relationship Id="rId2256" Type="http://schemas.openxmlformats.org/officeDocument/2006/relationships/hyperlink" Target="https://i.ibb.co/DznB5q4/Itau.png" TargetMode="External"/><Relationship Id="rId2257" Type="http://schemas.openxmlformats.org/officeDocument/2006/relationships/hyperlink" Target="https://i.ibb.co/DznB5q4/Itau.png" TargetMode="External"/><Relationship Id="rId2258" Type="http://schemas.openxmlformats.org/officeDocument/2006/relationships/hyperlink" Target="https://i.ibb.co/DznB5q4/Itau.png" TargetMode="External"/><Relationship Id="rId2259" Type="http://schemas.openxmlformats.org/officeDocument/2006/relationships/hyperlink" Target="https://i.ibb.co/DznB5q4/Itau.png" TargetMode="External"/><Relationship Id="rId2260" Type="http://schemas.openxmlformats.org/officeDocument/2006/relationships/hyperlink" Target="https://i.ibb.co/DznB5q4/Itau.png" TargetMode="External"/><Relationship Id="rId2261" Type="http://schemas.openxmlformats.org/officeDocument/2006/relationships/hyperlink" Target="https://i.ibb.co/DznB5q4/Itau.png" TargetMode="External"/><Relationship Id="rId2262" Type="http://schemas.openxmlformats.org/officeDocument/2006/relationships/hyperlink" Target="https://i.ibb.co/DznB5q4/Itau.png" TargetMode="External"/><Relationship Id="rId2263" Type="http://schemas.openxmlformats.org/officeDocument/2006/relationships/hyperlink" Target="https://i.ibb.co/DznB5q4/Itau.png" TargetMode="External"/><Relationship Id="rId2264" Type="http://schemas.openxmlformats.org/officeDocument/2006/relationships/hyperlink" Target="https://i.ibb.co/DznB5q4/Itau.png" TargetMode="External"/><Relationship Id="rId2265" Type="http://schemas.openxmlformats.org/officeDocument/2006/relationships/hyperlink" Target="https://i.ibb.co/DznB5q4/Itau.png" TargetMode="External"/><Relationship Id="rId2266" Type="http://schemas.openxmlformats.org/officeDocument/2006/relationships/hyperlink" Target="https://i.ibb.co/DznB5q4/Itau.png" TargetMode="External"/><Relationship Id="rId2267" Type="http://schemas.openxmlformats.org/officeDocument/2006/relationships/hyperlink" Target="https://i.ibb.co/DznB5q4/Itau.png" TargetMode="External"/><Relationship Id="rId2268" Type="http://schemas.openxmlformats.org/officeDocument/2006/relationships/hyperlink" Target="https://i.ibb.co/DznB5q4/Itau.png" TargetMode="External"/><Relationship Id="rId2269" Type="http://schemas.openxmlformats.org/officeDocument/2006/relationships/hyperlink" Target="https://i.ibb.co/DznB5q4/Itau.png" TargetMode="External"/><Relationship Id="rId2270" Type="http://schemas.openxmlformats.org/officeDocument/2006/relationships/hyperlink" Target="https://i.ibb.co/DznB5q4/Itau.png" TargetMode="External"/><Relationship Id="rId2271" Type="http://schemas.openxmlformats.org/officeDocument/2006/relationships/hyperlink" Target="https://i.ibb.co/DznB5q4/Itau.png" TargetMode="External"/><Relationship Id="rId2272" Type="http://schemas.openxmlformats.org/officeDocument/2006/relationships/hyperlink" Target="https://i.ibb.co/DznB5q4/Itau.png" TargetMode="External"/><Relationship Id="rId2273" Type="http://schemas.openxmlformats.org/officeDocument/2006/relationships/hyperlink" Target="https://i.ibb.co/DznB5q4/Itau.png" TargetMode="External"/><Relationship Id="rId2274" Type="http://schemas.openxmlformats.org/officeDocument/2006/relationships/hyperlink" Target="https://i.ibb.co/DznB5q4/Itau.png" TargetMode="External"/><Relationship Id="rId2275" Type="http://schemas.openxmlformats.org/officeDocument/2006/relationships/hyperlink" Target="https://i.ibb.co/DznB5q4/Itau.png" TargetMode="External"/><Relationship Id="rId2276" Type="http://schemas.openxmlformats.org/officeDocument/2006/relationships/hyperlink" Target="https://i.ibb.co/DznB5q4/Itau.png" TargetMode="External"/><Relationship Id="rId2277" Type="http://schemas.openxmlformats.org/officeDocument/2006/relationships/hyperlink" Target="https://i.ibb.co/DznB5q4/Itau.png" TargetMode="External"/><Relationship Id="rId2278" Type="http://schemas.openxmlformats.org/officeDocument/2006/relationships/hyperlink" Target="https://i.ibb.co/DznB5q4/Itau.png" TargetMode="External"/><Relationship Id="rId2279" Type="http://schemas.openxmlformats.org/officeDocument/2006/relationships/hyperlink" Target="https://i.ibb.co/DznB5q4/Itau.png" TargetMode="External"/><Relationship Id="rId2280" Type="http://schemas.openxmlformats.org/officeDocument/2006/relationships/hyperlink" Target="https://i.ibb.co/DznB5q4/Itau.png" TargetMode="External"/><Relationship Id="rId2281" Type="http://schemas.openxmlformats.org/officeDocument/2006/relationships/hyperlink" Target="https://i.ibb.co/DznB5q4/Itau.png" TargetMode="External"/><Relationship Id="rId2282" Type="http://schemas.openxmlformats.org/officeDocument/2006/relationships/hyperlink" Target="https://i.ibb.co/DznB5q4/Itau.png" TargetMode="External"/><Relationship Id="rId2283" Type="http://schemas.openxmlformats.org/officeDocument/2006/relationships/hyperlink" Target="https://i.ibb.co/DznB5q4/Itau.png" TargetMode="External"/><Relationship Id="rId2284" Type="http://schemas.openxmlformats.org/officeDocument/2006/relationships/hyperlink" Target="https://i.ibb.co/DznB5q4/Itau.png" TargetMode="External"/><Relationship Id="rId2285" Type="http://schemas.openxmlformats.org/officeDocument/2006/relationships/hyperlink" Target="https://i.ibb.co/DznB5q4/Itau.png" TargetMode="External"/><Relationship Id="rId2286" Type="http://schemas.openxmlformats.org/officeDocument/2006/relationships/hyperlink" Target="https://i.ibb.co/DznB5q4/Itau.png" TargetMode="External"/><Relationship Id="rId2287" Type="http://schemas.openxmlformats.org/officeDocument/2006/relationships/hyperlink" Target="https://i.ibb.co/DznB5q4/Itau.png" TargetMode="External"/><Relationship Id="rId2288" Type="http://schemas.openxmlformats.org/officeDocument/2006/relationships/hyperlink" Target="https://i.ibb.co/DznB5q4/Itau.png" TargetMode="External"/><Relationship Id="rId2289" Type="http://schemas.openxmlformats.org/officeDocument/2006/relationships/hyperlink" Target="https://i.ibb.co/DznB5q4/Itau.png" TargetMode="External"/><Relationship Id="rId2290" Type="http://schemas.openxmlformats.org/officeDocument/2006/relationships/hyperlink" Target="https://i.ibb.co/DznB5q4/Itau.png" TargetMode="External"/><Relationship Id="rId2291" Type="http://schemas.openxmlformats.org/officeDocument/2006/relationships/hyperlink" Target="https://i.ibb.co/DznB5q4/Itau.png" TargetMode="External"/><Relationship Id="rId2292" Type="http://schemas.openxmlformats.org/officeDocument/2006/relationships/hyperlink" Target="https://i.ibb.co/DznB5q4/Itau.png" TargetMode="External"/><Relationship Id="rId2293" Type="http://schemas.openxmlformats.org/officeDocument/2006/relationships/hyperlink" Target="https://i.ibb.co/DznB5q4/Itau.png" TargetMode="External"/><Relationship Id="rId2294" Type="http://schemas.openxmlformats.org/officeDocument/2006/relationships/hyperlink" Target="https://i.ibb.co/DznB5q4/Itau.png" TargetMode="External"/><Relationship Id="rId2295" Type="http://schemas.openxmlformats.org/officeDocument/2006/relationships/hyperlink" Target="https://i.ibb.co/DznB5q4/Itau.png" TargetMode="External"/><Relationship Id="rId2296" Type="http://schemas.openxmlformats.org/officeDocument/2006/relationships/hyperlink" Target="https://i.ibb.co/DznB5q4/Itau.png" TargetMode="External"/><Relationship Id="rId2297" Type="http://schemas.openxmlformats.org/officeDocument/2006/relationships/hyperlink" Target="https://i.ibb.co/DznB5q4/Itau.png" TargetMode="External"/><Relationship Id="rId2298" Type="http://schemas.openxmlformats.org/officeDocument/2006/relationships/hyperlink" Target="https://i.ibb.co/DznB5q4/Itau.png" TargetMode="External"/><Relationship Id="rId2299" Type="http://schemas.openxmlformats.org/officeDocument/2006/relationships/hyperlink" Target="https://i.ibb.co/DznB5q4/Itau.png" TargetMode="External"/><Relationship Id="rId2300" Type="http://schemas.openxmlformats.org/officeDocument/2006/relationships/hyperlink" Target="https://i.ibb.co/DznB5q4/Itau.png" TargetMode="External"/><Relationship Id="rId2301" Type="http://schemas.openxmlformats.org/officeDocument/2006/relationships/hyperlink" Target="https://i.ibb.co/DznB5q4/Itau.png" TargetMode="External"/><Relationship Id="rId2302" Type="http://schemas.openxmlformats.org/officeDocument/2006/relationships/hyperlink" Target="https://i.ibb.co/DznB5q4/Itau.png" TargetMode="External"/><Relationship Id="rId2303" Type="http://schemas.openxmlformats.org/officeDocument/2006/relationships/hyperlink" Target="https://i.ibb.co/DznB5q4/Itau.png" TargetMode="External"/><Relationship Id="rId2304" Type="http://schemas.openxmlformats.org/officeDocument/2006/relationships/hyperlink" Target="https://i.ibb.co/DznB5q4/Itau.png" TargetMode="External"/><Relationship Id="rId2305" Type="http://schemas.openxmlformats.org/officeDocument/2006/relationships/hyperlink" Target="https://i.ibb.co/DznB5q4/Itau.png" TargetMode="External"/><Relationship Id="rId2306" Type="http://schemas.openxmlformats.org/officeDocument/2006/relationships/hyperlink" Target="https://i.ibb.co/DznB5q4/Itau.png" TargetMode="External"/><Relationship Id="rId2307" Type="http://schemas.openxmlformats.org/officeDocument/2006/relationships/hyperlink" Target="https://i.ibb.co/DznB5q4/Itau.png" TargetMode="External"/><Relationship Id="rId2308" Type="http://schemas.openxmlformats.org/officeDocument/2006/relationships/hyperlink" Target="https://i.ibb.co/DznB5q4/Itau.png" TargetMode="External"/><Relationship Id="rId2309" Type="http://schemas.openxmlformats.org/officeDocument/2006/relationships/hyperlink" Target="https://i.ibb.co/DznB5q4/Itau.png" TargetMode="External"/><Relationship Id="rId2310" Type="http://schemas.openxmlformats.org/officeDocument/2006/relationships/hyperlink" Target="https://i.ibb.co/DznB5q4/Itau.png" TargetMode="External"/><Relationship Id="rId2311" Type="http://schemas.openxmlformats.org/officeDocument/2006/relationships/hyperlink" Target="https://i.ibb.co/DznB5q4/Itau.png" TargetMode="External"/><Relationship Id="rId2312" Type="http://schemas.openxmlformats.org/officeDocument/2006/relationships/hyperlink" Target="https://i.ibb.co/DznB5q4/Itau.png" TargetMode="External"/><Relationship Id="rId2313" Type="http://schemas.openxmlformats.org/officeDocument/2006/relationships/hyperlink" Target="https://i.ibb.co/DznB5q4/Itau.png" TargetMode="External"/><Relationship Id="rId2314" Type="http://schemas.openxmlformats.org/officeDocument/2006/relationships/hyperlink" Target="https://i.ibb.co/DznB5q4/Itau.png" TargetMode="External"/><Relationship Id="rId2315" Type="http://schemas.openxmlformats.org/officeDocument/2006/relationships/hyperlink" Target="https://i.ibb.co/DznB5q4/Itau.png" TargetMode="External"/><Relationship Id="rId2316" Type="http://schemas.openxmlformats.org/officeDocument/2006/relationships/hyperlink" Target="https://i.ibb.co/DznB5q4/Itau.png" TargetMode="External"/><Relationship Id="rId2317" Type="http://schemas.openxmlformats.org/officeDocument/2006/relationships/hyperlink" Target="https://i.ibb.co/DznB5q4/Itau.png" TargetMode="External"/><Relationship Id="rId2318" Type="http://schemas.openxmlformats.org/officeDocument/2006/relationships/hyperlink" Target="https://i.ibb.co/DznB5q4/Itau.png" TargetMode="External"/><Relationship Id="rId2319" Type="http://schemas.openxmlformats.org/officeDocument/2006/relationships/hyperlink" Target="https://i.ibb.co/DznB5q4/Itau.png" TargetMode="External"/><Relationship Id="rId2320" Type="http://schemas.openxmlformats.org/officeDocument/2006/relationships/hyperlink" Target="https://i.ibb.co/DznB5q4/Itau.png" TargetMode="External"/><Relationship Id="rId2321" Type="http://schemas.openxmlformats.org/officeDocument/2006/relationships/hyperlink" Target="https://i.ibb.co/DznB5q4/Itau.png" TargetMode="External"/><Relationship Id="rId2322" Type="http://schemas.openxmlformats.org/officeDocument/2006/relationships/hyperlink" Target="https://i.ibb.co/DznB5q4/Itau.png" TargetMode="External"/><Relationship Id="rId2323" Type="http://schemas.openxmlformats.org/officeDocument/2006/relationships/hyperlink" Target="https://i.ibb.co/DznB5q4/Itau.png" TargetMode="External"/><Relationship Id="rId2324" Type="http://schemas.openxmlformats.org/officeDocument/2006/relationships/hyperlink" Target="https://i.ibb.co/DznB5q4/Itau.png" TargetMode="External"/><Relationship Id="rId2325" Type="http://schemas.openxmlformats.org/officeDocument/2006/relationships/hyperlink" Target="https://i.ibb.co/DznB5q4/Itau.png" TargetMode="External"/><Relationship Id="rId2326" Type="http://schemas.openxmlformats.org/officeDocument/2006/relationships/hyperlink" Target="https://i.ibb.co/DznB5q4/Itau.png" TargetMode="External"/><Relationship Id="rId2327" Type="http://schemas.openxmlformats.org/officeDocument/2006/relationships/hyperlink" Target="https://i.ibb.co/DznB5q4/Itau.png" TargetMode="External"/><Relationship Id="rId2328" Type="http://schemas.openxmlformats.org/officeDocument/2006/relationships/hyperlink" Target="https://i.ibb.co/DznB5q4/Itau.png" TargetMode="External"/><Relationship Id="rId2329" Type="http://schemas.openxmlformats.org/officeDocument/2006/relationships/hyperlink" Target="https://i.ibb.co/DznB5q4/Itau.png" TargetMode="External"/><Relationship Id="rId2330" Type="http://schemas.openxmlformats.org/officeDocument/2006/relationships/hyperlink" Target="https://i.ibb.co/DznB5q4/Itau.png" TargetMode="External"/><Relationship Id="rId2331" Type="http://schemas.openxmlformats.org/officeDocument/2006/relationships/hyperlink" Target="https://i.ibb.co/DznB5q4/Itau.png" TargetMode="External"/><Relationship Id="rId2332" Type="http://schemas.openxmlformats.org/officeDocument/2006/relationships/hyperlink" Target="https://i.ibb.co/DznB5q4/Itau.png" TargetMode="External"/><Relationship Id="rId2333" Type="http://schemas.openxmlformats.org/officeDocument/2006/relationships/hyperlink" Target="https://i.ibb.co/DznB5q4/Itau.png" TargetMode="External"/><Relationship Id="rId2334" Type="http://schemas.openxmlformats.org/officeDocument/2006/relationships/hyperlink" Target="https://i.ibb.co/DznB5q4/Itau.png" TargetMode="External"/><Relationship Id="rId2335" Type="http://schemas.openxmlformats.org/officeDocument/2006/relationships/hyperlink" Target="https://i.ibb.co/DznB5q4/Itau.png" TargetMode="External"/><Relationship Id="rId2336" Type="http://schemas.openxmlformats.org/officeDocument/2006/relationships/hyperlink" Target="https://i.ibb.co/DznB5q4/Itau.png" TargetMode="External"/><Relationship Id="rId2337" Type="http://schemas.openxmlformats.org/officeDocument/2006/relationships/hyperlink" Target="https://i.ibb.co/DznB5q4/Itau.png" TargetMode="External"/><Relationship Id="rId2338" Type="http://schemas.openxmlformats.org/officeDocument/2006/relationships/hyperlink" Target="https://i.ibb.co/DznB5q4/Itau.png" TargetMode="External"/><Relationship Id="rId2339" Type="http://schemas.openxmlformats.org/officeDocument/2006/relationships/hyperlink" Target="https://i.ibb.co/DznB5q4/Itau.png" TargetMode="External"/><Relationship Id="rId2340" Type="http://schemas.openxmlformats.org/officeDocument/2006/relationships/hyperlink" Target="https://i.ibb.co/DznB5q4/Itau.png" TargetMode="External"/><Relationship Id="rId2341" Type="http://schemas.openxmlformats.org/officeDocument/2006/relationships/hyperlink" Target="https://i.ibb.co/DznB5q4/Itau.png" TargetMode="External"/><Relationship Id="rId2342" Type="http://schemas.openxmlformats.org/officeDocument/2006/relationships/hyperlink" Target="https://i.ibb.co/DznB5q4/Itau.png" TargetMode="External"/><Relationship Id="rId2343" Type="http://schemas.openxmlformats.org/officeDocument/2006/relationships/hyperlink" Target="https://i.ibb.co/DznB5q4/Itau.png" TargetMode="External"/><Relationship Id="rId2344" Type="http://schemas.openxmlformats.org/officeDocument/2006/relationships/hyperlink" Target="https://i.ibb.co/DznB5q4/Itau.png" TargetMode="External"/><Relationship Id="rId2345" Type="http://schemas.openxmlformats.org/officeDocument/2006/relationships/hyperlink" Target="https://i.ibb.co/DznB5q4/Itau.png" TargetMode="External"/><Relationship Id="rId2346" Type="http://schemas.openxmlformats.org/officeDocument/2006/relationships/hyperlink" Target="https://i.ibb.co/DznB5q4/Itau.png" TargetMode="External"/><Relationship Id="rId2347" Type="http://schemas.openxmlformats.org/officeDocument/2006/relationships/hyperlink" Target="https://i.ibb.co/DznB5q4/Itau.png" TargetMode="External"/><Relationship Id="rId2348" Type="http://schemas.openxmlformats.org/officeDocument/2006/relationships/hyperlink" Target="https://i.ibb.co/DznB5q4/Itau.png" TargetMode="External"/><Relationship Id="rId2349" Type="http://schemas.openxmlformats.org/officeDocument/2006/relationships/hyperlink" Target="https://i.ibb.co/DznB5q4/Itau.png" TargetMode="External"/><Relationship Id="rId2350" Type="http://schemas.openxmlformats.org/officeDocument/2006/relationships/hyperlink" Target="https://i.ibb.co/DznB5q4/Itau.png" TargetMode="External"/><Relationship Id="rId2351" Type="http://schemas.openxmlformats.org/officeDocument/2006/relationships/hyperlink" Target="https://i.ibb.co/DznB5q4/Itau.png" TargetMode="External"/><Relationship Id="rId2352" Type="http://schemas.openxmlformats.org/officeDocument/2006/relationships/hyperlink" Target="https://i.ibb.co/DznB5q4/Itau.png" TargetMode="External"/><Relationship Id="rId2353" Type="http://schemas.openxmlformats.org/officeDocument/2006/relationships/hyperlink" Target="https://i.ibb.co/DznB5q4/Itau.png" TargetMode="External"/><Relationship Id="rId2354" Type="http://schemas.openxmlformats.org/officeDocument/2006/relationships/hyperlink" Target="https://i.ibb.co/DznB5q4/Itau.png" TargetMode="External"/><Relationship Id="rId2355" Type="http://schemas.openxmlformats.org/officeDocument/2006/relationships/hyperlink" Target="https://i.ibb.co/DznB5q4/Itau.png" TargetMode="External"/><Relationship Id="rId2356" Type="http://schemas.openxmlformats.org/officeDocument/2006/relationships/hyperlink" Target="https://i.ibb.co/DznB5q4/Itau.png" TargetMode="External"/><Relationship Id="rId2357" Type="http://schemas.openxmlformats.org/officeDocument/2006/relationships/hyperlink" Target="https://i.ibb.co/DznB5q4/Itau.png" TargetMode="External"/><Relationship Id="rId2358" Type="http://schemas.openxmlformats.org/officeDocument/2006/relationships/hyperlink" Target="https://i.ibb.co/DznB5q4/Itau.png" TargetMode="External"/><Relationship Id="rId2359" Type="http://schemas.openxmlformats.org/officeDocument/2006/relationships/hyperlink" Target="https://i.ibb.co/DznB5q4/Itau.png" TargetMode="External"/><Relationship Id="rId2360" Type="http://schemas.openxmlformats.org/officeDocument/2006/relationships/hyperlink" Target="https://i.ibb.co/DznB5q4/Itau.png" TargetMode="External"/><Relationship Id="rId2361" Type="http://schemas.openxmlformats.org/officeDocument/2006/relationships/hyperlink" Target="https://i.ibb.co/DznB5q4/Itau.png" TargetMode="External"/><Relationship Id="rId2362" Type="http://schemas.openxmlformats.org/officeDocument/2006/relationships/hyperlink" Target="https://i.ibb.co/DznB5q4/Itau.png" TargetMode="External"/><Relationship Id="rId2363" Type="http://schemas.openxmlformats.org/officeDocument/2006/relationships/hyperlink" Target="https://i.ibb.co/DznB5q4/Itau.png" TargetMode="External"/><Relationship Id="rId2364" Type="http://schemas.openxmlformats.org/officeDocument/2006/relationships/hyperlink" Target="https://i.ibb.co/DznB5q4/Itau.png" TargetMode="External"/><Relationship Id="rId2365" Type="http://schemas.openxmlformats.org/officeDocument/2006/relationships/hyperlink" Target="https://i.ibb.co/DznB5q4/Itau.png" TargetMode="External"/><Relationship Id="rId2366" Type="http://schemas.openxmlformats.org/officeDocument/2006/relationships/hyperlink" Target="https://i.ibb.co/DznB5q4/Itau.png" TargetMode="External"/><Relationship Id="rId2367" Type="http://schemas.openxmlformats.org/officeDocument/2006/relationships/hyperlink" Target="https://i.ibb.co/DznB5q4/Itau.png" TargetMode="External"/><Relationship Id="rId2368" Type="http://schemas.openxmlformats.org/officeDocument/2006/relationships/hyperlink" Target="https://i.ibb.co/DznB5q4/Itau.png" TargetMode="External"/><Relationship Id="rId2369" Type="http://schemas.openxmlformats.org/officeDocument/2006/relationships/hyperlink" Target="https://i.ibb.co/DznB5q4/Itau.png" TargetMode="External"/><Relationship Id="rId2370" Type="http://schemas.openxmlformats.org/officeDocument/2006/relationships/hyperlink" Target="https://i.ibb.co/DznB5q4/Itau.png" TargetMode="External"/><Relationship Id="rId2371" Type="http://schemas.openxmlformats.org/officeDocument/2006/relationships/hyperlink" Target="https://i.ibb.co/DznB5q4/Itau.png" TargetMode="External"/><Relationship Id="rId2372" Type="http://schemas.openxmlformats.org/officeDocument/2006/relationships/hyperlink" Target="https://i.ibb.co/DznB5q4/Itau.png" TargetMode="External"/><Relationship Id="rId2373" Type="http://schemas.openxmlformats.org/officeDocument/2006/relationships/hyperlink" Target="https://i.ibb.co/DznB5q4/Itau.png" TargetMode="External"/><Relationship Id="rId2374" Type="http://schemas.openxmlformats.org/officeDocument/2006/relationships/hyperlink" Target="https://i.ibb.co/DznB5q4/Itau.png" TargetMode="External"/><Relationship Id="rId2375" Type="http://schemas.openxmlformats.org/officeDocument/2006/relationships/hyperlink" Target="https://i.ibb.co/DznB5q4/Itau.png" TargetMode="External"/><Relationship Id="rId2376" Type="http://schemas.openxmlformats.org/officeDocument/2006/relationships/hyperlink" Target="https://i.ibb.co/DznB5q4/Itau.png" TargetMode="External"/><Relationship Id="rId2377" Type="http://schemas.openxmlformats.org/officeDocument/2006/relationships/hyperlink" Target="https://i.ibb.co/DznB5q4/Itau.png" TargetMode="External"/><Relationship Id="rId2378" Type="http://schemas.openxmlformats.org/officeDocument/2006/relationships/hyperlink" Target="https://i.ibb.co/DznB5q4/Itau.png" TargetMode="External"/><Relationship Id="rId2379" Type="http://schemas.openxmlformats.org/officeDocument/2006/relationships/hyperlink" Target="https://i.ibb.co/DznB5q4/Itau.png" TargetMode="External"/><Relationship Id="rId2380" Type="http://schemas.openxmlformats.org/officeDocument/2006/relationships/hyperlink" Target="https://i.ibb.co/DznB5q4/Itau.png" TargetMode="External"/><Relationship Id="rId2381" Type="http://schemas.openxmlformats.org/officeDocument/2006/relationships/hyperlink" Target="https://i.ibb.co/DznB5q4/Itau.png" TargetMode="External"/><Relationship Id="rId2382" Type="http://schemas.openxmlformats.org/officeDocument/2006/relationships/hyperlink" Target="https://i.ibb.co/DznB5q4/Itau.png" TargetMode="External"/><Relationship Id="rId2383" Type="http://schemas.openxmlformats.org/officeDocument/2006/relationships/hyperlink" Target="https://i.ibb.co/DznB5q4/Itau.png" TargetMode="External"/><Relationship Id="rId2384" Type="http://schemas.openxmlformats.org/officeDocument/2006/relationships/hyperlink" Target="https://i.ibb.co/DznB5q4/Itau.png" TargetMode="External"/><Relationship Id="rId2385" Type="http://schemas.openxmlformats.org/officeDocument/2006/relationships/hyperlink" Target="https://i.ibb.co/DznB5q4/Itau.png" TargetMode="External"/><Relationship Id="rId2386" Type="http://schemas.openxmlformats.org/officeDocument/2006/relationships/hyperlink" Target="https://i.ibb.co/DznB5q4/Itau.png" TargetMode="External"/><Relationship Id="rId2387" Type="http://schemas.openxmlformats.org/officeDocument/2006/relationships/hyperlink" Target="https://i.ibb.co/DznB5q4/Itau.png" TargetMode="External"/><Relationship Id="rId2388" Type="http://schemas.openxmlformats.org/officeDocument/2006/relationships/hyperlink" Target="https://i.ibb.co/DznB5q4/Itau.png" TargetMode="External"/><Relationship Id="rId2389" Type="http://schemas.openxmlformats.org/officeDocument/2006/relationships/hyperlink" Target="https://i.ibb.co/DznB5q4/Itau.png" TargetMode="External"/><Relationship Id="rId2390" Type="http://schemas.openxmlformats.org/officeDocument/2006/relationships/hyperlink" Target="https://i.ibb.co/DznB5q4/Itau.png" TargetMode="External"/><Relationship Id="rId2391" Type="http://schemas.openxmlformats.org/officeDocument/2006/relationships/hyperlink" Target="https://i.ibb.co/DznB5q4/Itau.png" TargetMode="External"/><Relationship Id="rId2392" Type="http://schemas.openxmlformats.org/officeDocument/2006/relationships/hyperlink" Target="https://i.ibb.co/DznB5q4/Itau.png" TargetMode="External"/><Relationship Id="rId2393" Type="http://schemas.openxmlformats.org/officeDocument/2006/relationships/hyperlink" Target="https://i.ibb.co/DznB5q4/Itau.png" TargetMode="External"/><Relationship Id="rId2394" Type="http://schemas.openxmlformats.org/officeDocument/2006/relationships/hyperlink" Target="https://i.ibb.co/DznB5q4/Itau.png" TargetMode="External"/><Relationship Id="rId2395" Type="http://schemas.openxmlformats.org/officeDocument/2006/relationships/hyperlink" Target="https://i.ibb.co/DznB5q4/Itau.png" TargetMode="External"/><Relationship Id="rId2396" Type="http://schemas.openxmlformats.org/officeDocument/2006/relationships/hyperlink" Target="https://i.ibb.co/DznB5q4/Itau.png" TargetMode="External"/><Relationship Id="rId2397" Type="http://schemas.openxmlformats.org/officeDocument/2006/relationships/hyperlink" Target="https://i.ibb.co/DznB5q4/Itau.png" TargetMode="External"/><Relationship Id="rId2398" Type="http://schemas.openxmlformats.org/officeDocument/2006/relationships/hyperlink" Target="https://i.ibb.co/DznB5q4/Itau.png" TargetMode="External"/><Relationship Id="rId2399" Type="http://schemas.openxmlformats.org/officeDocument/2006/relationships/hyperlink" Target="https://i.ibb.co/DznB5q4/Itau.png" TargetMode="External"/><Relationship Id="rId2400" Type="http://schemas.openxmlformats.org/officeDocument/2006/relationships/hyperlink" Target="https://i.ibb.co/DznB5q4/Itau.png" TargetMode="External"/><Relationship Id="rId2401" Type="http://schemas.openxmlformats.org/officeDocument/2006/relationships/hyperlink" Target="https://i.ibb.co/DznB5q4/Itau.png" TargetMode="External"/><Relationship Id="rId2402" Type="http://schemas.openxmlformats.org/officeDocument/2006/relationships/hyperlink" Target="https://i.ibb.co/DznB5q4/Itau.png" TargetMode="External"/><Relationship Id="rId2403" Type="http://schemas.openxmlformats.org/officeDocument/2006/relationships/hyperlink" Target="https://i.ibb.co/DznB5q4/Itau.png" TargetMode="External"/><Relationship Id="rId2404" Type="http://schemas.openxmlformats.org/officeDocument/2006/relationships/hyperlink" Target="https://i.ibb.co/DznB5q4/Itau.png" TargetMode="External"/><Relationship Id="rId2405" Type="http://schemas.openxmlformats.org/officeDocument/2006/relationships/hyperlink" Target="https://i.ibb.co/DznB5q4/Itau.png" TargetMode="External"/><Relationship Id="rId2406" Type="http://schemas.openxmlformats.org/officeDocument/2006/relationships/hyperlink" Target="https://i.ibb.co/DznB5q4/Itau.png" TargetMode="External"/><Relationship Id="rId2407" Type="http://schemas.openxmlformats.org/officeDocument/2006/relationships/hyperlink" Target="https://i.ibb.co/DznB5q4/Itau.png" TargetMode="External"/><Relationship Id="rId2408" Type="http://schemas.openxmlformats.org/officeDocument/2006/relationships/hyperlink" Target="https://i.ibb.co/DznB5q4/Itau.png" TargetMode="External"/><Relationship Id="rId2409" Type="http://schemas.openxmlformats.org/officeDocument/2006/relationships/hyperlink" Target="https://i.ibb.co/DznB5q4/Itau.png" TargetMode="External"/><Relationship Id="rId2410" Type="http://schemas.openxmlformats.org/officeDocument/2006/relationships/hyperlink" Target="https://i.ibb.co/DznB5q4/Itau.png" TargetMode="External"/><Relationship Id="rId2411" Type="http://schemas.openxmlformats.org/officeDocument/2006/relationships/hyperlink" Target="https://i.ibb.co/DznB5q4/Itau.png" TargetMode="External"/><Relationship Id="rId2412" Type="http://schemas.openxmlformats.org/officeDocument/2006/relationships/hyperlink" Target="https://i.ibb.co/DznB5q4/Itau.png" TargetMode="External"/><Relationship Id="rId2413" Type="http://schemas.openxmlformats.org/officeDocument/2006/relationships/hyperlink" Target="https://i.ibb.co/DznB5q4/Itau.png" TargetMode="External"/><Relationship Id="rId2414" Type="http://schemas.openxmlformats.org/officeDocument/2006/relationships/hyperlink" Target="https://i.ibb.co/DznB5q4/Itau.png" TargetMode="External"/><Relationship Id="rId2415" Type="http://schemas.openxmlformats.org/officeDocument/2006/relationships/hyperlink" Target="https://i.ibb.co/DznB5q4/Itau.png" TargetMode="External"/><Relationship Id="rId2416" Type="http://schemas.openxmlformats.org/officeDocument/2006/relationships/hyperlink" Target="https://i.ibb.co/DznB5q4/Itau.png" TargetMode="External"/><Relationship Id="rId2417" Type="http://schemas.openxmlformats.org/officeDocument/2006/relationships/hyperlink" Target="https://i.ibb.co/DznB5q4/Itau.png" TargetMode="External"/><Relationship Id="rId2418" Type="http://schemas.openxmlformats.org/officeDocument/2006/relationships/hyperlink" Target="https://i.ibb.co/DznB5q4/Itau.png" TargetMode="External"/><Relationship Id="rId2419" Type="http://schemas.openxmlformats.org/officeDocument/2006/relationships/hyperlink" Target="https://i.ibb.co/DznB5q4/Itau.png" TargetMode="External"/><Relationship Id="rId2420" Type="http://schemas.openxmlformats.org/officeDocument/2006/relationships/hyperlink" Target="https://i.ibb.co/DznB5q4/Itau.png" TargetMode="External"/><Relationship Id="rId2421" Type="http://schemas.openxmlformats.org/officeDocument/2006/relationships/hyperlink" Target="https://i.ibb.co/DznB5q4/Itau.png" TargetMode="External"/><Relationship Id="rId2422" Type="http://schemas.openxmlformats.org/officeDocument/2006/relationships/hyperlink" Target="https://i.ibb.co/DznB5q4/Itau.png" TargetMode="External"/><Relationship Id="rId2423" Type="http://schemas.openxmlformats.org/officeDocument/2006/relationships/hyperlink" Target="https://i.ibb.co/DznB5q4/Itau.png" TargetMode="External"/><Relationship Id="rId2424" Type="http://schemas.openxmlformats.org/officeDocument/2006/relationships/hyperlink" Target="https://i.ibb.co/DznB5q4/Itau.png" TargetMode="External"/><Relationship Id="rId2425" Type="http://schemas.openxmlformats.org/officeDocument/2006/relationships/hyperlink" Target="https://i.ibb.co/DznB5q4/Itau.png" TargetMode="External"/><Relationship Id="rId2426" Type="http://schemas.openxmlformats.org/officeDocument/2006/relationships/hyperlink" Target="https://i.ibb.co/DznB5q4/Itau.png" TargetMode="External"/><Relationship Id="rId2427" Type="http://schemas.openxmlformats.org/officeDocument/2006/relationships/hyperlink" Target="https://i.ibb.co/DznB5q4/Itau.png" TargetMode="External"/><Relationship Id="rId2428" Type="http://schemas.openxmlformats.org/officeDocument/2006/relationships/hyperlink" Target="https://i.ibb.co/DznB5q4/Itau.png" TargetMode="External"/><Relationship Id="rId2429" Type="http://schemas.openxmlformats.org/officeDocument/2006/relationships/hyperlink" Target="https://i.ibb.co/DznB5q4/Itau.png" TargetMode="External"/><Relationship Id="rId2430" Type="http://schemas.openxmlformats.org/officeDocument/2006/relationships/hyperlink" Target="https://i.ibb.co/DznB5q4/Itau.png" TargetMode="External"/><Relationship Id="rId2431" Type="http://schemas.openxmlformats.org/officeDocument/2006/relationships/hyperlink" Target="https://i.ibb.co/DznB5q4/Itau.png" TargetMode="External"/><Relationship Id="rId2432" Type="http://schemas.openxmlformats.org/officeDocument/2006/relationships/hyperlink" Target="https://i.ibb.co/DznB5q4/Itau.png" TargetMode="External"/><Relationship Id="rId2433" Type="http://schemas.openxmlformats.org/officeDocument/2006/relationships/hyperlink" Target="https://i.ibb.co/DznB5q4/Itau.png" TargetMode="External"/><Relationship Id="rId2434" Type="http://schemas.openxmlformats.org/officeDocument/2006/relationships/hyperlink" Target="https://i.ibb.co/DznB5q4/Itau.png" TargetMode="External"/><Relationship Id="rId2435" Type="http://schemas.openxmlformats.org/officeDocument/2006/relationships/hyperlink" Target="https://i.ibb.co/DznB5q4/Itau.png" TargetMode="External"/><Relationship Id="rId2436" Type="http://schemas.openxmlformats.org/officeDocument/2006/relationships/hyperlink" Target="https://i.ibb.co/DznB5q4/Itau.png" TargetMode="External"/><Relationship Id="rId2437" Type="http://schemas.openxmlformats.org/officeDocument/2006/relationships/hyperlink" Target="https://i.ibb.co/DznB5q4/Itau.png" TargetMode="External"/><Relationship Id="rId2438" Type="http://schemas.openxmlformats.org/officeDocument/2006/relationships/hyperlink" Target="https://i.ibb.co/DznB5q4/Itau.png" TargetMode="External"/><Relationship Id="rId2439" Type="http://schemas.openxmlformats.org/officeDocument/2006/relationships/hyperlink" Target="https://i.ibb.co/DznB5q4/Itau.png" TargetMode="External"/><Relationship Id="rId2440" Type="http://schemas.openxmlformats.org/officeDocument/2006/relationships/hyperlink" Target="https://i.ibb.co/DznB5q4/Itau.png" TargetMode="External"/><Relationship Id="rId2441" Type="http://schemas.openxmlformats.org/officeDocument/2006/relationships/hyperlink" Target="https://i.ibb.co/DznB5q4/Itau.png" TargetMode="External"/><Relationship Id="rId2442" Type="http://schemas.openxmlformats.org/officeDocument/2006/relationships/hyperlink" Target="https://i.ibb.co/DznB5q4/Itau.png" TargetMode="External"/><Relationship Id="rId2443" Type="http://schemas.openxmlformats.org/officeDocument/2006/relationships/hyperlink" Target="https://i.ibb.co/DznB5q4/Itau.png" TargetMode="External"/><Relationship Id="rId2444" Type="http://schemas.openxmlformats.org/officeDocument/2006/relationships/hyperlink" Target="https://i.ibb.co/DznB5q4/Itau.png" TargetMode="External"/><Relationship Id="rId2445" Type="http://schemas.openxmlformats.org/officeDocument/2006/relationships/hyperlink" Target="https://i.ibb.co/DznB5q4/Itau.png" TargetMode="External"/><Relationship Id="rId2446" Type="http://schemas.openxmlformats.org/officeDocument/2006/relationships/hyperlink" Target="https://i.ibb.co/DznB5q4/Itau.png" TargetMode="External"/><Relationship Id="rId2447" Type="http://schemas.openxmlformats.org/officeDocument/2006/relationships/hyperlink" Target="https://i.ibb.co/DznB5q4/Itau.png" TargetMode="External"/><Relationship Id="rId2448" Type="http://schemas.openxmlformats.org/officeDocument/2006/relationships/hyperlink" Target="https://i.ibb.co/DznB5q4/Itau.png" TargetMode="External"/><Relationship Id="rId2449" Type="http://schemas.openxmlformats.org/officeDocument/2006/relationships/hyperlink" Target="https://i.ibb.co/DznB5q4/Itau.png" TargetMode="External"/><Relationship Id="rId2450" Type="http://schemas.openxmlformats.org/officeDocument/2006/relationships/hyperlink" Target="https://i.ibb.co/DznB5q4/Itau.png" TargetMode="External"/><Relationship Id="rId2451" Type="http://schemas.openxmlformats.org/officeDocument/2006/relationships/hyperlink" Target="https://i.ibb.co/DznB5q4/Itau.png" TargetMode="External"/><Relationship Id="rId2452" Type="http://schemas.openxmlformats.org/officeDocument/2006/relationships/hyperlink" Target="https://i.ibb.co/DznB5q4/Itau.png" TargetMode="External"/><Relationship Id="rId2453" Type="http://schemas.openxmlformats.org/officeDocument/2006/relationships/hyperlink" Target="https://i.ibb.co/DznB5q4/Itau.png" TargetMode="External"/><Relationship Id="rId2454" Type="http://schemas.openxmlformats.org/officeDocument/2006/relationships/hyperlink" Target="https://i.ibb.co/DznB5q4/Itau.png" TargetMode="External"/><Relationship Id="rId2455" Type="http://schemas.openxmlformats.org/officeDocument/2006/relationships/hyperlink" Target="https://i.ibb.co/DznB5q4/Itau.png" TargetMode="External"/><Relationship Id="rId2456" Type="http://schemas.openxmlformats.org/officeDocument/2006/relationships/hyperlink" Target="https://i.ibb.co/DznB5q4/Itau.png" TargetMode="External"/><Relationship Id="rId2457" Type="http://schemas.openxmlformats.org/officeDocument/2006/relationships/hyperlink" Target="https://i.ibb.co/DznB5q4/Itau.png" TargetMode="External"/><Relationship Id="rId2458" Type="http://schemas.openxmlformats.org/officeDocument/2006/relationships/hyperlink" Target="https://i.ibb.co/DznB5q4/Itau.png" TargetMode="External"/><Relationship Id="rId2459" Type="http://schemas.openxmlformats.org/officeDocument/2006/relationships/hyperlink" Target="https://i.ibb.co/DznB5q4/Itau.png" TargetMode="External"/><Relationship Id="rId2460" Type="http://schemas.openxmlformats.org/officeDocument/2006/relationships/hyperlink" Target="https://i.ibb.co/DznB5q4/Itau.png" TargetMode="External"/><Relationship Id="rId2461" Type="http://schemas.openxmlformats.org/officeDocument/2006/relationships/hyperlink" Target="https://i.ibb.co/DznB5q4/Itau.png" TargetMode="External"/><Relationship Id="rId2462" Type="http://schemas.openxmlformats.org/officeDocument/2006/relationships/hyperlink" Target="https://i.ibb.co/DznB5q4/Itau.png" TargetMode="External"/><Relationship Id="rId2463" Type="http://schemas.openxmlformats.org/officeDocument/2006/relationships/hyperlink" Target="https://i.ibb.co/DznB5q4/Itau.png" TargetMode="External"/><Relationship Id="rId2464" Type="http://schemas.openxmlformats.org/officeDocument/2006/relationships/hyperlink" Target="https://i.ibb.co/DznB5q4/Itau.png" TargetMode="External"/><Relationship Id="rId2465" Type="http://schemas.openxmlformats.org/officeDocument/2006/relationships/hyperlink" Target="https://i.ibb.co/DznB5q4/Itau.png" TargetMode="External"/><Relationship Id="rId2466" Type="http://schemas.openxmlformats.org/officeDocument/2006/relationships/hyperlink" Target="https://i.ibb.co/DznB5q4/Itau.png" TargetMode="External"/><Relationship Id="rId2467" Type="http://schemas.openxmlformats.org/officeDocument/2006/relationships/hyperlink" Target="https://i.ibb.co/DznB5q4/Itau.png" TargetMode="External"/><Relationship Id="rId2468" Type="http://schemas.openxmlformats.org/officeDocument/2006/relationships/hyperlink" Target="https://i.ibb.co/DznB5q4/Itau.png" TargetMode="External"/><Relationship Id="rId2469" Type="http://schemas.openxmlformats.org/officeDocument/2006/relationships/hyperlink" Target="https://i.ibb.co/DznB5q4/Itau.png" TargetMode="External"/><Relationship Id="rId2470" Type="http://schemas.openxmlformats.org/officeDocument/2006/relationships/hyperlink" Target="https://i.ibb.co/DznB5q4/Itau.png" TargetMode="External"/><Relationship Id="rId2471" Type="http://schemas.openxmlformats.org/officeDocument/2006/relationships/hyperlink" Target="https://i.ibb.co/DznB5q4/Itau.png" TargetMode="External"/><Relationship Id="rId2472" Type="http://schemas.openxmlformats.org/officeDocument/2006/relationships/hyperlink" Target="https://i.ibb.co/DznB5q4/Itau.png" TargetMode="External"/><Relationship Id="rId2473" Type="http://schemas.openxmlformats.org/officeDocument/2006/relationships/hyperlink" Target="https://i.ibb.co/DznB5q4/Itau.png" TargetMode="External"/><Relationship Id="rId2474" Type="http://schemas.openxmlformats.org/officeDocument/2006/relationships/hyperlink" Target="https://i.ibb.co/DznB5q4/Itau.png" TargetMode="External"/><Relationship Id="rId2475" Type="http://schemas.openxmlformats.org/officeDocument/2006/relationships/hyperlink" Target="https://i.ibb.co/DznB5q4/Itau.png" TargetMode="External"/><Relationship Id="rId2476" Type="http://schemas.openxmlformats.org/officeDocument/2006/relationships/hyperlink" Target="https://i.ibb.co/DznB5q4/Itau.png" TargetMode="External"/><Relationship Id="rId2477" Type="http://schemas.openxmlformats.org/officeDocument/2006/relationships/hyperlink" Target="https://i.ibb.co/DznB5q4/Itau.png" TargetMode="External"/><Relationship Id="rId2478" Type="http://schemas.openxmlformats.org/officeDocument/2006/relationships/hyperlink" Target="https://i.ibb.co/DznB5q4/Itau.png" TargetMode="External"/><Relationship Id="rId2479" Type="http://schemas.openxmlformats.org/officeDocument/2006/relationships/hyperlink" Target="https://i.ibb.co/DznB5q4/Itau.png" TargetMode="External"/><Relationship Id="rId2480" Type="http://schemas.openxmlformats.org/officeDocument/2006/relationships/hyperlink" Target="https://i.ibb.co/DznB5q4/Itau.png" TargetMode="External"/><Relationship Id="rId2481" Type="http://schemas.openxmlformats.org/officeDocument/2006/relationships/hyperlink" Target="https://i.ibb.co/DznB5q4/Itau.png" TargetMode="External"/><Relationship Id="rId2482" Type="http://schemas.openxmlformats.org/officeDocument/2006/relationships/hyperlink" Target="https://i.ibb.co/DznB5q4/Itau.png" TargetMode="External"/><Relationship Id="rId2483" Type="http://schemas.openxmlformats.org/officeDocument/2006/relationships/hyperlink" Target="https://i.ibb.co/DznB5q4/Itau.png" TargetMode="External"/><Relationship Id="rId2484" Type="http://schemas.openxmlformats.org/officeDocument/2006/relationships/hyperlink" Target="https://i.ibb.co/DznB5q4/Itau.png" TargetMode="External"/><Relationship Id="rId2485" Type="http://schemas.openxmlformats.org/officeDocument/2006/relationships/hyperlink" Target="https://i.ibb.co/DznB5q4/Itau.png" TargetMode="External"/><Relationship Id="rId2486" Type="http://schemas.openxmlformats.org/officeDocument/2006/relationships/hyperlink" Target="https://i.ibb.co/DznB5q4/Itau.png" TargetMode="External"/><Relationship Id="rId2487" Type="http://schemas.openxmlformats.org/officeDocument/2006/relationships/hyperlink" Target="https://i.ibb.co/DznB5q4/Itau.png" TargetMode="External"/><Relationship Id="rId2488" Type="http://schemas.openxmlformats.org/officeDocument/2006/relationships/hyperlink" Target="https://i.ibb.co/DznB5q4/Itau.png" TargetMode="External"/><Relationship Id="rId2489" Type="http://schemas.openxmlformats.org/officeDocument/2006/relationships/hyperlink" Target="https://i.ibb.co/DznB5q4/Itau.png" TargetMode="External"/><Relationship Id="rId2490" Type="http://schemas.openxmlformats.org/officeDocument/2006/relationships/hyperlink" Target="https://i.ibb.co/DznB5q4/Itau.png" TargetMode="External"/><Relationship Id="rId2491" Type="http://schemas.openxmlformats.org/officeDocument/2006/relationships/hyperlink" Target="https://i.ibb.co/DznB5q4/Itau.png" TargetMode="External"/><Relationship Id="rId2492" Type="http://schemas.openxmlformats.org/officeDocument/2006/relationships/hyperlink" Target="https://i.ibb.co/DznB5q4/Itau.png" TargetMode="External"/><Relationship Id="rId2493" Type="http://schemas.openxmlformats.org/officeDocument/2006/relationships/hyperlink" Target="https://i.ibb.co/DznB5q4/Itau.png" TargetMode="External"/><Relationship Id="rId2494" Type="http://schemas.openxmlformats.org/officeDocument/2006/relationships/hyperlink" Target="https://i.ibb.co/DznB5q4/Itau.png" TargetMode="External"/><Relationship Id="rId2495" Type="http://schemas.openxmlformats.org/officeDocument/2006/relationships/hyperlink" Target="https://i.ibb.co/DznB5q4/Itau.png" TargetMode="External"/><Relationship Id="rId2496" Type="http://schemas.openxmlformats.org/officeDocument/2006/relationships/hyperlink" Target="https://i.ibb.co/DznB5q4/Itau.png" TargetMode="External"/><Relationship Id="rId2497" Type="http://schemas.openxmlformats.org/officeDocument/2006/relationships/hyperlink" Target="https://i.ibb.co/DznB5q4/Itau.png" TargetMode="External"/><Relationship Id="rId2498" Type="http://schemas.openxmlformats.org/officeDocument/2006/relationships/hyperlink" Target="https://i.ibb.co/DznB5q4/Itau.png" TargetMode="External"/><Relationship Id="rId2499" Type="http://schemas.openxmlformats.org/officeDocument/2006/relationships/hyperlink" Target="https://i.ibb.co/DznB5q4/Itau.png" TargetMode="External"/><Relationship Id="rId2500" Type="http://schemas.openxmlformats.org/officeDocument/2006/relationships/hyperlink" Target="https://i.ibb.co/DznB5q4/Itau.png" TargetMode="External"/><Relationship Id="rId2501" Type="http://schemas.openxmlformats.org/officeDocument/2006/relationships/hyperlink" Target="https://i.ibb.co/DznB5q4/Itau.png" TargetMode="External"/><Relationship Id="rId2502" Type="http://schemas.openxmlformats.org/officeDocument/2006/relationships/hyperlink" Target="https://i.ibb.co/DznB5q4/Itau.png" TargetMode="External"/><Relationship Id="rId2503" Type="http://schemas.openxmlformats.org/officeDocument/2006/relationships/hyperlink" Target="https://i.ibb.co/DznB5q4/Itau.png" TargetMode="External"/><Relationship Id="rId2504" Type="http://schemas.openxmlformats.org/officeDocument/2006/relationships/hyperlink" Target="https://i.ibb.co/DznB5q4/Itau.png" TargetMode="External"/><Relationship Id="rId2505" Type="http://schemas.openxmlformats.org/officeDocument/2006/relationships/hyperlink" Target="https://i.ibb.co/DznB5q4/Itau.png" TargetMode="External"/><Relationship Id="rId2506" Type="http://schemas.openxmlformats.org/officeDocument/2006/relationships/hyperlink" Target="https://i.ibb.co/DznB5q4/Itau.png" TargetMode="External"/><Relationship Id="rId2507" Type="http://schemas.openxmlformats.org/officeDocument/2006/relationships/hyperlink" Target="https://i.ibb.co/DznB5q4/Itau.png" TargetMode="External"/><Relationship Id="rId2508" Type="http://schemas.openxmlformats.org/officeDocument/2006/relationships/hyperlink" Target="https://i.ibb.co/DznB5q4/Itau.png" TargetMode="External"/><Relationship Id="rId2509" Type="http://schemas.openxmlformats.org/officeDocument/2006/relationships/hyperlink" Target="https://i.ibb.co/DznB5q4/Itau.png" TargetMode="External"/><Relationship Id="rId2510" Type="http://schemas.openxmlformats.org/officeDocument/2006/relationships/hyperlink" Target="https://i.ibb.co/DznB5q4/Itau.png" TargetMode="External"/><Relationship Id="rId2511" Type="http://schemas.openxmlformats.org/officeDocument/2006/relationships/hyperlink" Target="https://i.ibb.co/DznB5q4/Itau.png" TargetMode="External"/><Relationship Id="rId2512" Type="http://schemas.openxmlformats.org/officeDocument/2006/relationships/hyperlink" Target="https://i.ibb.co/DznB5q4/Itau.png" TargetMode="External"/><Relationship Id="rId2513" Type="http://schemas.openxmlformats.org/officeDocument/2006/relationships/hyperlink" Target="https://i.ibb.co/DznB5q4/Itau.png" TargetMode="External"/><Relationship Id="rId2514" Type="http://schemas.openxmlformats.org/officeDocument/2006/relationships/hyperlink" Target="https://i.ibb.co/DznB5q4/Itau.png" TargetMode="External"/><Relationship Id="rId2515" Type="http://schemas.openxmlformats.org/officeDocument/2006/relationships/hyperlink" Target="https://i.ibb.co/DznB5q4/Itau.png" TargetMode="External"/><Relationship Id="rId2516" Type="http://schemas.openxmlformats.org/officeDocument/2006/relationships/hyperlink" Target="https://i.ibb.co/DznB5q4/Itau.png" TargetMode="External"/><Relationship Id="rId2517" Type="http://schemas.openxmlformats.org/officeDocument/2006/relationships/hyperlink" Target="https://i.ibb.co/DznB5q4/Itau.png" TargetMode="External"/><Relationship Id="rId2518" Type="http://schemas.openxmlformats.org/officeDocument/2006/relationships/hyperlink" Target="https://i.ibb.co/DznB5q4/Itau.png" TargetMode="External"/><Relationship Id="rId2519" Type="http://schemas.openxmlformats.org/officeDocument/2006/relationships/hyperlink" Target="https://i.ibb.co/DznB5q4/Itau.png" TargetMode="External"/><Relationship Id="rId2520" Type="http://schemas.openxmlformats.org/officeDocument/2006/relationships/hyperlink" Target="https://i.ibb.co/DznB5q4/Itau.png" TargetMode="External"/><Relationship Id="rId2521" Type="http://schemas.openxmlformats.org/officeDocument/2006/relationships/hyperlink" Target="https://i.ibb.co/DznB5q4/Itau.png" TargetMode="External"/><Relationship Id="rId2522" Type="http://schemas.openxmlformats.org/officeDocument/2006/relationships/hyperlink" Target="https://i.ibb.co/DznB5q4/Itau.png" TargetMode="External"/><Relationship Id="rId2523" Type="http://schemas.openxmlformats.org/officeDocument/2006/relationships/hyperlink" Target="https://i.ibb.co/DznB5q4/Itau.png" TargetMode="External"/><Relationship Id="rId2524" Type="http://schemas.openxmlformats.org/officeDocument/2006/relationships/hyperlink" Target="https://i.ibb.co/DznB5q4/Itau.png" TargetMode="External"/><Relationship Id="rId2525" Type="http://schemas.openxmlformats.org/officeDocument/2006/relationships/hyperlink" Target="https://i.ibb.co/DznB5q4/Itau.png" TargetMode="External"/><Relationship Id="rId2526" Type="http://schemas.openxmlformats.org/officeDocument/2006/relationships/hyperlink" Target="https://i.ibb.co/DznB5q4/Itau.png" TargetMode="External"/><Relationship Id="rId2527" Type="http://schemas.openxmlformats.org/officeDocument/2006/relationships/hyperlink" Target="https://i.ibb.co/DznB5q4/Itau.png" TargetMode="External"/><Relationship Id="rId2528" Type="http://schemas.openxmlformats.org/officeDocument/2006/relationships/hyperlink" Target="https://i.ibb.co/DznB5q4/Itau.png" TargetMode="External"/><Relationship Id="rId2529" Type="http://schemas.openxmlformats.org/officeDocument/2006/relationships/hyperlink" Target="https://i.ibb.co/DznB5q4/Itau.png" TargetMode="External"/><Relationship Id="rId2530" Type="http://schemas.openxmlformats.org/officeDocument/2006/relationships/hyperlink" Target="https://i.ibb.co/DznB5q4/Itau.png" TargetMode="External"/><Relationship Id="rId2531" Type="http://schemas.openxmlformats.org/officeDocument/2006/relationships/hyperlink" Target="https://i.ibb.co/DznB5q4/Itau.png" TargetMode="External"/><Relationship Id="rId2532" Type="http://schemas.openxmlformats.org/officeDocument/2006/relationships/hyperlink" Target="https://i.ibb.co/DznB5q4/Itau.png" TargetMode="External"/><Relationship Id="rId2533" Type="http://schemas.openxmlformats.org/officeDocument/2006/relationships/hyperlink" Target="https://i.ibb.co/DznB5q4/Itau.png" TargetMode="External"/><Relationship Id="rId2534" Type="http://schemas.openxmlformats.org/officeDocument/2006/relationships/hyperlink" Target="https://i.ibb.co/DznB5q4/Itau.png" TargetMode="External"/><Relationship Id="rId2535" Type="http://schemas.openxmlformats.org/officeDocument/2006/relationships/hyperlink" Target="https://i.ibb.co/DznB5q4/Itau.png" TargetMode="External"/><Relationship Id="rId2536" Type="http://schemas.openxmlformats.org/officeDocument/2006/relationships/hyperlink" Target="https://i.ibb.co/DznB5q4/Itau.png" TargetMode="External"/><Relationship Id="rId2537" Type="http://schemas.openxmlformats.org/officeDocument/2006/relationships/hyperlink" Target="https://i.ibb.co/DznB5q4/Itau.png" TargetMode="External"/><Relationship Id="rId2538" Type="http://schemas.openxmlformats.org/officeDocument/2006/relationships/hyperlink" Target="https://i.ibb.co/DznB5q4/Itau.png" TargetMode="External"/><Relationship Id="rId2539" Type="http://schemas.openxmlformats.org/officeDocument/2006/relationships/hyperlink" Target="https://i.ibb.co/DznB5q4/Itau.png" TargetMode="External"/><Relationship Id="rId2540" Type="http://schemas.openxmlformats.org/officeDocument/2006/relationships/hyperlink" Target="https://i.ibb.co/DznB5q4/Itau.png" TargetMode="External"/><Relationship Id="rId2541" Type="http://schemas.openxmlformats.org/officeDocument/2006/relationships/hyperlink" Target="https://i.ibb.co/DznB5q4/Itau.png" TargetMode="External"/><Relationship Id="rId2542" Type="http://schemas.openxmlformats.org/officeDocument/2006/relationships/hyperlink" Target="https://i.ibb.co/DznB5q4/Itau.png" TargetMode="External"/><Relationship Id="rId2543" Type="http://schemas.openxmlformats.org/officeDocument/2006/relationships/hyperlink" Target="https://i.ibb.co/DznB5q4/Itau.png" TargetMode="External"/><Relationship Id="rId2544" Type="http://schemas.openxmlformats.org/officeDocument/2006/relationships/hyperlink" Target="https://i.ibb.co/DznB5q4/Itau.png" TargetMode="External"/><Relationship Id="rId2545" Type="http://schemas.openxmlformats.org/officeDocument/2006/relationships/hyperlink" Target="https://i.ibb.co/DznB5q4/Itau.png" TargetMode="External"/><Relationship Id="rId2546" Type="http://schemas.openxmlformats.org/officeDocument/2006/relationships/hyperlink" Target="https://i.ibb.co/DznB5q4/Itau.png" TargetMode="External"/><Relationship Id="rId2547" Type="http://schemas.openxmlformats.org/officeDocument/2006/relationships/hyperlink" Target="https://i.ibb.co/DznB5q4/Itau.png" TargetMode="External"/><Relationship Id="rId2548" Type="http://schemas.openxmlformats.org/officeDocument/2006/relationships/hyperlink" Target="https://i.ibb.co/DznB5q4/Itau.png" TargetMode="External"/><Relationship Id="rId2549" Type="http://schemas.openxmlformats.org/officeDocument/2006/relationships/hyperlink" Target="https://i.ibb.co/DznB5q4/Itau.png" TargetMode="External"/><Relationship Id="rId2550" Type="http://schemas.openxmlformats.org/officeDocument/2006/relationships/hyperlink" Target="https://i.ibb.co/DznB5q4/Itau.png" TargetMode="External"/><Relationship Id="rId2551" Type="http://schemas.openxmlformats.org/officeDocument/2006/relationships/hyperlink" Target="https://i.ibb.co/DznB5q4/Itau.png" TargetMode="External"/><Relationship Id="rId2552" Type="http://schemas.openxmlformats.org/officeDocument/2006/relationships/hyperlink" Target="https://i.ibb.co/DznB5q4/Itau.png" TargetMode="External"/><Relationship Id="rId2553" Type="http://schemas.openxmlformats.org/officeDocument/2006/relationships/hyperlink" Target="https://i.ibb.co/DznB5q4/Itau.png" TargetMode="External"/><Relationship Id="rId2554" Type="http://schemas.openxmlformats.org/officeDocument/2006/relationships/hyperlink" Target="https://i.ibb.co/DznB5q4/Itau.png" TargetMode="External"/><Relationship Id="rId2555" Type="http://schemas.openxmlformats.org/officeDocument/2006/relationships/hyperlink" Target="https://i.ibb.co/DznB5q4/Itau.png" TargetMode="External"/><Relationship Id="rId2556" Type="http://schemas.openxmlformats.org/officeDocument/2006/relationships/hyperlink" Target="https://i.ibb.co/DznB5q4/Itau.png" TargetMode="External"/><Relationship Id="rId2557" Type="http://schemas.openxmlformats.org/officeDocument/2006/relationships/hyperlink" Target="https://i.ibb.co/DznB5q4/Itau.png" TargetMode="External"/><Relationship Id="rId2558" Type="http://schemas.openxmlformats.org/officeDocument/2006/relationships/hyperlink" Target="https://i.ibb.co/DznB5q4/Itau.png" TargetMode="External"/><Relationship Id="rId2559" Type="http://schemas.openxmlformats.org/officeDocument/2006/relationships/hyperlink" Target="https://i.ibb.co/DznB5q4/Itau.png" TargetMode="External"/><Relationship Id="rId2560" Type="http://schemas.openxmlformats.org/officeDocument/2006/relationships/hyperlink" Target="https://i.ibb.co/DznB5q4/Itau.png" TargetMode="External"/><Relationship Id="rId2561" Type="http://schemas.openxmlformats.org/officeDocument/2006/relationships/hyperlink" Target="https://i.ibb.co/DznB5q4/Itau.png" TargetMode="External"/><Relationship Id="rId2562" Type="http://schemas.openxmlformats.org/officeDocument/2006/relationships/hyperlink" Target="https://i.ibb.co/DznB5q4/Itau.png" TargetMode="External"/><Relationship Id="rId2563" Type="http://schemas.openxmlformats.org/officeDocument/2006/relationships/hyperlink" Target="https://i.ibb.co/DznB5q4/Itau.png" TargetMode="External"/><Relationship Id="rId2564" Type="http://schemas.openxmlformats.org/officeDocument/2006/relationships/hyperlink" Target="https://i.ibb.co/DznB5q4/Itau.png" TargetMode="External"/><Relationship Id="rId2565" Type="http://schemas.openxmlformats.org/officeDocument/2006/relationships/hyperlink" Target="https://i.ibb.co/DznB5q4/Itau.png" TargetMode="External"/><Relationship Id="rId2566" Type="http://schemas.openxmlformats.org/officeDocument/2006/relationships/hyperlink" Target="https://i.ibb.co/DznB5q4/Itau.png" TargetMode="External"/><Relationship Id="rId2567" Type="http://schemas.openxmlformats.org/officeDocument/2006/relationships/hyperlink" Target="https://i.ibb.co/DznB5q4/Itau.png" TargetMode="External"/><Relationship Id="rId2568" Type="http://schemas.openxmlformats.org/officeDocument/2006/relationships/hyperlink" Target="https://i.ibb.co/DznB5q4/Itau.png" TargetMode="External"/><Relationship Id="rId2569" Type="http://schemas.openxmlformats.org/officeDocument/2006/relationships/hyperlink" Target="https://i.ibb.co/DznB5q4/Itau.png" TargetMode="External"/><Relationship Id="rId2570" Type="http://schemas.openxmlformats.org/officeDocument/2006/relationships/hyperlink" Target="https://i.ibb.co/DznB5q4/Itau.png" TargetMode="External"/><Relationship Id="rId2571" Type="http://schemas.openxmlformats.org/officeDocument/2006/relationships/hyperlink" Target="https://i.ibb.co/DznB5q4/Itau.png" TargetMode="External"/><Relationship Id="rId2572" Type="http://schemas.openxmlformats.org/officeDocument/2006/relationships/hyperlink" Target="https://i.ibb.co/DznB5q4/Itau.png" TargetMode="External"/><Relationship Id="rId2573" Type="http://schemas.openxmlformats.org/officeDocument/2006/relationships/hyperlink" Target="https://i.ibb.co/DznB5q4/Itau.png" TargetMode="External"/><Relationship Id="rId2574" Type="http://schemas.openxmlformats.org/officeDocument/2006/relationships/hyperlink" Target="https://i.ibb.co/DznB5q4/Itau.png" TargetMode="External"/><Relationship Id="rId2575" Type="http://schemas.openxmlformats.org/officeDocument/2006/relationships/hyperlink" Target="https://i.ibb.co/DznB5q4/Itau.png" TargetMode="External"/><Relationship Id="rId2576" Type="http://schemas.openxmlformats.org/officeDocument/2006/relationships/hyperlink" Target="https://i.ibb.co/DznB5q4/Itau.png" TargetMode="External"/><Relationship Id="rId2577" Type="http://schemas.openxmlformats.org/officeDocument/2006/relationships/hyperlink" Target="https://i.ibb.co/DznB5q4/Itau.png" TargetMode="External"/><Relationship Id="rId2578" Type="http://schemas.openxmlformats.org/officeDocument/2006/relationships/hyperlink" Target="https://i.ibb.co/DznB5q4/Itau.png" TargetMode="External"/><Relationship Id="rId2579" Type="http://schemas.openxmlformats.org/officeDocument/2006/relationships/hyperlink" Target="https://i.ibb.co/DznB5q4/Itau.png" TargetMode="External"/><Relationship Id="rId2580" Type="http://schemas.openxmlformats.org/officeDocument/2006/relationships/hyperlink" Target="https://i.ibb.co/DznB5q4/Itau.png" TargetMode="External"/><Relationship Id="rId2581" Type="http://schemas.openxmlformats.org/officeDocument/2006/relationships/hyperlink" Target="https://i.ibb.co/DznB5q4/Itau.png" TargetMode="External"/><Relationship Id="rId2582" Type="http://schemas.openxmlformats.org/officeDocument/2006/relationships/hyperlink" Target="https://i.ibb.co/DznB5q4/Itau.png" TargetMode="External"/><Relationship Id="rId2583" Type="http://schemas.openxmlformats.org/officeDocument/2006/relationships/hyperlink" Target="https://i.ibb.co/DznB5q4/Itau.png" TargetMode="External"/><Relationship Id="rId2584" Type="http://schemas.openxmlformats.org/officeDocument/2006/relationships/hyperlink" Target="https://i.ibb.co/DznB5q4/Itau.png" TargetMode="External"/><Relationship Id="rId2585" Type="http://schemas.openxmlformats.org/officeDocument/2006/relationships/hyperlink" Target="https://i.ibb.co/DznB5q4/Itau.png" TargetMode="External"/><Relationship Id="rId2586" Type="http://schemas.openxmlformats.org/officeDocument/2006/relationships/hyperlink" Target="https://i.ibb.co/DznB5q4/Itau.png" TargetMode="External"/><Relationship Id="rId2587" Type="http://schemas.openxmlformats.org/officeDocument/2006/relationships/hyperlink" Target="https://i.ibb.co/DznB5q4/Itau.png" TargetMode="External"/><Relationship Id="rId2588" Type="http://schemas.openxmlformats.org/officeDocument/2006/relationships/hyperlink" Target="https://i.ibb.co/DznB5q4/Itau.png" TargetMode="External"/><Relationship Id="rId2589" Type="http://schemas.openxmlformats.org/officeDocument/2006/relationships/hyperlink" Target="https://i.ibb.co/DznB5q4/Itau.png" TargetMode="External"/><Relationship Id="rId2590" Type="http://schemas.openxmlformats.org/officeDocument/2006/relationships/hyperlink" Target="https://i.ibb.co/DznB5q4/Itau.png" TargetMode="External"/><Relationship Id="rId2591" Type="http://schemas.openxmlformats.org/officeDocument/2006/relationships/hyperlink" Target="https://i.ibb.co/DznB5q4/Itau.png" TargetMode="External"/><Relationship Id="rId2592" Type="http://schemas.openxmlformats.org/officeDocument/2006/relationships/hyperlink" Target="https://i.ibb.co/DznB5q4/Itau.png" TargetMode="External"/><Relationship Id="rId2593" Type="http://schemas.openxmlformats.org/officeDocument/2006/relationships/hyperlink" Target="https://i.ibb.co/DznB5q4/Itau.png" TargetMode="External"/><Relationship Id="rId2594" Type="http://schemas.openxmlformats.org/officeDocument/2006/relationships/hyperlink" Target="https://i.ibb.co/DznB5q4/Itau.png" TargetMode="External"/><Relationship Id="rId2595" Type="http://schemas.openxmlformats.org/officeDocument/2006/relationships/hyperlink" Target="https://i.ibb.co/DznB5q4/Itau.png" TargetMode="External"/><Relationship Id="rId2596" Type="http://schemas.openxmlformats.org/officeDocument/2006/relationships/hyperlink" Target="https://i.ibb.co/DznB5q4/Itau.png" TargetMode="External"/><Relationship Id="rId2597" Type="http://schemas.openxmlformats.org/officeDocument/2006/relationships/hyperlink" Target="https://i.ibb.co/DznB5q4/Itau.png" TargetMode="External"/><Relationship Id="rId2598" Type="http://schemas.openxmlformats.org/officeDocument/2006/relationships/hyperlink" Target="https://i.ibb.co/DznB5q4/Itau.png" TargetMode="External"/><Relationship Id="rId2599" Type="http://schemas.openxmlformats.org/officeDocument/2006/relationships/hyperlink" Target="https://i.ibb.co/DznB5q4/Itau.png" TargetMode="External"/><Relationship Id="rId2600" Type="http://schemas.openxmlformats.org/officeDocument/2006/relationships/hyperlink" Target="https://i.ibb.co/DznB5q4/Itau.png" TargetMode="External"/><Relationship Id="rId2601" Type="http://schemas.openxmlformats.org/officeDocument/2006/relationships/hyperlink" Target="https://i.ibb.co/DznB5q4/Itau.png" TargetMode="External"/><Relationship Id="rId2602" Type="http://schemas.openxmlformats.org/officeDocument/2006/relationships/hyperlink" Target="https://i.ibb.co/DznB5q4/Itau.png" TargetMode="External"/><Relationship Id="rId2603" Type="http://schemas.openxmlformats.org/officeDocument/2006/relationships/hyperlink" Target="https://i.ibb.co/DznB5q4/Itau.png" TargetMode="External"/><Relationship Id="rId2604" Type="http://schemas.openxmlformats.org/officeDocument/2006/relationships/hyperlink" Target="https://i.ibb.co/DznB5q4/Itau.png" TargetMode="External"/><Relationship Id="rId2605" Type="http://schemas.openxmlformats.org/officeDocument/2006/relationships/hyperlink" Target="https://i.ibb.co/DznB5q4/Itau.png" TargetMode="External"/><Relationship Id="rId2606" Type="http://schemas.openxmlformats.org/officeDocument/2006/relationships/hyperlink" Target="https://i.ibb.co/DznB5q4/Itau.png" TargetMode="External"/><Relationship Id="rId2607" Type="http://schemas.openxmlformats.org/officeDocument/2006/relationships/hyperlink" Target="https://i.ibb.co/DznB5q4/Itau.png" TargetMode="External"/><Relationship Id="rId2608" Type="http://schemas.openxmlformats.org/officeDocument/2006/relationships/hyperlink" Target="https://i.ibb.co/DznB5q4/Itau.png" TargetMode="External"/><Relationship Id="rId2609" Type="http://schemas.openxmlformats.org/officeDocument/2006/relationships/hyperlink" Target="https://i.ibb.co/DznB5q4/Itau.png" TargetMode="External"/><Relationship Id="rId2610" Type="http://schemas.openxmlformats.org/officeDocument/2006/relationships/hyperlink" Target="https://i.ibb.co/DznB5q4/Itau.png" TargetMode="External"/><Relationship Id="rId2611" Type="http://schemas.openxmlformats.org/officeDocument/2006/relationships/hyperlink" Target="https://i.ibb.co/DznB5q4/Itau.png" TargetMode="External"/><Relationship Id="rId2612" Type="http://schemas.openxmlformats.org/officeDocument/2006/relationships/hyperlink" Target="https://i.ibb.co/DznB5q4/Itau.png" TargetMode="External"/><Relationship Id="rId2613" Type="http://schemas.openxmlformats.org/officeDocument/2006/relationships/hyperlink" Target="https://i.ibb.co/DznB5q4/Itau.png" TargetMode="External"/><Relationship Id="rId2614" Type="http://schemas.openxmlformats.org/officeDocument/2006/relationships/hyperlink" Target="https://i.ibb.co/DznB5q4/Itau.png" TargetMode="External"/><Relationship Id="rId2615" Type="http://schemas.openxmlformats.org/officeDocument/2006/relationships/hyperlink" Target="https://i.ibb.co/DznB5q4/Itau.png" TargetMode="External"/><Relationship Id="rId2616" Type="http://schemas.openxmlformats.org/officeDocument/2006/relationships/hyperlink" Target="https://i.ibb.co/DznB5q4/Itau.png" TargetMode="External"/><Relationship Id="rId2617" Type="http://schemas.openxmlformats.org/officeDocument/2006/relationships/hyperlink" Target="https://i.ibb.co/DznB5q4/Itau.png" TargetMode="External"/><Relationship Id="rId2618" Type="http://schemas.openxmlformats.org/officeDocument/2006/relationships/hyperlink" Target="https://i.ibb.co/DznB5q4/Itau.png" TargetMode="External"/><Relationship Id="rId2619" Type="http://schemas.openxmlformats.org/officeDocument/2006/relationships/hyperlink" Target="https://i.ibb.co/DznB5q4/Itau.png" TargetMode="External"/><Relationship Id="rId2620" Type="http://schemas.openxmlformats.org/officeDocument/2006/relationships/hyperlink" Target="https://i.ibb.co/DznB5q4/Itau.png" TargetMode="External"/><Relationship Id="rId2621" Type="http://schemas.openxmlformats.org/officeDocument/2006/relationships/hyperlink" Target="https://i.ibb.co/DznB5q4/Itau.png" TargetMode="External"/><Relationship Id="rId2622" Type="http://schemas.openxmlformats.org/officeDocument/2006/relationships/hyperlink" Target="https://i.ibb.co/DznB5q4/Itau.png" TargetMode="External"/><Relationship Id="rId2623" Type="http://schemas.openxmlformats.org/officeDocument/2006/relationships/hyperlink" Target="https://i.ibb.co/DznB5q4/Itau.png" TargetMode="External"/><Relationship Id="rId2624" Type="http://schemas.openxmlformats.org/officeDocument/2006/relationships/hyperlink" Target="https://i.ibb.co/DznB5q4/Itau.png" TargetMode="External"/><Relationship Id="rId2625" Type="http://schemas.openxmlformats.org/officeDocument/2006/relationships/hyperlink" Target="https://i.ibb.co/DznB5q4/Itau.png" TargetMode="External"/><Relationship Id="rId2626" Type="http://schemas.openxmlformats.org/officeDocument/2006/relationships/hyperlink" Target="https://i.ibb.co/DznB5q4/Itau.png" TargetMode="External"/><Relationship Id="rId2627" Type="http://schemas.openxmlformats.org/officeDocument/2006/relationships/hyperlink" Target="https://i.ibb.co/DznB5q4/Itau.png" TargetMode="External"/><Relationship Id="rId2628" Type="http://schemas.openxmlformats.org/officeDocument/2006/relationships/hyperlink" Target="https://i.ibb.co/DznB5q4/Itau.png" TargetMode="External"/><Relationship Id="rId2629" Type="http://schemas.openxmlformats.org/officeDocument/2006/relationships/hyperlink" Target="https://i.ibb.co/DznB5q4/Itau.png" TargetMode="External"/><Relationship Id="rId2630" Type="http://schemas.openxmlformats.org/officeDocument/2006/relationships/hyperlink" Target="https://i.ibb.co/DznB5q4/Itau.png" TargetMode="External"/><Relationship Id="rId2631" Type="http://schemas.openxmlformats.org/officeDocument/2006/relationships/hyperlink" Target="https://i.ibb.co/DznB5q4/Itau.png" TargetMode="External"/><Relationship Id="rId2632" Type="http://schemas.openxmlformats.org/officeDocument/2006/relationships/hyperlink" Target="https://i.ibb.co/DznB5q4/Itau.png" TargetMode="External"/><Relationship Id="rId2633" Type="http://schemas.openxmlformats.org/officeDocument/2006/relationships/hyperlink" Target="https://i.ibb.co/DznB5q4/Itau.png" TargetMode="External"/><Relationship Id="rId2634" Type="http://schemas.openxmlformats.org/officeDocument/2006/relationships/hyperlink" Target="https://i.ibb.co/DznB5q4/Itau.png" TargetMode="External"/><Relationship Id="rId2635" Type="http://schemas.openxmlformats.org/officeDocument/2006/relationships/hyperlink" Target="https://i.ibb.co/DznB5q4/Itau.png" TargetMode="External"/><Relationship Id="rId2636" Type="http://schemas.openxmlformats.org/officeDocument/2006/relationships/hyperlink" Target="https://i.ibb.co/DznB5q4/Itau.png" TargetMode="External"/><Relationship Id="rId2637" Type="http://schemas.openxmlformats.org/officeDocument/2006/relationships/hyperlink" Target="https://i.ibb.co/DznB5q4/Itau.png" TargetMode="External"/><Relationship Id="rId2638" Type="http://schemas.openxmlformats.org/officeDocument/2006/relationships/hyperlink" Target="https://i.ibb.co/DznB5q4/Itau.png" TargetMode="External"/><Relationship Id="rId2639" Type="http://schemas.openxmlformats.org/officeDocument/2006/relationships/hyperlink" Target="https://i.ibb.co/DznB5q4/Itau.png" TargetMode="External"/><Relationship Id="rId2640" Type="http://schemas.openxmlformats.org/officeDocument/2006/relationships/hyperlink" Target="https://i.ibb.co/DznB5q4/Itau.png" TargetMode="External"/><Relationship Id="rId2641" Type="http://schemas.openxmlformats.org/officeDocument/2006/relationships/hyperlink" Target="https://i.ibb.co/DznB5q4/Itau.png" TargetMode="External"/><Relationship Id="rId2642" Type="http://schemas.openxmlformats.org/officeDocument/2006/relationships/hyperlink" Target="https://i.ibb.co/DznB5q4/Itau.png" TargetMode="External"/><Relationship Id="rId2643" Type="http://schemas.openxmlformats.org/officeDocument/2006/relationships/hyperlink" Target="https://i.ibb.co/DznB5q4/Itau.png" TargetMode="External"/><Relationship Id="rId2644" Type="http://schemas.openxmlformats.org/officeDocument/2006/relationships/hyperlink" Target="https://i.ibb.co/DznB5q4/Itau.png" TargetMode="External"/><Relationship Id="rId2645" Type="http://schemas.openxmlformats.org/officeDocument/2006/relationships/hyperlink" Target="https://i.ibb.co/DznB5q4/Itau.png" TargetMode="External"/><Relationship Id="rId2646" Type="http://schemas.openxmlformats.org/officeDocument/2006/relationships/hyperlink" Target="https://i.ibb.co/DznB5q4/Itau.png" TargetMode="External"/><Relationship Id="rId2647" Type="http://schemas.openxmlformats.org/officeDocument/2006/relationships/hyperlink" Target="https://i.ibb.co/DznB5q4/Itau.png" TargetMode="External"/><Relationship Id="rId2648" Type="http://schemas.openxmlformats.org/officeDocument/2006/relationships/hyperlink" Target="https://i.ibb.co/DznB5q4/Itau.png" TargetMode="External"/><Relationship Id="rId2649" Type="http://schemas.openxmlformats.org/officeDocument/2006/relationships/hyperlink" Target="https://i.ibb.co/DznB5q4/Itau.png" TargetMode="External"/><Relationship Id="rId2650" Type="http://schemas.openxmlformats.org/officeDocument/2006/relationships/hyperlink" Target="https://i.ibb.co/DznB5q4/Itau.png" TargetMode="External"/><Relationship Id="rId2651" Type="http://schemas.openxmlformats.org/officeDocument/2006/relationships/hyperlink" Target="https://i.ibb.co/DznB5q4/Itau.png" TargetMode="External"/><Relationship Id="rId2652" Type="http://schemas.openxmlformats.org/officeDocument/2006/relationships/hyperlink" Target="https://i.ibb.co/DznB5q4/Itau.png" TargetMode="External"/><Relationship Id="rId2653" Type="http://schemas.openxmlformats.org/officeDocument/2006/relationships/hyperlink" Target="https://i.ibb.co/DznB5q4/Itau.png" TargetMode="External"/><Relationship Id="rId2654" Type="http://schemas.openxmlformats.org/officeDocument/2006/relationships/hyperlink" Target="https://i.ibb.co/DznB5q4/Itau.png" TargetMode="External"/><Relationship Id="rId2655" Type="http://schemas.openxmlformats.org/officeDocument/2006/relationships/hyperlink" Target="https://i.ibb.co/DznB5q4/Itau.png" TargetMode="External"/><Relationship Id="rId2656" Type="http://schemas.openxmlformats.org/officeDocument/2006/relationships/hyperlink" Target="https://i.ibb.co/DznB5q4/Itau.png" TargetMode="External"/><Relationship Id="rId2657" Type="http://schemas.openxmlformats.org/officeDocument/2006/relationships/hyperlink" Target="https://i.ibb.co/DznB5q4/Itau.png" TargetMode="External"/><Relationship Id="rId2658" Type="http://schemas.openxmlformats.org/officeDocument/2006/relationships/hyperlink" Target="https://i.ibb.co/DznB5q4/Itau.png" TargetMode="External"/><Relationship Id="rId2659" Type="http://schemas.openxmlformats.org/officeDocument/2006/relationships/hyperlink" Target="https://i.ibb.co/DznB5q4/Itau.png" TargetMode="External"/><Relationship Id="rId2660" Type="http://schemas.openxmlformats.org/officeDocument/2006/relationships/hyperlink" Target="https://i.ibb.co/DznB5q4/Itau.png" TargetMode="External"/><Relationship Id="rId2661" Type="http://schemas.openxmlformats.org/officeDocument/2006/relationships/hyperlink" Target="https://i.ibb.co/DznB5q4/Itau.png" TargetMode="External"/><Relationship Id="rId2662" Type="http://schemas.openxmlformats.org/officeDocument/2006/relationships/hyperlink" Target="https://i.ibb.co/DznB5q4/Itau.png" TargetMode="External"/><Relationship Id="rId2663" Type="http://schemas.openxmlformats.org/officeDocument/2006/relationships/hyperlink" Target="https://i.ibb.co/DznB5q4/Itau.png" TargetMode="External"/><Relationship Id="rId2664" Type="http://schemas.openxmlformats.org/officeDocument/2006/relationships/hyperlink" Target="https://i.ibb.co/DznB5q4/Itau.png" TargetMode="External"/><Relationship Id="rId2665" Type="http://schemas.openxmlformats.org/officeDocument/2006/relationships/hyperlink" Target="https://i.ibb.co/DznB5q4/Itau.png" TargetMode="External"/><Relationship Id="rId2666" Type="http://schemas.openxmlformats.org/officeDocument/2006/relationships/hyperlink" Target="https://i.ibb.co/DznB5q4/Itau.png" TargetMode="External"/><Relationship Id="rId2667" Type="http://schemas.openxmlformats.org/officeDocument/2006/relationships/hyperlink" Target="https://i.ibb.co/DznB5q4/Itau.png" TargetMode="External"/><Relationship Id="rId2668" Type="http://schemas.openxmlformats.org/officeDocument/2006/relationships/hyperlink" Target="https://i.ibb.co/DznB5q4/Itau.png" TargetMode="External"/><Relationship Id="rId2669" Type="http://schemas.openxmlformats.org/officeDocument/2006/relationships/hyperlink" Target="https://i.ibb.co/DznB5q4/Itau.png" TargetMode="External"/><Relationship Id="rId2670" Type="http://schemas.openxmlformats.org/officeDocument/2006/relationships/hyperlink" Target="https://i.ibb.co/DznB5q4/Itau.png" TargetMode="External"/><Relationship Id="rId2671" Type="http://schemas.openxmlformats.org/officeDocument/2006/relationships/hyperlink" Target="https://i.ibb.co/DznB5q4/Itau.png" TargetMode="External"/><Relationship Id="rId2672" Type="http://schemas.openxmlformats.org/officeDocument/2006/relationships/hyperlink" Target="https://i.ibb.co/DznB5q4/Itau.png" TargetMode="External"/><Relationship Id="rId2673" Type="http://schemas.openxmlformats.org/officeDocument/2006/relationships/hyperlink" Target="https://i.ibb.co/DznB5q4/Itau.png" TargetMode="External"/><Relationship Id="rId2674" Type="http://schemas.openxmlformats.org/officeDocument/2006/relationships/hyperlink" Target="https://i.ibb.co/DznB5q4/Itau.png" TargetMode="External"/><Relationship Id="rId2675" Type="http://schemas.openxmlformats.org/officeDocument/2006/relationships/hyperlink" Target="https://i.ibb.co/DznB5q4/Itau.png" TargetMode="External"/><Relationship Id="rId2676" Type="http://schemas.openxmlformats.org/officeDocument/2006/relationships/hyperlink" Target="https://i.ibb.co/DznB5q4/Itau.png" TargetMode="External"/><Relationship Id="rId2677" Type="http://schemas.openxmlformats.org/officeDocument/2006/relationships/hyperlink" Target="https://i.ibb.co/DznB5q4/Itau.png" TargetMode="External"/><Relationship Id="rId2678" Type="http://schemas.openxmlformats.org/officeDocument/2006/relationships/hyperlink" Target="https://i.ibb.co/DznB5q4/Itau.png" TargetMode="External"/><Relationship Id="rId2679" Type="http://schemas.openxmlformats.org/officeDocument/2006/relationships/hyperlink" Target="https://i.ibb.co/DznB5q4/Itau.png" TargetMode="External"/><Relationship Id="rId2680" Type="http://schemas.openxmlformats.org/officeDocument/2006/relationships/hyperlink" Target="https://i.ibb.co/DznB5q4/Itau.png" TargetMode="External"/><Relationship Id="rId2681" Type="http://schemas.openxmlformats.org/officeDocument/2006/relationships/hyperlink" Target="https://i.ibb.co/DznB5q4/Itau.png" TargetMode="External"/><Relationship Id="rId2682" Type="http://schemas.openxmlformats.org/officeDocument/2006/relationships/hyperlink" Target="https://i.ibb.co/DznB5q4/Itau.png" TargetMode="External"/><Relationship Id="rId2683" Type="http://schemas.openxmlformats.org/officeDocument/2006/relationships/hyperlink" Target="https://i.ibb.co/DznB5q4/Itau.png" TargetMode="External"/><Relationship Id="rId2684" Type="http://schemas.openxmlformats.org/officeDocument/2006/relationships/hyperlink" Target="https://i.ibb.co/DznB5q4/Itau.png" TargetMode="External"/><Relationship Id="rId2685" Type="http://schemas.openxmlformats.org/officeDocument/2006/relationships/hyperlink" Target="https://i.ibb.co/DznB5q4/Itau.png" TargetMode="External"/><Relationship Id="rId2686" Type="http://schemas.openxmlformats.org/officeDocument/2006/relationships/hyperlink" Target="https://i.ibb.co/DznB5q4/Itau.png" TargetMode="External"/><Relationship Id="rId2687" Type="http://schemas.openxmlformats.org/officeDocument/2006/relationships/hyperlink" Target="https://i.ibb.co/DznB5q4/Itau.png" TargetMode="External"/><Relationship Id="rId2688" Type="http://schemas.openxmlformats.org/officeDocument/2006/relationships/hyperlink" Target="https://i.ibb.co/DznB5q4/Itau.png" TargetMode="External"/><Relationship Id="rId2689" Type="http://schemas.openxmlformats.org/officeDocument/2006/relationships/hyperlink" Target="https://i.ibb.co/DznB5q4/Itau.png" TargetMode="External"/><Relationship Id="rId2690" Type="http://schemas.openxmlformats.org/officeDocument/2006/relationships/hyperlink" Target="https://i.ibb.co/DznB5q4/Itau.png" TargetMode="External"/><Relationship Id="rId2691" Type="http://schemas.openxmlformats.org/officeDocument/2006/relationships/hyperlink" Target="https://i.ibb.co/DznB5q4/Itau.png" TargetMode="External"/><Relationship Id="rId2692" Type="http://schemas.openxmlformats.org/officeDocument/2006/relationships/hyperlink" Target="https://i.ibb.co/DznB5q4/Itau.png" TargetMode="External"/><Relationship Id="rId2693" Type="http://schemas.openxmlformats.org/officeDocument/2006/relationships/hyperlink" Target="https://i.ibb.co/DznB5q4/Itau.png" TargetMode="External"/><Relationship Id="rId2694" Type="http://schemas.openxmlformats.org/officeDocument/2006/relationships/hyperlink" Target="https://i.ibb.co/DznB5q4/Itau.png" TargetMode="External"/><Relationship Id="rId2695" Type="http://schemas.openxmlformats.org/officeDocument/2006/relationships/hyperlink" Target="https://i.ibb.co/DznB5q4/Itau.png" TargetMode="External"/><Relationship Id="rId2696" Type="http://schemas.openxmlformats.org/officeDocument/2006/relationships/hyperlink" Target="https://i.ibb.co/DznB5q4/Itau.png" TargetMode="External"/><Relationship Id="rId2697" Type="http://schemas.openxmlformats.org/officeDocument/2006/relationships/hyperlink" Target="https://i.ibb.co/DznB5q4/Itau.png" TargetMode="External"/><Relationship Id="rId2698" Type="http://schemas.openxmlformats.org/officeDocument/2006/relationships/hyperlink" Target="https://i.ibb.co/DznB5q4/Itau.png" TargetMode="External"/><Relationship Id="rId2699" Type="http://schemas.openxmlformats.org/officeDocument/2006/relationships/hyperlink" Target="https://i.ibb.co/DznB5q4/Itau.png" TargetMode="External"/><Relationship Id="rId2700" Type="http://schemas.openxmlformats.org/officeDocument/2006/relationships/hyperlink" Target="https://i.ibb.co/DznB5q4/Itau.png" TargetMode="External"/><Relationship Id="rId2701" Type="http://schemas.openxmlformats.org/officeDocument/2006/relationships/hyperlink" Target="https://i.ibb.co/DznB5q4/Itau.png" TargetMode="External"/><Relationship Id="rId2702" Type="http://schemas.openxmlformats.org/officeDocument/2006/relationships/hyperlink" Target="https://i.ibb.co/DznB5q4/Itau.png" TargetMode="External"/><Relationship Id="rId2703" Type="http://schemas.openxmlformats.org/officeDocument/2006/relationships/hyperlink" Target="https://i.ibb.co/DznB5q4/Itau.png" TargetMode="External"/><Relationship Id="rId2704" Type="http://schemas.openxmlformats.org/officeDocument/2006/relationships/hyperlink" Target="https://i.ibb.co/DznB5q4/Itau.png" TargetMode="External"/><Relationship Id="rId2705" Type="http://schemas.openxmlformats.org/officeDocument/2006/relationships/hyperlink" Target="https://i.ibb.co/DznB5q4/Itau.png" TargetMode="External"/><Relationship Id="rId2706" Type="http://schemas.openxmlformats.org/officeDocument/2006/relationships/hyperlink" Target="https://i.ibb.co/DznB5q4/Itau.png" TargetMode="External"/><Relationship Id="rId2707" Type="http://schemas.openxmlformats.org/officeDocument/2006/relationships/hyperlink" Target="https://i.ibb.co/DznB5q4/Itau.png" TargetMode="External"/><Relationship Id="rId2708" Type="http://schemas.openxmlformats.org/officeDocument/2006/relationships/hyperlink" Target="https://i.ibb.co/DznB5q4/Itau.png" TargetMode="External"/><Relationship Id="rId2709" Type="http://schemas.openxmlformats.org/officeDocument/2006/relationships/hyperlink" Target="https://i.ibb.co/DznB5q4/Itau.png" TargetMode="External"/><Relationship Id="rId2710" Type="http://schemas.openxmlformats.org/officeDocument/2006/relationships/hyperlink" Target="https://i.ibb.co/DznB5q4/Itau.png" TargetMode="External"/><Relationship Id="rId2711" Type="http://schemas.openxmlformats.org/officeDocument/2006/relationships/hyperlink" Target="https://i.ibb.co/DznB5q4/Itau.png" TargetMode="External"/><Relationship Id="rId2712" Type="http://schemas.openxmlformats.org/officeDocument/2006/relationships/hyperlink" Target="https://i.ibb.co/DznB5q4/Itau.png" TargetMode="External"/><Relationship Id="rId2713" Type="http://schemas.openxmlformats.org/officeDocument/2006/relationships/hyperlink" Target="https://i.ibb.co/DznB5q4/Itau.png" TargetMode="External"/><Relationship Id="rId2714" Type="http://schemas.openxmlformats.org/officeDocument/2006/relationships/hyperlink" Target="https://i.ibb.co/DznB5q4/Itau.png" TargetMode="External"/><Relationship Id="rId2715" Type="http://schemas.openxmlformats.org/officeDocument/2006/relationships/hyperlink" Target="https://i.ibb.co/DznB5q4/Itau.png" TargetMode="External"/><Relationship Id="rId2716" Type="http://schemas.openxmlformats.org/officeDocument/2006/relationships/hyperlink" Target="https://i.ibb.co/DznB5q4/Itau.png" TargetMode="External"/><Relationship Id="rId2717" Type="http://schemas.openxmlformats.org/officeDocument/2006/relationships/hyperlink" Target="https://i.ibb.co/DznB5q4/Itau.png" TargetMode="External"/><Relationship Id="rId2718" Type="http://schemas.openxmlformats.org/officeDocument/2006/relationships/hyperlink" Target="https://i.ibb.co/DznB5q4/Itau.png" TargetMode="External"/><Relationship Id="rId2719" Type="http://schemas.openxmlformats.org/officeDocument/2006/relationships/hyperlink" Target="https://i.ibb.co/DznB5q4/Itau.png" TargetMode="External"/><Relationship Id="rId2720" Type="http://schemas.openxmlformats.org/officeDocument/2006/relationships/hyperlink" Target="https://i.ibb.co/DznB5q4/Itau.png" TargetMode="External"/><Relationship Id="rId2721" Type="http://schemas.openxmlformats.org/officeDocument/2006/relationships/hyperlink" Target="https://i.ibb.co/DznB5q4/Itau.png" TargetMode="External"/><Relationship Id="rId2722" Type="http://schemas.openxmlformats.org/officeDocument/2006/relationships/hyperlink" Target="https://i.ibb.co/DznB5q4/Itau.png" TargetMode="External"/><Relationship Id="rId2723" Type="http://schemas.openxmlformats.org/officeDocument/2006/relationships/hyperlink" Target="https://i.ibb.co/DznB5q4/Itau.png" TargetMode="External"/><Relationship Id="rId2724" Type="http://schemas.openxmlformats.org/officeDocument/2006/relationships/hyperlink" Target="https://i.ibb.co/DznB5q4/Itau.png" TargetMode="External"/><Relationship Id="rId2725" Type="http://schemas.openxmlformats.org/officeDocument/2006/relationships/hyperlink" Target="https://i.ibb.co/DznB5q4/Itau.png" TargetMode="External"/><Relationship Id="rId2726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9.33"/>
    <col collapsed="false" customWidth="true" hidden="false" outlineLevel="0" max="3" min="2" style="2" width="21.54"/>
    <col collapsed="false" customWidth="true" hidden="false" outlineLevel="0" max="4" min="4" style="3" width="22.82"/>
    <col collapsed="false" customWidth="true" hidden="false" outlineLevel="0" max="5" min="5" style="4" width="24.73"/>
    <col collapsed="false" customWidth="true" hidden="false" outlineLevel="0" max="6" min="6" style="1" width="11.85"/>
    <col collapsed="false" customWidth="true" hidden="false" outlineLevel="0" max="7" min="7" style="1" width="9.47"/>
    <col collapsed="false" customWidth="true" hidden="false" outlineLevel="0" max="8" min="8" style="1" width="33.33"/>
    <col collapsed="false" customWidth="true" hidden="false" outlineLevel="0" max="9" min="9" style="1" width="16.52"/>
  </cols>
  <sheetData>
    <row r="1" customFormat="false" ht="14.25" hidden="false" customHeight="fals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customFormat="false" ht="14.25" hidden="false" customHeight="false" outlineLevel="0" collapsed="false">
      <c r="A2" s="8" t="n">
        <v>1</v>
      </c>
      <c r="B2" s="8" t="s">
        <v>9</v>
      </c>
      <c r="C2" s="8" t="s">
        <v>10</v>
      </c>
      <c r="D2" s="9" t="n">
        <v>43832</v>
      </c>
      <c r="E2" s="10" t="n">
        <v>675.87</v>
      </c>
      <c r="F2" s="8" t="s">
        <v>11</v>
      </c>
      <c r="G2" s="8" t="s">
        <v>12</v>
      </c>
      <c r="H2" s="11" t="s">
        <v>13</v>
      </c>
      <c r="I2" s="8" t="s">
        <v>14</v>
      </c>
    </row>
    <row r="3" customFormat="false" ht="14.25" hidden="false" customHeight="false" outlineLevel="0" collapsed="false">
      <c r="A3" s="8" t="n">
        <v>2</v>
      </c>
      <c r="B3" s="8" t="s">
        <v>15</v>
      </c>
      <c r="C3" s="8" t="s">
        <v>16</v>
      </c>
      <c r="D3" s="9" t="n">
        <v>43834</v>
      </c>
      <c r="E3" s="10" t="n">
        <v>1562555.94</v>
      </c>
      <c r="F3" s="8" t="s">
        <v>11</v>
      </c>
      <c r="G3" s="8" t="s">
        <v>17</v>
      </c>
      <c r="H3" s="11" t="s">
        <v>18</v>
      </c>
      <c r="I3" s="8" t="s">
        <v>19</v>
      </c>
    </row>
    <row r="4" customFormat="false" ht="14.25" hidden="false" customHeight="false" outlineLevel="0" collapsed="false">
      <c r="A4" s="8" t="n">
        <v>3</v>
      </c>
      <c r="B4" s="8" t="s">
        <v>20</v>
      </c>
      <c r="C4" s="8" t="s">
        <v>10</v>
      </c>
      <c r="D4" s="9" t="n">
        <v>43834</v>
      </c>
      <c r="E4" s="10" t="n">
        <v>4970.12</v>
      </c>
      <c r="F4" s="8" t="s">
        <v>11</v>
      </c>
      <c r="G4" s="8" t="s">
        <v>17</v>
      </c>
      <c r="H4" s="11" t="s">
        <v>18</v>
      </c>
      <c r="I4" s="8" t="s">
        <v>19</v>
      </c>
    </row>
    <row r="5" customFormat="false" ht="14.25" hidden="false" customHeight="false" outlineLevel="0" collapsed="false">
      <c r="A5" s="8" t="n">
        <v>4</v>
      </c>
      <c r="B5" s="8" t="s">
        <v>20</v>
      </c>
      <c r="C5" s="8" t="s">
        <v>10</v>
      </c>
      <c r="D5" s="9" t="n">
        <v>43834</v>
      </c>
      <c r="E5" s="10" t="n">
        <v>6716.79</v>
      </c>
      <c r="F5" s="8" t="s">
        <v>11</v>
      </c>
      <c r="G5" s="8" t="s">
        <v>17</v>
      </c>
      <c r="H5" s="11" t="s">
        <v>18</v>
      </c>
      <c r="I5" s="8" t="s">
        <v>14</v>
      </c>
    </row>
    <row r="6" customFormat="false" ht="14.25" hidden="false" customHeight="false" outlineLevel="0" collapsed="false">
      <c r="A6" s="8" t="n">
        <v>5</v>
      </c>
      <c r="B6" s="8" t="s">
        <v>20</v>
      </c>
      <c r="C6" s="8" t="s">
        <v>21</v>
      </c>
      <c r="D6" s="9" t="n">
        <v>43834</v>
      </c>
      <c r="E6" s="10" t="n">
        <v>7072.15</v>
      </c>
      <c r="F6" s="8" t="s">
        <v>11</v>
      </c>
      <c r="G6" s="8" t="s">
        <v>22</v>
      </c>
      <c r="H6" s="11" t="s">
        <v>23</v>
      </c>
      <c r="I6" s="8" t="s">
        <v>24</v>
      </c>
    </row>
    <row r="7" customFormat="false" ht="14.25" hidden="false" customHeight="false" outlineLevel="0" collapsed="false">
      <c r="A7" s="8" t="n">
        <v>6</v>
      </c>
      <c r="B7" s="8" t="s">
        <v>25</v>
      </c>
      <c r="C7" s="8" t="s">
        <v>10</v>
      </c>
      <c r="D7" s="9" t="n">
        <v>43835</v>
      </c>
      <c r="E7" s="10" t="n">
        <v>6259.85</v>
      </c>
      <c r="F7" s="8" t="s">
        <v>11</v>
      </c>
      <c r="G7" s="8" t="s">
        <v>12</v>
      </c>
      <c r="H7" s="11" t="s">
        <v>13</v>
      </c>
      <c r="I7" s="8" t="s">
        <v>26</v>
      </c>
    </row>
    <row r="8" customFormat="false" ht="14.25" hidden="false" customHeight="false" outlineLevel="0" collapsed="false">
      <c r="A8" s="8" t="n">
        <v>7</v>
      </c>
      <c r="B8" s="8" t="s">
        <v>15</v>
      </c>
      <c r="C8" s="8" t="s">
        <v>10</v>
      </c>
      <c r="D8" s="9" t="n">
        <v>43835</v>
      </c>
      <c r="E8" s="10" t="n">
        <v>6720.29</v>
      </c>
      <c r="F8" s="8" t="s">
        <v>11</v>
      </c>
      <c r="G8" s="8" t="s">
        <v>22</v>
      </c>
      <c r="H8" s="11" t="s">
        <v>23</v>
      </c>
      <c r="I8" s="8" t="s">
        <v>14</v>
      </c>
    </row>
    <row r="9" customFormat="false" ht="14.25" hidden="false" customHeight="false" outlineLevel="0" collapsed="false">
      <c r="A9" s="8" t="n">
        <v>8</v>
      </c>
      <c r="B9" s="8" t="s">
        <v>27</v>
      </c>
      <c r="C9" s="8" t="s">
        <v>28</v>
      </c>
      <c r="D9" s="9" t="n">
        <v>43835</v>
      </c>
      <c r="E9" s="10" t="n">
        <v>6510.7</v>
      </c>
      <c r="F9" s="8" t="s">
        <v>11</v>
      </c>
      <c r="G9" s="8" t="s">
        <v>22</v>
      </c>
      <c r="H9" s="11" t="s">
        <v>23</v>
      </c>
      <c r="I9" s="8" t="s">
        <v>24</v>
      </c>
    </row>
    <row r="10" customFormat="false" ht="14.25" hidden="false" customHeight="false" outlineLevel="0" collapsed="false">
      <c r="A10" s="8" t="n">
        <v>9</v>
      </c>
      <c r="B10" s="8" t="s">
        <v>27</v>
      </c>
      <c r="C10" s="8" t="s">
        <v>21</v>
      </c>
      <c r="D10" s="9" t="n">
        <v>43835</v>
      </c>
      <c r="E10" s="10" t="n">
        <v>5882.06</v>
      </c>
      <c r="F10" s="8" t="s">
        <v>11</v>
      </c>
      <c r="G10" s="8" t="s">
        <v>12</v>
      </c>
      <c r="H10" s="11" t="s">
        <v>13</v>
      </c>
      <c r="I10" s="8" t="s">
        <v>14</v>
      </c>
    </row>
    <row r="11" customFormat="false" ht="14.25" hidden="false" customHeight="false" outlineLevel="0" collapsed="false">
      <c r="A11" s="8" t="n">
        <v>10</v>
      </c>
      <c r="B11" s="8" t="s">
        <v>27</v>
      </c>
      <c r="C11" s="8" t="s">
        <v>28</v>
      </c>
      <c r="D11" s="9" t="n">
        <v>43835</v>
      </c>
      <c r="E11" s="10" t="n">
        <v>6712.31</v>
      </c>
      <c r="F11" s="8" t="s">
        <v>11</v>
      </c>
      <c r="G11" s="8" t="s">
        <v>12</v>
      </c>
      <c r="H11" s="11" t="s">
        <v>13</v>
      </c>
      <c r="I11" s="8" t="s">
        <v>24</v>
      </c>
    </row>
    <row r="12" customFormat="false" ht="14.25" hidden="false" customHeight="false" outlineLevel="0" collapsed="false">
      <c r="A12" s="8" t="n">
        <v>11</v>
      </c>
      <c r="B12" s="8" t="s">
        <v>27</v>
      </c>
      <c r="C12" s="8" t="s">
        <v>16</v>
      </c>
      <c r="D12" s="9" t="n">
        <v>43835</v>
      </c>
      <c r="E12" s="10" t="n">
        <v>6583.79</v>
      </c>
      <c r="F12" s="8" t="s">
        <v>11</v>
      </c>
      <c r="G12" s="8" t="s">
        <v>12</v>
      </c>
      <c r="H12" s="11" t="s">
        <v>13</v>
      </c>
      <c r="I12" s="8" t="s">
        <v>14</v>
      </c>
    </row>
    <row r="13" customFormat="false" ht="14.25" hidden="false" customHeight="false" outlineLevel="0" collapsed="false">
      <c r="A13" s="8" t="n">
        <v>12</v>
      </c>
      <c r="B13" s="8" t="s">
        <v>27</v>
      </c>
      <c r="C13" s="8" t="s">
        <v>28</v>
      </c>
      <c r="D13" s="9" t="n">
        <v>43835</v>
      </c>
      <c r="E13" s="10" t="n">
        <v>7066.01</v>
      </c>
      <c r="F13" s="8" t="s">
        <v>11</v>
      </c>
      <c r="G13" s="8" t="s">
        <v>17</v>
      </c>
      <c r="H13" s="11" t="s">
        <v>18</v>
      </c>
      <c r="I13" s="8" t="s">
        <v>14</v>
      </c>
    </row>
    <row r="14" customFormat="false" ht="14.25" hidden="false" customHeight="false" outlineLevel="0" collapsed="false">
      <c r="A14" s="8" t="n">
        <v>13</v>
      </c>
      <c r="B14" s="8" t="s">
        <v>29</v>
      </c>
      <c r="C14" s="8" t="s">
        <v>16</v>
      </c>
      <c r="D14" s="9" t="n">
        <v>43836</v>
      </c>
      <c r="E14" s="10" t="n">
        <v>1053538.56</v>
      </c>
      <c r="F14" s="8" t="s">
        <v>11</v>
      </c>
      <c r="G14" s="8" t="s">
        <v>30</v>
      </c>
      <c r="H14" s="11" t="s">
        <v>31</v>
      </c>
      <c r="I14" s="8" t="s">
        <v>26</v>
      </c>
    </row>
    <row r="15" customFormat="false" ht="14.25" hidden="false" customHeight="false" outlineLevel="0" collapsed="false">
      <c r="A15" s="8" t="n">
        <v>14</v>
      </c>
      <c r="B15" s="8" t="s">
        <v>15</v>
      </c>
      <c r="C15" s="8" t="s">
        <v>28</v>
      </c>
      <c r="D15" s="9" t="n">
        <v>43836</v>
      </c>
      <c r="E15" s="10" t="n">
        <v>12261.57</v>
      </c>
      <c r="F15" s="8" t="s">
        <v>11</v>
      </c>
      <c r="G15" s="8" t="s">
        <v>12</v>
      </c>
      <c r="H15" s="11" t="s">
        <v>13</v>
      </c>
      <c r="I15" s="8" t="s">
        <v>14</v>
      </c>
    </row>
    <row r="16" customFormat="false" ht="14.25" hidden="false" customHeight="false" outlineLevel="0" collapsed="false">
      <c r="A16" s="8" t="n">
        <v>15</v>
      </c>
      <c r="B16" s="8" t="s">
        <v>15</v>
      </c>
      <c r="C16" s="8" t="s">
        <v>16</v>
      </c>
      <c r="D16" s="9" t="n">
        <v>43836</v>
      </c>
      <c r="E16" s="10" t="n">
        <v>12769.64</v>
      </c>
      <c r="F16" s="8" t="s">
        <v>11</v>
      </c>
      <c r="G16" s="8" t="s">
        <v>30</v>
      </c>
      <c r="H16" s="11" t="s">
        <v>31</v>
      </c>
      <c r="I16" s="8" t="s">
        <v>14</v>
      </c>
    </row>
    <row r="17" customFormat="false" ht="14.25" hidden="false" customHeight="false" outlineLevel="0" collapsed="false">
      <c r="A17" s="8" t="n">
        <v>16</v>
      </c>
      <c r="B17" s="8" t="s">
        <v>32</v>
      </c>
      <c r="C17" s="8" t="s">
        <v>16</v>
      </c>
      <c r="D17" s="9" t="n">
        <v>43836</v>
      </c>
      <c r="E17" s="10" t="n">
        <v>13544.81</v>
      </c>
      <c r="F17" s="8" t="s">
        <v>11</v>
      </c>
      <c r="G17" s="8" t="s">
        <v>12</v>
      </c>
      <c r="H17" s="11" t="s">
        <v>13</v>
      </c>
      <c r="I17" s="8" t="s">
        <v>19</v>
      </c>
    </row>
    <row r="18" customFormat="false" ht="14.25" hidden="false" customHeight="false" outlineLevel="0" collapsed="false">
      <c r="A18" s="8" t="n">
        <v>17</v>
      </c>
      <c r="B18" s="8" t="s">
        <v>32</v>
      </c>
      <c r="C18" s="8" t="s">
        <v>16</v>
      </c>
      <c r="D18" s="9" t="n">
        <v>43836</v>
      </c>
      <c r="E18" s="10" t="n">
        <v>453183.64</v>
      </c>
      <c r="F18" s="8" t="s">
        <v>11</v>
      </c>
      <c r="G18" s="8" t="s">
        <v>17</v>
      </c>
      <c r="H18" s="11" t="s">
        <v>18</v>
      </c>
      <c r="I18" s="8" t="s">
        <v>14</v>
      </c>
    </row>
    <row r="19" customFormat="false" ht="14.25" hidden="false" customHeight="false" outlineLevel="0" collapsed="false">
      <c r="A19" s="8" t="n">
        <v>18</v>
      </c>
      <c r="B19" s="8" t="s">
        <v>33</v>
      </c>
      <c r="C19" s="8" t="s">
        <v>21</v>
      </c>
      <c r="D19" s="9" t="n">
        <v>43836</v>
      </c>
      <c r="E19" s="10" t="n">
        <v>-1584.35</v>
      </c>
      <c r="F19" s="8" t="s">
        <v>34</v>
      </c>
      <c r="G19" s="8" t="s">
        <v>12</v>
      </c>
      <c r="H19" s="11" t="s">
        <v>13</v>
      </c>
      <c r="I19" s="8" t="s">
        <v>14</v>
      </c>
    </row>
    <row r="20" customFormat="false" ht="14.25" hidden="false" customHeight="false" outlineLevel="0" collapsed="false">
      <c r="A20" s="8" t="n">
        <v>19</v>
      </c>
      <c r="B20" s="8" t="s">
        <v>35</v>
      </c>
      <c r="C20" s="8" t="s">
        <v>16</v>
      </c>
      <c r="D20" s="9" t="n">
        <v>43836</v>
      </c>
      <c r="E20" s="10" t="n">
        <v>29823.06</v>
      </c>
      <c r="F20" s="8" t="s">
        <v>11</v>
      </c>
      <c r="G20" s="8" t="s">
        <v>12</v>
      </c>
      <c r="H20" s="11" t="s">
        <v>13</v>
      </c>
      <c r="I20" s="8" t="s">
        <v>14</v>
      </c>
    </row>
    <row r="21" customFormat="false" ht="14.25" hidden="false" customHeight="false" outlineLevel="0" collapsed="false">
      <c r="A21" s="8" t="n">
        <v>20</v>
      </c>
      <c r="B21" s="8" t="s">
        <v>33</v>
      </c>
      <c r="C21" s="8" t="s">
        <v>28</v>
      </c>
      <c r="D21" s="9" t="n">
        <v>43836</v>
      </c>
      <c r="E21" s="10" t="n">
        <v>24967.63</v>
      </c>
      <c r="F21" s="8" t="s">
        <v>11</v>
      </c>
      <c r="G21" s="8" t="s">
        <v>22</v>
      </c>
      <c r="H21" s="11" t="s">
        <v>23</v>
      </c>
      <c r="I21" s="8" t="s">
        <v>26</v>
      </c>
    </row>
    <row r="22" customFormat="false" ht="14.25" hidden="false" customHeight="false" outlineLevel="0" collapsed="false">
      <c r="A22" s="8" t="n">
        <v>21</v>
      </c>
      <c r="B22" s="8" t="s">
        <v>35</v>
      </c>
      <c r="C22" s="8" t="s">
        <v>10</v>
      </c>
      <c r="D22" s="9" t="n">
        <v>43836</v>
      </c>
      <c r="E22" s="10" t="n">
        <v>27617.04</v>
      </c>
      <c r="F22" s="8" t="s">
        <v>11</v>
      </c>
      <c r="G22" s="8" t="s">
        <v>17</v>
      </c>
      <c r="H22" s="11" t="s">
        <v>18</v>
      </c>
      <c r="I22" s="8" t="s">
        <v>14</v>
      </c>
    </row>
    <row r="23" customFormat="false" ht="14.25" hidden="false" customHeight="false" outlineLevel="0" collapsed="false">
      <c r="A23" s="8" t="n">
        <v>22</v>
      </c>
      <c r="B23" s="8" t="s">
        <v>33</v>
      </c>
      <c r="C23" s="8" t="s">
        <v>16</v>
      </c>
      <c r="D23" s="9" t="n">
        <v>43836</v>
      </c>
      <c r="E23" s="10" t="n">
        <v>28136.57</v>
      </c>
      <c r="F23" s="8" t="s">
        <v>11</v>
      </c>
      <c r="G23" s="8" t="s">
        <v>36</v>
      </c>
      <c r="H23" s="11" t="s">
        <v>37</v>
      </c>
      <c r="I23" s="8" t="s">
        <v>14</v>
      </c>
    </row>
    <row r="24" customFormat="false" ht="14.25" hidden="false" customHeight="false" outlineLevel="0" collapsed="false">
      <c r="A24" s="8" t="n">
        <v>23</v>
      </c>
      <c r="B24" s="8" t="s">
        <v>35</v>
      </c>
      <c r="C24" s="8" t="s">
        <v>21</v>
      </c>
      <c r="D24" s="9" t="n">
        <v>43836</v>
      </c>
      <c r="E24" s="10" t="n">
        <v>23719.25</v>
      </c>
      <c r="F24" s="8" t="s">
        <v>11</v>
      </c>
      <c r="G24" s="8" t="s">
        <v>36</v>
      </c>
      <c r="H24" s="11" t="s">
        <v>37</v>
      </c>
      <c r="I24" s="8" t="s">
        <v>24</v>
      </c>
    </row>
    <row r="25" customFormat="false" ht="14.25" hidden="false" customHeight="false" outlineLevel="0" collapsed="false">
      <c r="A25" s="8" t="n">
        <v>24</v>
      </c>
      <c r="B25" s="8" t="s">
        <v>33</v>
      </c>
      <c r="C25" s="8" t="s">
        <v>10</v>
      </c>
      <c r="D25" s="9" t="n">
        <v>43836</v>
      </c>
      <c r="E25" s="10" t="n">
        <v>24473.54</v>
      </c>
      <c r="F25" s="8" t="s">
        <v>11</v>
      </c>
      <c r="G25" s="8" t="s">
        <v>17</v>
      </c>
      <c r="H25" s="11" t="s">
        <v>18</v>
      </c>
      <c r="I25" s="8" t="s">
        <v>14</v>
      </c>
    </row>
    <row r="26" customFormat="false" ht="14.25" hidden="false" customHeight="false" outlineLevel="0" collapsed="false">
      <c r="A26" s="8" t="n">
        <v>25</v>
      </c>
      <c r="B26" s="8" t="s">
        <v>35</v>
      </c>
      <c r="C26" s="8" t="s">
        <v>16</v>
      </c>
      <c r="D26" s="9" t="n">
        <v>43836</v>
      </c>
      <c r="E26" s="10" t="n">
        <v>-268.56</v>
      </c>
      <c r="F26" s="8" t="s">
        <v>34</v>
      </c>
      <c r="G26" s="8" t="s">
        <v>12</v>
      </c>
      <c r="H26" s="11" t="s">
        <v>13</v>
      </c>
      <c r="I26" s="8" t="s">
        <v>26</v>
      </c>
    </row>
    <row r="27" customFormat="false" ht="14.25" hidden="false" customHeight="false" outlineLevel="0" collapsed="false">
      <c r="A27" s="8" t="n">
        <v>26</v>
      </c>
      <c r="B27" s="8" t="s">
        <v>33</v>
      </c>
      <c r="C27" s="8" t="s">
        <v>16</v>
      </c>
      <c r="D27" s="9" t="n">
        <v>43836</v>
      </c>
      <c r="E27" s="10" t="n">
        <v>-52492.86</v>
      </c>
      <c r="F27" s="8" t="s">
        <v>34</v>
      </c>
      <c r="G27" s="8" t="s">
        <v>12</v>
      </c>
      <c r="H27" s="11" t="s">
        <v>13</v>
      </c>
      <c r="I27" s="8" t="s">
        <v>14</v>
      </c>
    </row>
    <row r="28" customFormat="false" ht="14.25" hidden="false" customHeight="false" outlineLevel="0" collapsed="false">
      <c r="A28" s="8" t="n">
        <v>27</v>
      </c>
      <c r="B28" s="8" t="s">
        <v>35</v>
      </c>
      <c r="C28" s="8" t="s">
        <v>16</v>
      </c>
      <c r="D28" s="9" t="n">
        <v>43836</v>
      </c>
      <c r="E28" s="10" t="n">
        <v>29336.04</v>
      </c>
      <c r="F28" s="8" t="s">
        <v>11</v>
      </c>
      <c r="G28" s="8" t="s">
        <v>17</v>
      </c>
      <c r="H28" s="11" t="s">
        <v>18</v>
      </c>
      <c r="I28" s="8" t="s">
        <v>26</v>
      </c>
    </row>
    <row r="29" customFormat="false" ht="14.25" hidden="false" customHeight="false" outlineLevel="0" collapsed="false">
      <c r="A29" s="8" t="n">
        <v>28</v>
      </c>
      <c r="B29" s="8" t="s">
        <v>15</v>
      </c>
      <c r="C29" s="8" t="s">
        <v>10</v>
      </c>
      <c r="D29" s="9" t="n">
        <v>43839</v>
      </c>
      <c r="E29" s="10" t="n">
        <v>132518.4</v>
      </c>
      <c r="F29" s="8" t="s">
        <v>11</v>
      </c>
      <c r="G29" s="8" t="s">
        <v>12</v>
      </c>
      <c r="H29" s="11" t="s">
        <v>13</v>
      </c>
      <c r="I29" s="8" t="s">
        <v>26</v>
      </c>
    </row>
    <row r="30" customFormat="false" ht="14.25" hidden="false" customHeight="false" outlineLevel="0" collapsed="false">
      <c r="A30" s="8" t="n">
        <v>29</v>
      </c>
      <c r="B30" s="8" t="s">
        <v>38</v>
      </c>
      <c r="C30" s="8" t="s">
        <v>10</v>
      </c>
      <c r="D30" s="9" t="n">
        <v>43839</v>
      </c>
      <c r="E30" s="10" t="n">
        <v>7633.59</v>
      </c>
      <c r="F30" s="8" t="s">
        <v>11</v>
      </c>
      <c r="G30" s="8" t="s">
        <v>17</v>
      </c>
      <c r="H30" s="11" t="s">
        <v>18</v>
      </c>
      <c r="I30" s="8" t="s">
        <v>24</v>
      </c>
    </row>
    <row r="31" customFormat="false" ht="14.25" hidden="false" customHeight="false" outlineLevel="0" collapsed="false">
      <c r="A31" s="8" t="n">
        <v>30</v>
      </c>
      <c r="B31" s="8" t="s">
        <v>39</v>
      </c>
      <c r="C31" s="8" t="s">
        <v>16</v>
      </c>
      <c r="D31" s="9" t="n">
        <v>43839</v>
      </c>
      <c r="E31" s="10" t="n">
        <v>7412</v>
      </c>
      <c r="F31" s="8" t="s">
        <v>11</v>
      </c>
      <c r="G31" s="8" t="s">
        <v>12</v>
      </c>
      <c r="H31" s="11" t="s">
        <v>13</v>
      </c>
      <c r="I31" s="8" t="s">
        <v>14</v>
      </c>
    </row>
    <row r="32" customFormat="false" ht="14.25" hidden="false" customHeight="false" outlineLevel="0" collapsed="false">
      <c r="A32" s="8" t="n">
        <v>31</v>
      </c>
      <c r="B32" s="8" t="s">
        <v>40</v>
      </c>
      <c r="C32" s="8" t="s">
        <v>28</v>
      </c>
      <c r="D32" s="9" t="n">
        <v>43840</v>
      </c>
      <c r="E32" s="10" t="n">
        <v>3706</v>
      </c>
      <c r="F32" s="8" t="s">
        <v>11</v>
      </c>
      <c r="G32" s="8" t="s">
        <v>12</v>
      </c>
      <c r="H32" s="11" t="s">
        <v>13</v>
      </c>
      <c r="I32" s="8" t="s">
        <v>14</v>
      </c>
    </row>
    <row r="33" customFormat="false" ht="14.25" hidden="false" customHeight="false" outlineLevel="0" collapsed="false">
      <c r="A33" s="8" t="n">
        <v>32</v>
      </c>
      <c r="B33" s="8" t="s">
        <v>41</v>
      </c>
      <c r="C33" s="8" t="s">
        <v>10</v>
      </c>
      <c r="D33" s="9" t="n">
        <v>43841</v>
      </c>
      <c r="E33" s="10" t="n">
        <v>7412</v>
      </c>
      <c r="F33" s="8" t="s">
        <v>11</v>
      </c>
      <c r="G33" s="8" t="s">
        <v>17</v>
      </c>
      <c r="H33" s="11" t="s">
        <v>18</v>
      </c>
      <c r="I33" s="8" t="s">
        <v>26</v>
      </c>
    </row>
    <row r="34" customFormat="false" ht="14.25" hidden="false" customHeight="false" outlineLevel="0" collapsed="false">
      <c r="A34" s="8" t="n">
        <v>33</v>
      </c>
      <c r="B34" s="8" t="s">
        <v>15</v>
      </c>
      <c r="C34" s="8" t="s">
        <v>16</v>
      </c>
      <c r="D34" s="9" t="n">
        <v>43841</v>
      </c>
      <c r="E34" s="10" t="n">
        <v>3706</v>
      </c>
      <c r="F34" s="8" t="s">
        <v>11</v>
      </c>
      <c r="G34" s="8" t="s">
        <v>12</v>
      </c>
      <c r="H34" s="11" t="s">
        <v>13</v>
      </c>
      <c r="I34" s="8" t="s">
        <v>26</v>
      </c>
    </row>
    <row r="35" customFormat="false" ht="14.25" hidden="false" customHeight="false" outlineLevel="0" collapsed="false">
      <c r="A35" s="8" t="n">
        <v>34</v>
      </c>
      <c r="B35" s="8" t="s">
        <v>42</v>
      </c>
      <c r="C35" s="8" t="s">
        <v>16</v>
      </c>
      <c r="D35" s="9" t="n">
        <v>43841</v>
      </c>
      <c r="E35" s="10" t="n">
        <v>7412</v>
      </c>
      <c r="F35" s="8" t="s">
        <v>11</v>
      </c>
      <c r="G35" s="8" t="s">
        <v>17</v>
      </c>
      <c r="H35" s="11" t="s">
        <v>18</v>
      </c>
      <c r="I35" s="8" t="s">
        <v>14</v>
      </c>
    </row>
    <row r="36" customFormat="false" ht="14.25" hidden="false" customHeight="false" outlineLevel="0" collapsed="false">
      <c r="A36" s="8" t="n">
        <v>35</v>
      </c>
      <c r="B36" s="8" t="s">
        <v>43</v>
      </c>
      <c r="C36" s="8" t="s">
        <v>28</v>
      </c>
      <c r="D36" s="9" t="n">
        <v>43841</v>
      </c>
      <c r="E36" s="10" t="n">
        <v>3706</v>
      </c>
      <c r="F36" s="8" t="s">
        <v>11</v>
      </c>
      <c r="G36" s="8" t="s">
        <v>12</v>
      </c>
      <c r="H36" s="11" t="s">
        <v>13</v>
      </c>
      <c r="I36" s="8" t="s">
        <v>14</v>
      </c>
    </row>
    <row r="37" customFormat="false" ht="14.25" hidden="false" customHeight="false" outlineLevel="0" collapsed="false">
      <c r="A37" s="8" t="n">
        <v>36</v>
      </c>
      <c r="B37" s="8" t="s">
        <v>44</v>
      </c>
      <c r="C37" s="8" t="s">
        <v>10</v>
      </c>
      <c r="D37" s="9" t="n">
        <v>43841</v>
      </c>
      <c r="E37" s="10" t="n">
        <v>7412</v>
      </c>
      <c r="F37" s="8" t="s">
        <v>11</v>
      </c>
      <c r="G37" s="8" t="s">
        <v>17</v>
      </c>
      <c r="H37" s="11" t="s">
        <v>18</v>
      </c>
      <c r="I37" s="8" t="s">
        <v>14</v>
      </c>
    </row>
    <row r="38" customFormat="false" ht="14.25" hidden="false" customHeight="false" outlineLevel="0" collapsed="false">
      <c r="A38" s="8" t="n">
        <v>37</v>
      </c>
      <c r="B38" s="8" t="s">
        <v>45</v>
      </c>
      <c r="C38" s="8" t="s">
        <v>28</v>
      </c>
      <c r="D38" s="9" t="n">
        <v>43841</v>
      </c>
      <c r="E38" s="10" t="n">
        <v>3706</v>
      </c>
      <c r="F38" s="8" t="s">
        <v>11</v>
      </c>
      <c r="G38" s="8" t="s">
        <v>22</v>
      </c>
      <c r="H38" s="11" t="s">
        <v>23</v>
      </c>
      <c r="I38" s="8" t="s">
        <v>24</v>
      </c>
    </row>
    <row r="39" customFormat="false" ht="14.25" hidden="false" customHeight="false" outlineLevel="0" collapsed="false">
      <c r="A39" s="8" t="n">
        <v>38</v>
      </c>
      <c r="B39" s="8" t="s">
        <v>44</v>
      </c>
      <c r="C39" s="8" t="s">
        <v>10</v>
      </c>
      <c r="D39" s="9" t="n">
        <v>43841</v>
      </c>
      <c r="E39" s="10" t="n">
        <v>7412</v>
      </c>
      <c r="F39" s="8" t="s">
        <v>11</v>
      </c>
      <c r="G39" s="8" t="s">
        <v>17</v>
      </c>
      <c r="H39" s="11" t="s">
        <v>18</v>
      </c>
      <c r="I39" s="8" t="s">
        <v>14</v>
      </c>
    </row>
    <row r="40" customFormat="false" ht="14.25" hidden="false" customHeight="false" outlineLevel="0" collapsed="false">
      <c r="A40" s="8" t="n">
        <v>39</v>
      </c>
      <c r="B40" s="8" t="s">
        <v>43</v>
      </c>
      <c r="C40" s="8" t="s">
        <v>28</v>
      </c>
      <c r="D40" s="9" t="n">
        <v>43841</v>
      </c>
      <c r="E40" s="10" t="n">
        <v>3706</v>
      </c>
      <c r="F40" s="8" t="s">
        <v>11</v>
      </c>
      <c r="G40" s="8" t="s">
        <v>12</v>
      </c>
      <c r="H40" s="11" t="s">
        <v>13</v>
      </c>
      <c r="I40" s="8" t="s">
        <v>26</v>
      </c>
    </row>
    <row r="41" customFormat="false" ht="14.25" hidden="false" customHeight="false" outlineLevel="0" collapsed="false">
      <c r="A41" s="8" t="n">
        <v>40</v>
      </c>
      <c r="B41" s="8" t="s">
        <v>46</v>
      </c>
      <c r="C41" s="8" t="s">
        <v>28</v>
      </c>
      <c r="D41" s="9" t="n">
        <v>43841</v>
      </c>
      <c r="E41" s="10" t="n">
        <v>-8697.05</v>
      </c>
      <c r="F41" s="8" t="s">
        <v>34</v>
      </c>
      <c r="G41" s="8" t="s">
        <v>36</v>
      </c>
      <c r="H41" s="11" t="s">
        <v>37</v>
      </c>
      <c r="I41" s="8" t="s">
        <v>24</v>
      </c>
    </row>
    <row r="42" customFormat="false" ht="14.25" hidden="false" customHeight="false" outlineLevel="0" collapsed="false">
      <c r="A42" s="8" t="n">
        <v>41</v>
      </c>
      <c r="B42" s="8" t="s">
        <v>42</v>
      </c>
      <c r="C42" s="8" t="s">
        <v>10</v>
      </c>
      <c r="D42" s="9" t="n">
        <v>43841</v>
      </c>
      <c r="E42" s="10" t="n">
        <v>41916.71</v>
      </c>
      <c r="F42" s="8" t="s">
        <v>11</v>
      </c>
      <c r="G42" s="8" t="s">
        <v>12</v>
      </c>
      <c r="H42" s="11" t="s">
        <v>13</v>
      </c>
      <c r="I42" s="8" t="s">
        <v>14</v>
      </c>
    </row>
    <row r="43" customFormat="false" ht="14.25" hidden="false" customHeight="false" outlineLevel="0" collapsed="false">
      <c r="A43" s="8" t="n">
        <v>42</v>
      </c>
      <c r="B43" s="8" t="s">
        <v>47</v>
      </c>
      <c r="C43" s="8" t="s">
        <v>21</v>
      </c>
      <c r="D43" s="9" t="n">
        <v>43841</v>
      </c>
      <c r="E43" s="10" t="n">
        <v>53909.85</v>
      </c>
      <c r="F43" s="8" t="s">
        <v>11</v>
      </c>
      <c r="G43" s="8" t="s">
        <v>22</v>
      </c>
      <c r="H43" s="11" t="s">
        <v>23</v>
      </c>
      <c r="I43" s="8" t="s">
        <v>24</v>
      </c>
    </row>
    <row r="44" customFormat="false" ht="14.25" hidden="false" customHeight="false" outlineLevel="0" collapsed="false">
      <c r="A44" s="8" t="n">
        <v>43</v>
      </c>
      <c r="B44" s="8" t="s">
        <v>45</v>
      </c>
      <c r="C44" s="8" t="s">
        <v>28</v>
      </c>
      <c r="D44" s="9" t="n">
        <v>43841</v>
      </c>
      <c r="E44" s="10" t="n">
        <v>-3881.89</v>
      </c>
      <c r="F44" s="8" t="s">
        <v>34</v>
      </c>
      <c r="G44" s="8" t="s">
        <v>12</v>
      </c>
      <c r="H44" s="11" t="s">
        <v>13</v>
      </c>
      <c r="I44" s="8" t="s">
        <v>14</v>
      </c>
    </row>
    <row r="45" customFormat="false" ht="14.25" hidden="false" customHeight="false" outlineLevel="0" collapsed="false">
      <c r="A45" s="8" t="n">
        <v>44</v>
      </c>
      <c r="B45" s="8" t="s">
        <v>46</v>
      </c>
      <c r="C45" s="8" t="s">
        <v>10</v>
      </c>
      <c r="D45" s="9" t="n">
        <v>43841</v>
      </c>
      <c r="E45" s="10" t="n">
        <v>-6096.37</v>
      </c>
      <c r="F45" s="8" t="s">
        <v>34</v>
      </c>
      <c r="G45" s="8" t="s">
        <v>36</v>
      </c>
      <c r="H45" s="11" t="s">
        <v>37</v>
      </c>
      <c r="I45" s="8" t="s">
        <v>14</v>
      </c>
    </row>
    <row r="46" customFormat="false" ht="14.25" hidden="false" customHeight="false" outlineLevel="0" collapsed="false">
      <c r="A46" s="8" t="n">
        <v>45</v>
      </c>
      <c r="B46" s="8" t="s">
        <v>47</v>
      </c>
      <c r="C46" s="8" t="s">
        <v>28</v>
      </c>
      <c r="D46" s="9" t="n">
        <v>43841</v>
      </c>
      <c r="E46" s="10" t="n">
        <v>-4480.46</v>
      </c>
      <c r="F46" s="8" t="s">
        <v>34</v>
      </c>
      <c r="G46" s="8" t="s">
        <v>12</v>
      </c>
      <c r="H46" s="11" t="s">
        <v>13</v>
      </c>
      <c r="I46" s="8" t="s">
        <v>14</v>
      </c>
    </row>
    <row r="47" customFormat="false" ht="14.25" hidden="false" customHeight="false" outlineLevel="0" collapsed="false">
      <c r="A47" s="8" t="n">
        <v>46</v>
      </c>
      <c r="B47" s="8" t="s">
        <v>40</v>
      </c>
      <c r="C47" s="8" t="s">
        <v>16</v>
      </c>
      <c r="D47" s="9" t="n">
        <v>43842</v>
      </c>
      <c r="E47" s="10" t="n">
        <v>72147.34</v>
      </c>
      <c r="F47" s="8" t="s">
        <v>11</v>
      </c>
      <c r="G47" s="8" t="s">
        <v>22</v>
      </c>
      <c r="H47" s="11" t="s">
        <v>23</v>
      </c>
      <c r="I47" s="8" t="s">
        <v>14</v>
      </c>
    </row>
    <row r="48" customFormat="false" ht="14.25" hidden="false" customHeight="false" outlineLevel="0" collapsed="false">
      <c r="A48" s="8" t="n">
        <v>47</v>
      </c>
      <c r="B48" s="8" t="s">
        <v>15</v>
      </c>
      <c r="C48" s="8" t="s">
        <v>16</v>
      </c>
      <c r="D48" s="9" t="n">
        <v>43842</v>
      </c>
      <c r="E48" s="10" t="n">
        <v>5576</v>
      </c>
      <c r="F48" s="8" t="s">
        <v>11</v>
      </c>
      <c r="G48" s="8" t="s">
        <v>12</v>
      </c>
      <c r="H48" s="11" t="s">
        <v>13</v>
      </c>
      <c r="I48" s="8" t="s">
        <v>14</v>
      </c>
    </row>
    <row r="49" customFormat="false" ht="14.25" hidden="false" customHeight="false" outlineLevel="0" collapsed="false">
      <c r="A49" s="8" t="n">
        <v>48</v>
      </c>
      <c r="B49" s="8" t="s">
        <v>15</v>
      </c>
      <c r="C49" s="8" t="s">
        <v>10</v>
      </c>
      <c r="D49" s="9" t="n">
        <v>43842</v>
      </c>
      <c r="E49" s="10" t="n">
        <v>87877.38</v>
      </c>
      <c r="F49" s="8" t="s">
        <v>11</v>
      </c>
      <c r="G49" s="8" t="s">
        <v>12</v>
      </c>
      <c r="H49" s="11" t="s">
        <v>13</v>
      </c>
      <c r="I49" s="8" t="s">
        <v>14</v>
      </c>
    </row>
    <row r="50" customFormat="false" ht="14.25" hidden="false" customHeight="false" outlineLevel="0" collapsed="false">
      <c r="A50" s="8" t="n">
        <v>49</v>
      </c>
      <c r="B50" s="8" t="s">
        <v>48</v>
      </c>
      <c r="C50" s="8" t="s">
        <v>28</v>
      </c>
      <c r="D50" s="9" t="n">
        <v>43842</v>
      </c>
      <c r="E50" s="10" t="n">
        <v>-27596.8</v>
      </c>
      <c r="F50" s="8" t="s">
        <v>34</v>
      </c>
      <c r="G50" s="8" t="s">
        <v>12</v>
      </c>
      <c r="H50" s="11" t="s">
        <v>13</v>
      </c>
      <c r="I50" s="8" t="s">
        <v>14</v>
      </c>
    </row>
    <row r="51" customFormat="false" ht="14.25" hidden="false" customHeight="false" outlineLevel="0" collapsed="false">
      <c r="A51" s="8" t="n">
        <v>50</v>
      </c>
      <c r="B51" s="8" t="s">
        <v>48</v>
      </c>
      <c r="C51" s="8" t="s">
        <v>16</v>
      </c>
      <c r="D51" s="9" t="n">
        <v>43842</v>
      </c>
      <c r="E51" s="10" t="n">
        <v>4182</v>
      </c>
      <c r="F51" s="8" t="s">
        <v>11</v>
      </c>
      <c r="G51" s="8" t="s">
        <v>36</v>
      </c>
      <c r="H51" s="11" t="s">
        <v>37</v>
      </c>
      <c r="I51" s="8" t="s">
        <v>14</v>
      </c>
    </row>
    <row r="52" customFormat="false" ht="14.25" hidden="false" customHeight="false" outlineLevel="0" collapsed="false">
      <c r="A52" s="8" t="n">
        <v>51</v>
      </c>
      <c r="B52" s="8" t="s">
        <v>39</v>
      </c>
      <c r="C52" s="8" t="s">
        <v>16</v>
      </c>
      <c r="D52" s="9" t="n">
        <v>43842</v>
      </c>
      <c r="E52" s="10" t="n">
        <v>4879</v>
      </c>
      <c r="F52" s="8" t="s">
        <v>11</v>
      </c>
      <c r="G52" s="8" t="s">
        <v>12</v>
      </c>
      <c r="H52" s="11" t="s">
        <v>13</v>
      </c>
      <c r="I52" s="8" t="s">
        <v>14</v>
      </c>
    </row>
    <row r="53" customFormat="false" ht="14.25" hidden="false" customHeight="false" outlineLevel="0" collapsed="false">
      <c r="A53" s="8" t="n">
        <v>52</v>
      </c>
      <c r="B53" s="8" t="s">
        <v>39</v>
      </c>
      <c r="C53" s="8" t="s">
        <v>21</v>
      </c>
      <c r="D53" s="9" t="n">
        <v>43842</v>
      </c>
      <c r="E53" s="10" t="n">
        <v>4879</v>
      </c>
      <c r="F53" s="8" t="s">
        <v>11</v>
      </c>
      <c r="G53" s="8" t="s">
        <v>12</v>
      </c>
      <c r="H53" s="11" t="s">
        <v>13</v>
      </c>
      <c r="I53" s="8" t="s">
        <v>19</v>
      </c>
    </row>
    <row r="54" customFormat="false" ht="14.25" hidden="false" customHeight="false" outlineLevel="0" collapsed="false">
      <c r="A54" s="8" t="n">
        <v>53</v>
      </c>
      <c r="B54" s="8" t="s">
        <v>49</v>
      </c>
      <c r="C54" s="8" t="s">
        <v>10</v>
      </c>
      <c r="D54" s="9" t="n">
        <v>43842</v>
      </c>
      <c r="E54" s="10" t="n">
        <v>4182</v>
      </c>
      <c r="F54" s="8" t="s">
        <v>11</v>
      </c>
      <c r="G54" s="8" t="s">
        <v>30</v>
      </c>
      <c r="H54" s="11" t="s">
        <v>31</v>
      </c>
      <c r="I54" s="8" t="s">
        <v>26</v>
      </c>
    </row>
    <row r="55" customFormat="false" ht="14.25" hidden="false" customHeight="false" outlineLevel="0" collapsed="false">
      <c r="A55" s="8" t="n">
        <v>54</v>
      </c>
      <c r="B55" s="8" t="s">
        <v>50</v>
      </c>
      <c r="C55" s="8" t="s">
        <v>16</v>
      </c>
      <c r="D55" s="9" t="n">
        <v>43843</v>
      </c>
      <c r="E55" s="10" t="n">
        <v>3262.13</v>
      </c>
      <c r="F55" s="8" t="s">
        <v>11</v>
      </c>
      <c r="G55" s="8" t="s">
        <v>12</v>
      </c>
      <c r="H55" s="11" t="s">
        <v>13</v>
      </c>
      <c r="I55" s="8" t="s">
        <v>14</v>
      </c>
    </row>
    <row r="56" customFormat="false" ht="14.25" hidden="false" customHeight="false" outlineLevel="0" collapsed="false">
      <c r="A56" s="8" t="n">
        <v>55</v>
      </c>
      <c r="B56" s="8" t="s">
        <v>50</v>
      </c>
      <c r="C56" s="8" t="s">
        <v>10</v>
      </c>
      <c r="D56" s="9" t="n">
        <v>43843</v>
      </c>
      <c r="E56" s="10" t="n">
        <v>3262.13</v>
      </c>
      <c r="F56" s="8" t="s">
        <v>11</v>
      </c>
      <c r="G56" s="8" t="s">
        <v>17</v>
      </c>
      <c r="H56" s="11" t="s">
        <v>18</v>
      </c>
      <c r="I56" s="8" t="s">
        <v>26</v>
      </c>
    </row>
    <row r="57" customFormat="false" ht="14.25" hidden="false" customHeight="false" outlineLevel="0" collapsed="false">
      <c r="A57" s="8" t="n">
        <v>56</v>
      </c>
      <c r="B57" s="8" t="s">
        <v>20</v>
      </c>
      <c r="C57" s="8" t="s">
        <v>10</v>
      </c>
      <c r="D57" s="9" t="n">
        <v>43843</v>
      </c>
      <c r="E57" s="10" t="n">
        <v>-6453.16</v>
      </c>
      <c r="F57" s="8" t="s">
        <v>34</v>
      </c>
      <c r="G57" s="8" t="s">
        <v>12</v>
      </c>
      <c r="H57" s="11" t="s">
        <v>13</v>
      </c>
      <c r="I57" s="8" t="s">
        <v>26</v>
      </c>
    </row>
    <row r="58" customFormat="false" ht="14.25" hidden="false" customHeight="false" outlineLevel="0" collapsed="false">
      <c r="A58" s="8" t="n">
        <v>57</v>
      </c>
      <c r="B58" s="8" t="s">
        <v>15</v>
      </c>
      <c r="C58" s="8" t="s">
        <v>21</v>
      </c>
      <c r="D58" s="9" t="n">
        <v>43843</v>
      </c>
      <c r="E58" s="10" t="n">
        <v>-323.89</v>
      </c>
      <c r="F58" s="8" t="s">
        <v>34</v>
      </c>
      <c r="G58" s="8" t="s">
        <v>17</v>
      </c>
      <c r="H58" s="11" t="s">
        <v>18</v>
      </c>
      <c r="I58" s="8" t="s">
        <v>26</v>
      </c>
    </row>
    <row r="59" customFormat="false" ht="14.25" hidden="false" customHeight="false" outlineLevel="0" collapsed="false">
      <c r="A59" s="8" t="n">
        <v>58</v>
      </c>
      <c r="B59" s="8" t="s">
        <v>15</v>
      </c>
      <c r="C59" s="8" t="s">
        <v>10</v>
      </c>
      <c r="D59" s="9" t="n">
        <v>43843</v>
      </c>
      <c r="E59" s="10" t="n">
        <v>2439.5</v>
      </c>
      <c r="F59" s="8" t="s">
        <v>11</v>
      </c>
      <c r="G59" s="8" t="s">
        <v>12</v>
      </c>
      <c r="H59" s="11" t="s">
        <v>13</v>
      </c>
      <c r="I59" s="8" t="s">
        <v>14</v>
      </c>
    </row>
    <row r="60" customFormat="false" ht="14.25" hidden="false" customHeight="false" outlineLevel="0" collapsed="false">
      <c r="A60" s="8" t="n">
        <v>59</v>
      </c>
      <c r="B60" s="8" t="s">
        <v>20</v>
      </c>
      <c r="C60" s="8" t="s">
        <v>21</v>
      </c>
      <c r="D60" s="9" t="n">
        <v>43843</v>
      </c>
      <c r="E60" s="10" t="n">
        <v>6273</v>
      </c>
      <c r="F60" s="8" t="s">
        <v>11</v>
      </c>
      <c r="G60" s="8" t="s">
        <v>12</v>
      </c>
      <c r="H60" s="11" t="s">
        <v>13</v>
      </c>
      <c r="I60" s="8" t="s">
        <v>14</v>
      </c>
    </row>
    <row r="61" customFormat="false" ht="14.25" hidden="false" customHeight="false" outlineLevel="0" collapsed="false">
      <c r="A61" s="8" t="n">
        <v>60</v>
      </c>
      <c r="B61" s="8" t="s">
        <v>20</v>
      </c>
      <c r="C61" s="8" t="s">
        <v>16</v>
      </c>
      <c r="D61" s="9" t="n">
        <v>43843</v>
      </c>
      <c r="E61" s="10" t="n">
        <v>2439.5</v>
      </c>
      <c r="F61" s="8" t="s">
        <v>11</v>
      </c>
      <c r="G61" s="8" t="s">
        <v>12</v>
      </c>
      <c r="H61" s="11" t="s">
        <v>13</v>
      </c>
      <c r="I61" s="8" t="s">
        <v>14</v>
      </c>
    </row>
    <row r="62" customFormat="false" ht="14.25" hidden="false" customHeight="false" outlineLevel="0" collapsed="false">
      <c r="A62" s="8" t="n">
        <v>61</v>
      </c>
      <c r="B62" s="8" t="s">
        <v>20</v>
      </c>
      <c r="C62" s="8" t="s">
        <v>28</v>
      </c>
      <c r="D62" s="9" t="n">
        <v>43843</v>
      </c>
      <c r="E62" s="10" t="n">
        <v>6273</v>
      </c>
      <c r="F62" s="8" t="s">
        <v>11</v>
      </c>
      <c r="G62" s="8" t="s">
        <v>12</v>
      </c>
      <c r="H62" s="11" t="s">
        <v>13</v>
      </c>
      <c r="I62" s="8" t="s">
        <v>26</v>
      </c>
    </row>
    <row r="63" customFormat="false" ht="14.25" hidden="false" customHeight="false" outlineLevel="0" collapsed="false">
      <c r="A63" s="8" t="n">
        <v>62</v>
      </c>
      <c r="B63" s="8" t="s">
        <v>51</v>
      </c>
      <c r="C63" s="8" t="s">
        <v>28</v>
      </c>
      <c r="D63" s="9" t="n">
        <v>43844</v>
      </c>
      <c r="E63" s="10" t="n">
        <v>2439.5</v>
      </c>
      <c r="F63" s="8" t="s">
        <v>11</v>
      </c>
      <c r="G63" s="8" t="s">
        <v>12</v>
      </c>
      <c r="H63" s="11" t="s">
        <v>13</v>
      </c>
      <c r="I63" s="8" t="s">
        <v>26</v>
      </c>
    </row>
    <row r="64" customFormat="false" ht="14.25" hidden="false" customHeight="false" outlineLevel="0" collapsed="false">
      <c r="A64" s="8" t="n">
        <v>63</v>
      </c>
      <c r="B64" s="8" t="s">
        <v>15</v>
      </c>
      <c r="C64" s="8" t="s">
        <v>10</v>
      </c>
      <c r="D64" s="9" t="n">
        <v>43846</v>
      </c>
      <c r="E64" s="10" t="n">
        <v>2439.5</v>
      </c>
      <c r="F64" s="8" t="s">
        <v>11</v>
      </c>
      <c r="G64" s="8" t="s">
        <v>12</v>
      </c>
      <c r="H64" s="11" t="s">
        <v>13</v>
      </c>
      <c r="I64" s="8" t="s">
        <v>26</v>
      </c>
    </row>
    <row r="65" customFormat="false" ht="14.25" hidden="false" customHeight="false" outlineLevel="0" collapsed="false">
      <c r="A65" s="8" t="n">
        <v>64</v>
      </c>
      <c r="B65" s="8" t="s">
        <v>52</v>
      </c>
      <c r="C65" s="8" t="s">
        <v>28</v>
      </c>
      <c r="D65" s="9" t="n">
        <v>43846</v>
      </c>
      <c r="E65" s="10" t="n">
        <v>-19540.71</v>
      </c>
      <c r="F65" s="8" t="s">
        <v>34</v>
      </c>
      <c r="G65" s="8" t="s">
        <v>12</v>
      </c>
      <c r="H65" s="11" t="s">
        <v>13</v>
      </c>
      <c r="I65" s="8" t="s">
        <v>24</v>
      </c>
    </row>
    <row r="66" customFormat="false" ht="14.25" hidden="false" customHeight="false" outlineLevel="0" collapsed="false">
      <c r="A66" s="8" t="n">
        <v>65</v>
      </c>
      <c r="B66" s="8" t="s">
        <v>52</v>
      </c>
      <c r="C66" s="8" t="s">
        <v>28</v>
      </c>
      <c r="D66" s="9" t="n">
        <v>43846</v>
      </c>
      <c r="E66" s="10" t="n">
        <v>42301.72</v>
      </c>
      <c r="F66" s="8" t="s">
        <v>11</v>
      </c>
      <c r="G66" s="8" t="s">
        <v>17</v>
      </c>
      <c r="H66" s="11" t="s">
        <v>18</v>
      </c>
      <c r="I66" s="8" t="s">
        <v>19</v>
      </c>
    </row>
    <row r="67" customFormat="false" ht="14.25" hidden="false" customHeight="false" outlineLevel="0" collapsed="false">
      <c r="A67" s="8" t="n">
        <v>66</v>
      </c>
      <c r="B67" s="8" t="s">
        <v>52</v>
      </c>
      <c r="C67" s="8" t="s">
        <v>16</v>
      </c>
      <c r="D67" s="9" t="n">
        <v>43846</v>
      </c>
      <c r="E67" s="10" t="n">
        <v>-30972.9</v>
      </c>
      <c r="F67" s="8" t="s">
        <v>34</v>
      </c>
      <c r="G67" s="8" t="s">
        <v>30</v>
      </c>
      <c r="H67" s="11" t="s">
        <v>31</v>
      </c>
      <c r="I67" s="8" t="s">
        <v>14</v>
      </c>
    </row>
    <row r="68" customFormat="false" ht="14.25" hidden="false" customHeight="false" outlineLevel="0" collapsed="false">
      <c r="A68" s="8" t="n">
        <v>67</v>
      </c>
      <c r="B68" s="8" t="s">
        <v>53</v>
      </c>
      <c r="C68" s="8" t="s">
        <v>21</v>
      </c>
      <c r="D68" s="9" t="n">
        <v>43848</v>
      </c>
      <c r="E68" s="10" t="n">
        <v>6970</v>
      </c>
      <c r="F68" s="8" t="s">
        <v>11</v>
      </c>
      <c r="G68" s="8" t="s">
        <v>22</v>
      </c>
      <c r="H68" s="11" t="s">
        <v>23</v>
      </c>
      <c r="I68" s="8" t="s">
        <v>19</v>
      </c>
    </row>
    <row r="69" customFormat="false" ht="14.25" hidden="false" customHeight="false" outlineLevel="0" collapsed="false">
      <c r="A69" s="8" t="n">
        <v>68</v>
      </c>
      <c r="B69" s="8" t="s">
        <v>54</v>
      </c>
      <c r="C69" s="8" t="s">
        <v>10</v>
      </c>
      <c r="D69" s="9" t="n">
        <v>43848</v>
      </c>
      <c r="E69" s="10" t="n">
        <v>4530.5</v>
      </c>
      <c r="F69" s="8" t="s">
        <v>11</v>
      </c>
      <c r="G69" s="8" t="s">
        <v>12</v>
      </c>
      <c r="H69" s="11" t="s">
        <v>13</v>
      </c>
      <c r="I69" s="8" t="s">
        <v>14</v>
      </c>
    </row>
    <row r="70" customFormat="false" ht="14.25" hidden="false" customHeight="false" outlineLevel="0" collapsed="false">
      <c r="A70" s="8" t="n">
        <v>69</v>
      </c>
      <c r="B70" s="8" t="s">
        <v>41</v>
      </c>
      <c r="C70" s="8" t="s">
        <v>28</v>
      </c>
      <c r="D70" s="9" t="n">
        <v>43848</v>
      </c>
      <c r="E70" s="10" t="n">
        <v>3136.5</v>
      </c>
      <c r="F70" s="8" t="s">
        <v>11</v>
      </c>
      <c r="G70" s="8" t="s">
        <v>12</v>
      </c>
      <c r="H70" s="11" t="s">
        <v>13</v>
      </c>
      <c r="I70" s="8" t="s">
        <v>14</v>
      </c>
    </row>
    <row r="71" customFormat="false" ht="14.25" hidden="false" customHeight="false" outlineLevel="0" collapsed="false">
      <c r="A71" s="8" t="n">
        <v>70</v>
      </c>
      <c r="B71" s="8" t="s">
        <v>15</v>
      </c>
      <c r="C71" s="8" t="s">
        <v>16</v>
      </c>
      <c r="D71" s="9" t="n">
        <v>43848</v>
      </c>
      <c r="E71" s="10" t="n">
        <v>4530.5</v>
      </c>
      <c r="F71" s="8" t="s">
        <v>11</v>
      </c>
      <c r="G71" s="8" t="s">
        <v>12</v>
      </c>
      <c r="H71" s="11" t="s">
        <v>13</v>
      </c>
      <c r="I71" s="8" t="s">
        <v>14</v>
      </c>
    </row>
    <row r="72" customFormat="false" ht="14.25" hidden="false" customHeight="false" outlineLevel="0" collapsed="false">
      <c r="A72" s="8" t="n">
        <v>71</v>
      </c>
      <c r="B72" s="8" t="s">
        <v>27</v>
      </c>
      <c r="C72" s="8" t="s">
        <v>10</v>
      </c>
      <c r="D72" s="9" t="n">
        <v>43848</v>
      </c>
      <c r="E72" s="10" t="n">
        <v>6970</v>
      </c>
      <c r="F72" s="8" t="s">
        <v>11</v>
      </c>
      <c r="G72" s="8" t="s">
        <v>17</v>
      </c>
      <c r="H72" s="11" t="s">
        <v>18</v>
      </c>
      <c r="I72" s="8" t="s">
        <v>24</v>
      </c>
    </row>
    <row r="73" customFormat="false" ht="14.25" hidden="false" customHeight="false" outlineLevel="0" collapsed="false">
      <c r="A73" s="8" t="n">
        <v>72</v>
      </c>
      <c r="B73" s="8" t="s">
        <v>55</v>
      </c>
      <c r="C73" s="8" t="s">
        <v>10</v>
      </c>
      <c r="D73" s="9" t="n">
        <v>43848</v>
      </c>
      <c r="E73" s="10" t="n">
        <v>5576</v>
      </c>
      <c r="F73" s="8" t="s">
        <v>11</v>
      </c>
      <c r="G73" s="8" t="s">
        <v>17</v>
      </c>
      <c r="H73" s="11" t="s">
        <v>18</v>
      </c>
      <c r="I73" s="8" t="s">
        <v>19</v>
      </c>
    </row>
    <row r="74" customFormat="false" ht="14.25" hidden="false" customHeight="false" outlineLevel="0" collapsed="false">
      <c r="A74" s="8" t="n">
        <v>73</v>
      </c>
      <c r="B74" s="8" t="s">
        <v>27</v>
      </c>
      <c r="C74" s="8" t="s">
        <v>10</v>
      </c>
      <c r="D74" s="9" t="n">
        <v>43848</v>
      </c>
      <c r="E74" s="10" t="n">
        <v>3972.9</v>
      </c>
      <c r="F74" s="8" t="s">
        <v>11</v>
      </c>
      <c r="G74" s="8" t="s">
        <v>36</v>
      </c>
      <c r="H74" s="11" t="s">
        <v>37</v>
      </c>
      <c r="I74" s="8" t="s">
        <v>14</v>
      </c>
    </row>
    <row r="75" customFormat="false" ht="14.25" hidden="false" customHeight="false" outlineLevel="0" collapsed="false">
      <c r="A75" s="8" t="n">
        <v>74</v>
      </c>
      <c r="B75" s="8" t="s">
        <v>55</v>
      </c>
      <c r="C75" s="8" t="s">
        <v>16</v>
      </c>
      <c r="D75" s="9" t="n">
        <v>43848</v>
      </c>
      <c r="E75" s="10" t="n">
        <v>-32210.13</v>
      </c>
      <c r="F75" s="8" t="s">
        <v>34</v>
      </c>
      <c r="G75" s="8" t="s">
        <v>12</v>
      </c>
      <c r="H75" s="11" t="s">
        <v>13</v>
      </c>
      <c r="I75" s="8" t="s">
        <v>26</v>
      </c>
    </row>
    <row r="76" customFormat="false" ht="14.25" hidden="false" customHeight="false" outlineLevel="0" collapsed="false">
      <c r="A76" s="8" t="n">
        <v>75</v>
      </c>
      <c r="B76" s="8" t="s">
        <v>27</v>
      </c>
      <c r="C76" s="8" t="s">
        <v>16</v>
      </c>
      <c r="D76" s="9" t="n">
        <v>43848</v>
      </c>
      <c r="E76" s="10" t="n">
        <v>3136.5</v>
      </c>
      <c r="F76" s="8" t="s">
        <v>11</v>
      </c>
      <c r="G76" s="8" t="s">
        <v>12</v>
      </c>
      <c r="H76" s="11" t="s">
        <v>13</v>
      </c>
      <c r="I76" s="8" t="s">
        <v>26</v>
      </c>
    </row>
    <row r="77" customFormat="false" ht="14.25" hidden="false" customHeight="false" outlineLevel="0" collapsed="false">
      <c r="A77" s="8" t="n">
        <v>76</v>
      </c>
      <c r="B77" s="8" t="s">
        <v>55</v>
      </c>
      <c r="C77" s="8" t="s">
        <v>21</v>
      </c>
      <c r="D77" s="9" t="n">
        <v>43848</v>
      </c>
      <c r="E77" s="10" t="n">
        <v>5737.7</v>
      </c>
      <c r="F77" s="8" t="s">
        <v>11</v>
      </c>
      <c r="G77" s="8" t="s">
        <v>12</v>
      </c>
      <c r="H77" s="11" t="s">
        <v>13</v>
      </c>
      <c r="I77" s="8" t="s">
        <v>26</v>
      </c>
    </row>
    <row r="78" customFormat="false" ht="14.25" hidden="false" customHeight="false" outlineLevel="0" collapsed="false">
      <c r="A78" s="8" t="n">
        <v>77</v>
      </c>
      <c r="B78" s="8" t="s">
        <v>55</v>
      </c>
      <c r="C78" s="8" t="s">
        <v>10</v>
      </c>
      <c r="D78" s="9" t="n">
        <v>43848</v>
      </c>
      <c r="E78" s="10" t="n">
        <v>3214.87</v>
      </c>
      <c r="F78" s="8" t="s">
        <v>11</v>
      </c>
      <c r="G78" s="8" t="s">
        <v>22</v>
      </c>
      <c r="H78" s="11" t="s">
        <v>23</v>
      </c>
      <c r="I78" s="8" t="s">
        <v>26</v>
      </c>
    </row>
    <row r="79" customFormat="false" ht="14.25" hidden="false" customHeight="false" outlineLevel="0" collapsed="false">
      <c r="A79" s="8" t="n">
        <v>78</v>
      </c>
      <c r="B79" s="8" t="s">
        <v>27</v>
      </c>
      <c r="C79" s="8" t="s">
        <v>16</v>
      </c>
      <c r="D79" s="9" t="n">
        <v>43848</v>
      </c>
      <c r="E79" s="10" t="n">
        <v>131033.88</v>
      </c>
      <c r="F79" s="8" t="s">
        <v>11</v>
      </c>
      <c r="G79" s="8" t="s">
        <v>22</v>
      </c>
      <c r="H79" s="11" t="s">
        <v>23</v>
      </c>
      <c r="I79" s="8" t="s">
        <v>24</v>
      </c>
    </row>
    <row r="80" customFormat="false" ht="14.25" hidden="false" customHeight="false" outlineLevel="0" collapsed="false">
      <c r="A80" s="8" t="n">
        <v>79</v>
      </c>
      <c r="B80" s="8" t="s">
        <v>27</v>
      </c>
      <c r="C80" s="8" t="s">
        <v>28</v>
      </c>
      <c r="D80" s="9" t="n">
        <v>43848</v>
      </c>
      <c r="E80" s="10" t="n">
        <v>-4756.57</v>
      </c>
      <c r="F80" s="8" t="s">
        <v>34</v>
      </c>
      <c r="G80" s="8" t="s">
        <v>12</v>
      </c>
      <c r="H80" s="11" t="s">
        <v>13</v>
      </c>
      <c r="I80" s="8" t="s">
        <v>24</v>
      </c>
    </row>
    <row r="81" customFormat="false" ht="14.25" hidden="false" customHeight="false" outlineLevel="0" collapsed="false">
      <c r="A81" s="8" t="n">
        <v>80</v>
      </c>
      <c r="B81" s="8" t="s">
        <v>50</v>
      </c>
      <c r="C81" s="8" t="s">
        <v>10</v>
      </c>
      <c r="D81" s="9" t="n">
        <v>43849</v>
      </c>
      <c r="E81" s="10" t="n">
        <v>1519.71</v>
      </c>
      <c r="F81" s="8" t="s">
        <v>11</v>
      </c>
      <c r="G81" s="8" t="s">
        <v>12</v>
      </c>
      <c r="H81" s="11" t="s">
        <v>13</v>
      </c>
      <c r="I81" s="8" t="s">
        <v>14</v>
      </c>
    </row>
    <row r="82" customFormat="false" ht="14.25" hidden="false" customHeight="false" outlineLevel="0" collapsed="false">
      <c r="A82" s="8" t="n">
        <v>81</v>
      </c>
      <c r="B82" s="8" t="s">
        <v>25</v>
      </c>
      <c r="C82" s="8" t="s">
        <v>10</v>
      </c>
      <c r="D82" s="9" t="n">
        <v>43849</v>
      </c>
      <c r="E82" s="10" t="n">
        <v>173417</v>
      </c>
      <c r="F82" s="8" t="s">
        <v>11</v>
      </c>
      <c r="G82" s="8" t="s">
        <v>12</v>
      </c>
      <c r="H82" s="11" t="s">
        <v>13</v>
      </c>
      <c r="I82" s="8" t="s">
        <v>14</v>
      </c>
    </row>
    <row r="83" customFormat="false" ht="14.25" hidden="false" customHeight="false" outlineLevel="0" collapsed="false">
      <c r="A83" s="8" t="n">
        <v>82</v>
      </c>
      <c r="B83" s="8" t="s">
        <v>15</v>
      </c>
      <c r="C83" s="8" t="s">
        <v>28</v>
      </c>
      <c r="D83" s="9" t="n">
        <v>43849</v>
      </c>
      <c r="E83" s="10" t="n">
        <v>5576</v>
      </c>
      <c r="F83" s="8" t="s">
        <v>11</v>
      </c>
      <c r="G83" s="8" t="s">
        <v>12</v>
      </c>
      <c r="H83" s="11" t="s">
        <v>13</v>
      </c>
      <c r="I83" s="8" t="s">
        <v>14</v>
      </c>
    </row>
    <row r="84" customFormat="false" ht="14.25" hidden="false" customHeight="false" outlineLevel="0" collapsed="false">
      <c r="A84" s="8" t="n">
        <v>83</v>
      </c>
      <c r="B84" s="8" t="s">
        <v>56</v>
      </c>
      <c r="C84" s="8" t="s">
        <v>16</v>
      </c>
      <c r="D84" s="9" t="n">
        <v>43850</v>
      </c>
      <c r="E84" s="10" t="n">
        <v>5576</v>
      </c>
      <c r="F84" s="8" t="s">
        <v>11</v>
      </c>
      <c r="G84" s="8" t="s">
        <v>12</v>
      </c>
      <c r="H84" s="11" t="s">
        <v>13</v>
      </c>
      <c r="I84" s="8" t="s">
        <v>26</v>
      </c>
    </row>
    <row r="85" customFormat="false" ht="14.25" hidden="false" customHeight="false" outlineLevel="0" collapsed="false">
      <c r="A85" s="8" t="n">
        <v>84</v>
      </c>
      <c r="B85" s="8" t="s">
        <v>56</v>
      </c>
      <c r="C85" s="8" t="s">
        <v>10</v>
      </c>
      <c r="D85" s="9" t="n">
        <v>43850</v>
      </c>
      <c r="E85" s="10" t="n">
        <v>962.1</v>
      </c>
      <c r="F85" s="8" t="s">
        <v>11</v>
      </c>
      <c r="G85" s="8" t="s">
        <v>36</v>
      </c>
      <c r="H85" s="11" t="s">
        <v>37</v>
      </c>
      <c r="I85" s="8" t="s">
        <v>26</v>
      </c>
    </row>
    <row r="86" customFormat="false" ht="14.25" hidden="false" customHeight="false" outlineLevel="0" collapsed="false">
      <c r="A86" s="8" t="n">
        <v>85</v>
      </c>
      <c r="B86" s="8" t="s">
        <v>56</v>
      </c>
      <c r="C86" s="8" t="s">
        <v>21</v>
      </c>
      <c r="D86" s="9" t="n">
        <v>43850</v>
      </c>
      <c r="E86" s="10" t="n">
        <v>-85596.63</v>
      </c>
      <c r="F86" s="8" t="s">
        <v>34</v>
      </c>
      <c r="G86" s="8" t="s">
        <v>17</v>
      </c>
      <c r="H86" s="11" t="s">
        <v>18</v>
      </c>
      <c r="I86" s="8" t="s">
        <v>24</v>
      </c>
    </row>
    <row r="87" customFormat="false" ht="14.25" hidden="false" customHeight="false" outlineLevel="0" collapsed="false">
      <c r="A87" s="8" t="n">
        <v>86</v>
      </c>
      <c r="B87" s="8" t="s">
        <v>32</v>
      </c>
      <c r="C87" s="8" t="s">
        <v>10</v>
      </c>
      <c r="D87" s="9" t="n">
        <v>43854</v>
      </c>
      <c r="E87" s="10" t="n">
        <v>182281.2</v>
      </c>
      <c r="F87" s="8" t="s">
        <v>11</v>
      </c>
      <c r="G87" s="8" t="s">
        <v>17</v>
      </c>
      <c r="H87" s="11" t="s">
        <v>18</v>
      </c>
      <c r="I87" s="8" t="s">
        <v>26</v>
      </c>
    </row>
    <row r="88" customFormat="false" ht="14.25" hidden="false" customHeight="false" outlineLevel="0" collapsed="false">
      <c r="A88" s="8" t="n">
        <v>87</v>
      </c>
      <c r="B88" s="8" t="s">
        <v>32</v>
      </c>
      <c r="C88" s="8" t="s">
        <v>16</v>
      </c>
      <c r="D88" s="9" t="n">
        <v>43854</v>
      </c>
      <c r="E88" s="10" t="n">
        <v>6426.12</v>
      </c>
      <c r="F88" s="8" t="s">
        <v>11</v>
      </c>
      <c r="G88" s="8" t="s">
        <v>12</v>
      </c>
      <c r="H88" s="11" t="s">
        <v>13</v>
      </c>
      <c r="I88" s="8" t="s">
        <v>14</v>
      </c>
    </row>
    <row r="89" customFormat="false" ht="14.25" hidden="false" customHeight="false" outlineLevel="0" collapsed="false">
      <c r="A89" s="8" t="n">
        <v>88</v>
      </c>
      <c r="B89" s="8" t="s">
        <v>32</v>
      </c>
      <c r="C89" s="8" t="s">
        <v>16</v>
      </c>
      <c r="D89" s="9" t="n">
        <v>43854</v>
      </c>
      <c r="E89" s="10" t="n">
        <v>6426.12</v>
      </c>
      <c r="F89" s="8" t="s">
        <v>11</v>
      </c>
      <c r="G89" s="8" t="s">
        <v>12</v>
      </c>
      <c r="H89" s="11" t="s">
        <v>13</v>
      </c>
      <c r="I89" s="8" t="s">
        <v>14</v>
      </c>
    </row>
    <row r="90" customFormat="false" ht="14.25" hidden="false" customHeight="false" outlineLevel="0" collapsed="false">
      <c r="A90" s="8" t="n">
        <v>89</v>
      </c>
      <c r="B90" s="8" t="s">
        <v>57</v>
      </c>
      <c r="C90" s="8" t="s">
        <v>21</v>
      </c>
      <c r="D90" s="9" t="n">
        <v>43855</v>
      </c>
      <c r="E90" s="10" t="n">
        <v>6426.12</v>
      </c>
      <c r="F90" s="8" t="s">
        <v>11</v>
      </c>
      <c r="G90" s="8" t="s">
        <v>17</v>
      </c>
      <c r="H90" s="11" t="s">
        <v>18</v>
      </c>
      <c r="I90" s="8" t="s">
        <v>14</v>
      </c>
    </row>
    <row r="91" customFormat="false" ht="14.25" hidden="false" customHeight="false" outlineLevel="0" collapsed="false">
      <c r="A91" s="8" t="n">
        <v>90</v>
      </c>
      <c r="B91" s="8" t="s">
        <v>44</v>
      </c>
      <c r="C91" s="8" t="s">
        <v>10</v>
      </c>
      <c r="D91" s="9" t="n">
        <v>43855</v>
      </c>
      <c r="E91" s="10" t="n">
        <v>6426.12</v>
      </c>
      <c r="F91" s="8" t="s">
        <v>11</v>
      </c>
      <c r="G91" s="8" t="s">
        <v>17</v>
      </c>
      <c r="H91" s="11" t="s">
        <v>18</v>
      </c>
      <c r="I91" s="8" t="s">
        <v>14</v>
      </c>
    </row>
    <row r="92" customFormat="false" ht="14.25" hidden="false" customHeight="false" outlineLevel="0" collapsed="false">
      <c r="A92" s="8" t="n">
        <v>91</v>
      </c>
      <c r="B92" s="8" t="s">
        <v>43</v>
      </c>
      <c r="C92" s="8" t="s">
        <v>28</v>
      </c>
      <c r="D92" s="9" t="n">
        <v>43855</v>
      </c>
      <c r="E92" s="10" t="n">
        <v>6426.09</v>
      </c>
      <c r="F92" s="8" t="s">
        <v>11</v>
      </c>
      <c r="G92" s="8" t="s">
        <v>17</v>
      </c>
      <c r="H92" s="11" t="s">
        <v>18</v>
      </c>
      <c r="I92" s="8" t="s">
        <v>19</v>
      </c>
    </row>
    <row r="93" customFormat="false" ht="14.25" hidden="false" customHeight="false" outlineLevel="0" collapsed="false">
      <c r="A93" s="8" t="n">
        <v>92</v>
      </c>
      <c r="B93" s="8" t="s">
        <v>45</v>
      </c>
      <c r="C93" s="8" t="s">
        <v>10</v>
      </c>
      <c r="D93" s="9" t="n">
        <v>43855</v>
      </c>
      <c r="E93" s="10" t="n">
        <v>-1577.63</v>
      </c>
      <c r="F93" s="8" t="s">
        <v>34</v>
      </c>
      <c r="G93" s="8" t="s">
        <v>30</v>
      </c>
      <c r="H93" s="11" t="s">
        <v>31</v>
      </c>
      <c r="I93" s="8" t="s">
        <v>14</v>
      </c>
    </row>
    <row r="94" customFormat="false" ht="14.25" hidden="false" customHeight="false" outlineLevel="0" collapsed="false">
      <c r="A94" s="8" t="n">
        <v>93</v>
      </c>
      <c r="B94" s="8" t="s">
        <v>43</v>
      </c>
      <c r="C94" s="8" t="s">
        <v>10</v>
      </c>
      <c r="D94" s="9" t="n">
        <v>43855</v>
      </c>
      <c r="E94" s="10" t="n">
        <v>-1431.08</v>
      </c>
      <c r="F94" s="8" t="s">
        <v>34</v>
      </c>
      <c r="G94" s="8" t="s">
        <v>36</v>
      </c>
      <c r="H94" s="11" t="s">
        <v>37</v>
      </c>
      <c r="I94" s="8" t="s">
        <v>24</v>
      </c>
    </row>
    <row r="95" customFormat="false" ht="14.25" hidden="false" customHeight="false" outlineLevel="0" collapsed="false">
      <c r="A95" s="8" t="n">
        <v>94</v>
      </c>
      <c r="B95" s="8" t="s">
        <v>47</v>
      </c>
      <c r="C95" s="8" t="s">
        <v>10</v>
      </c>
      <c r="D95" s="9" t="n">
        <v>43855</v>
      </c>
      <c r="E95" s="10" t="n">
        <v>0</v>
      </c>
      <c r="F95" s="8" t="s">
        <v>34</v>
      </c>
      <c r="G95" s="8" t="s">
        <v>12</v>
      </c>
      <c r="H95" s="11" t="s">
        <v>13</v>
      </c>
      <c r="I95" s="8" t="s">
        <v>14</v>
      </c>
    </row>
    <row r="96" customFormat="false" ht="14.25" hidden="false" customHeight="false" outlineLevel="0" collapsed="false">
      <c r="A96" s="8" t="n">
        <v>95</v>
      </c>
      <c r="B96" s="8" t="s">
        <v>57</v>
      </c>
      <c r="C96" s="8" t="s">
        <v>16</v>
      </c>
      <c r="D96" s="9" t="n">
        <v>43855</v>
      </c>
      <c r="E96" s="10" t="n">
        <v>39898.4</v>
      </c>
      <c r="F96" s="8" t="s">
        <v>11</v>
      </c>
      <c r="G96" s="8" t="s">
        <v>36</v>
      </c>
      <c r="H96" s="11" t="s">
        <v>37</v>
      </c>
      <c r="I96" s="8" t="s">
        <v>26</v>
      </c>
    </row>
    <row r="97" customFormat="false" ht="14.25" hidden="false" customHeight="false" outlineLevel="0" collapsed="false">
      <c r="A97" s="8" t="n">
        <v>96</v>
      </c>
      <c r="B97" s="8" t="s">
        <v>44</v>
      </c>
      <c r="C97" s="8" t="s">
        <v>16</v>
      </c>
      <c r="D97" s="9" t="n">
        <v>43855</v>
      </c>
      <c r="E97" s="10" t="n">
        <v>183676.5</v>
      </c>
      <c r="F97" s="8" t="s">
        <v>11</v>
      </c>
      <c r="G97" s="8" t="s">
        <v>36</v>
      </c>
      <c r="H97" s="11" t="s">
        <v>37</v>
      </c>
      <c r="I97" s="8" t="s">
        <v>14</v>
      </c>
    </row>
    <row r="98" customFormat="false" ht="14.25" hidden="false" customHeight="false" outlineLevel="0" collapsed="false">
      <c r="A98" s="8" t="n">
        <v>97</v>
      </c>
      <c r="B98" s="8" t="s">
        <v>45</v>
      </c>
      <c r="C98" s="8" t="s">
        <v>28</v>
      </c>
      <c r="D98" s="9" t="n">
        <v>43855</v>
      </c>
      <c r="E98" s="10" t="n">
        <v>18713.37</v>
      </c>
      <c r="F98" s="8" t="s">
        <v>11</v>
      </c>
      <c r="G98" s="8" t="s">
        <v>12</v>
      </c>
      <c r="H98" s="11" t="s">
        <v>13</v>
      </c>
      <c r="I98" s="8" t="s">
        <v>26</v>
      </c>
    </row>
    <row r="99" customFormat="false" ht="14.25" hidden="false" customHeight="false" outlineLevel="0" collapsed="false">
      <c r="A99" s="8" t="n">
        <v>98</v>
      </c>
      <c r="B99" s="8" t="s">
        <v>47</v>
      </c>
      <c r="C99" s="8" t="s">
        <v>28</v>
      </c>
      <c r="D99" s="9" t="n">
        <v>43855</v>
      </c>
      <c r="E99" s="10" t="n">
        <v>20088.43</v>
      </c>
      <c r="F99" s="8" t="s">
        <v>11</v>
      </c>
      <c r="G99" s="8" t="s">
        <v>12</v>
      </c>
      <c r="H99" s="11" t="s">
        <v>13</v>
      </c>
      <c r="I99" s="8" t="s">
        <v>14</v>
      </c>
    </row>
    <row r="100" customFormat="false" ht="14.25" hidden="false" customHeight="false" outlineLevel="0" collapsed="false">
      <c r="A100" s="8" t="n">
        <v>99</v>
      </c>
      <c r="B100" s="8" t="s">
        <v>15</v>
      </c>
      <c r="C100" s="8" t="s">
        <v>28</v>
      </c>
      <c r="D100" s="9" t="n">
        <v>43856</v>
      </c>
      <c r="E100" s="10" t="n">
        <v>19280.69</v>
      </c>
      <c r="F100" s="8" t="s">
        <v>11</v>
      </c>
      <c r="G100" s="8" t="s">
        <v>36</v>
      </c>
      <c r="H100" s="11" t="s">
        <v>37</v>
      </c>
      <c r="I100" s="8" t="s">
        <v>26</v>
      </c>
    </row>
    <row r="101" customFormat="false" ht="14.25" hidden="false" customHeight="false" outlineLevel="0" collapsed="false">
      <c r="A101" s="8" t="n">
        <v>100</v>
      </c>
      <c r="B101" s="8" t="s">
        <v>15</v>
      </c>
      <c r="C101" s="8" t="s">
        <v>28</v>
      </c>
      <c r="D101" s="9" t="n">
        <v>43856</v>
      </c>
      <c r="E101" s="10" t="n">
        <v>67243.43</v>
      </c>
      <c r="F101" s="8" t="s">
        <v>11</v>
      </c>
      <c r="G101" s="8" t="s">
        <v>12</v>
      </c>
      <c r="H101" s="11" t="s">
        <v>13</v>
      </c>
      <c r="I101" s="8" t="s">
        <v>14</v>
      </c>
    </row>
    <row r="102" customFormat="false" ht="14.25" hidden="false" customHeight="false" outlineLevel="0" collapsed="false">
      <c r="A102" s="8" t="n">
        <v>101</v>
      </c>
      <c r="B102" s="8" t="s">
        <v>49</v>
      </c>
      <c r="C102" s="8" t="s">
        <v>16</v>
      </c>
      <c r="D102" s="9" t="n">
        <v>43856</v>
      </c>
      <c r="E102" s="10" t="n">
        <v>-64376.96</v>
      </c>
      <c r="F102" s="8" t="s">
        <v>34</v>
      </c>
      <c r="G102" s="8" t="s">
        <v>12</v>
      </c>
      <c r="H102" s="11" t="s">
        <v>13</v>
      </c>
      <c r="I102" s="8" t="s">
        <v>26</v>
      </c>
    </row>
    <row r="103" customFormat="false" ht="14.25" hidden="false" customHeight="false" outlineLevel="0" collapsed="false">
      <c r="A103" s="8" t="n">
        <v>102</v>
      </c>
      <c r="B103" s="8" t="s">
        <v>58</v>
      </c>
      <c r="C103" s="8" t="s">
        <v>10</v>
      </c>
      <c r="D103" s="9" t="n">
        <v>43857</v>
      </c>
      <c r="E103" s="10" t="n">
        <v>12148.43</v>
      </c>
      <c r="F103" s="8" t="s">
        <v>11</v>
      </c>
      <c r="G103" s="8" t="s">
        <v>12</v>
      </c>
      <c r="H103" s="11" t="s">
        <v>13</v>
      </c>
      <c r="I103" s="8" t="s">
        <v>26</v>
      </c>
    </row>
    <row r="104" customFormat="false" ht="14.25" hidden="false" customHeight="false" outlineLevel="0" collapsed="false">
      <c r="A104" s="8" t="n">
        <v>103</v>
      </c>
      <c r="B104" s="8" t="s">
        <v>59</v>
      </c>
      <c r="C104" s="8" t="s">
        <v>16</v>
      </c>
      <c r="D104" s="9" t="n">
        <v>43857</v>
      </c>
      <c r="E104" s="10" t="n">
        <v>14099.35</v>
      </c>
      <c r="F104" s="8" t="s">
        <v>11</v>
      </c>
      <c r="G104" s="8" t="s">
        <v>22</v>
      </c>
      <c r="H104" s="11" t="s">
        <v>23</v>
      </c>
      <c r="I104" s="8" t="s">
        <v>14</v>
      </c>
    </row>
    <row r="105" customFormat="false" ht="14.25" hidden="false" customHeight="false" outlineLevel="0" collapsed="false">
      <c r="A105" s="8" t="n">
        <v>104</v>
      </c>
      <c r="B105" s="8" t="s">
        <v>58</v>
      </c>
      <c r="C105" s="8" t="s">
        <v>16</v>
      </c>
      <c r="D105" s="9" t="n">
        <v>43857</v>
      </c>
      <c r="E105" s="10" t="n">
        <v>15106.45</v>
      </c>
      <c r="F105" s="8" t="s">
        <v>11</v>
      </c>
      <c r="G105" s="8" t="s">
        <v>12</v>
      </c>
      <c r="H105" s="11" t="s">
        <v>13</v>
      </c>
      <c r="I105" s="8" t="s">
        <v>26</v>
      </c>
    </row>
    <row r="106" customFormat="false" ht="14.25" hidden="false" customHeight="false" outlineLevel="0" collapsed="false">
      <c r="A106" s="8" t="n">
        <v>105</v>
      </c>
      <c r="B106" s="8" t="s">
        <v>59</v>
      </c>
      <c r="C106" s="8" t="s">
        <v>16</v>
      </c>
      <c r="D106" s="9" t="n">
        <v>43857</v>
      </c>
      <c r="E106" s="10" t="n">
        <v>12779.75</v>
      </c>
      <c r="F106" s="8" t="s">
        <v>11</v>
      </c>
      <c r="G106" s="8" t="s">
        <v>12</v>
      </c>
      <c r="H106" s="11" t="s">
        <v>13</v>
      </c>
      <c r="I106" s="8" t="s">
        <v>19</v>
      </c>
    </row>
    <row r="107" customFormat="false" ht="14.25" hidden="false" customHeight="false" outlineLevel="0" collapsed="false">
      <c r="A107" s="8" t="n">
        <v>106</v>
      </c>
      <c r="B107" s="8" t="s">
        <v>59</v>
      </c>
      <c r="C107" s="8" t="s">
        <v>28</v>
      </c>
      <c r="D107" s="9" t="n">
        <v>43857</v>
      </c>
      <c r="E107" s="10" t="n">
        <v>149098.62</v>
      </c>
      <c r="F107" s="8" t="s">
        <v>11</v>
      </c>
      <c r="G107" s="8" t="s">
        <v>30</v>
      </c>
      <c r="H107" s="11" t="s">
        <v>31</v>
      </c>
      <c r="I107" s="8" t="s">
        <v>26</v>
      </c>
    </row>
    <row r="108" customFormat="false" ht="14.25" hidden="false" customHeight="false" outlineLevel="0" collapsed="false">
      <c r="A108" s="8" t="n">
        <v>107</v>
      </c>
      <c r="B108" s="8" t="s">
        <v>58</v>
      </c>
      <c r="C108" s="8" t="s">
        <v>21</v>
      </c>
      <c r="D108" s="9" t="n">
        <v>43857</v>
      </c>
      <c r="E108" s="10" t="n">
        <v>13298.84</v>
      </c>
      <c r="F108" s="8" t="s">
        <v>11</v>
      </c>
      <c r="G108" s="8" t="s">
        <v>12</v>
      </c>
      <c r="H108" s="11" t="s">
        <v>13</v>
      </c>
      <c r="I108" s="8" t="s">
        <v>14</v>
      </c>
    </row>
    <row r="109" customFormat="false" ht="14.25" hidden="false" customHeight="false" outlineLevel="0" collapsed="false">
      <c r="A109" s="8" t="n">
        <v>108</v>
      </c>
      <c r="B109" s="8" t="s">
        <v>58</v>
      </c>
      <c r="C109" s="8" t="s">
        <v>28</v>
      </c>
      <c r="D109" s="9" t="n">
        <v>43857</v>
      </c>
      <c r="E109" s="10" t="n">
        <v>13294.77</v>
      </c>
      <c r="F109" s="8" t="s">
        <v>11</v>
      </c>
      <c r="G109" s="8" t="s">
        <v>36</v>
      </c>
      <c r="H109" s="11" t="s">
        <v>37</v>
      </c>
      <c r="I109" s="8" t="s">
        <v>14</v>
      </c>
    </row>
    <row r="110" customFormat="false" ht="14.25" hidden="false" customHeight="false" outlineLevel="0" collapsed="false">
      <c r="A110" s="8" t="n">
        <v>109</v>
      </c>
      <c r="B110" s="8" t="s">
        <v>59</v>
      </c>
      <c r="C110" s="8" t="s">
        <v>16</v>
      </c>
      <c r="D110" s="9" t="n">
        <v>43857</v>
      </c>
      <c r="E110" s="10" t="n">
        <v>-60985.84</v>
      </c>
      <c r="F110" s="8" t="s">
        <v>34</v>
      </c>
      <c r="G110" s="8" t="s">
        <v>12</v>
      </c>
      <c r="H110" s="11" t="s">
        <v>13</v>
      </c>
      <c r="I110" s="8" t="s">
        <v>24</v>
      </c>
    </row>
    <row r="111" customFormat="false" ht="14.25" hidden="false" customHeight="false" outlineLevel="0" collapsed="false">
      <c r="A111" s="8" t="n">
        <v>110</v>
      </c>
      <c r="B111" s="8" t="s">
        <v>59</v>
      </c>
      <c r="C111" s="8" t="s">
        <v>28</v>
      </c>
      <c r="D111" s="9" t="n">
        <v>43857</v>
      </c>
      <c r="E111" s="10" t="n">
        <v>35586.66</v>
      </c>
      <c r="F111" s="8" t="s">
        <v>11</v>
      </c>
      <c r="G111" s="8" t="s">
        <v>12</v>
      </c>
      <c r="H111" s="11" t="s">
        <v>13</v>
      </c>
      <c r="I111" s="8" t="s">
        <v>26</v>
      </c>
    </row>
    <row r="112" customFormat="false" ht="14.25" hidden="false" customHeight="false" outlineLevel="0" collapsed="false">
      <c r="A112" s="8" t="n">
        <v>111</v>
      </c>
      <c r="B112" s="8" t="s">
        <v>58</v>
      </c>
      <c r="C112" s="8" t="s">
        <v>21</v>
      </c>
      <c r="D112" s="9" t="n">
        <v>43857</v>
      </c>
      <c r="E112" s="10" t="n">
        <v>35586.66</v>
      </c>
      <c r="F112" s="8" t="s">
        <v>11</v>
      </c>
      <c r="G112" s="8" t="s">
        <v>36</v>
      </c>
      <c r="H112" s="11" t="s">
        <v>37</v>
      </c>
      <c r="I112" s="8" t="s">
        <v>26</v>
      </c>
    </row>
    <row r="113" customFormat="false" ht="14.25" hidden="false" customHeight="false" outlineLevel="0" collapsed="false">
      <c r="A113" s="8" t="n">
        <v>112</v>
      </c>
      <c r="B113" s="8" t="s">
        <v>59</v>
      </c>
      <c r="C113" s="8" t="s">
        <v>21</v>
      </c>
      <c r="D113" s="9" t="n">
        <v>43857</v>
      </c>
      <c r="E113" s="10" t="n">
        <v>35586.68</v>
      </c>
      <c r="F113" s="8" t="s">
        <v>11</v>
      </c>
      <c r="G113" s="8" t="s">
        <v>12</v>
      </c>
      <c r="H113" s="11" t="s">
        <v>13</v>
      </c>
      <c r="I113" s="8" t="s">
        <v>24</v>
      </c>
    </row>
    <row r="114" customFormat="false" ht="14.25" hidden="false" customHeight="false" outlineLevel="0" collapsed="false">
      <c r="A114" s="8" t="n">
        <v>113</v>
      </c>
      <c r="B114" s="8" t="s">
        <v>60</v>
      </c>
      <c r="C114" s="8" t="s">
        <v>21</v>
      </c>
      <c r="D114" s="9" t="n">
        <v>43860</v>
      </c>
      <c r="E114" s="10" t="n">
        <v>-1088.4</v>
      </c>
      <c r="F114" s="8" t="s">
        <v>34</v>
      </c>
      <c r="G114" s="8" t="s">
        <v>12</v>
      </c>
      <c r="H114" s="11" t="s">
        <v>13</v>
      </c>
      <c r="I114" s="8" t="s">
        <v>26</v>
      </c>
    </row>
    <row r="115" customFormat="false" ht="14.25" hidden="false" customHeight="false" outlineLevel="0" collapsed="false">
      <c r="A115" s="8" t="n">
        <v>114</v>
      </c>
      <c r="B115" s="8" t="s">
        <v>15</v>
      </c>
      <c r="C115" s="8" t="s">
        <v>21</v>
      </c>
      <c r="D115" s="9" t="n">
        <v>43860</v>
      </c>
      <c r="E115" s="10" t="n">
        <v>3545.37</v>
      </c>
      <c r="F115" s="8" t="s">
        <v>11</v>
      </c>
      <c r="G115" s="8" t="s">
        <v>12</v>
      </c>
      <c r="H115" s="11" t="s">
        <v>13</v>
      </c>
      <c r="I115" s="8" t="s">
        <v>14</v>
      </c>
    </row>
    <row r="116" customFormat="false" ht="14.25" hidden="false" customHeight="false" outlineLevel="0" collapsed="false">
      <c r="A116" s="8" t="n">
        <v>115</v>
      </c>
      <c r="B116" s="8" t="s">
        <v>39</v>
      </c>
      <c r="C116" s="8" t="s">
        <v>16</v>
      </c>
      <c r="D116" s="9" t="n">
        <v>43860</v>
      </c>
      <c r="E116" s="10" t="n">
        <v>23012.32</v>
      </c>
      <c r="F116" s="8" t="s">
        <v>11</v>
      </c>
      <c r="G116" s="8" t="s">
        <v>17</v>
      </c>
      <c r="H116" s="11" t="s">
        <v>18</v>
      </c>
      <c r="I116" s="8" t="s">
        <v>24</v>
      </c>
    </row>
    <row r="117" customFormat="false" ht="14.25" hidden="false" customHeight="false" outlineLevel="0" collapsed="false">
      <c r="A117" s="8" t="n">
        <v>116</v>
      </c>
      <c r="B117" s="8" t="s">
        <v>20</v>
      </c>
      <c r="C117" s="8" t="s">
        <v>28</v>
      </c>
      <c r="D117" s="9" t="n">
        <v>43861</v>
      </c>
      <c r="E117" s="10" t="n">
        <v>3725.2</v>
      </c>
      <c r="F117" s="8" t="s">
        <v>11</v>
      </c>
      <c r="G117" s="8" t="s">
        <v>12</v>
      </c>
      <c r="H117" s="11" t="s">
        <v>13</v>
      </c>
      <c r="I117" s="8" t="s">
        <v>14</v>
      </c>
    </row>
    <row r="118" customFormat="false" ht="14.25" hidden="false" customHeight="false" outlineLevel="0" collapsed="false">
      <c r="A118" s="8" t="n">
        <v>117</v>
      </c>
      <c r="B118" s="8" t="s">
        <v>20</v>
      </c>
      <c r="C118" s="8" t="s">
        <v>10</v>
      </c>
      <c r="D118" s="9" t="n">
        <v>43861</v>
      </c>
      <c r="E118" s="10" t="n">
        <v>20394.98</v>
      </c>
      <c r="F118" s="8" t="s">
        <v>11</v>
      </c>
      <c r="G118" s="8" t="s">
        <v>30</v>
      </c>
      <c r="H118" s="11" t="s">
        <v>31</v>
      </c>
      <c r="I118" s="8" t="s">
        <v>26</v>
      </c>
    </row>
    <row r="119" customFormat="false" ht="14.25" hidden="false" customHeight="false" outlineLevel="0" collapsed="false">
      <c r="A119" s="8" t="n">
        <v>118</v>
      </c>
      <c r="B119" s="8" t="s">
        <v>61</v>
      </c>
      <c r="C119" s="8" t="s">
        <v>16</v>
      </c>
      <c r="D119" s="9" t="n">
        <v>43861</v>
      </c>
      <c r="E119" s="10" t="n">
        <v>165831.18</v>
      </c>
      <c r="F119" s="8" t="s">
        <v>11</v>
      </c>
      <c r="G119" s="8" t="s">
        <v>12</v>
      </c>
      <c r="H119" s="11" t="s">
        <v>13</v>
      </c>
      <c r="I119" s="8" t="s">
        <v>26</v>
      </c>
    </row>
    <row r="120" customFormat="false" ht="14.25" hidden="false" customHeight="false" outlineLevel="0" collapsed="false">
      <c r="A120" s="8" t="n">
        <v>119</v>
      </c>
      <c r="B120" s="8" t="s">
        <v>62</v>
      </c>
      <c r="C120" s="8" t="s">
        <v>10</v>
      </c>
      <c r="D120" s="9" t="n">
        <v>43861</v>
      </c>
      <c r="E120" s="10" t="n">
        <v>3687.21</v>
      </c>
      <c r="F120" s="8" t="s">
        <v>11</v>
      </c>
      <c r="G120" s="8" t="s">
        <v>36</v>
      </c>
      <c r="H120" s="11" t="s">
        <v>37</v>
      </c>
      <c r="I120" s="8" t="s">
        <v>14</v>
      </c>
    </row>
    <row r="121" customFormat="false" ht="14.25" hidden="false" customHeight="false" outlineLevel="0" collapsed="false">
      <c r="A121" s="8" t="n">
        <v>120</v>
      </c>
      <c r="B121" s="8" t="s">
        <v>33</v>
      </c>
      <c r="C121" s="8" t="s">
        <v>21</v>
      </c>
      <c r="D121" s="9" t="n">
        <v>43861</v>
      </c>
      <c r="E121" s="10" t="n">
        <v>21452.97</v>
      </c>
      <c r="F121" s="8" t="s">
        <v>11</v>
      </c>
      <c r="G121" s="8" t="s">
        <v>17</v>
      </c>
      <c r="H121" s="11" t="s">
        <v>18</v>
      </c>
      <c r="I121" s="8" t="s">
        <v>24</v>
      </c>
    </row>
    <row r="122" customFormat="false" ht="14.25" hidden="false" customHeight="false" outlineLevel="0" collapsed="false">
      <c r="A122" s="8" t="n">
        <v>121</v>
      </c>
      <c r="B122" s="8" t="s">
        <v>20</v>
      </c>
      <c r="C122" s="8" t="s">
        <v>28</v>
      </c>
      <c r="D122" s="9" t="n">
        <v>43861</v>
      </c>
      <c r="E122" s="10" t="n">
        <v>72269.33</v>
      </c>
      <c r="F122" s="8" t="s">
        <v>11</v>
      </c>
      <c r="G122" s="8" t="s">
        <v>12</v>
      </c>
      <c r="H122" s="11" t="s">
        <v>13</v>
      </c>
      <c r="I122" s="8" t="s">
        <v>26</v>
      </c>
    </row>
    <row r="123" customFormat="false" ht="14.25" hidden="false" customHeight="false" outlineLevel="0" collapsed="false">
      <c r="A123" s="8" t="n">
        <v>122</v>
      </c>
      <c r="B123" s="8" t="s">
        <v>61</v>
      </c>
      <c r="C123" s="8" t="s">
        <v>28</v>
      </c>
      <c r="D123" s="9" t="n">
        <v>43861</v>
      </c>
      <c r="E123" s="10" t="n">
        <v>160739.54</v>
      </c>
      <c r="F123" s="8" t="s">
        <v>11</v>
      </c>
      <c r="G123" s="8" t="s">
        <v>12</v>
      </c>
      <c r="H123" s="11" t="s">
        <v>13</v>
      </c>
      <c r="I123" s="8" t="s">
        <v>14</v>
      </c>
    </row>
    <row r="124" customFormat="false" ht="14.25" hidden="false" customHeight="false" outlineLevel="0" collapsed="false">
      <c r="A124" s="8" t="n">
        <v>123</v>
      </c>
      <c r="B124" s="8" t="s">
        <v>62</v>
      </c>
      <c r="C124" s="8" t="s">
        <v>10</v>
      </c>
      <c r="D124" s="9" t="n">
        <v>43861</v>
      </c>
      <c r="E124" s="10" t="n">
        <v>7956.3</v>
      </c>
      <c r="F124" s="8" t="s">
        <v>11</v>
      </c>
      <c r="G124" s="8" t="s">
        <v>12</v>
      </c>
      <c r="H124" s="11" t="s">
        <v>13</v>
      </c>
      <c r="I124" s="8" t="s">
        <v>14</v>
      </c>
    </row>
    <row r="125" customFormat="false" ht="14.25" hidden="false" customHeight="false" outlineLevel="0" collapsed="false">
      <c r="A125" s="8" t="n">
        <v>124</v>
      </c>
      <c r="B125" s="8" t="s">
        <v>33</v>
      </c>
      <c r="C125" s="8" t="s">
        <v>28</v>
      </c>
      <c r="D125" s="9" t="n">
        <v>43861</v>
      </c>
      <c r="E125" s="10" t="n">
        <v>7009.77</v>
      </c>
      <c r="F125" s="8" t="s">
        <v>11</v>
      </c>
      <c r="G125" s="8" t="s">
        <v>12</v>
      </c>
      <c r="H125" s="11" t="s">
        <v>13</v>
      </c>
      <c r="I125" s="8" t="s">
        <v>14</v>
      </c>
    </row>
    <row r="126" customFormat="false" ht="14.25" hidden="false" customHeight="false" outlineLevel="0" collapsed="false">
      <c r="A126" s="8" t="n">
        <v>125</v>
      </c>
      <c r="B126" s="8" t="s">
        <v>63</v>
      </c>
      <c r="C126" s="8" t="s">
        <v>28</v>
      </c>
      <c r="D126" s="9" t="n">
        <v>43861</v>
      </c>
      <c r="E126" s="10" t="n">
        <v>7767.7</v>
      </c>
      <c r="F126" s="8" t="s">
        <v>11</v>
      </c>
      <c r="G126" s="8" t="s">
        <v>30</v>
      </c>
      <c r="H126" s="11" t="s">
        <v>31</v>
      </c>
      <c r="I126" s="8" t="s">
        <v>19</v>
      </c>
    </row>
    <row r="127" customFormat="false" ht="14.25" hidden="false" customHeight="false" outlineLevel="0" collapsed="false">
      <c r="A127" s="8" t="n">
        <v>126</v>
      </c>
      <c r="B127" s="8" t="s">
        <v>61</v>
      </c>
      <c r="C127" s="8" t="s">
        <v>16</v>
      </c>
      <c r="D127" s="9" t="n">
        <v>43861</v>
      </c>
      <c r="E127" s="10" t="n">
        <v>7467.7</v>
      </c>
      <c r="F127" s="8" t="s">
        <v>11</v>
      </c>
      <c r="G127" s="8" t="s">
        <v>22</v>
      </c>
      <c r="H127" s="11" t="s">
        <v>23</v>
      </c>
      <c r="I127" s="8" t="s">
        <v>19</v>
      </c>
    </row>
    <row r="128" customFormat="false" ht="14.25" hidden="false" customHeight="false" outlineLevel="0" collapsed="false">
      <c r="A128" s="8" t="n">
        <v>127</v>
      </c>
      <c r="B128" s="8" t="s">
        <v>62</v>
      </c>
      <c r="C128" s="8" t="s">
        <v>10</v>
      </c>
      <c r="D128" s="9" t="n">
        <v>43861</v>
      </c>
      <c r="E128" s="10" t="n">
        <v>7431.74</v>
      </c>
      <c r="F128" s="8" t="s">
        <v>11</v>
      </c>
      <c r="G128" s="8" t="s">
        <v>12</v>
      </c>
      <c r="H128" s="11" t="s">
        <v>13</v>
      </c>
      <c r="I128" s="8" t="s">
        <v>19</v>
      </c>
    </row>
    <row r="129" customFormat="false" ht="14.25" hidden="false" customHeight="false" outlineLevel="0" collapsed="false">
      <c r="A129" s="8" t="n">
        <v>128</v>
      </c>
      <c r="B129" s="8" t="s">
        <v>33</v>
      </c>
      <c r="C129" s="8" t="s">
        <v>16</v>
      </c>
      <c r="D129" s="9" t="n">
        <v>43861</v>
      </c>
      <c r="E129" s="10" t="n">
        <v>-1186.54</v>
      </c>
      <c r="F129" s="8" t="s">
        <v>34</v>
      </c>
      <c r="G129" s="8" t="s">
        <v>22</v>
      </c>
      <c r="H129" s="11" t="s">
        <v>23</v>
      </c>
      <c r="I129" s="8" t="s">
        <v>26</v>
      </c>
    </row>
    <row r="130" customFormat="false" ht="14.25" hidden="false" customHeight="false" outlineLevel="0" collapsed="false">
      <c r="A130" s="8" t="n">
        <v>129</v>
      </c>
      <c r="B130" s="8" t="s">
        <v>33</v>
      </c>
      <c r="C130" s="8" t="s">
        <v>16</v>
      </c>
      <c r="D130" s="9" t="n">
        <v>43861</v>
      </c>
      <c r="E130" s="10" t="n">
        <v>-2967.65</v>
      </c>
      <c r="F130" s="8" t="s">
        <v>34</v>
      </c>
      <c r="G130" s="8" t="s">
        <v>17</v>
      </c>
      <c r="H130" s="11" t="s">
        <v>18</v>
      </c>
      <c r="I130" s="8" t="s">
        <v>19</v>
      </c>
    </row>
    <row r="131" customFormat="false" ht="14.25" hidden="false" customHeight="false" outlineLevel="0" collapsed="false">
      <c r="A131" s="8" t="n">
        <v>130</v>
      </c>
      <c r="B131" s="8" t="s">
        <v>33</v>
      </c>
      <c r="C131" s="8" t="s">
        <v>16</v>
      </c>
      <c r="D131" s="9" t="n">
        <v>43861</v>
      </c>
      <c r="E131" s="10" t="n">
        <v>-8781.54</v>
      </c>
      <c r="F131" s="8" t="s">
        <v>34</v>
      </c>
      <c r="G131" s="8" t="s">
        <v>22</v>
      </c>
      <c r="H131" s="11" t="s">
        <v>23</v>
      </c>
      <c r="I131" s="8" t="s">
        <v>14</v>
      </c>
    </row>
    <row r="132" customFormat="false" ht="14.25" hidden="false" customHeight="false" outlineLevel="0" collapsed="false">
      <c r="A132" s="8" t="n">
        <v>131</v>
      </c>
      <c r="B132" s="8" t="s">
        <v>63</v>
      </c>
      <c r="C132" s="8" t="s">
        <v>28</v>
      </c>
      <c r="D132" s="9" t="n">
        <v>43861</v>
      </c>
      <c r="E132" s="10" t="n">
        <v>32102.08</v>
      </c>
      <c r="F132" s="8" t="s">
        <v>11</v>
      </c>
      <c r="G132" s="8" t="s">
        <v>12</v>
      </c>
      <c r="H132" s="11" t="s">
        <v>13</v>
      </c>
      <c r="I132" s="8" t="s">
        <v>19</v>
      </c>
    </row>
    <row r="133" customFormat="false" ht="14.25" hidden="false" customHeight="false" outlineLevel="0" collapsed="false">
      <c r="A133" s="8" t="n">
        <v>132</v>
      </c>
      <c r="B133" s="8" t="s">
        <v>9</v>
      </c>
      <c r="C133" s="8" t="s">
        <v>16</v>
      </c>
      <c r="D133" s="9" t="n">
        <v>43862</v>
      </c>
      <c r="E133" s="10" t="n">
        <v>26456.98</v>
      </c>
      <c r="F133" s="8" t="s">
        <v>11</v>
      </c>
      <c r="G133" s="8" t="s">
        <v>12</v>
      </c>
      <c r="H133" s="11" t="s">
        <v>13</v>
      </c>
      <c r="I133" s="8" t="s">
        <v>19</v>
      </c>
    </row>
    <row r="134" customFormat="false" ht="14.25" hidden="false" customHeight="false" outlineLevel="0" collapsed="false">
      <c r="A134" s="8" t="n">
        <v>133</v>
      </c>
      <c r="B134" s="8" t="s">
        <v>15</v>
      </c>
      <c r="C134" s="8" t="s">
        <v>21</v>
      </c>
      <c r="D134" s="9" t="n">
        <v>43862</v>
      </c>
      <c r="E134" s="10" t="n">
        <v>17170</v>
      </c>
      <c r="F134" s="8" t="s">
        <v>11</v>
      </c>
      <c r="G134" s="8" t="s">
        <v>17</v>
      </c>
      <c r="H134" s="11" t="s">
        <v>18</v>
      </c>
      <c r="I134" s="8" t="s">
        <v>26</v>
      </c>
    </row>
    <row r="135" customFormat="false" ht="14.25" hidden="false" customHeight="false" outlineLevel="0" collapsed="false">
      <c r="A135" s="8" t="n">
        <v>134</v>
      </c>
      <c r="B135" s="8" t="s">
        <v>64</v>
      </c>
      <c r="C135" s="8" t="s">
        <v>28</v>
      </c>
      <c r="D135" s="9" t="n">
        <v>43863</v>
      </c>
      <c r="E135" s="10" t="n">
        <v>27529.6</v>
      </c>
      <c r="F135" s="8" t="s">
        <v>11</v>
      </c>
      <c r="G135" s="8" t="s">
        <v>36</v>
      </c>
      <c r="H135" s="11" t="s">
        <v>37</v>
      </c>
      <c r="I135" s="8" t="s">
        <v>14</v>
      </c>
    </row>
    <row r="136" customFormat="false" ht="14.25" hidden="false" customHeight="false" outlineLevel="0" collapsed="false">
      <c r="A136" s="8" t="n">
        <v>135</v>
      </c>
      <c r="B136" s="8" t="s">
        <v>64</v>
      </c>
      <c r="C136" s="8" t="s">
        <v>21</v>
      </c>
      <c r="D136" s="9" t="n">
        <v>43863</v>
      </c>
      <c r="E136" s="10" t="n">
        <v>17170</v>
      </c>
      <c r="F136" s="8" t="s">
        <v>11</v>
      </c>
      <c r="G136" s="8" t="s">
        <v>17</v>
      </c>
      <c r="H136" s="11" t="s">
        <v>18</v>
      </c>
      <c r="I136" s="8" t="s">
        <v>24</v>
      </c>
    </row>
    <row r="137" customFormat="false" ht="14.25" hidden="false" customHeight="false" outlineLevel="0" collapsed="false">
      <c r="A137" s="8" t="n">
        <v>136</v>
      </c>
      <c r="B137" s="8" t="s">
        <v>15</v>
      </c>
      <c r="C137" s="8" t="s">
        <v>10</v>
      </c>
      <c r="D137" s="9" t="n">
        <v>43863</v>
      </c>
      <c r="E137" s="10" t="n">
        <v>26489.33</v>
      </c>
      <c r="F137" s="8" t="s">
        <v>11</v>
      </c>
      <c r="G137" s="8" t="s">
        <v>12</v>
      </c>
      <c r="H137" s="11" t="s">
        <v>13</v>
      </c>
      <c r="I137" s="8" t="s">
        <v>26</v>
      </c>
    </row>
    <row r="138" customFormat="false" ht="14.25" hidden="false" customHeight="false" outlineLevel="0" collapsed="false">
      <c r="A138" s="8" t="n">
        <v>137</v>
      </c>
      <c r="B138" s="8" t="s">
        <v>15</v>
      </c>
      <c r="C138" s="8" t="s">
        <v>10</v>
      </c>
      <c r="D138" s="9" t="n">
        <v>43863</v>
      </c>
      <c r="E138" s="10" t="n">
        <v>17170</v>
      </c>
      <c r="F138" s="8" t="s">
        <v>11</v>
      </c>
      <c r="G138" s="8" t="s">
        <v>12</v>
      </c>
      <c r="H138" s="11" t="s">
        <v>13</v>
      </c>
      <c r="I138" s="8" t="s">
        <v>26</v>
      </c>
    </row>
    <row r="139" customFormat="false" ht="14.25" hidden="false" customHeight="false" outlineLevel="0" collapsed="false">
      <c r="A139" s="8" t="n">
        <v>138</v>
      </c>
      <c r="B139" s="8" t="s">
        <v>65</v>
      </c>
      <c r="C139" s="8" t="s">
        <v>28</v>
      </c>
      <c r="D139" s="9" t="n">
        <v>43864</v>
      </c>
      <c r="E139" s="10" t="n">
        <v>17170</v>
      </c>
      <c r="F139" s="8" t="s">
        <v>11</v>
      </c>
      <c r="G139" s="8" t="s">
        <v>12</v>
      </c>
      <c r="H139" s="11" t="s">
        <v>13</v>
      </c>
      <c r="I139" s="8" t="s">
        <v>19</v>
      </c>
    </row>
    <row r="140" customFormat="false" ht="14.25" hidden="false" customHeight="false" outlineLevel="0" collapsed="false">
      <c r="A140" s="8" t="n">
        <v>139</v>
      </c>
      <c r="B140" s="8" t="s">
        <v>40</v>
      </c>
      <c r="C140" s="8" t="s">
        <v>10</v>
      </c>
      <c r="D140" s="9" t="n">
        <v>43864</v>
      </c>
      <c r="E140" s="10" t="n">
        <v>25124.57</v>
      </c>
      <c r="F140" s="8" t="s">
        <v>11</v>
      </c>
      <c r="G140" s="8" t="s">
        <v>12</v>
      </c>
      <c r="H140" s="11" t="s">
        <v>13</v>
      </c>
      <c r="I140" s="8" t="s">
        <v>24</v>
      </c>
    </row>
    <row r="141" customFormat="false" ht="14.25" hidden="false" customHeight="false" outlineLevel="0" collapsed="false">
      <c r="A141" s="8" t="n">
        <v>140</v>
      </c>
      <c r="B141" s="8" t="s">
        <v>66</v>
      </c>
      <c r="C141" s="8" t="s">
        <v>21</v>
      </c>
      <c r="D141" s="9" t="n">
        <v>43864</v>
      </c>
      <c r="E141" s="10" t="n">
        <v>27543.76</v>
      </c>
      <c r="F141" s="8" t="s">
        <v>11</v>
      </c>
      <c r="G141" s="8" t="s">
        <v>36</v>
      </c>
      <c r="H141" s="11" t="s">
        <v>37</v>
      </c>
      <c r="I141" s="8" t="s">
        <v>14</v>
      </c>
    </row>
    <row r="142" customFormat="false" ht="14.25" hidden="false" customHeight="false" outlineLevel="0" collapsed="false">
      <c r="A142" s="8" t="n">
        <v>141</v>
      </c>
      <c r="B142" s="8" t="s">
        <v>66</v>
      </c>
      <c r="C142" s="8" t="s">
        <v>21</v>
      </c>
      <c r="D142" s="9" t="n">
        <v>43864</v>
      </c>
      <c r="E142" s="10" t="n">
        <v>-2060.77</v>
      </c>
      <c r="F142" s="8" t="s">
        <v>34</v>
      </c>
      <c r="G142" s="8" t="s">
        <v>17</v>
      </c>
      <c r="H142" s="11" t="s">
        <v>18</v>
      </c>
      <c r="I142" s="8" t="s">
        <v>19</v>
      </c>
    </row>
    <row r="143" customFormat="false" ht="14.25" hidden="false" customHeight="false" outlineLevel="0" collapsed="false">
      <c r="A143" s="8" t="n">
        <v>142</v>
      </c>
      <c r="B143" s="8" t="s">
        <v>66</v>
      </c>
      <c r="C143" s="8" t="s">
        <v>28</v>
      </c>
      <c r="D143" s="9" t="n">
        <v>43864</v>
      </c>
      <c r="E143" s="10" t="n">
        <v>-1607.8</v>
      </c>
      <c r="F143" s="8" t="s">
        <v>34</v>
      </c>
      <c r="G143" s="8" t="s">
        <v>12</v>
      </c>
      <c r="H143" s="11" t="s">
        <v>13</v>
      </c>
      <c r="I143" s="8" t="s">
        <v>19</v>
      </c>
    </row>
    <row r="144" customFormat="false" ht="14.25" hidden="false" customHeight="false" outlineLevel="0" collapsed="false">
      <c r="A144" s="8" t="n">
        <v>143</v>
      </c>
      <c r="B144" s="8" t="s">
        <v>66</v>
      </c>
      <c r="C144" s="8" t="s">
        <v>16</v>
      </c>
      <c r="D144" s="9" t="n">
        <v>43864</v>
      </c>
      <c r="E144" s="10" t="n">
        <v>4465.05</v>
      </c>
      <c r="F144" s="8" t="s">
        <v>11</v>
      </c>
      <c r="G144" s="8" t="s">
        <v>12</v>
      </c>
      <c r="H144" s="11" t="s">
        <v>13</v>
      </c>
      <c r="I144" s="8" t="s">
        <v>14</v>
      </c>
    </row>
    <row r="145" customFormat="false" ht="14.25" hidden="false" customHeight="false" outlineLevel="0" collapsed="false">
      <c r="A145" s="8" t="n">
        <v>144</v>
      </c>
      <c r="B145" s="8" t="s">
        <v>66</v>
      </c>
      <c r="C145" s="8" t="s">
        <v>28</v>
      </c>
      <c r="D145" s="9" t="n">
        <v>43864</v>
      </c>
      <c r="E145" s="10" t="n">
        <v>-3318.67</v>
      </c>
      <c r="F145" s="8" t="s">
        <v>34</v>
      </c>
      <c r="G145" s="8" t="s">
        <v>12</v>
      </c>
      <c r="H145" s="11" t="s">
        <v>13</v>
      </c>
      <c r="I145" s="8" t="s">
        <v>26</v>
      </c>
    </row>
    <row r="146" customFormat="false" ht="14.25" hidden="false" customHeight="false" outlineLevel="0" collapsed="false">
      <c r="A146" s="8" t="n">
        <v>145</v>
      </c>
      <c r="B146" s="8" t="s">
        <v>66</v>
      </c>
      <c r="C146" s="8" t="s">
        <v>21</v>
      </c>
      <c r="D146" s="9" t="n">
        <v>43864</v>
      </c>
      <c r="E146" s="10" t="n">
        <v>-287.91</v>
      </c>
      <c r="F146" s="8" t="s">
        <v>34</v>
      </c>
      <c r="G146" s="8" t="s">
        <v>36</v>
      </c>
      <c r="H146" s="11" t="s">
        <v>37</v>
      </c>
      <c r="I146" s="8" t="s">
        <v>26</v>
      </c>
    </row>
    <row r="147" customFormat="false" ht="14.25" hidden="false" customHeight="false" outlineLevel="0" collapsed="false">
      <c r="A147" s="8" t="n">
        <v>146</v>
      </c>
      <c r="B147" s="8" t="s">
        <v>66</v>
      </c>
      <c r="C147" s="8" t="s">
        <v>10</v>
      </c>
      <c r="D147" s="9" t="n">
        <v>43864</v>
      </c>
      <c r="E147" s="10" t="n">
        <v>-96427.91</v>
      </c>
      <c r="F147" s="8" t="s">
        <v>34</v>
      </c>
      <c r="G147" s="8" t="s">
        <v>12</v>
      </c>
      <c r="H147" s="11" t="s">
        <v>13</v>
      </c>
      <c r="I147" s="8" t="s">
        <v>14</v>
      </c>
    </row>
    <row r="148" customFormat="false" ht="14.25" hidden="false" customHeight="false" outlineLevel="0" collapsed="false">
      <c r="A148" s="8" t="n">
        <v>147</v>
      </c>
      <c r="B148" s="8" t="s">
        <v>66</v>
      </c>
      <c r="C148" s="8" t="s">
        <v>28</v>
      </c>
      <c r="D148" s="9" t="n">
        <v>43864</v>
      </c>
      <c r="E148" s="10" t="n">
        <v>1576760.85</v>
      </c>
      <c r="F148" s="8" t="s">
        <v>11</v>
      </c>
      <c r="G148" s="8" t="s">
        <v>17</v>
      </c>
      <c r="H148" s="11" t="s">
        <v>18</v>
      </c>
      <c r="I148" s="8" t="s">
        <v>14</v>
      </c>
    </row>
    <row r="149" customFormat="false" ht="14.25" hidden="false" customHeight="false" outlineLevel="0" collapsed="false">
      <c r="A149" s="8" t="n">
        <v>148</v>
      </c>
      <c r="B149" s="8" t="s">
        <v>66</v>
      </c>
      <c r="C149" s="8" t="s">
        <v>10</v>
      </c>
      <c r="D149" s="9" t="n">
        <v>43864</v>
      </c>
      <c r="E149" s="10" t="n">
        <v>19909.09</v>
      </c>
      <c r="F149" s="8" t="s">
        <v>11</v>
      </c>
      <c r="G149" s="8" t="s">
        <v>17</v>
      </c>
      <c r="H149" s="11" t="s">
        <v>18</v>
      </c>
      <c r="I149" s="8" t="s">
        <v>19</v>
      </c>
    </row>
    <row r="150" customFormat="false" ht="14.25" hidden="false" customHeight="false" outlineLevel="0" collapsed="false">
      <c r="A150" s="8" t="n">
        <v>149</v>
      </c>
      <c r="B150" s="8" t="s">
        <v>67</v>
      </c>
      <c r="C150" s="8" t="s">
        <v>28</v>
      </c>
      <c r="D150" s="9" t="n">
        <v>43867</v>
      </c>
      <c r="E150" s="10" t="n">
        <v>19935.13</v>
      </c>
      <c r="F150" s="8" t="s">
        <v>11</v>
      </c>
      <c r="G150" s="8" t="s">
        <v>12</v>
      </c>
      <c r="H150" s="11" t="s">
        <v>13</v>
      </c>
      <c r="I150" s="8" t="s">
        <v>14</v>
      </c>
    </row>
    <row r="151" customFormat="false" ht="14.25" hidden="false" customHeight="false" outlineLevel="0" collapsed="false">
      <c r="A151" s="8" t="n">
        <v>150</v>
      </c>
      <c r="B151" s="8" t="s">
        <v>68</v>
      </c>
      <c r="C151" s="8" t="s">
        <v>10</v>
      </c>
      <c r="D151" s="9" t="n">
        <v>43867</v>
      </c>
      <c r="E151" s="10" t="n">
        <v>19550</v>
      </c>
      <c r="F151" s="8" t="s">
        <v>11</v>
      </c>
      <c r="G151" s="8" t="s">
        <v>22</v>
      </c>
      <c r="H151" s="11" t="s">
        <v>23</v>
      </c>
      <c r="I151" s="8" t="s">
        <v>14</v>
      </c>
    </row>
    <row r="152" customFormat="false" ht="14.25" hidden="false" customHeight="false" outlineLevel="0" collapsed="false">
      <c r="A152" s="8" t="n">
        <v>151</v>
      </c>
      <c r="B152" s="8" t="s">
        <v>69</v>
      </c>
      <c r="C152" s="8" t="s">
        <v>10</v>
      </c>
      <c r="D152" s="9" t="n">
        <v>43867</v>
      </c>
      <c r="E152" s="10" t="n">
        <v>140608.28</v>
      </c>
      <c r="F152" s="8" t="s">
        <v>11</v>
      </c>
      <c r="G152" s="8" t="s">
        <v>12</v>
      </c>
      <c r="H152" s="11" t="s">
        <v>13</v>
      </c>
      <c r="I152" s="8" t="s">
        <v>14</v>
      </c>
    </row>
    <row r="153" customFormat="false" ht="14.25" hidden="false" customHeight="false" outlineLevel="0" collapsed="false">
      <c r="A153" s="8" t="n">
        <v>152</v>
      </c>
      <c r="B153" s="8" t="s">
        <v>70</v>
      </c>
      <c r="C153" s="8" t="s">
        <v>28</v>
      </c>
      <c r="D153" s="9" t="n">
        <v>43867</v>
      </c>
      <c r="E153" s="10" t="n">
        <v>-38396.61</v>
      </c>
      <c r="F153" s="8" t="s">
        <v>34</v>
      </c>
      <c r="G153" s="8" t="s">
        <v>12</v>
      </c>
      <c r="H153" s="11" t="s">
        <v>13</v>
      </c>
      <c r="I153" s="8" t="s">
        <v>26</v>
      </c>
    </row>
    <row r="154" customFormat="false" ht="14.25" hidden="false" customHeight="false" outlineLevel="0" collapsed="false">
      <c r="A154" s="8" t="n">
        <v>153</v>
      </c>
      <c r="B154" s="8" t="s">
        <v>71</v>
      </c>
      <c r="C154" s="8" t="s">
        <v>10</v>
      </c>
      <c r="D154" s="9" t="n">
        <v>43867</v>
      </c>
      <c r="E154" s="10" t="n">
        <v>-5700.31</v>
      </c>
      <c r="F154" s="8" t="s">
        <v>34</v>
      </c>
      <c r="G154" s="8" t="s">
        <v>17</v>
      </c>
      <c r="H154" s="11" t="s">
        <v>18</v>
      </c>
      <c r="I154" s="8" t="s">
        <v>19</v>
      </c>
    </row>
    <row r="155" customFormat="false" ht="14.25" hidden="false" customHeight="false" outlineLevel="0" collapsed="false">
      <c r="A155" s="8" t="n">
        <v>154</v>
      </c>
      <c r="B155" s="8" t="s">
        <v>15</v>
      </c>
      <c r="C155" s="8" t="s">
        <v>10</v>
      </c>
      <c r="D155" s="9" t="n">
        <v>43867</v>
      </c>
      <c r="E155" s="10" t="n">
        <v>-4607.16</v>
      </c>
      <c r="F155" s="8" t="s">
        <v>34</v>
      </c>
      <c r="G155" s="8" t="s">
        <v>12</v>
      </c>
      <c r="H155" s="11" t="s">
        <v>13</v>
      </c>
      <c r="I155" s="8" t="s">
        <v>14</v>
      </c>
    </row>
    <row r="156" customFormat="false" ht="14.25" hidden="false" customHeight="false" outlineLevel="0" collapsed="false">
      <c r="A156" s="8" t="n">
        <v>155</v>
      </c>
      <c r="B156" s="8" t="s">
        <v>32</v>
      </c>
      <c r="C156" s="8" t="s">
        <v>16</v>
      </c>
      <c r="D156" s="9" t="n">
        <v>43867</v>
      </c>
      <c r="E156" s="10" t="n">
        <v>19985.77</v>
      </c>
      <c r="F156" s="8" t="s">
        <v>11</v>
      </c>
      <c r="G156" s="8" t="s">
        <v>12</v>
      </c>
      <c r="H156" s="11" t="s">
        <v>13</v>
      </c>
      <c r="I156" s="8" t="s">
        <v>26</v>
      </c>
    </row>
    <row r="157" customFormat="false" ht="14.25" hidden="false" customHeight="false" outlineLevel="0" collapsed="false">
      <c r="A157" s="8" t="n">
        <v>156</v>
      </c>
      <c r="B157" s="8" t="s">
        <v>27</v>
      </c>
      <c r="C157" s="8" t="s">
        <v>10</v>
      </c>
      <c r="D157" s="9" t="n">
        <v>43868</v>
      </c>
      <c r="E157" s="10" t="n">
        <v>19778.37</v>
      </c>
      <c r="F157" s="8" t="s">
        <v>11</v>
      </c>
      <c r="G157" s="8" t="s">
        <v>12</v>
      </c>
      <c r="H157" s="11" t="s">
        <v>13</v>
      </c>
      <c r="I157" s="8" t="s">
        <v>14</v>
      </c>
    </row>
    <row r="158" customFormat="false" ht="14.25" hidden="false" customHeight="false" outlineLevel="0" collapsed="false">
      <c r="A158" s="8" t="n">
        <v>157</v>
      </c>
      <c r="B158" s="8" t="s">
        <v>27</v>
      </c>
      <c r="C158" s="8" t="s">
        <v>10</v>
      </c>
      <c r="D158" s="9" t="n">
        <v>43868</v>
      </c>
      <c r="E158" s="10" t="n">
        <v>17733.73</v>
      </c>
      <c r="F158" s="8" t="s">
        <v>11</v>
      </c>
      <c r="G158" s="8" t="s">
        <v>17</v>
      </c>
      <c r="H158" s="11" t="s">
        <v>18</v>
      </c>
      <c r="I158" s="8" t="s">
        <v>26</v>
      </c>
    </row>
    <row r="159" customFormat="false" ht="14.25" hidden="false" customHeight="false" outlineLevel="0" collapsed="false">
      <c r="A159" s="8" t="n">
        <v>158</v>
      </c>
      <c r="B159" s="8" t="s">
        <v>27</v>
      </c>
      <c r="C159" s="8" t="s">
        <v>10</v>
      </c>
      <c r="D159" s="9" t="n">
        <v>43868</v>
      </c>
      <c r="E159" s="10" t="n">
        <v>1730526.51</v>
      </c>
      <c r="F159" s="8" t="s">
        <v>11</v>
      </c>
      <c r="G159" s="8" t="s">
        <v>12</v>
      </c>
      <c r="H159" s="11" t="s">
        <v>13</v>
      </c>
      <c r="I159" s="8" t="s">
        <v>26</v>
      </c>
    </row>
    <row r="160" customFormat="false" ht="14.25" hidden="false" customHeight="false" outlineLevel="0" collapsed="false">
      <c r="A160" s="8" t="n">
        <v>159</v>
      </c>
      <c r="B160" s="8" t="s">
        <v>27</v>
      </c>
      <c r="C160" s="8" t="s">
        <v>16</v>
      </c>
      <c r="D160" s="9" t="n">
        <v>43868</v>
      </c>
      <c r="E160" s="10" t="n">
        <v>4475.04</v>
      </c>
      <c r="F160" s="8" t="s">
        <v>11</v>
      </c>
      <c r="G160" s="8" t="s">
        <v>22</v>
      </c>
      <c r="H160" s="11" t="s">
        <v>23</v>
      </c>
      <c r="I160" s="8" t="s">
        <v>26</v>
      </c>
    </row>
    <row r="161" customFormat="false" ht="14.25" hidden="false" customHeight="false" outlineLevel="0" collapsed="false">
      <c r="A161" s="8" t="n">
        <v>160</v>
      </c>
      <c r="B161" s="8" t="s">
        <v>27</v>
      </c>
      <c r="C161" s="8" t="s">
        <v>16</v>
      </c>
      <c r="D161" s="9" t="n">
        <v>43868</v>
      </c>
      <c r="E161" s="10" t="n">
        <v>122498.41</v>
      </c>
      <c r="F161" s="8" t="s">
        <v>11</v>
      </c>
      <c r="G161" s="8" t="s">
        <v>12</v>
      </c>
      <c r="H161" s="11" t="s">
        <v>13</v>
      </c>
      <c r="I161" s="8" t="s">
        <v>26</v>
      </c>
    </row>
    <row r="162" customFormat="false" ht="14.25" hidden="false" customHeight="false" outlineLevel="0" collapsed="false">
      <c r="A162" s="8" t="n">
        <v>161</v>
      </c>
      <c r="B162" s="8" t="s">
        <v>15</v>
      </c>
      <c r="C162" s="8" t="s">
        <v>10</v>
      </c>
      <c r="D162" s="9" t="n">
        <v>43869</v>
      </c>
      <c r="E162" s="10" t="n">
        <v>13521.8</v>
      </c>
      <c r="F162" s="8" t="s">
        <v>11</v>
      </c>
      <c r="G162" s="8" t="s">
        <v>17</v>
      </c>
      <c r="H162" s="11" t="s">
        <v>18</v>
      </c>
      <c r="I162" s="8" t="s">
        <v>26</v>
      </c>
    </row>
    <row r="163" customFormat="false" ht="14.25" hidden="false" customHeight="false" outlineLevel="0" collapsed="false">
      <c r="A163" s="8" t="n">
        <v>162</v>
      </c>
      <c r="B163" s="8" t="s">
        <v>50</v>
      </c>
      <c r="C163" s="8" t="s">
        <v>28</v>
      </c>
      <c r="D163" s="9" t="n">
        <v>43870</v>
      </c>
      <c r="E163" s="10" t="n">
        <v>-20959.47</v>
      </c>
      <c r="F163" s="8" t="s">
        <v>34</v>
      </c>
      <c r="G163" s="8" t="s">
        <v>22</v>
      </c>
      <c r="H163" s="11" t="s">
        <v>23</v>
      </c>
      <c r="I163" s="8" t="s">
        <v>14</v>
      </c>
    </row>
    <row r="164" customFormat="false" ht="14.25" hidden="false" customHeight="false" outlineLevel="0" collapsed="false">
      <c r="A164" s="8" t="n">
        <v>163</v>
      </c>
      <c r="B164" s="8" t="s">
        <v>9</v>
      </c>
      <c r="C164" s="8" t="s">
        <v>10</v>
      </c>
      <c r="D164" s="9" t="n">
        <v>43870</v>
      </c>
      <c r="E164" s="10" t="n">
        <v>153367.76</v>
      </c>
      <c r="F164" s="8" t="s">
        <v>11</v>
      </c>
      <c r="G164" s="8" t="s">
        <v>22</v>
      </c>
      <c r="H164" s="11" t="s">
        <v>23</v>
      </c>
      <c r="I164" s="8" t="s">
        <v>14</v>
      </c>
    </row>
    <row r="165" customFormat="false" ht="14.25" hidden="false" customHeight="false" outlineLevel="0" collapsed="false">
      <c r="A165" s="8" t="n">
        <v>164</v>
      </c>
      <c r="B165" s="8" t="s">
        <v>44</v>
      </c>
      <c r="C165" s="8" t="s">
        <v>21</v>
      </c>
      <c r="D165" s="9" t="n">
        <v>43870</v>
      </c>
      <c r="E165" s="10" t="n">
        <v>2578.9</v>
      </c>
      <c r="F165" s="8" t="s">
        <v>11</v>
      </c>
      <c r="G165" s="8" t="s">
        <v>36</v>
      </c>
      <c r="H165" s="11" t="s">
        <v>37</v>
      </c>
      <c r="I165" s="8" t="s">
        <v>14</v>
      </c>
    </row>
    <row r="166" customFormat="false" ht="14.25" hidden="false" customHeight="false" outlineLevel="0" collapsed="false">
      <c r="A166" s="8" t="n">
        <v>165</v>
      </c>
      <c r="B166" s="8" t="s">
        <v>72</v>
      </c>
      <c r="C166" s="8" t="s">
        <v>16</v>
      </c>
      <c r="D166" s="9" t="n">
        <v>43870</v>
      </c>
      <c r="E166" s="10" t="n">
        <v>5576</v>
      </c>
      <c r="F166" s="8" t="s">
        <v>11</v>
      </c>
      <c r="G166" s="8" t="s">
        <v>17</v>
      </c>
      <c r="H166" s="11" t="s">
        <v>18</v>
      </c>
      <c r="I166" s="8" t="s">
        <v>26</v>
      </c>
    </row>
    <row r="167" customFormat="false" ht="14.25" hidden="false" customHeight="false" outlineLevel="0" collapsed="false">
      <c r="A167" s="8" t="n">
        <v>166</v>
      </c>
      <c r="B167" s="8" t="s">
        <v>46</v>
      </c>
      <c r="C167" s="8" t="s">
        <v>10</v>
      </c>
      <c r="D167" s="9" t="n">
        <v>43870</v>
      </c>
      <c r="E167" s="10" t="n">
        <v>2439.5</v>
      </c>
      <c r="F167" s="8" t="s">
        <v>11</v>
      </c>
      <c r="G167" s="8" t="s">
        <v>12</v>
      </c>
      <c r="H167" s="11" t="s">
        <v>13</v>
      </c>
      <c r="I167" s="8" t="s">
        <v>26</v>
      </c>
    </row>
    <row r="168" customFormat="false" ht="14.25" hidden="false" customHeight="false" outlineLevel="0" collapsed="false">
      <c r="A168" s="8" t="n">
        <v>167</v>
      </c>
      <c r="B168" s="8" t="s">
        <v>45</v>
      </c>
      <c r="C168" s="8" t="s">
        <v>28</v>
      </c>
      <c r="D168" s="9" t="n">
        <v>43870</v>
      </c>
      <c r="E168" s="10" t="n">
        <v>2605830.56</v>
      </c>
      <c r="F168" s="8" t="s">
        <v>11</v>
      </c>
      <c r="G168" s="8" t="s">
        <v>36</v>
      </c>
      <c r="H168" s="11" t="s">
        <v>37</v>
      </c>
      <c r="I168" s="8" t="s">
        <v>14</v>
      </c>
    </row>
    <row r="169" customFormat="false" ht="14.25" hidden="false" customHeight="false" outlineLevel="0" collapsed="false">
      <c r="A169" s="8" t="n">
        <v>168</v>
      </c>
      <c r="B169" s="8" t="s">
        <v>44</v>
      </c>
      <c r="C169" s="8" t="s">
        <v>21</v>
      </c>
      <c r="D169" s="9" t="n">
        <v>43870</v>
      </c>
      <c r="E169" s="10" t="n">
        <v>5576</v>
      </c>
      <c r="F169" s="8" t="s">
        <v>11</v>
      </c>
      <c r="G169" s="8" t="s">
        <v>22</v>
      </c>
      <c r="H169" s="11" t="s">
        <v>23</v>
      </c>
      <c r="I169" s="8" t="s">
        <v>19</v>
      </c>
    </row>
    <row r="170" customFormat="false" ht="14.25" hidden="false" customHeight="false" outlineLevel="0" collapsed="false">
      <c r="A170" s="8" t="n">
        <v>169</v>
      </c>
      <c r="B170" s="8" t="s">
        <v>46</v>
      </c>
      <c r="C170" s="8" t="s">
        <v>16</v>
      </c>
      <c r="D170" s="9" t="n">
        <v>43870</v>
      </c>
      <c r="E170" s="10" t="n">
        <v>2439.5</v>
      </c>
      <c r="F170" s="8" t="s">
        <v>11</v>
      </c>
      <c r="G170" s="8" t="s">
        <v>22</v>
      </c>
      <c r="H170" s="11" t="s">
        <v>23</v>
      </c>
      <c r="I170" s="8" t="s">
        <v>26</v>
      </c>
    </row>
    <row r="171" customFormat="false" ht="14.25" hidden="false" customHeight="false" outlineLevel="0" collapsed="false">
      <c r="A171" s="8" t="n">
        <v>170</v>
      </c>
      <c r="B171" s="8" t="s">
        <v>72</v>
      </c>
      <c r="C171" s="8" t="s">
        <v>16</v>
      </c>
      <c r="D171" s="9" t="n">
        <v>43870</v>
      </c>
      <c r="E171" s="10" t="n">
        <v>2633.06</v>
      </c>
      <c r="F171" s="8" t="s">
        <v>11</v>
      </c>
      <c r="G171" s="8" t="s">
        <v>17</v>
      </c>
      <c r="H171" s="11" t="s">
        <v>18</v>
      </c>
      <c r="I171" s="8" t="s">
        <v>14</v>
      </c>
    </row>
    <row r="172" customFormat="false" ht="14.25" hidden="false" customHeight="false" outlineLevel="0" collapsed="false">
      <c r="A172" s="8" t="n">
        <v>171</v>
      </c>
      <c r="B172" s="8" t="s">
        <v>45</v>
      </c>
      <c r="C172" s="8" t="s">
        <v>10</v>
      </c>
      <c r="D172" s="9" t="n">
        <v>43870</v>
      </c>
      <c r="E172" s="10" t="n">
        <v>3485</v>
      </c>
      <c r="F172" s="8" t="s">
        <v>11</v>
      </c>
      <c r="G172" s="8" t="s">
        <v>17</v>
      </c>
      <c r="H172" s="11" t="s">
        <v>18</v>
      </c>
      <c r="I172" s="8" t="s">
        <v>24</v>
      </c>
    </row>
    <row r="173" customFormat="false" ht="14.25" hidden="false" customHeight="false" outlineLevel="0" collapsed="false">
      <c r="A173" s="8" t="n">
        <v>172</v>
      </c>
      <c r="B173" s="8" t="s">
        <v>41</v>
      </c>
      <c r="C173" s="8" t="s">
        <v>28</v>
      </c>
      <c r="D173" s="9" t="n">
        <v>43871</v>
      </c>
      <c r="E173" s="10" t="n">
        <v>4182</v>
      </c>
      <c r="F173" s="8" t="s">
        <v>11</v>
      </c>
      <c r="G173" s="8" t="s">
        <v>17</v>
      </c>
      <c r="H173" s="11" t="s">
        <v>18</v>
      </c>
      <c r="I173" s="8" t="s">
        <v>26</v>
      </c>
    </row>
    <row r="174" customFormat="false" ht="14.25" hidden="false" customHeight="false" outlineLevel="0" collapsed="false">
      <c r="A174" s="8" t="n">
        <v>173</v>
      </c>
      <c r="B174" s="8" t="s">
        <v>72</v>
      </c>
      <c r="C174" s="8" t="s">
        <v>16</v>
      </c>
      <c r="D174" s="9" t="n">
        <v>43871</v>
      </c>
      <c r="E174" s="10" t="n">
        <v>5924.5</v>
      </c>
      <c r="F174" s="8" t="s">
        <v>11</v>
      </c>
      <c r="G174" s="8" t="s">
        <v>12</v>
      </c>
      <c r="H174" s="11" t="s">
        <v>13</v>
      </c>
      <c r="I174" s="8" t="s">
        <v>19</v>
      </c>
    </row>
    <row r="175" customFormat="false" ht="14.25" hidden="false" customHeight="false" outlineLevel="0" collapsed="false">
      <c r="A175" s="8" t="n">
        <v>174</v>
      </c>
      <c r="B175" s="8" t="s">
        <v>38</v>
      </c>
      <c r="C175" s="8" t="s">
        <v>10</v>
      </c>
      <c r="D175" s="9" t="n">
        <v>43871</v>
      </c>
      <c r="E175" s="10" t="n">
        <v>4182</v>
      </c>
      <c r="F175" s="8" t="s">
        <v>11</v>
      </c>
      <c r="G175" s="8" t="s">
        <v>17</v>
      </c>
      <c r="H175" s="11" t="s">
        <v>18</v>
      </c>
      <c r="I175" s="8" t="s">
        <v>14</v>
      </c>
    </row>
    <row r="176" customFormat="false" ht="14.25" hidden="false" customHeight="false" outlineLevel="0" collapsed="false">
      <c r="A176" s="8" t="n">
        <v>175</v>
      </c>
      <c r="B176" s="8" t="s">
        <v>38</v>
      </c>
      <c r="C176" s="8" t="s">
        <v>10</v>
      </c>
      <c r="D176" s="9" t="n">
        <v>43871</v>
      </c>
      <c r="E176" s="10" t="n">
        <v>5924.5</v>
      </c>
      <c r="F176" s="8" t="s">
        <v>11</v>
      </c>
      <c r="G176" s="8" t="s">
        <v>12</v>
      </c>
      <c r="H176" s="11" t="s">
        <v>13</v>
      </c>
      <c r="I176" s="8" t="s">
        <v>14</v>
      </c>
    </row>
    <row r="177" customFormat="false" ht="14.25" hidden="false" customHeight="false" outlineLevel="0" collapsed="false">
      <c r="A177" s="8" t="n">
        <v>176</v>
      </c>
      <c r="B177" s="8" t="s">
        <v>72</v>
      </c>
      <c r="C177" s="8" t="s">
        <v>21</v>
      </c>
      <c r="D177" s="9" t="n">
        <v>43871</v>
      </c>
      <c r="E177" s="10" t="n">
        <v>3205.49</v>
      </c>
      <c r="F177" s="8" t="s">
        <v>11</v>
      </c>
      <c r="G177" s="8" t="s">
        <v>12</v>
      </c>
      <c r="H177" s="11" t="s">
        <v>13</v>
      </c>
      <c r="I177" s="8" t="s">
        <v>14</v>
      </c>
    </row>
    <row r="178" customFormat="false" ht="14.25" hidden="false" customHeight="false" outlineLevel="0" collapsed="false">
      <c r="A178" s="8" t="n">
        <v>177</v>
      </c>
      <c r="B178" s="8" t="s">
        <v>15</v>
      </c>
      <c r="C178" s="8" t="s">
        <v>21</v>
      </c>
      <c r="D178" s="9" t="n">
        <v>43874</v>
      </c>
      <c r="E178" s="10" t="n">
        <v>3485</v>
      </c>
      <c r="F178" s="8" t="s">
        <v>11</v>
      </c>
      <c r="G178" s="8" t="s">
        <v>36</v>
      </c>
      <c r="H178" s="11" t="s">
        <v>37</v>
      </c>
      <c r="I178" s="8" t="s">
        <v>19</v>
      </c>
    </row>
    <row r="179" customFormat="false" ht="14.25" hidden="false" customHeight="false" outlineLevel="0" collapsed="false">
      <c r="A179" s="8" t="n">
        <v>178</v>
      </c>
      <c r="B179" s="8" t="s">
        <v>73</v>
      </c>
      <c r="C179" s="8" t="s">
        <v>21</v>
      </c>
      <c r="D179" s="9" t="n">
        <v>43874</v>
      </c>
      <c r="E179" s="10" t="n">
        <v>4182</v>
      </c>
      <c r="F179" s="8" t="s">
        <v>11</v>
      </c>
      <c r="G179" s="8" t="s">
        <v>17</v>
      </c>
      <c r="H179" s="11" t="s">
        <v>18</v>
      </c>
      <c r="I179" s="8" t="s">
        <v>14</v>
      </c>
    </row>
    <row r="180" customFormat="false" ht="14.25" hidden="false" customHeight="false" outlineLevel="0" collapsed="false">
      <c r="A180" s="8" t="n">
        <v>179</v>
      </c>
      <c r="B180" s="8" t="s">
        <v>73</v>
      </c>
      <c r="C180" s="8" t="s">
        <v>16</v>
      </c>
      <c r="D180" s="9" t="n">
        <v>43874</v>
      </c>
      <c r="E180" s="10" t="n">
        <v>4182</v>
      </c>
      <c r="F180" s="8" t="s">
        <v>11</v>
      </c>
      <c r="G180" s="8" t="s">
        <v>17</v>
      </c>
      <c r="H180" s="11" t="s">
        <v>18</v>
      </c>
      <c r="I180" s="8" t="s">
        <v>14</v>
      </c>
    </row>
    <row r="181" customFormat="false" ht="14.25" hidden="false" customHeight="false" outlineLevel="0" collapsed="false">
      <c r="A181" s="8" t="n">
        <v>180</v>
      </c>
      <c r="B181" s="8" t="s">
        <v>73</v>
      </c>
      <c r="C181" s="8" t="s">
        <v>10</v>
      </c>
      <c r="D181" s="9" t="n">
        <v>43874</v>
      </c>
      <c r="E181" s="10" t="n">
        <v>3205.49</v>
      </c>
      <c r="F181" s="8" t="s">
        <v>11</v>
      </c>
      <c r="G181" s="8" t="s">
        <v>17</v>
      </c>
      <c r="H181" s="11" t="s">
        <v>18</v>
      </c>
      <c r="I181" s="8" t="s">
        <v>26</v>
      </c>
    </row>
    <row r="182" customFormat="false" ht="14.25" hidden="false" customHeight="false" outlineLevel="0" collapsed="false">
      <c r="A182" s="8" t="n">
        <v>181</v>
      </c>
      <c r="B182" s="8" t="s">
        <v>15</v>
      </c>
      <c r="C182" s="8" t="s">
        <v>16</v>
      </c>
      <c r="D182" s="9" t="n">
        <v>43875</v>
      </c>
      <c r="E182" s="10" t="n">
        <v>-68445.65</v>
      </c>
      <c r="F182" s="8" t="s">
        <v>34</v>
      </c>
      <c r="G182" s="8" t="s">
        <v>12</v>
      </c>
      <c r="H182" s="11" t="s">
        <v>13</v>
      </c>
      <c r="I182" s="8" t="s">
        <v>14</v>
      </c>
    </row>
    <row r="183" customFormat="false" ht="14.25" hidden="false" customHeight="false" outlineLevel="0" collapsed="false">
      <c r="A183" s="8" t="n">
        <v>182</v>
      </c>
      <c r="B183" s="8" t="s">
        <v>74</v>
      </c>
      <c r="C183" s="8" t="s">
        <v>16</v>
      </c>
      <c r="D183" s="9" t="n">
        <v>43876</v>
      </c>
      <c r="E183" s="10" t="n">
        <v>159952.32</v>
      </c>
      <c r="F183" s="8" t="s">
        <v>11</v>
      </c>
      <c r="G183" s="8" t="s">
        <v>17</v>
      </c>
      <c r="H183" s="11" t="s">
        <v>18</v>
      </c>
      <c r="I183" s="8" t="s">
        <v>26</v>
      </c>
    </row>
    <row r="184" customFormat="false" ht="14.25" hidden="false" customHeight="false" outlineLevel="0" collapsed="false">
      <c r="A184" s="8" t="n">
        <v>183</v>
      </c>
      <c r="B184" s="8" t="s">
        <v>15</v>
      </c>
      <c r="C184" s="8" t="s">
        <v>10</v>
      </c>
      <c r="D184" s="9" t="n">
        <v>43876</v>
      </c>
      <c r="E184" s="10" t="n">
        <v>40415.69</v>
      </c>
      <c r="F184" s="8" t="s">
        <v>11</v>
      </c>
      <c r="G184" s="8" t="s">
        <v>12</v>
      </c>
      <c r="H184" s="11" t="s">
        <v>13</v>
      </c>
      <c r="I184" s="8" t="s">
        <v>14</v>
      </c>
    </row>
    <row r="185" customFormat="false" ht="14.25" hidden="false" customHeight="false" outlineLevel="0" collapsed="false">
      <c r="A185" s="8" t="n">
        <v>184</v>
      </c>
      <c r="B185" s="8" t="s">
        <v>15</v>
      </c>
      <c r="C185" s="8" t="s">
        <v>28</v>
      </c>
      <c r="D185" s="9" t="n">
        <v>43876</v>
      </c>
      <c r="E185" s="10" t="n">
        <v>155690</v>
      </c>
      <c r="F185" s="8" t="s">
        <v>11</v>
      </c>
      <c r="G185" s="8" t="s">
        <v>12</v>
      </c>
      <c r="H185" s="11" t="s">
        <v>13</v>
      </c>
      <c r="I185" s="8" t="s">
        <v>19</v>
      </c>
    </row>
    <row r="186" customFormat="false" ht="14.25" hidden="false" customHeight="false" outlineLevel="0" collapsed="false">
      <c r="A186" s="8" t="n">
        <v>185</v>
      </c>
      <c r="B186" s="8" t="s">
        <v>51</v>
      </c>
      <c r="C186" s="8" t="s">
        <v>28</v>
      </c>
      <c r="D186" s="9" t="n">
        <v>43876</v>
      </c>
      <c r="E186" s="10" t="n">
        <v>-13543.88</v>
      </c>
      <c r="F186" s="8" t="s">
        <v>34</v>
      </c>
      <c r="G186" s="8" t="s">
        <v>17</v>
      </c>
      <c r="H186" s="11" t="s">
        <v>18</v>
      </c>
      <c r="I186" s="8" t="s">
        <v>19</v>
      </c>
    </row>
    <row r="187" customFormat="false" ht="14.25" hidden="false" customHeight="false" outlineLevel="0" collapsed="false">
      <c r="A187" s="8" t="n">
        <v>186</v>
      </c>
      <c r="B187" s="8" t="s">
        <v>59</v>
      </c>
      <c r="C187" s="8" t="s">
        <v>16</v>
      </c>
      <c r="D187" s="9" t="n">
        <v>43877</v>
      </c>
      <c r="E187" s="10" t="n">
        <v>-11510.38</v>
      </c>
      <c r="F187" s="8" t="s">
        <v>34</v>
      </c>
      <c r="G187" s="8" t="s">
        <v>12</v>
      </c>
      <c r="H187" s="11" t="s">
        <v>13</v>
      </c>
      <c r="I187" s="8" t="s">
        <v>14</v>
      </c>
    </row>
    <row r="188" customFormat="false" ht="14.25" hidden="false" customHeight="false" outlineLevel="0" collapsed="false">
      <c r="A188" s="8" t="n">
        <v>187</v>
      </c>
      <c r="B188" s="8" t="s">
        <v>75</v>
      </c>
      <c r="C188" s="8" t="s">
        <v>28</v>
      </c>
      <c r="D188" s="9" t="n">
        <v>43877</v>
      </c>
      <c r="E188" s="10" t="n">
        <v>136379.44</v>
      </c>
      <c r="F188" s="8" t="s">
        <v>11</v>
      </c>
      <c r="G188" s="8" t="s">
        <v>36</v>
      </c>
      <c r="H188" s="11" t="s">
        <v>37</v>
      </c>
      <c r="I188" s="8" t="s">
        <v>26</v>
      </c>
    </row>
    <row r="189" customFormat="false" ht="14.25" hidden="false" customHeight="false" outlineLevel="0" collapsed="false">
      <c r="A189" s="8" t="n">
        <v>188</v>
      </c>
      <c r="B189" s="8" t="s">
        <v>75</v>
      </c>
      <c r="C189" s="8" t="s">
        <v>10</v>
      </c>
      <c r="D189" s="9" t="n">
        <v>43877</v>
      </c>
      <c r="E189" s="10" t="n">
        <v>151660.17</v>
      </c>
      <c r="F189" s="8" t="s">
        <v>11</v>
      </c>
      <c r="G189" s="8" t="s">
        <v>36</v>
      </c>
      <c r="H189" s="11" t="s">
        <v>37</v>
      </c>
      <c r="I189" s="8" t="s">
        <v>26</v>
      </c>
    </row>
    <row r="190" customFormat="false" ht="14.25" hidden="false" customHeight="false" outlineLevel="0" collapsed="false">
      <c r="A190" s="8" t="n">
        <v>189</v>
      </c>
      <c r="B190" s="8" t="s">
        <v>59</v>
      </c>
      <c r="C190" s="8" t="s">
        <v>21</v>
      </c>
      <c r="D190" s="9" t="n">
        <v>43877</v>
      </c>
      <c r="E190" s="10" t="n">
        <v>13882.39</v>
      </c>
      <c r="F190" s="8" t="s">
        <v>11</v>
      </c>
      <c r="G190" s="8" t="s">
        <v>12</v>
      </c>
      <c r="H190" s="11" t="s">
        <v>13</v>
      </c>
      <c r="I190" s="8" t="s">
        <v>14</v>
      </c>
    </row>
    <row r="191" customFormat="false" ht="14.25" hidden="false" customHeight="false" outlineLevel="0" collapsed="false">
      <c r="A191" s="8" t="n">
        <v>190</v>
      </c>
      <c r="B191" s="8" t="s">
        <v>75</v>
      </c>
      <c r="C191" s="8" t="s">
        <v>10</v>
      </c>
      <c r="D191" s="9" t="n">
        <v>43877</v>
      </c>
      <c r="E191" s="10" t="n">
        <v>11822.36</v>
      </c>
      <c r="F191" s="8" t="s">
        <v>11</v>
      </c>
      <c r="G191" s="8" t="s">
        <v>36</v>
      </c>
      <c r="H191" s="11" t="s">
        <v>37</v>
      </c>
      <c r="I191" s="8" t="s">
        <v>14</v>
      </c>
    </row>
    <row r="192" customFormat="false" ht="14.25" hidden="false" customHeight="false" outlineLevel="0" collapsed="false">
      <c r="A192" s="8" t="n">
        <v>191</v>
      </c>
      <c r="B192" s="8" t="s">
        <v>59</v>
      </c>
      <c r="C192" s="8" t="s">
        <v>10</v>
      </c>
      <c r="D192" s="9" t="n">
        <v>43877</v>
      </c>
      <c r="E192" s="10" t="n">
        <v>13900.55</v>
      </c>
      <c r="F192" s="8" t="s">
        <v>11</v>
      </c>
      <c r="G192" s="8" t="s">
        <v>12</v>
      </c>
      <c r="H192" s="11" t="s">
        <v>13</v>
      </c>
      <c r="I192" s="8" t="s">
        <v>14</v>
      </c>
    </row>
    <row r="193" customFormat="false" ht="14.25" hidden="false" customHeight="false" outlineLevel="0" collapsed="false">
      <c r="A193" s="8" t="n">
        <v>192</v>
      </c>
      <c r="B193" s="8" t="s">
        <v>59</v>
      </c>
      <c r="C193" s="8" t="s">
        <v>21</v>
      </c>
      <c r="D193" s="9" t="n">
        <v>43877</v>
      </c>
      <c r="E193" s="10" t="n">
        <v>11822.36</v>
      </c>
      <c r="F193" s="8" t="s">
        <v>11</v>
      </c>
      <c r="G193" s="8" t="s">
        <v>12</v>
      </c>
      <c r="H193" s="11" t="s">
        <v>13</v>
      </c>
      <c r="I193" s="8" t="s">
        <v>26</v>
      </c>
    </row>
    <row r="194" customFormat="false" ht="14.25" hidden="false" customHeight="false" outlineLevel="0" collapsed="false">
      <c r="A194" s="8" t="n">
        <v>193</v>
      </c>
      <c r="B194" s="8" t="s">
        <v>59</v>
      </c>
      <c r="C194" s="8" t="s">
        <v>28</v>
      </c>
      <c r="D194" s="9" t="n">
        <v>43877</v>
      </c>
      <c r="E194" s="10" t="n">
        <v>11822.36</v>
      </c>
      <c r="F194" s="8" t="s">
        <v>11</v>
      </c>
      <c r="G194" s="8" t="s">
        <v>17</v>
      </c>
      <c r="H194" s="11" t="s">
        <v>18</v>
      </c>
      <c r="I194" s="8" t="s">
        <v>19</v>
      </c>
    </row>
    <row r="195" customFormat="false" ht="14.25" hidden="false" customHeight="false" outlineLevel="0" collapsed="false">
      <c r="A195" s="8" t="n">
        <v>194</v>
      </c>
      <c r="B195" s="8" t="s">
        <v>15</v>
      </c>
      <c r="C195" s="8" t="s">
        <v>10</v>
      </c>
      <c r="D195" s="9" t="n">
        <v>43878</v>
      </c>
      <c r="E195" s="10" t="n">
        <v>15195.91</v>
      </c>
      <c r="F195" s="8" t="s">
        <v>11</v>
      </c>
      <c r="G195" s="8" t="s">
        <v>12</v>
      </c>
      <c r="H195" s="11" t="s">
        <v>13</v>
      </c>
      <c r="I195" s="8" t="s">
        <v>26</v>
      </c>
    </row>
    <row r="196" customFormat="false" ht="14.25" hidden="false" customHeight="false" outlineLevel="0" collapsed="false">
      <c r="A196" s="8" t="n">
        <v>195</v>
      </c>
      <c r="B196" s="8" t="s">
        <v>39</v>
      </c>
      <c r="C196" s="8" t="s">
        <v>16</v>
      </c>
      <c r="D196" s="9" t="n">
        <v>43878</v>
      </c>
      <c r="E196" s="10" t="n">
        <v>14324.56</v>
      </c>
      <c r="F196" s="8" t="s">
        <v>11</v>
      </c>
      <c r="G196" s="8" t="s">
        <v>17</v>
      </c>
      <c r="H196" s="11" t="s">
        <v>18</v>
      </c>
      <c r="I196" s="8" t="s">
        <v>26</v>
      </c>
    </row>
    <row r="197" customFormat="false" ht="14.25" hidden="false" customHeight="false" outlineLevel="0" collapsed="false">
      <c r="A197" s="8" t="n">
        <v>196</v>
      </c>
      <c r="B197" s="8" t="s">
        <v>38</v>
      </c>
      <c r="C197" s="8" t="s">
        <v>28</v>
      </c>
      <c r="D197" s="9" t="n">
        <v>43878</v>
      </c>
      <c r="E197" s="10" t="n">
        <v>11822.36</v>
      </c>
      <c r="F197" s="8" t="s">
        <v>11</v>
      </c>
      <c r="G197" s="8" t="s">
        <v>36</v>
      </c>
      <c r="H197" s="11" t="s">
        <v>37</v>
      </c>
      <c r="I197" s="8" t="s">
        <v>19</v>
      </c>
    </row>
    <row r="198" customFormat="false" ht="14.25" hidden="false" customHeight="false" outlineLevel="0" collapsed="false">
      <c r="A198" s="8" t="n">
        <v>197</v>
      </c>
      <c r="B198" s="8" t="s">
        <v>39</v>
      </c>
      <c r="C198" s="8" t="s">
        <v>10</v>
      </c>
      <c r="D198" s="9" t="n">
        <v>43878</v>
      </c>
      <c r="E198" s="10" t="n">
        <v>11822.36</v>
      </c>
      <c r="F198" s="8" t="s">
        <v>11</v>
      </c>
      <c r="G198" s="8" t="s">
        <v>22</v>
      </c>
      <c r="H198" s="11" t="s">
        <v>23</v>
      </c>
      <c r="I198" s="8" t="s">
        <v>14</v>
      </c>
    </row>
    <row r="199" customFormat="false" ht="14.25" hidden="false" customHeight="false" outlineLevel="0" collapsed="false">
      <c r="A199" s="8" t="n">
        <v>198</v>
      </c>
      <c r="B199" s="8" t="s">
        <v>49</v>
      </c>
      <c r="C199" s="8" t="s">
        <v>28</v>
      </c>
      <c r="D199" s="9" t="n">
        <v>43878</v>
      </c>
      <c r="E199" s="10" t="n">
        <v>14315.69</v>
      </c>
      <c r="F199" s="8" t="s">
        <v>11</v>
      </c>
      <c r="G199" s="8" t="s">
        <v>30</v>
      </c>
      <c r="H199" s="11" t="s">
        <v>31</v>
      </c>
      <c r="I199" s="8" t="s">
        <v>24</v>
      </c>
    </row>
    <row r="200" customFormat="false" ht="14.25" hidden="false" customHeight="false" outlineLevel="0" collapsed="false">
      <c r="A200" s="8" t="n">
        <v>199</v>
      </c>
      <c r="B200" s="8" t="s">
        <v>76</v>
      </c>
      <c r="C200" s="8" t="s">
        <v>10</v>
      </c>
      <c r="D200" s="9" t="n">
        <v>43881</v>
      </c>
      <c r="E200" s="10" t="n">
        <v>11822.4</v>
      </c>
      <c r="F200" s="8" t="s">
        <v>11</v>
      </c>
      <c r="G200" s="8" t="s">
        <v>17</v>
      </c>
      <c r="H200" s="11" t="s">
        <v>18</v>
      </c>
      <c r="I200" s="8" t="s">
        <v>14</v>
      </c>
    </row>
    <row r="201" customFormat="false" ht="14.25" hidden="false" customHeight="false" outlineLevel="0" collapsed="false">
      <c r="A201" s="8" t="n">
        <v>200</v>
      </c>
      <c r="B201" s="8" t="s">
        <v>76</v>
      </c>
      <c r="C201" s="8" t="s">
        <v>21</v>
      </c>
      <c r="D201" s="9" t="n">
        <v>43881</v>
      </c>
      <c r="E201" s="10" t="n">
        <v>-14236.5</v>
      </c>
      <c r="F201" s="8" t="s">
        <v>34</v>
      </c>
      <c r="G201" s="8" t="s">
        <v>17</v>
      </c>
      <c r="H201" s="11" t="s">
        <v>18</v>
      </c>
      <c r="I201" s="8" t="s">
        <v>14</v>
      </c>
    </row>
    <row r="202" customFormat="false" ht="14.25" hidden="false" customHeight="false" outlineLevel="0" collapsed="false">
      <c r="A202" s="8" t="n">
        <v>201</v>
      </c>
      <c r="B202" s="8" t="s">
        <v>77</v>
      </c>
      <c r="C202" s="8" t="s">
        <v>10</v>
      </c>
      <c r="D202" s="9" t="n">
        <v>43881</v>
      </c>
      <c r="E202" s="10" t="n">
        <v>-13794.48</v>
      </c>
      <c r="F202" s="8" t="s">
        <v>34</v>
      </c>
      <c r="G202" s="8" t="s">
        <v>17</v>
      </c>
      <c r="H202" s="11" t="s">
        <v>18</v>
      </c>
      <c r="I202" s="8" t="s">
        <v>14</v>
      </c>
    </row>
    <row r="203" customFormat="false" ht="14.25" hidden="false" customHeight="false" outlineLevel="0" collapsed="false">
      <c r="A203" s="8" t="n">
        <v>202</v>
      </c>
      <c r="B203" s="8" t="s">
        <v>47</v>
      </c>
      <c r="C203" s="8" t="s">
        <v>28</v>
      </c>
      <c r="D203" s="9" t="n">
        <v>43881</v>
      </c>
      <c r="E203" s="10" t="n">
        <v>147584.21</v>
      </c>
      <c r="F203" s="8" t="s">
        <v>11</v>
      </c>
      <c r="G203" s="8" t="s">
        <v>22</v>
      </c>
      <c r="H203" s="11" t="s">
        <v>23</v>
      </c>
      <c r="I203" s="8" t="s">
        <v>14</v>
      </c>
    </row>
    <row r="204" customFormat="false" ht="14.25" hidden="false" customHeight="false" outlineLevel="0" collapsed="false">
      <c r="A204" s="8" t="n">
        <v>203</v>
      </c>
      <c r="B204" s="8" t="s">
        <v>78</v>
      </c>
      <c r="C204" s="8" t="s">
        <v>21</v>
      </c>
      <c r="D204" s="9" t="n">
        <v>43883</v>
      </c>
      <c r="E204" s="10" t="n">
        <v>172797.91</v>
      </c>
      <c r="F204" s="8" t="s">
        <v>11</v>
      </c>
      <c r="G204" s="8" t="s">
        <v>12</v>
      </c>
      <c r="H204" s="11" t="s">
        <v>13</v>
      </c>
      <c r="I204" s="8" t="s">
        <v>14</v>
      </c>
    </row>
    <row r="205" customFormat="false" ht="14.25" hidden="false" customHeight="false" outlineLevel="0" collapsed="false">
      <c r="A205" s="8" t="n">
        <v>204</v>
      </c>
      <c r="B205" s="8" t="s">
        <v>15</v>
      </c>
      <c r="C205" s="8" t="s">
        <v>21</v>
      </c>
      <c r="D205" s="9" t="n">
        <v>43883</v>
      </c>
      <c r="E205" s="10" t="n">
        <v>-13182.4</v>
      </c>
      <c r="F205" s="8" t="s">
        <v>34</v>
      </c>
      <c r="G205" s="8" t="s">
        <v>17</v>
      </c>
      <c r="H205" s="11" t="s">
        <v>18</v>
      </c>
      <c r="I205" s="8" t="s">
        <v>26</v>
      </c>
    </row>
    <row r="206" customFormat="false" ht="14.25" hidden="false" customHeight="false" outlineLevel="0" collapsed="false">
      <c r="A206" s="8" t="n">
        <v>205</v>
      </c>
      <c r="B206" s="8" t="s">
        <v>43</v>
      </c>
      <c r="C206" s="8" t="s">
        <v>28</v>
      </c>
      <c r="D206" s="9" t="n">
        <v>43883</v>
      </c>
      <c r="E206" s="10" t="n">
        <v>38593.9</v>
      </c>
      <c r="F206" s="8" t="s">
        <v>11</v>
      </c>
      <c r="G206" s="8" t="s">
        <v>22</v>
      </c>
      <c r="H206" s="11" t="s">
        <v>23</v>
      </c>
      <c r="I206" s="8" t="s">
        <v>14</v>
      </c>
    </row>
    <row r="207" customFormat="false" ht="14.25" hidden="false" customHeight="false" outlineLevel="0" collapsed="false">
      <c r="A207" s="8" t="n">
        <v>206</v>
      </c>
      <c r="B207" s="8" t="s">
        <v>44</v>
      </c>
      <c r="C207" s="8" t="s">
        <v>21</v>
      </c>
      <c r="D207" s="9" t="n">
        <v>43883</v>
      </c>
      <c r="E207" s="10" t="n">
        <v>76997.82</v>
      </c>
      <c r="F207" s="8" t="s">
        <v>11</v>
      </c>
      <c r="G207" s="8" t="s">
        <v>22</v>
      </c>
      <c r="H207" s="11" t="s">
        <v>23</v>
      </c>
      <c r="I207" s="8" t="s">
        <v>14</v>
      </c>
    </row>
    <row r="208" customFormat="false" ht="14.25" hidden="false" customHeight="false" outlineLevel="0" collapsed="false">
      <c r="A208" s="8" t="n">
        <v>207</v>
      </c>
      <c r="B208" s="8" t="s">
        <v>44</v>
      </c>
      <c r="C208" s="8" t="s">
        <v>10</v>
      </c>
      <c r="D208" s="9" t="n">
        <v>43883</v>
      </c>
      <c r="E208" s="10" t="n">
        <v>-3823.82</v>
      </c>
      <c r="F208" s="8" t="s">
        <v>34</v>
      </c>
      <c r="G208" s="8" t="s">
        <v>12</v>
      </c>
      <c r="H208" s="11" t="s">
        <v>13</v>
      </c>
      <c r="I208" s="8" t="s">
        <v>26</v>
      </c>
    </row>
    <row r="209" customFormat="false" ht="14.25" hidden="false" customHeight="false" outlineLevel="0" collapsed="false">
      <c r="A209" s="8" t="n">
        <v>208</v>
      </c>
      <c r="B209" s="8" t="s">
        <v>79</v>
      </c>
      <c r="C209" s="8" t="s">
        <v>10</v>
      </c>
      <c r="D209" s="9" t="n">
        <v>43883</v>
      </c>
      <c r="E209" s="10" t="n">
        <v>22169.61</v>
      </c>
      <c r="F209" s="8" t="s">
        <v>11</v>
      </c>
      <c r="G209" s="8" t="s">
        <v>36</v>
      </c>
      <c r="H209" s="11" t="s">
        <v>37</v>
      </c>
      <c r="I209" s="8" t="s">
        <v>19</v>
      </c>
    </row>
    <row r="210" customFormat="false" ht="14.25" hidden="false" customHeight="false" outlineLevel="0" collapsed="false">
      <c r="A210" s="8" t="n">
        <v>209</v>
      </c>
      <c r="B210" s="8" t="s">
        <v>45</v>
      </c>
      <c r="C210" s="8" t="s">
        <v>10</v>
      </c>
      <c r="D210" s="9" t="n">
        <v>43883</v>
      </c>
      <c r="E210" s="10" t="n">
        <v>20848.56</v>
      </c>
      <c r="F210" s="8" t="s">
        <v>11</v>
      </c>
      <c r="G210" s="8" t="s">
        <v>17</v>
      </c>
      <c r="H210" s="11" t="s">
        <v>18</v>
      </c>
      <c r="I210" s="8" t="s">
        <v>14</v>
      </c>
    </row>
    <row r="211" customFormat="false" ht="14.25" hidden="false" customHeight="false" outlineLevel="0" collapsed="false">
      <c r="A211" s="8" t="n">
        <v>210</v>
      </c>
      <c r="B211" s="8" t="s">
        <v>38</v>
      </c>
      <c r="C211" s="8" t="s">
        <v>28</v>
      </c>
      <c r="D211" s="9" t="n">
        <v>43883</v>
      </c>
      <c r="E211" s="10" t="n">
        <v>5484.04</v>
      </c>
      <c r="F211" s="8" t="s">
        <v>11</v>
      </c>
      <c r="G211" s="8" t="s">
        <v>12</v>
      </c>
      <c r="H211" s="11" t="s">
        <v>13</v>
      </c>
      <c r="I211" s="8" t="s">
        <v>24</v>
      </c>
    </row>
    <row r="212" customFormat="false" ht="14.25" hidden="false" customHeight="false" outlineLevel="0" collapsed="false">
      <c r="A212" s="8" t="n">
        <v>211</v>
      </c>
      <c r="B212" s="8" t="s">
        <v>72</v>
      </c>
      <c r="C212" s="8" t="s">
        <v>21</v>
      </c>
      <c r="D212" s="9" t="n">
        <v>43883</v>
      </c>
      <c r="E212" s="10" t="n">
        <v>18778.9</v>
      </c>
      <c r="F212" s="8" t="s">
        <v>11</v>
      </c>
      <c r="G212" s="8" t="s">
        <v>36</v>
      </c>
      <c r="H212" s="11" t="s">
        <v>37</v>
      </c>
      <c r="I212" s="8" t="s">
        <v>26</v>
      </c>
    </row>
    <row r="213" customFormat="false" ht="14.25" hidden="false" customHeight="false" outlineLevel="0" collapsed="false">
      <c r="A213" s="8" t="n">
        <v>212</v>
      </c>
      <c r="B213" s="8" t="s">
        <v>43</v>
      </c>
      <c r="C213" s="8" t="s">
        <v>16</v>
      </c>
      <c r="D213" s="9" t="n">
        <v>43883</v>
      </c>
      <c r="E213" s="10" t="n">
        <v>4998</v>
      </c>
      <c r="F213" s="8" t="s">
        <v>11</v>
      </c>
      <c r="G213" s="8" t="s">
        <v>12</v>
      </c>
      <c r="H213" s="11" t="s">
        <v>13</v>
      </c>
      <c r="I213" s="8" t="s">
        <v>19</v>
      </c>
    </row>
    <row r="214" customFormat="false" ht="14.25" hidden="false" customHeight="false" outlineLevel="0" collapsed="false">
      <c r="A214" s="8" t="n">
        <v>213</v>
      </c>
      <c r="B214" s="8" t="s">
        <v>72</v>
      </c>
      <c r="C214" s="8" t="s">
        <v>28</v>
      </c>
      <c r="D214" s="9" t="n">
        <v>43883</v>
      </c>
      <c r="E214" s="10" t="n">
        <v>20237.57</v>
      </c>
      <c r="F214" s="8" t="s">
        <v>11</v>
      </c>
      <c r="G214" s="8" t="s">
        <v>12</v>
      </c>
      <c r="H214" s="11" t="s">
        <v>13</v>
      </c>
      <c r="I214" s="8" t="s">
        <v>14</v>
      </c>
    </row>
    <row r="215" customFormat="false" ht="14.25" hidden="false" customHeight="false" outlineLevel="0" collapsed="false">
      <c r="A215" s="8" t="n">
        <v>214</v>
      </c>
      <c r="B215" s="8" t="s">
        <v>79</v>
      </c>
      <c r="C215" s="8" t="s">
        <v>16</v>
      </c>
      <c r="D215" s="9" t="n">
        <v>43883</v>
      </c>
      <c r="E215" s="10" t="n">
        <v>6067.69</v>
      </c>
      <c r="F215" s="8" t="s">
        <v>11</v>
      </c>
      <c r="G215" s="8" t="s">
        <v>36</v>
      </c>
      <c r="H215" s="11" t="s">
        <v>37</v>
      </c>
      <c r="I215" s="8" t="s">
        <v>26</v>
      </c>
    </row>
    <row r="216" customFormat="false" ht="14.25" hidden="false" customHeight="false" outlineLevel="0" collapsed="false">
      <c r="A216" s="8" t="n">
        <v>215</v>
      </c>
      <c r="B216" s="8" t="s">
        <v>45</v>
      </c>
      <c r="C216" s="8" t="s">
        <v>28</v>
      </c>
      <c r="D216" s="9" t="n">
        <v>43883</v>
      </c>
      <c r="E216" s="10" t="n">
        <v>18979.42</v>
      </c>
      <c r="F216" s="8" t="s">
        <v>11</v>
      </c>
      <c r="G216" s="8" t="s">
        <v>17</v>
      </c>
      <c r="H216" s="11" t="s">
        <v>18</v>
      </c>
      <c r="I216" s="8" t="s">
        <v>14</v>
      </c>
    </row>
    <row r="217" customFormat="false" ht="14.25" hidden="false" customHeight="false" outlineLevel="0" collapsed="false">
      <c r="A217" s="8" t="n">
        <v>216</v>
      </c>
      <c r="B217" s="8" t="s">
        <v>38</v>
      </c>
      <c r="C217" s="8" t="s">
        <v>21</v>
      </c>
      <c r="D217" s="9" t="n">
        <v>43883</v>
      </c>
      <c r="E217" s="10" t="n">
        <v>4998</v>
      </c>
      <c r="F217" s="8" t="s">
        <v>11</v>
      </c>
      <c r="G217" s="8" t="s">
        <v>12</v>
      </c>
      <c r="H217" s="11" t="s">
        <v>13</v>
      </c>
      <c r="I217" s="8" t="s">
        <v>26</v>
      </c>
    </row>
    <row r="218" customFormat="false" ht="14.25" hidden="false" customHeight="false" outlineLevel="0" collapsed="false">
      <c r="A218" s="8" t="n">
        <v>217</v>
      </c>
      <c r="B218" s="8" t="s">
        <v>33</v>
      </c>
      <c r="C218" s="8" t="s">
        <v>10</v>
      </c>
      <c r="D218" s="9" t="n">
        <v>43884</v>
      </c>
      <c r="E218" s="10" t="n">
        <v>11158.8</v>
      </c>
      <c r="F218" s="8" t="s">
        <v>11</v>
      </c>
      <c r="G218" s="8" t="s">
        <v>17</v>
      </c>
      <c r="H218" s="11" t="s">
        <v>18</v>
      </c>
      <c r="I218" s="8" t="s">
        <v>19</v>
      </c>
    </row>
    <row r="219" customFormat="false" ht="14.25" hidden="false" customHeight="false" outlineLevel="0" collapsed="false">
      <c r="A219" s="8" t="n">
        <v>218</v>
      </c>
      <c r="B219" s="8" t="s">
        <v>33</v>
      </c>
      <c r="C219" s="8" t="s">
        <v>21</v>
      </c>
      <c r="D219" s="9" t="n">
        <v>43884</v>
      </c>
      <c r="E219" s="10" t="n">
        <v>5378.09</v>
      </c>
      <c r="F219" s="8" t="s">
        <v>11</v>
      </c>
      <c r="G219" s="8" t="s">
        <v>22</v>
      </c>
      <c r="H219" s="11" t="s">
        <v>23</v>
      </c>
      <c r="I219" s="8" t="s">
        <v>26</v>
      </c>
    </row>
    <row r="220" customFormat="false" ht="14.25" hidden="false" customHeight="false" outlineLevel="0" collapsed="false">
      <c r="A220" s="8" t="n">
        <v>219</v>
      </c>
      <c r="B220" s="8" t="s">
        <v>80</v>
      </c>
      <c r="C220" s="8" t="s">
        <v>10</v>
      </c>
      <c r="D220" s="9" t="n">
        <v>43885</v>
      </c>
      <c r="E220" s="10" t="n">
        <v>17146.6</v>
      </c>
      <c r="F220" s="8" t="s">
        <v>11</v>
      </c>
      <c r="G220" s="8" t="s">
        <v>17</v>
      </c>
      <c r="H220" s="11" t="s">
        <v>18</v>
      </c>
      <c r="I220" s="8" t="s">
        <v>26</v>
      </c>
    </row>
    <row r="221" customFormat="false" ht="14.25" hidden="false" customHeight="false" outlineLevel="0" collapsed="false">
      <c r="A221" s="8" t="n">
        <v>220</v>
      </c>
      <c r="B221" s="8" t="s">
        <v>15</v>
      </c>
      <c r="C221" s="8" t="s">
        <v>21</v>
      </c>
      <c r="D221" s="9" t="n">
        <v>43885</v>
      </c>
      <c r="E221" s="10" t="n">
        <v>4998</v>
      </c>
      <c r="F221" s="8" t="s">
        <v>11</v>
      </c>
      <c r="G221" s="8" t="s">
        <v>17</v>
      </c>
      <c r="H221" s="11" t="s">
        <v>18</v>
      </c>
      <c r="I221" s="8" t="s">
        <v>19</v>
      </c>
    </row>
    <row r="222" customFormat="false" ht="14.25" hidden="false" customHeight="false" outlineLevel="0" collapsed="false">
      <c r="A222" s="8" t="n">
        <v>221</v>
      </c>
      <c r="B222" s="8" t="s">
        <v>15</v>
      </c>
      <c r="C222" s="8" t="s">
        <v>10</v>
      </c>
      <c r="D222" s="9" t="n">
        <v>43885</v>
      </c>
      <c r="E222" s="10" t="n">
        <v>4998</v>
      </c>
      <c r="F222" s="8" t="s">
        <v>11</v>
      </c>
      <c r="G222" s="8" t="s">
        <v>12</v>
      </c>
      <c r="H222" s="11" t="s">
        <v>13</v>
      </c>
      <c r="I222" s="8" t="s">
        <v>24</v>
      </c>
    </row>
    <row r="223" customFormat="false" ht="14.25" hidden="false" customHeight="false" outlineLevel="0" collapsed="false">
      <c r="A223" s="8" t="n">
        <v>222</v>
      </c>
      <c r="B223" s="8" t="s">
        <v>15</v>
      </c>
      <c r="C223" s="8" t="s">
        <v>16</v>
      </c>
      <c r="D223" s="9" t="n">
        <v>43885</v>
      </c>
      <c r="E223" s="10" t="n">
        <v>4998</v>
      </c>
      <c r="F223" s="8" t="s">
        <v>11</v>
      </c>
      <c r="G223" s="8" t="s">
        <v>12</v>
      </c>
      <c r="H223" s="11" t="s">
        <v>13</v>
      </c>
      <c r="I223" s="8" t="s">
        <v>14</v>
      </c>
    </row>
    <row r="224" customFormat="false" ht="14.25" hidden="false" customHeight="false" outlineLevel="0" collapsed="false">
      <c r="A224" s="8" t="n">
        <v>223</v>
      </c>
      <c r="B224" s="8" t="s">
        <v>32</v>
      </c>
      <c r="C224" s="8" t="s">
        <v>21</v>
      </c>
      <c r="D224" s="9" t="n">
        <v>43886</v>
      </c>
      <c r="E224" s="10" t="n">
        <v>9946.9</v>
      </c>
      <c r="F224" s="8" t="s">
        <v>11</v>
      </c>
      <c r="G224" s="8" t="s">
        <v>30</v>
      </c>
      <c r="H224" s="11" t="s">
        <v>31</v>
      </c>
      <c r="I224" s="8" t="s">
        <v>26</v>
      </c>
    </row>
    <row r="225" customFormat="false" ht="14.25" hidden="false" customHeight="false" outlineLevel="0" collapsed="false">
      <c r="A225" s="8" t="n">
        <v>224</v>
      </c>
      <c r="B225" s="8" t="s">
        <v>81</v>
      </c>
      <c r="C225" s="8" t="s">
        <v>21</v>
      </c>
      <c r="D225" s="9" t="n">
        <v>43889</v>
      </c>
      <c r="E225" s="10" t="n">
        <v>-814.1</v>
      </c>
      <c r="F225" s="8" t="s">
        <v>34</v>
      </c>
      <c r="G225" s="8" t="s">
        <v>17</v>
      </c>
      <c r="H225" s="11" t="s">
        <v>18</v>
      </c>
      <c r="I225" s="8" t="s">
        <v>26</v>
      </c>
    </row>
    <row r="226" customFormat="false" ht="14.25" hidden="false" customHeight="false" outlineLevel="0" collapsed="false">
      <c r="A226" s="8" t="n">
        <v>225</v>
      </c>
      <c r="B226" s="8" t="s">
        <v>81</v>
      </c>
      <c r="C226" s="8" t="s">
        <v>10</v>
      </c>
      <c r="D226" s="9" t="n">
        <v>43889</v>
      </c>
      <c r="E226" s="10" t="n">
        <v>-2234.86</v>
      </c>
      <c r="F226" s="8" t="s">
        <v>34</v>
      </c>
      <c r="G226" s="8" t="s">
        <v>17</v>
      </c>
      <c r="H226" s="11" t="s">
        <v>18</v>
      </c>
      <c r="I226" s="8" t="s">
        <v>14</v>
      </c>
    </row>
    <row r="227" customFormat="false" ht="14.25" hidden="false" customHeight="false" outlineLevel="0" collapsed="false">
      <c r="A227" s="8" t="n">
        <v>226</v>
      </c>
      <c r="B227" s="8" t="s">
        <v>73</v>
      </c>
      <c r="C227" s="8" t="s">
        <v>28</v>
      </c>
      <c r="D227" s="9" t="n">
        <v>43889</v>
      </c>
      <c r="E227" s="10" t="n">
        <v>-1707.3</v>
      </c>
      <c r="F227" s="8" t="s">
        <v>34</v>
      </c>
      <c r="G227" s="8" t="s">
        <v>17</v>
      </c>
      <c r="H227" s="11" t="s">
        <v>18</v>
      </c>
      <c r="I227" s="8" t="s">
        <v>14</v>
      </c>
    </row>
    <row r="228" customFormat="false" ht="14.25" hidden="false" customHeight="false" outlineLevel="0" collapsed="false">
      <c r="A228" s="8" t="n">
        <v>227</v>
      </c>
      <c r="B228" s="8" t="s">
        <v>52</v>
      </c>
      <c r="C228" s="8" t="s">
        <v>16</v>
      </c>
      <c r="D228" s="9" t="n">
        <v>43889</v>
      </c>
      <c r="E228" s="10" t="n">
        <v>156513.42</v>
      </c>
      <c r="F228" s="8" t="s">
        <v>11</v>
      </c>
      <c r="G228" s="8" t="s">
        <v>36</v>
      </c>
      <c r="H228" s="11" t="s">
        <v>37</v>
      </c>
      <c r="I228" s="8" t="s">
        <v>19</v>
      </c>
    </row>
    <row r="229" customFormat="false" ht="14.25" hidden="false" customHeight="false" outlineLevel="0" collapsed="false">
      <c r="A229" s="8" t="n">
        <v>228</v>
      </c>
      <c r="B229" s="8" t="s">
        <v>81</v>
      </c>
      <c r="C229" s="8" t="s">
        <v>21</v>
      </c>
      <c r="D229" s="9" t="n">
        <v>43889</v>
      </c>
      <c r="E229" s="10" t="n">
        <v>22212.69</v>
      </c>
      <c r="F229" s="8" t="s">
        <v>11</v>
      </c>
      <c r="G229" s="8" t="s">
        <v>12</v>
      </c>
      <c r="H229" s="11" t="s">
        <v>13</v>
      </c>
      <c r="I229" s="8" t="s">
        <v>14</v>
      </c>
    </row>
    <row r="230" customFormat="false" ht="14.25" hidden="false" customHeight="false" outlineLevel="0" collapsed="false">
      <c r="A230" s="8" t="n">
        <v>229</v>
      </c>
      <c r="B230" s="8" t="s">
        <v>73</v>
      </c>
      <c r="C230" s="8" t="s">
        <v>21</v>
      </c>
      <c r="D230" s="9" t="n">
        <v>43889</v>
      </c>
      <c r="E230" s="10" t="n">
        <v>22212.69</v>
      </c>
      <c r="F230" s="8" t="s">
        <v>11</v>
      </c>
      <c r="G230" s="8" t="s">
        <v>12</v>
      </c>
      <c r="H230" s="11" t="s">
        <v>13</v>
      </c>
      <c r="I230" s="8" t="s">
        <v>14</v>
      </c>
    </row>
    <row r="231" customFormat="false" ht="14.25" hidden="false" customHeight="false" outlineLevel="0" collapsed="false">
      <c r="A231" s="8" t="n">
        <v>230</v>
      </c>
      <c r="B231" s="8" t="s">
        <v>49</v>
      </c>
      <c r="C231" s="8" t="s">
        <v>21</v>
      </c>
      <c r="D231" s="9" t="n">
        <v>43889</v>
      </c>
      <c r="E231" s="10" t="n">
        <v>22212.71</v>
      </c>
      <c r="F231" s="8" t="s">
        <v>11</v>
      </c>
      <c r="G231" s="8" t="s">
        <v>12</v>
      </c>
      <c r="H231" s="11" t="s">
        <v>13</v>
      </c>
      <c r="I231" s="8" t="s">
        <v>24</v>
      </c>
    </row>
    <row r="232" customFormat="false" ht="14.25" hidden="false" customHeight="false" outlineLevel="0" collapsed="false">
      <c r="A232" s="8" t="n">
        <v>231</v>
      </c>
      <c r="B232" s="8" t="s">
        <v>52</v>
      </c>
      <c r="C232" s="8" t="s">
        <v>21</v>
      </c>
      <c r="D232" s="9" t="n">
        <v>43889</v>
      </c>
      <c r="E232" s="10" t="n">
        <v>824.32</v>
      </c>
      <c r="F232" s="8" t="s">
        <v>11</v>
      </c>
      <c r="G232" s="8" t="s">
        <v>17</v>
      </c>
      <c r="H232" s="11" t="s">
        <v>18</v>
      </c>
      <c r="I232" s="8" t="s">
        <v>14</v>
      </c>
    </row>
    <row r="233" customFormat="false" ht="14.25" hidden="false" customHeight="false" outlineLevel="0" collapsed="false">
      <c r="A233" s="8" t="n">
        <v>232</v>
      </c>
      <c r="B233" s="8" t="s">
        <v>81</v>
      </c>
      <c r="C233" s="8" t="s">
        <v>16</v>
      </c>
      <c r="D233" s="9" t="n">
        <v>43889</v>
      </c>
      <c r="E233" s="10" t="n">
        <v>36573.5</v>
      </c>
      <c r="F233" s="8" t="s">
        <v>11</v>
      </c>
      <c r="G233" s="8" t="s">
        <v>22</v>
      </c>
      <c r="H233" s="11" t="s">
        <v>23</v>
      </c>
      <c r="I233" s="8" t="s">
        <v>26</v>
      </c>
    </row>
    <row r="234" customFormat="false" ht="14.25" hidden="false" customHeight="false" outlineLevel="0" collapsed="false">
      <c r="A234" s="8" t="n">
        <v>233</v>
      </c>
      <c r="B234" s="8" t="s">
        <v>73</v>
      </c>
      <c r="C234" s="8" t="s">
        <v>21</v>
      </c>
      <c r="D234" s="9" t="n">
        <v>43889</v>
      </c>
      <c r="E234" s="10" t="n">
        <v>-10352.55</v>
      </c>
      <c r="F234" s="8" t="s">
        <v>34</v>
      </c>
      <c r="G234" s="8" t="s">
        <v>12</v>
      </c>
      <c r="H234" s="11" t="s">
        <v>13</v>
      </c>
      <c r="I234" s="8" t="s">
        <v>14</v>
      </c>
    </row>
    <row r="235" customFormat="false" ht="14.25" hidden="false" customHeight="false" outlineLevel="0" collapsed="false">
      <c r="A235" s="8" t="n">
        <v>234</v>
      </c>
      <c r="B235" s="8" t="s">
        <v>52</v>
      </c>
      <c r="C235" s="8" t="s">
        <v>10</v>
      </c>
      <c r="D235" s="9" t="n">
        <v>43889</v>
      </c>
      <c r="E235" s="10" t="n">
        <v>22439.71</v>
      </c>
      <c r="F235" s="8" t="s">
        <v>11</v>
      </c>
      <c r="G235" s="8" t="s">
        <v>22</v>
      </c>
      <c r="H235" s="11" t="s">
        <v>23</v>
      </c>
      <c r="I235" s="8" t="s">
        <v>14</v>
      </c>
    </row>
    <row r="236" customFormat="false" ht="14.25" hidden="false" customHeight="false" outlineLevel="0" collapsed="false">
      <c r="A236" s="8" t="n">
        <v>235</v>
      </c>
      <c r="B236" s="8" t="s">
        <v>40</v>
      </c>
      <c r="C236" s="8" t="s">
        <v>16</v>
      </c>
      <c r="D236" s="9" t="n">
        <v>43891</v>
      </c>
      <c r="E236" s="10" t="n">
        <v>29222.45</v>
      </c>
      <c r="F236" s="8" t="s">
        <v>11</v>
      </c>
      <c r="G236" s="8" t="s">
        <v>12</v>
      </c>
      <c r="H236" s="11" t="s">
        <v>13</v>
      </c>
      <c r="I236" s="8" t="s">
        <v>19</v>
      </c>
    </row>
    <row r="237" customFormat="false" ht="14.25" hidden="false" customHeight="false" outlineLevel="0" collapsed="false">
      <c r="A237" s="8" t="n">
        <v>236</v>
      </c>
      <c r="B237" s="8" t="s">
        <v>82</v>
      </c>
      <c r="C237" s="8" t="s">
        <v>21</v>
      </c>
      <c r="D237" s="9" t="n">
        <v>43892</v>
      </c>
      <c r="E237" s="10" t="n">
        <v>4000511.36</v>
      </c>
      <c r="F237" s="8" t="s">
        <v>11</v>
      </c>
      <c r="G237" s="8" t="s">
        <v>30</v>
      </c>
      <c r="H237" s="11" t="s">
        <v>31</v>
      </c>
      <c r="I237" s="8" t="s">
        <v>14</v>
      </c>
    </row>
    <row r="238" customFormat="false" ht="14.25" hidden="false" customHeight="false" outlineLevel="0" collapsed="false">
      <c r="A238" s="8" t="n">
        <v>237</v>
      </c>
      <c r="B238" s="8" t="s">
        <v>83</v>
      </c>
      <c r="C238" s="8" t="s">
        <v>10</v>
      </c>
      <c r="D238" s="9" t="n">
        <v>43892</v>
      </c>
      <c r="E238" s="10" t="n">
        <v>11342.96</v>
      </c>
      <c r="F238" s="8" t="s">
        <v>11</v>
      </c>
      <c r="G238" s="8" t="s">
        <v>17</v>
      </c>
      <c r="H238" s="11" t="s">
        <v>18</v>
      </c>
      <c r="I238" s="8" t="s">
        <v>24</v>
      </c>
    </row>
    <row r="239" customFormat="false" ht="14.25" hidden="false" customHeight="false" outlineLevel="0" collapsed="false">
      <c r="A239" s="8" t="n">
        <v>238</v>
      </c>
      <c r="B239" s="8" t="s">
        <v>84</v>
      </c>
      <c r="C239" s="8" t="s">
        <v>21</v>
      </c>
      <c r="D239" s="9" t="n">
        <v>43893</v>
      </c>
      <c r="E239" s="10" t="n">
        <v>2426840.67</v>
      </c>
      <c r="F239" s="8" t="s">
        <v>11</v>
      </c>
      <c r="G239" s="8" t="s">
        <v>12</v>
      </c>
      <c r="H239" s="11" t="s">
        <v>13</v>
      </c>
      <c r="I239" s="8" t="s">
        <v>14</v>
      </c>
    </row>
    <row r="240" customFormat="false" ht="14.25" hidden="false" customHeight="false" outlineLevel="0" collapsed="false">
      <c r="A240" s="8" t="n">
        <v>239</v>
      </c>
      <c r="B240" s="8" t="s">
        <v>84</v>
      </c>
      <c r="C240" s="8" t="s">
        <v>16</v>
      </c>
      <c r="D240" s="9" t="n">
        <v>43893</v>
      </c>
      <c r="E240" s="10" t="n">
        <v>-458.08</v>
      </c>
      <c r="F240" s="8" t="s">
        <v>34</v>
      </c>
      <c r="G240" s="8" t="s">
        <v>12</v>
      </c>
      <c r="H240" s="11" t="s">
        <v>13</v>
      </c>
      <c r="I240" s="8" t="s">
        <v>26</v>
      </c>
    </row>
    <row r="241" customFormat="false" ht="14.25" hidden="false" customHeight="false" outlineLevel="0" collapsed="false">
      <c r="A241" s="8" t="n">
        <v>240</v>
      </c>
      <c r="B241" s="8" t="s">
        <v>84</v>
      </c>
      <c r="C241" s="8" t="s">
        <v>28</v>
      </c>
      <c r="D241" s="9" t="n">
        <v>43893</v>
      </c>
      <c r="E241" s="10" t="n">
        <v>-1146.08</v>
      </c>
      <c r="F241" s="8" t="s">
        <v>34</v>
      </c>
      <c r="G241" s="8" t="s">
        <v>12</v>
      </c>
      <c r="H241" s="11" t="s">
        <v>13</v>
      </c>
      <c r="I241" s="8" t="s">
        <v>26</v>
      </c>
    </row>
    <row r="242" customFormat="false" ht="14.25" hidden="false" customHeight="false" outlineLevel="0" collapsed="false">
      <c r="A242" s="8" t="n">
        <v>241</v>
      </c>
      <c r="B242" s="8" t="s">
        <v>84</v>
      </c>
      <c r="C242" s="8" t="s">
        <v>10</v>
      </c>
      <c r="D242" s="9" t="n">
        <v>43893</v>
      </c>
      <c r="E242" s="10" t="n">
        <v>7068.27</v>
      </c>
      <c r="F242" s="8" t="s">
        <v>11</v>
      </c>
      <c r="G242" s="8" t="s">
        <v>22</v>
      </c>
      <c r="H242" s="11" t="s">
        <v>23</v>
      </c>
      <c r="I242" s="8" t="s">
        <v>14</v>
      </c>
    </row>
    <row r="243" customFormat="false" ht="14.25" hidden="false" customHeight="false" outlineLevel="0" collapsed="false">
      <c r="A243" s="8" t="n">
        <v>242</v>
      </c>
      <c r="B243" s="8" t="s">
        <v>84</v>
      </c>
      <c r="C243" s="8" t="s">
        <v>21</v>
      </c>
      <c r="D243" s="9" t="n">
        <v>43893</v>
      </c>
      <c r="E243" s="10" t="n">
        <v>9073.24</v>
      </c>
      <c r="F243" s="8" t="s">
        <v>11</v>
      </c>
      <c r="G243" s="8" t="s">
        <v>17</v>
      </c>
      <c r="H243" s="11" t="s">
        <v>18</v>
      </c>
      <c r="I243" s="8" t="s">
        <v>14</v>
      </c>
    </row>
    <row r="244" customFormat="false" ht="14.25" hidden="false" customHeight="false" outlineLevel="0" collapsed="false">
      <c r="A244" s="8" t="n">
        <v>243</v>
      </c>
      <c r="B244" s="8" t="s">
        <v>15</v>
      </c>
      <c r="C244" s="8" t="s">
        <v>10</v>
      </c>
      <c r="D244" s="9" t="n">
        <v>43893</v>
      </c>
      <c r="E244" s="10" t="n">
        <v>7513.07</v>
      </c>
      <c r="F244" s="8" t="s">
        <v>11</v>
      </c>
      <c r="G244" s="8" t="s">
        <v>17</v>
      </c>
      <c r="H244" s="11" t="s">
        <v>18</v>
      </c>
      <c r="I244" s="8" t="s">
        <v>14</v>
      </c>
    </row>
    <row r="245" customFormat="false" ht="14.25" hidden="false" customHeight="false" outlineLevel="0" collapsed="false">
      <c r="A245" s="8" t="n">
        <v>244</v>
      </c>
      <c r="B245" s="8" t="s">
        <v>85</v>
      </c>
      <c r="C245" s="8" t="s">
        <v>16</v>
      </c>
      <c r="D245" s="9" t="n">
        <v>43896</v>
      </c>
      <c r="E245" s="10" t="n">
        <v>8463.32</v>
      </c>
      <c r="F245" s="8" t="s">
        <v>11</v>
      </c>
      <c r="G245" s="8" t="s">
        <v>17</v>
      </c>
      <c r="H245" s="11" t="s">
        <v>18</v>
      </c>
      <c r="I245" s="8" t="s">
        <v>19</v>
      </c>
    </row>
    <row r="246" customFormat="false" ht="14.25" hidden="false" customHeight="false" outlineLevel="0" collapsed="false">
      <c r="A246" s="8" t="n">
        <v>245</v>
      </c>
      <c r="B246" s="8" t="s">
        <v>85</v>
      </c>
      <c r="C246" s="8" t="s">
        <v>28</v>
      </c>
      <c r="D246" s="9" t="n">
        <v>43896</v>
      </c>
      <c r="E246" s="10" t="n">
        <v>7289.15</v>
      </c>
      <c r="F246" s="8" t="s">
        <v>11</v>
      </c>
      <c r="G246" s="8" t="s">
        <v>12</v>
      </c>
      <c r="H246" s="11" t="s">
        <v>13</v>
      </c>
      <c r="I246" s="8" t="s">
        <v>14</v>
      </c>
    </row>
    <row r="247" customFormat="false" ht="14.25" hidden="false" customHeight="false" outlineLevel="0" collapsed="false">
      <c r="A247" s="8" t="n">
        <v>246</v>
      </c>
      <c r="B247" s="8" t="s">
        <v>86</v>
      </c>
      <c r="C247" s="8" t="s">
        <v>16</v>
      </c>
      <c r="D247" s="9" t="n">
        <v>43897</v>
      </c>
      <c r="E247" s="10" t="n">
        <v>7980.53</v>
      </c>
      <c r="F247" s="8" t="s">
        <v>11</v>
      </c>
      <c r="G247" s="8" t="s">
        <v>12</v>
      </c>
      <c r="H247" s="11" t="s">
        <v>13</v>
      </c>
      <c r="I247" s="8" t="s">
        <v>14</v>
      </c>
    </row>
    <row r="248" customFormat="false" ht="14.25" hidden="false" customHeight="false" outlineLevel="0" collapsed="false">
      <c r="A248" s="8" t="n">
        <v>247</v>
      </c>
      <c r="B248" s="8" t="s">
        <v>39</v>
      </c>
      <c r="C248" s="8" t="s">
        <v>21</v>
      </c>
      <c r="D248" s="9" t="n">
        <v>43897</v>
      </c>
      <c r="E248" s="10" t="n">
        <v>7970.02</v>
      </c>
      <c r="F248" s="8" t="s">
        <v>11</v>
      </c>
      <c r="G248" s="8" t="s">
        <v>22</v>
      </c>
      <c r="H248" s="11" t="s">
        <v>23</v>
      </c>
      <c r="I248" s="8" t="s">
        <v>26</v>
      </c>
    </row>
    <row r="249" customFormat="false" ht="14.25" hidden="false" customHeight="false" outlineLevel="0" collapsed="false">
      <c r="A249" s="8" t="n">
        <v>248</v>
      </c>
      <c r="B249" s="8" t="s">
        <v>49</v>
      </c>
      <c r="C249" s="8" t="s">
        <v>10</v>
      </c>
      <c r="D249" s="9" t="n">
        <v>43897</v>
      </c>
      <c r="E249" s="10" t="n">
        <v>8388.66</v>
      </c>
      <c r="F249" s="8" t="s">
        <v>11</v>
      </c>
      <c r="G249" s="8" t="s">
        <v>12</v>
      </c>
      <c r="H249" s="11" t="s">
        <v>13</v>
      </c>
      <c r="I249" s="8" t="s">
        <v>26</v>
      </c>
    </row>
    <row r="250" customFormat="false" ht="14.25" hidden="false" customHeight="false" outlineLevel="0" collapsed="false">
      <c r="A250" s="8" t="n">
        <v>249</v>
      </c>
      <c r="B250" s="8" t="s">
        <v>66</v>
      </c>
      <c r="C250" s="8" t="s">
        <v>21</v>
      </c>
      <c r="D250" s="9" t="n">
        <v>43898</v>
      </c>
      <c r="E250" s="10" t="n">
        <v>8066.67</v>
      </c>
      <c r="F250" s="8" t="s">
        <v>11</v>
      </c>
      <c r="G250" s="8" t="s">
        <v>12</v>
      </c>
      <c r="H250" s="11" t="s">
        <v>13</v>
      </c>
      <c r="I250" s="8" t="s">
        <v>14</v>
      </c>
    </row>
    <row r="251" customFormat="false" ht="14.25" hidden="false" customHeight="false" outlineLevel="0" collapsed="false">
      <c r="A251" s="8" t="n">
        <v>250</v>
      </c>
      <c r="B251" s="8" t="s">
        <v>32</v>
      </c>
      <c r="C251" s="8" t="s">
        <v>28</v>
      </c>
      <c r="D251" s="9" t="n">
        <v>43898</v>
      </c>
      <c r="E251" s="10" t="n">
        <v>1362370.5</v>
      </c>
      <c r="F251" s="8" t="s">
        <v>11</v>
      </c>
      <c r="G251" s="8" t="s">
        <v>36</v>
      </c>
      <c r="H251" s="11" t="s">
        <v>37</v>
      </c>
      <c r="I251" s="8" t="s">
        <v>24</v>
      </c>
    </row>
    <row r="252" customFormat="false" ht="14.25" hidden="false" customHeight="false" outlineLevel="0" collapsed="false">
      <c r="A252" s="8" t="n">
        <v>251</v>
      </c>
      <c r="B252" s="8" t="s">
        <v>66</v>
      </c>
      <c r="C252" s="8" t="s">
        <v>16</v>
      </c>
      <c r="D252" s="9" t="n">
        <v>43898</v>
      </c>
      <c r="E252" s="10" t="n">
        <v>-13088.81</v>
      </c>
      <c r="F252" s="8" t="s">
        <v>34</v>
      </c>
      <c r="G252" s="8" t="s">
        <v>17</v>
      </c>
      <c r="H252" s="11" t="s">
        <v>18</v>
      </c>
      <c r="I252" s="8" t="s">
        <v>24</v>
      </c>
    </row>
    <row r="253" customFormat="false" ht="14.25" hidden="false" customHeight="false" outlineLevel="0" collapsed="false">
      <c r="A253" s="8" t="n">
        <v>252</v>
      </c>
      <c r="B253" s="8" t="s">
        <v>66</v>
      </c>
      <c r="C253" s="8" t="s">
        <v>28</v>
      </c>
      <c r="D253" s="9" t="n">
        <v>43898</v>
      </c>
      <c r="E253" s="10" t="n">
        <v>-23009.74</v>
      </c>
      <c r="F253" s="8" t="s">
        <v>34</v>
      </c>
      <c r="G253" s="8" t="s">
        <v>12</v>
      </c>
      <c r="H253" s="11" t="s">
        <v>13</v>
      </c>
      <c r="I253" s="8" t="s">
        <v>14</v>
      </c>
    </row>
    <row r="254" customFormat="false" ht="14.25" hidden="false" customHeight="false" outlineLevel="0" collapsed="false">
      <c r="A254" s="8" t="n">
        <v>253</v>
      </c>
      <c r="B254" s="8" t="s">
        <v>66</v>
      </c>
      <c r="C254" s="8" t="s">
        <v>10</v>
      </c>
      <c r="D254" s="9" t="n">
        <v>43898</v>
      </c>
      <c r="E254" s="10" t="n">
        <v>-12986.65</v>
      </c>
      <c r="F254" s="8" t="s">
        <v>34</v>
      </c>
      <c r="G254" s="8" t="s">
        <v>12</v>
      </c>
      <c r="H254" s="11" t="s">
        <v>13</v>
      </c>
      <c r="I254" s="8" t="s">
        <v>14</v>
      </c>
    </row>
    <row r="255" customFormat="false" ht="14.25" hidden="false" customHeight="false" outlineLevel="0" collapsed="false">
      <c r="A255" s="8" t="n">
        <v>254</v>
      </c>
      <c r="B255" s="8" t="s">
        <v>66</v>
      </c>
      <c r="C255" s="8" t="s">
        <v>10</v>
      </c>
      <c r="D255" s="9" t="n">
        <v>43898</v>
      </c>
      <c r="E255" s="10" t="n">
        <v>-11705.3</v>
      </c>
      <c r="F255" s="8" t="s">
        <v>34</v>
      </c>
      <c r="G255" s="8" t="s">
        <v>12</v>
      </c>
      <c r="H255" s="11" t="s">
        <v>13</v>
      </c>
      <c r="I255" s="8" t="s">
        <v>14</v>
      </c>
    </row>
    <row r="256" customFormat="false" ht="14.25" hidden="false" customHeight="false" outlineLevel="0" collapsed="false">
      <c r="A256" s="8" t="n">
        <v>255</v>
      </c>
      <c r="B256" s="8" t="s">
        <v>66</v>
      </c>
      <c r="C256" s="8" t="s">
        <v>28</v>
      </c>
      <c r="D256" s="9" t="n">
        <v>43898</v>
      </c>
      <c r="E256" s="10" t="n">
        <v>-30993.52</v>
      </c>
      <c r="F256" s="8" t="s">
        <v>34</v>
      </c>
      <c r="G256" s="8" t="s">
        <v>17</v>
      </c>
      <c r="H256" s="11" t="s">
        <v>18</v>
      </c>
      <c r="I256" s="8" t="s">
        <v>19</v>
      </c>
    </row>
    <row r="257" customFormat="false" ht="14.25" hidden="false" customHeight="false" outlineLevel="0" collapsed="false">
      <c r="A257" s="8" t="n">
        <v>256</v>
      </c>
      <c r="B257" s="8" t="s">
        <v>66</v>
      </c>
      <c r="C257" s="8" t="s">
        <v>21</v>
      </c>
      <c r="D257" s="9" t="n">
        <v>43898</v>
      </c>
      <c r="E257" s="10" t="n">
        <v>31757.44</v>
      </c>
      <c r="F257" s="8" t="s">
        <v>11</v>
      </c>
      <c r="G257" s="8" t="s">
        <v>36</v>
      </c>
      <c r="H257" s="11" t="s">
        <v>37</v>
      </c>
      <c r="I257" s="8" t="s">
        <v>24</v>
      </c>
    </row>
    <row r="258" customFormat="false" ht="14.25" hidden="false" customHeight="false" outlineLevel="0" collapsed="false">
      <c r="A258" s="8" t="n">
        <v>257</v>
      </c>
      <c r="B258" s="8" t="s">
        <v>66</v>
      </c>
      <c r="C258" s="8" t="s">
        <v>21</v>
      </c>
      <c r="D258" s="9" t="n">
        <v>43898</v>
      </c>
      <c r="E258" s="10" t="n">
        <v>67233.29</v>
      </c>
      <c r="F258" s="8" t="s">
        <v>11</v>
      </c>
      <c r="G258" s="8" t="s">
        <v>12</v>
      </c>
      <c r="H258" s="11" t="s">
        <v>13</v>
      </c>
      <c r="I258" s="8" t="s">
        <v>14</v>
      </c>
    </row>
    <row r="259" customFormat="false" ht="14.25" hidden="false" customHeight="false" outlineLevel="0" collapsed="false">
      <c r="A259" s="8" t="n">
        <v>258</v>
      </c>
      <c r="B259" s="8" t="s">
        <v>66</v>
      </c>
      <c r="C259" s="8" t="s">
        <v>21</v>
      </c>
      <c r="D259" s="9" t="n">
        <v>43898</v>
      </c>
      <c r="E259" s="10" t="n">
        <v>-10848.43</v>
      </c>
      <c r="F259" s="8" t="s">
        <v>34</v>
      </c>
      <c r="G259" s="8" t="s">
        <v>22</v>
      </c>
      <c r="H259" s="11" t="s">
        <v>23</v>
      </c>
      <c r="I259" s="8" t="s">
        <v>14</v>
      </c>
    </row>
    <row r="260" customFormat="false" ht="14.25" hidden="false" customHeight="false" outlineLevel="0" collapsed="false">
      <c r="A260" s="8" t="n">
        <v>259</v>
      </c>
      <c r="B260" s="8" t="s">
        <v>50</v>
      </c>
      <c r="C260" s="8" t="s">
        <v>28</v>
      </c>
      <c r="D260" s="9" t="n">
        <v>43899</v>
      </c>
      <c r="E260" s="10" t="n">
        <v>7321.25</v>
      </c>
      <c r="F260" s="8" t="s">
        <v>11</v>
      </c>
      <c r="G260" s="8" t="s">
        <v>12</v>
      </c>
      <c r="H260" s="11" t="s">
        <v>13</v>
      </c>
      <c r="I260" s="8" t="s">
        <v>14</v>
      </c>
    </row>
    <row r="261" customFormat="false" ht="14.25" hidden="false" customHeight="false" outlineLevel="0" collapsed="false">
      <c r="A261" s="8" t="n">
        <v>260</v>
      </c>
      <c r="B261" s="8" t="s">
        <v>38</v>
      </c>
      <c r="C261" s="8" t="s">
        <v>28</v>
      </c>
      <c r="D261" s="9" t="n">
        <v>43899</v>
      </c>
      <c r="E261" s="10" t="n">
        <v>7476.89</v>
      </c>
      <c r="F261" s="8" t="s">
        <v>11</v>
      </c>
      <c r="G261" s="8" t="s">
        <v>17</v>
      </c>
      <c r="H261" s="11" t="s">
        <v>18</v>
      </c>
      <c r="I261" s="8" t="s">
        <v>14</v>
      </c>
    </row>
    <row r="262" customFormat="false" ht="14.25" hidden="false" customHeight="false" outlineLevel="0" collapsed="false">
      <c r="A262" s="8" t="n">
        <v>261</v>
      </c>
      <c r="B262" s="8" t="s">
        <v>38</v>
      </c>
      <c r="C262" s="8" t="s">
        <v>16</v>
      </c>
      <c r="D262" s="9" t="n">
        <v>43899</v>
      </c>
      <c r="E262" s="10" t="n">
        <v>7538.71</v>
      </c>
      <c r="F262" s="8" t="s">
        <v>11</v>
      </c>
      <c r="G262" s="8" t="s">
        <v>12</v>
      </c>
      <c r="H262" s="11" t="s">
        <v>13</v>
      </c>
      <c r="I262" s="8" t="s">
        <v>26</v>
      </c>
    </row>
    <row r="263" customFormat="false" ht="14.25" hidden="false" customHeight="false" outlineLevel="0" collapsed="false">
      <c r="A263" s="8" t="n">
        <v>262</v>
      </c>
      <c r="B263" s="8" t="s">
        <v>43</v>
      </c>
      <c r="C263" s="8" t="s">
        <v>21</v>
      </c>
      <c r="D263" s="9" t="n">
        <v>43899</v>
      </c>
      <c r="E263" s="10" t="n">
        <v>7552.45</v>
      </c>
      <c r="F263" s="8" t="s">
        <v>11</v>
      </c>
      <c r="G263" s="8" t="s">
        <v>12</v>
      </c>
      <c r="H263" s="11" t="s">
        <v>13</v>
      </c>
      <c r="I263" s="8" t="s">
        <v>14</v>
      </c>
    </row>
    <row r="264" customFormat="false" ht="14.25" hidden="false" customHeight="false" outlineLevel="0" collapsed="false">
      <c r="A264" s="8" t="n">
        <v>263</v>
      </c>
      <c r="B264" s="8" t="s">
        <v>46</v>
      </c>
      <c r="C264" s="8" t="s">
        <v>28</v>
      </c>
      <c r="D264" s="9" t="n">
        <v>43899</v>
      </c>
      <c r="E264" s="10" t="n">
        <v>7253.34</v>
      </c>
      <c r="F264" s="8" t="s">
        <v>11</v>
      </c>
      <c r="G264" s="8" t="s">
        <v>17</v>
      </c>
      <c r="H264" s="11" t="s">
        <v>18</v>
      </c>
      <c r="I264" s="8" t="s">
        <v>14</v>
      </c>
    </row>
    <row r="265" customFormat="false" ht="14.25" hidden="false" customHeight="false" outlineLevel="0" collapsed="false">
      <c r="A265" s="8" t="n">
        <v>264</v>
      </c>
      <c r="B265" s="8" t="s">
        <v>42</v>
      </c>
      <c r="C265" s="8" t="s">
        <v>21</v>
      </c>
      <c r="D265" s="9" t="n">
        <v>43899</v>
      </c>
      <c r="E265" s="10" t="n">
        <v>7177.81</v>
      </c>
      <c r="F265" s="8" t="s">
        <v>11</v>
      </c>
      <c r="G265" s="8" t="s">
        <v>12</v>
      </c>
      <c r="H265" s="11" t="s">
        <v>13</v>
      </c>
      <c r="I265" s="8" t="s">
        <v>26</v>
      </c>
    </row>
    <row r="266" customFormat="false" ht="14.25" hidden="false" customHeight="false" outlineLevel="0" collapsed="false">
      <c r="A266" s="8" t="n">
        <v>265</v>
      </c>
      <c r="B266" s="8" t="s">
        <v>45</v>
      </c>
      <c r="C266" s="8" t="s">
        <v>28</v>
      </c>
      <c r="D266" s="9" t="n">
        <v>43899</v>
      </c>
      <c r="E266" s="10" t="n">
        <v>8094.2</v>
      </c>
      <c r="F266" s="8" t="s">
        <v>11</v>
      </c>
      <c r="G266" s="8" t="s">
        <v>17</v>
      </c>
      <c r="H266" s="11" t="s">
        <v>18</v>
      </c>
      <c r="I266" s="8" t="s">
        <v>26</v>
      </c>
    </row>
    <row r="267" customFormat="false" ht="14.25" hidden="false" customHeight="false" outlineLevel="0" collapsed="false">
      <c r="A267" s="8" t="n">
        <v>266</v>
      </c>
      <c r="B267" s="8" t="s">
        <v>47</v>
      </c>
      <c r="C267" s="8" t="s">
        <v>21</v>
      </c>
      <c r="D267" s="9" t="n">
        <v>43899</v>
      </c>
      <c r="E267" s="10" t="n">
        <v>7031.3</v>
      </c>
      <c r="F267" s="8" t="s">
        <v>11</v>
      </c>
      <c r="G267" s="8" t="s">
        <v>12</v>
      </c>
      <c r="H267" s="11" t="s">
        <v>13</v>
      </c>
      <c r="I267" s="8" t="s">
        <v>26</v>
      </c>
    </row>
    <row r="268" customFormat="false" ht="14.25" hidden="false" customHeight="false" outlineLevel="0" collapsed="false">
      <c r="A268" s="8" t="n">
        <v>267</v>
      </c>
      <c r="B268" s="8" t="s">
        <v>43</v>
      </c>
      <c r="C268" s="8" t="s">
        <v>28</v>
      </c>
      <c r="D268" s="9" t="n">
        <v>43899</v>
      </c>
      <c r="E268" s="10" t="n">
        <v>8286.06</v>
      </c>
      <c r="F268" s="8" t="s">
        <v>11</v>
      </c>
      <c r="G268" s="8" t="s">
        <v>12</v>
      </c>
      <c r="H268" s="11" t="s">
        <v>13</v>
      </c>
      <c r="I268" s="8" t="s">
        <v>26</v>
      </c>
    </row>
    <row r="269" customFormat="false" ht="14.25" hidden="false" customHeight="false" outlineLevel="0" collapsed="false">
      <c r="A269" s="8" t="n">
        <v>268</v>
      </c>
      <c r="B269" s="8" t="s">
        <v>46</v>
      </c>
      <c r="C269" s="8" t="s">
        <v>21</v>
      </c>
      <c r="D269" s="9" t="n">
        <v>43899</v>
      </c>
      <c r="E269" s="10" t="n">
        <v>7861.36</v>
      </c>
      <c r="F269" s="8" t="s">
        <v>11</v>
      </c>
      <c r="G269" s="8" t="s">
        <v>17</v>
      </c>
      <c r="H269" s="11" t="s">
        <v>18</v>
      </c>
      <c r="I269" s="8" t="s">
        <v>26</v>
      </c>
    </row>
    <row r="270" customFormat="false" ht="14.25" hidden="false" customHeight="false" outlineLevel="0" collapsed="false">
      <c r="A270" s="8" t="n">
        <v>269</v>
      </c>
      <c r="B270" s="8" t="s">
        <v>39</v>
      </c>
      <c r="C270" s="8" t="s">
        <v>28</v>
      </c>
      <c r="D270" s="9" t="n">
        <v>43899</v>
      </c>
      <c r="E270" s="10" t="n">
        <v>30338.94</v>
      </c>
      <c r="F270" s="8" t="s">
        <v>11</v>
      </c>
      <c r="G270" s="8" t="s">
        <v>12</v>
      </c>
      <c r="H270" s="11" t="s">
        <v>13</v>
      </c>
      <c r="I270" s="8" t="s">
        <v>26</v>
      </c>
    </row>
    <row r="271" customFormat="false" ht="14.25" hidden="false" customHeight="false" outlineLevel="0" collapsed="false">
      <c r="A271" s="8" t="n">
        <v>270</v>
      </c>
      <c r="B271" s="8" t="s">
        <v>42</v>
      </c>
      <c r="C271" s="8" t="s">
        <v>16</v>
      </c>
      <c r="D271" s="9" t="n">
        <v>43899</v>
      </c>
      <c r="E271" s="10" t="n">
        <v>26409.16</v>
      </c>
      <c r="F271" s="8" t="s">
        <v>11</v>
      </c>
      <c r="G271" s="8" t="s">
        <v>30</v>
      </c>
      <c r="H271" s="11" t="s">
        <v>31</v>
      </c>
      <c r="I271" s="8" t="s">
        <v>19</v>
      </c>
    </row>
    <row r="272" customFormat="false" ht="14.25" hidden="false" customHeight="false" outlineLevel="0" collapsed="false">
      <c r="A272" s="8" t="n">
        <v>271</v>
      </c>
      <c r="B272" s="8" t="s">
        <v>45</v>
      </c>
      <c r="C272" s="8" t="s">
        <v>21</v>
      </c>
      <c r="D272" s="9" t="n">
        <v>43899</v>
      </c>
      <c r="E272" s="10" t="n">
        <v>28020.38</v>
      </c>
      <c r="F272" s="8" t="s">
        <v>11</v>
      </c>
      <c r="G272" s="8" t="s">
        <v>17</v>
      </c>
      <c r="H272" s="11" t="s">
        <v>18</v>
      </c>
      <c r="I272" s="8" t="s">
        <v>19</v>
      </c>
    </row>
    <row r="273" customFormat="false" ht="14.25" hidden="false" customHeight="false" outlineLevel="0" collapsed="false">
      <c r="A273" s="8" t="n">
        <v>272</v>
      </c>
      <c r="B273" s="8" t="s">
        <v>47</v>
      </c>
      <c r="C273" s="8" t="s">
        <v>21</v>
      </c>
      <c r="D273" s="9" t="n">
        <v>43899</v>
      </c>
      <c r="E273" s="10" t="n">
        <v>25889.23</v>
      </c>
      <c r="F273" s="8" t="s">
        <v>11</v>
      </c>
      <c r="G273" s="8" t="s">
        <v>22</v>
      </c>
      <c r="H273" s="11" t="s">
        <v>23</v>
      </c>
      <c r="I273" s="8" t="s">
        <v>14</v>
      </c>
    </row>
    <row r="274" customFormat="false" ht="14.25" hidden="false" customHeight="false" outlineLevel="0" collapsed="false">
      <c r="A274" s="8" t="n">
        <v>273</v>
      </c>
      <c r="B274" s="8" t="s">
        <v>87</v>
      </c>
      <c r="C274" s="8" t="s">
        <v>10</v>
      </c>
      <c r="D274" s="9" t="n">
        <v>43900</v>
      </c>
      <c r="E274" s="10" t="n">
        <v>27209.43</v>
      </c>
      <c r="F274" s="8" t="s">
        <v>11</v>
      </c>
      <c r="G274" s="8" t="s">
        <v>17</v>
      </c>
      <c r="H274" s="11" t="s">
        <v>18</v>
      </c>
      <c r="I274" s="8" t="s">
        <v>14</v>
      </c>
    </row>
    <row r="275" customFormat="false" ht="14.25" hidden="false" customHeight="false" outlineLevel="0" collapsed="false">
      <c r="A275" s="8" t="n">
        <v>274</v>
      </c>
      <c r="B275" s="8" t="s">
        <v>60</v>
      </c>
      <c r="C275" s="8" t="s">
        <v>16</v>
      </c>
      <c r="D275" s="9" t="n">
        <v>43900</v>
      </c>
      <c r="E275" s="10" t="n">
        <v>-883.19</v>
      </c>
      <c r="F275" s="8" t="s">
        <v>34</v>
      </c>
      <c r="G275" s="8" t="s">
        <v>30</v>
      </c>
      <c r="H275" s="11" t="s">
        <v>31</v>
      </c>
      <c r="I275" s="8" t="s">
        <v>14</v>
      </c>
    </row>
    <row r="276" customFormat="false" ht="14.25" hidden="false" customHeight="false" outlineLevel="0" collapsed="false">
      <c r="A276" s="8" t="n">
        <v>275</v>
      </c>
      <c r="B276" s="8" t="s">
        <v>88</v>
      </c>
      <c r="C276" s="8" t="s">
        <v>28</v>
      </c>
      <c r="D276" s="9" t="n">
        <v>43900</v>
      </c>
      <c r="E276" s="10" t="n">
        <v>-1662.19</v>
      </c>
      <c r="F276" s="8" t="s">
        <v>34</v>
      </c>
      <c r="G276" s="8" t="s">
        <v>12</v>
      </c>
      <c r="H276" s="11" t="s">
        <v>13</v>
      </c>
      <c r="I276" s="8" t="s">
        <v>14</v>
      </c>
    </row>
    <row r="277" customFormat="false" ht="14.25" hidden="false" customHeight="false" outlineLevel="0" collapsed="false">
      <c r="A277" s="8" t="n">
        <v>276</v>
      </c>
      <c r="B277" s="8" t="s">
        <v>66</v>
      </c>
      <c r="C277" s="8" t="s">
        <v>28</v>
      </c>
      <c r="D277" s="9" t="n">
        <v>43900</v>
      </c>
      <c r="E277" s="10" t="n">
        <v>-7715.4</v>
      </c>
      <c r="F277" s="8" t="s">
        <v>34</v>
      </c>
      <c r="G277" s="8" t="s">
        <v>17</v>
      </c>
      <c r="H277" s="11" t="s">
        <v>18</v>
      </c>
      <c r="I277" s="8" t="s">
        <v>24</v>
      </c>
    </row>
    <row r="278" customFormat="false" ht="14.25" hidden="false" customHeight="false" outlineLevel="0" collapsed="false">
      <c r="A278" s="8" t="n">
        <v>277</v>
      </c>
      <c r="B278" s="8" t="s">
        <v>66</v>
      </c>
      <c r="C278" s="8" t="s">
        <v>28</v>
      </c>
      <c r="D278" s="9" t="n">
        <v>43900</v>
      </c>
      <c r="E278" s="10" t="n">
        <v>-30080.82</v>
      </c>
      <c r="F278" s="8" t="s">
        <v>34</v>
      </c>
      <c r="G278" s="8" t="s">
        <v>12</v>
      </c>
      <c r="H278" s="11" t="s">
        <v>13</v>
      </c>
      <c r="I278" s="8" t="s">
        <v>26</v>
      </c>
    </row>
    <row r="279" customFormat="false" ht="14.25" hidden="false" customHeight="false" outlineLevel="0" collapsed="false">
      <c r="A279" s="8" t="n">
        <v>278</v>
      </c>
      <c r="B279" s="8" t="s">
        <v>66</v>
      </c>
      <c r="C279" s="8" t="s">
        <v>16</v>
      </c>
      <c r="D279" s="9" t="n">
        <v>43900</v>
      </c>
      <c r="E279" s="10" t="n">
        <v>162474.76</v>
      </c>
      <c r="F279" s="8" t="s">
        <v>11</v>
      </c>
      <c r="G279" s="8" t="s">
        <v>17</v>
      </c>
      <c r="H279" s="11" t="s">
        <v>18</v>
      </c>
      <c r="I279" s="8" t="s">
        <v>24</v>
      </c>
    </row>
    <row r="280" customFormat="false" ht="14.25" hidden="false" customHeight="false" outlineLevel="0" collapsed="false">
      <c r="A280" s="8" t="n">
        <v>279</v>
      </c>
      <c r="B280" s="8" t="s">
        <v>66</v>
      </c>
      <c r="C280" s="8" t="s">
        <v>21</v>
      </c>
      <c r="D280" s="9" t="n">
        <v>43900</v>
      </c>
      <c r="E280" s="10" t="n">
        <v>4879</v>
      </c>
      <c r="F280" s="8" t="s">
        <v>11</v>
      </c>
      <c r="G280" s="8" t="s">
        <v>17</v>
      </c>
      <c r="H280" s="11" t="s">
        <v>18</v>
      </c>
      <c r="I280" s="8" t="s">
        <v>14</v>
      </c>
    </row>
    <row r="281" customFormat="false" ht="14.25" hidden="false" customHeight="false" outlineLevel="0" collapsed="false">
      <c r="A281" s="8" t="n">
        <v>280</v>
      </c>
      <c r="B281" s="8" t="s">
        <v>66</v>
      </c>
      <c r="C281" s="8" t="s">
        <v>10</v>
      </c>
      <c r="D281" s="9" t="n">
        <v>43900</v>
      </c>
      <c r="E281" s="10" t="n">
        <v>5576</v>
      </c>
      <c r="F281" s="8" t="s">
        <v>11</v>
      </c>
      <c r="G281" s="8" t="s">
        <v>17</v>
      </c>
      <c r="H281" s="11" t="s">
        <v>18</v>
      </c>
      <c r="I281" s="8" t="s">
        <v>19</v>
      </c>
    </row>
    <row r="282" customFormat="false" ht="14.25" hidden="false" customHeight="false" outlineLevel="0" collapsed="false">
      <c r="A282" s="8" t="n">
        <v>281</v>
      </c>
      <c r="B282" s="8" t="s">
        <v>66</v>
      </c>
      <c r="C282" s="8" t="s">
        <v>28</v>
      </c>
      <c r="D282" s="9" t="n">
        <v>43900</v>
      </c>
      <c r="E282" s="10" t="n">
        <v>2788</v>
      </c>
      <c r="F282" s="8" t="s">
        <v>11</v>
      </c>
      <c r="G282" s="8" t="s">
        <v>12</v>
      </c>
      <c r="H282" s="11" t="s">
        <v>13</v>
      </c>
      <c r="I282" s="8" t="s">
        <v>24</v>
      </c>
    </row>
    <row r="283" customFormat="false" ht="14.25" hidden="false" customHeight="false" outlineLevel="0" collapsed="false">
      <c r="A283" s="8" t="n">
        <v>282</v>
      </c>
      <c r="B283" s="8" t="s">
        <v>66</v>
      </c>
      <c r="C283" s="8" t="s">
        <v>21</v>
      </c>
      <c r="D283" s="9" t="n">
        <v>43900</v>
      </c>
      <c r="E283" s="10" t="n">
        <v>4879</v>
      </c>
      <c r="F283" s="8" t="s">
        <v>11</v>
      </c>
      <c r="G283" s="8" t="s">
        <v>12</v>
      </c>
      <c r="H283" s="11" t="s">
        <v>13</v>
      </c>
      <c r="I283" s="8" t="s">
        <v>19</v>
      </c>
    </row>
    <row r="284" customFormat="false" ht="14.25" hidden="false" customHeight="false" outlineLevel="0" collapsed="false">
      <c r="A284" s="8" t="n">
        <v>283</v>
      </c>
      <c r="B284" s="8" t="s">
        <v>66</v>
      </c>
      <c r="C284" s="8" t="s">
        <v>21</v>
      </c>
      <c r="D284" s="9" t="n">
        <v>43900</v>
      </c>
      <c r="E284" s="10" t="n">
        <v>5576</v>
      </c>
      <c r="F284" s="8" t="s">
        <v>11</v>
      </c>
      <c r="G284" s="8" t="s">
        <v>30</v>
      </c>
      <c r="H284" s="11" t="s">
        <v>31</v>
      </c>
      <c r="I284" s="8" t="s">
        <v>24</v>
      </c>
    </row>
    <row r="285" customFormat="false" ht="14.25" hidden="false" customHeight="false" outlineLevel="0" collapsed="false">
      <c r="A285" s="8" t="n">
        <v>284</v>
      </c>
      <c r="B285" s="8" t="s">
        <v>66</v>
      </c>
      <c r="C285" s="8" t="s">
        <v>16</v>
      </c>
      <c r="D285" s="9" t="n">
        <v>43900</v>
      </c>
      <c r="E285" s="10" t="n">
        <v>2788</v>
      </c>
      <c r="F285" s="8" t="s">
        <v>11</v>
      </c>
      <c r="G285" s="8" t="s">
        <v>17</v>
      </c>
      <c r="H285" s="11" t="s">
        <v>18</v>
      </c>
      <c r="I285" s="8" t="s">
        <v>14</v>
      </c>
    </row>
    <row r="286" customFormat="false" ht="14.25" hidden="false" customHeight="false" outlineLevel="0" collapsed="false">
      <c r="A286" s="8" t="n">
        <v>285</v>
      </c>
      <c r="B286" s="8" t="s">
        <v>66</v>
      </c>
      <c r="C286" s="8" t="s">
        <v>16</v>
      </c>
      <c r="D286" s="9" t="n">
        <v>43900</v>
      </c>
      <c r="E286" s="10" t="n">
        <v>3645.31</v>
      </c>
      <c r="F286" s="8" t="s">
        <v>11</v>
      </c>
      <c r="G286" s="8" t="s">
        <v>22</v>
      </c>
      <c r="H286" s="11" t="s">
        <v>23</v>
      </c>
      <c r="I286" s="8" t="s">
        <v>24</v>
      </c>
    </row>
    <row r="287" customFormat="false" ht="14.25" hidden="false" customHeight="false" outlineLevel="0" collapsed="false">
      <c r="A287" s="8" t="n">
        <v>286</v>
      </c>
      <c r="B287" s="8" t="s">
        <v>50</v>
      </c>
      <c r="C287" s="8" t="s">
        <v>16</v>
      </c>
      <c r="D287" s="9" t="n">
        <v>43903</v>
      </c>
      <c r="E287" s="10" t="n">
        <v>3673.19</v>
      </c>
      <c r="F287" s="8" t="s">
        <v>11</v>
      </c>
      <c r="G287" s="8" t="s">
        <v>30</v>
      </c>
      <c r="H287" s="11" t="s">
        <v>31</v>
      </c>
      <c r="I287" s="8" t="s">
        <v>26</v>
      </c>
    </row>
    <row r="288" customFormat="false" ht="14.25" hidden="false" customHeight="false" outlineLevel="0" collapsed="false">
      <c r="A288" s="8" t="n">
        <v>287</v>
      </c>
      <c r="B288" s="8" t="s">
        <v>85</v>
      </c>
      <c r="C288" s="8" t="s">
        <v>16</v>
      </c>
      <c r="D288" s="9" t="n">
        <v>43903</v>
      </c>
      <c r="E288" s="10" t="n">
        <v>725090.46</v>
      </c>
      <c r="F288" s="8" t="s">
        <v>11</v>
      </c>
      <c r="G288" s="8" t="s">
        <v>22</v>
      </c>
      <c r="H288" s="11" t="s">
        <v>23</v>
      </c>
      <c r="I288" s="8" t="s">
        <v>19</v>
      </c>
    </row>
    <row r="289" customFormat="false" ht="14.25" hidden="false" customHeight="false" outlineLevel="0" collapsed="false">
      <c r="A289" s="8" t="n">
        <v>288</v>
      </c>
      <c r="B289" s="8" t="s">
        <v>32</v>
      </c>
      <c r="C289" s="8" t="s">
        <v>28</v>
      </c>
      <c r="D289" s="9" t="n">
        <v>43903</v>
      </c>
      <c r="E289" s="10" t="n">
        <v>-3545.05</v>
      </c>
      <c r="F289" s="8" t="s">
        <v>34</v>
      </c>
      <c r="G289" s="8" t="s">
        <v>17</v>
      </c>
      <c r="H289" s="11" t="s">
        <v>18</v>
      </c>
      <c r="I289" s="8" t="s">
        <v>24</v>
      </c>
    </row>
    <row r="290" customFormat="false" ht="14.25" hidden="false" customHeight="false" outlineLevel="0" collapsed="false">
      <c r="A290" s="8" t="n">
        <v>289</v>
      </c>
      <c r="B290" s="8" t="s">
        <v>61</v>
      </c>
      <c r="C290" s="8" t="s">
        <v>16</v>
      </c>
      <c r="D290" s="9" t="n">
        <v>43903</v>
      </c>
      <c r="E290" s="10" t="n">
        <v>-11190.27</v>
      </c>
      <c r="F290" s="8" t="s">
        <v>34</v>
      </c>
      <c r="G290" s="8" t="s">
        <v>36</v>
      </c>
      <c r="H290" s="11" t="s">
        <v>37</v>
      </c>
      <c r="I290" s="8" t="s">
        <v>14</v>
      </c>
    </row>
    <row r="291" customFormat="false" ht="14.25" hidden="false" customHeight="false" outlineLevel="0" collapsed="false">
      <c r="A291" s="8" t="n">
        <v>290</v>
      </c>
      <c r="B291" s="8" t="s">
        <v>62</v>
      </c>
      <c r="C291" s="8" t="s">
        <v>16</v>
      </c>
      <c r="D291" s="9" t="n">
        <v>43903</v>
      </c>
      <c r="E291" s="10" t="n">
        <v>-19385.21</v>
      </c>
      <c r="F291" s="8" t="s">
        <v>34</v>
      </c>
      <c r="G291" s="8" t="s">
        <v>12</v>
      </c>
      <c r="H291" s="11" t="s">
        <v>13</v>
      </c>
      <c r="I291" s="8" t="s">
        <v>14</v>
      </c>
    </row>
    <row r="292" customFormat="false" ht="14.25" hidden="false" customHeight="false" outlineLevel="0" collapsed="false">
      <c r="A292" s="8" t="n">
        <v>291</v>
      </c>
      <c r="B292" s="8" t="s">
        <v>61</v>
      </c>
      <c r="C292" s="8" t="s">
        <v>10</v>
      </c>
      <c r="D292" s="9" t="n">
        <v>43903</v>
      </c>
      <c r="E292" s="10" t="n">
        <v>3694.1</v>
      </c>
      <c r="F292" s="8" t="s">
        <v>11</v>
      </c>
      <c r="G292" s="8" t="s">
        <v>12</v>
      </c>
      <c r="H292" s="11" t="s">
        <v>13</v>
      </c>
      <c r="I292" s="8" t="s">
        <v>14</v>
      </c>
    </row>
    <row r="293" customFormat="false" ht="14.25" hidden="false" customHeight="false" outlineLevel="0" collapsed="false">
      <c r="A293" s="8" t="n">
        <v>292</v>
      </c>
      <c r="B293" s="8" t="s">
        <v>62</v>
      </c>
      <c r="C293" s="8" t="s">
        <v>21</v>
      </c>
      <c r="D293" s="9" t="n">
        <v>43903</v>
      </c>
      <c r="E293" s="10" t="n">
        <v>167606.07</v>
      </c>
      <c r="F293" s="8" t="s">
        <v>11</v>
      </c>
      <c r="G293" s="8" t="s">
        <v>12</v>
      </c>
      <c r="H293" s="11" t="s">
        <v>13</v>
      </c>
      <c r="I293" s="8" t="s">
        <v>14</v>
      </c>
    </row>
    <row r="294" customFormat="false" ht="14.25" hidden="false" customHeight="false" outlineLevel="0" collapsed="false">
      <c r="A294" s="8" t="n">
        <v>293</v>
      </c>
      <c r="B294" s="8" t="s">
        <v>61</v>
      </c>
      <c r="C294" s="8" t="s">
        <v>28</v>
      </c>
      <c r="D294" s="9" t="n">
        <v>43903</v>
      </c>
      <c r="E294" s="10" t="n">
        <v>3694.1</v>
      </c>
      <c r="F294" s="8" t="s">
        <v>11</v>
      </c>
      <c r="G294" s="8" t="s">
        <v>36</v>
      </c>
      <c r="H294" s="11" t="s">
        <v>37</v>
      </c>
      <c r="I294" s="8" t="s">
        <v>14</v>
      </c>
    </row>
    <row r="295" customFormat="false" ht="14.25" hidden="false" customHeight="false" outlineLevel="0" collapsed="false">
      <c r="A295" s="8" t="n">
        <v>294</v>
      </c>
      <c r="B295" s="8" t="s">
        <v>62</v>
      </c>
      <c r="C295" s="8" t="s">
        <v>16</v>
      </c>
      <c r="D295" s="9" t="n">
        <v>43903</v>
      </c>
      <c r="E295" s="10" t="n">
        <v>-5618.03</v>
      </c>
      <c r="F295" s="8" t="s">
        <v>34</v>
      </c>
      <c r="G295" s="8" t="s">
        <v>12</v>
      </c>
      <c r="H295" s="11" t="s">
        <v>13</v>
      </c>
      <c r="I295" s="8" t="s">
        <v>14</v>
      </c>
    </row>
    <row r="296" customFormat="false" ht="14.25" hidden="false" customHeight="false" outlineLevel="0" collapsed="false">
      <c r="A296" s="8" t="n">
        <v>295</v>
      </c>
      <c r="B296" s="8" t="s">
        <v>89</v>
      </c>
      <c r="C296" s="8" t="s">
        <v>16</v>
      </c>
      <c r="D296" s="9" t="n">
        <v>43905</v>
      </c>
      <c r="E296" s="10" t="n">
        <v>183.56</v>
      </c>
      <c r="F296" s="8" t="s">
        <v>11</v>
      </c>
      <c r="G296" s="8" t="s">
        <v>22</v>
      </c>
      <c r="H296" s="11" t="s">
        <v>23</v>
      </c>
      <c r="I296" s="8" t="s">
        <v>26</v>
      </c>
    </row>
    <row r="297" customFormat="false" ht="14.25" hidden="false" customHeight="false" outlineLevel="0" collapsed="false">
      <c r="A297" s="8" t="n">
        <v>296</v>
      </c>
      <c r="B297" s="8" t="s">
        <v>20</v>
      </c>
      <c r="C297" s="8" t="s">
        <v>21</v>
      </c>
      <c r="D297" s="9" t="n">
        <v>43906</v>
      </c>
      <c r="E297" s="10" t="n">
        <v>2439.5</v>
      </c>
      <c r="F297" s="8" t="s">
        <v>11</v>
      </c>
      <c r="G297" s="8" t="s">
        <v>12</v>
      </c>
      <c r="H297" s="11" t="s">
        <v>13</v>
      </c>
      <c r="I297" s="8" t="s">
        <v>14</v>
      </c>
    </row>
    <row r="298" customFormat="false" ht="14.25" hidden="false" customHeight="false" outlineLevel="0" collapsed="false">
      <c r="A298" s="8" t="n">
        <v>297</v>
      </c>
      <c r="B298" s="8" t="s">
        <v>32</v>
      </c>
      <c r="C298" s="8" t="s">
        <v>10</v>
      </c>
      <c r="D298" s="9" t="n">
        <v>43906</v>
      </c>
      <c r="E298" s="10" t="n">
        <v>2788</v>
      </c>
      <c r="F298" s="8" t="s">
        <v>11</v>
      </c>
      <c r="G298" s="8" t="s">
        <v>30</v>
      </c>
      <c r="H298" s="11" t="s">
        <v>31</v>
      </c>
      <c r="I298" s="8" t="s">
        <v>14</v>
      </c>
    </row>
    <row r="299" customFormat="false" ht="14.25" hidden="false" customHeight="false" outlineLevel="0" collapsed="false">
      <c r="A299" s="8" t="n">
        <v>298</v>
      </c>
      <c r="B299" s="8" t="s">
        <v>55</v>
      </c>
      <c r="C299" s="8" t="s">
        <v>10</v>
      </c>
      <c r="D299" s="9" t="n">
        <v>43906</v>
      </c>
      <c r="E299" s="10" t="n">
        <v>4321.4</v>
      </c>
      <c r="F299" s="8" t="s">
        <v>11</v>
      </c>
      <c r="G299" s="8" t="s">
        <v>12</v>
      </c>
      <c r="H299" s="11" t="s">
        <v>13</v>
      </c>
      <c r="I299" s="8" t="s">
        <v>24</v>
      </c>
    </row>
    <row r="300" customFormat="false" ht="14.25" hidden="false" customHeight="false" outlineLevel="0" collapsed="false">
      <c r="A300" s="8" t="n">
        <v>299</v>
      </c>
      <c r="B300" s="8" t="s">
        <v>20</v>
      </c>
      <c r="C300" s="8" t="s">
        <v>28</v>
      </c>
      <c r="D300" s="9" t="n">
        <v>43906</v>
      </c>
      <c r="E300" s="10" t="n">
        <v>2439.5</v>
      </c>
      <c r="F300" s="8" t="s">
        <v>11</v>
      </c>
      <c r="G300" s="8" t="s">
        <v>12</v>
      </c>
      <c r="H300" s="11" t="s">
        <v>13</v>
      </c>
      <c r="I300" s="8" t="s">
        <v>14</v>
      </c>
    </row>
    <row r="301" customFormat="false" ht="14.25" hidden="false" customHeight="false" outlineLevel="0" collapsed="false">
      <c r="A301" s="8" t="n">
        <v>300</v>
      </c>
      <c r="B301" s="8" t="s">
        <v>55</v>
      </c>
      <c r="C301" s="8" t="s">
        <v>10</v>
      </c>
      <c r="D301" s="9" t="n">
        <v>43906</v>
      </c>
      <c r="E301" s="10" t="n">
        <v>2439.5</v>
      </c>
      <c r="F301" s="8" t="s">
        <v>11</v>
      </c>
      <c r="G301" s="8" t="s">
        <v>12</v>
      </c>
      <c r="H301" s="11" t="s">
        <v>13</v>
      </c>
      <c r="I301" s="8" t="s">
        <v>26</v>
      </c>
    </row>
    <row r="302" customFormat="false" ht="14.25" hidden="false" customHeight="false" outlineLevel="0" collapsed="false">
      <c r="A302" s="8" t="n">
        <v>301</v>
      </c>
      <c r="B302" s="8" t="s">
        <v>20</v>
      </c>
      <c r="C302" s="8" t="s">
        <v>21</v>
      </c>
      <c r="D302" s="9" t="n">
        <v>43906</v>
      </c>
      <c r="E302" s="10" t="n">
        <v>4321.4</v>
      </c>
      <c r="F302" s="8" t="s">
        <v>11</v>
      </c>
      <c r="G302" s="8" t="s">
        <v>17</v>
      </c>
      <c r="H302" s="11" t="s">
        <v>18</v>
      </c>
      <c r="I302" s="8" t="s">
        <v>19</v>
      </c>
    </row>
    <row r="303" customFormat="false" ht="14.25" hidden="false" customHeight="false" outlineLevel="0" collapsed="false">
      <c r="A303" s="8" t="n">
        <v>302</v>
      </c>
      <c r="B303" s="8" t="s">
        <v>55</v>
      </c>
      <c r="C303" s="8" t="s">
        <v>10</v>
      </c>
      <c r="D303" s="9" t="n">
        <v>43906</v>
      </c>
      <c r="E303" s="10" t="n">
        <v>2788</v>
      </c>
      <c r="F303" s="8" t="s">
        <v>11</v>
      </c>
      <c r="G303" s="8" t="s">
        <v>12</v>
      </c>
      <c r="H303" s="11" t="s">
        <v>13</v>
      </c>
      <c r="I303" s="8" t="s">
        <v>14</v>
      </c>
    </row>
    <row r="304" customFormat="false" ht="14.25" hidden="false" customHeight="false" outlineLevel="0" collapsed="false">
      <c r="A304" s="8" t="n">
        <v>303</v>
      </c>
      <c r="B304" s="8" t="s">
        <v>55</v>
      </c>
      <c r="C304" s="8" t="s">
        <v>10</v>
      </c>
      <c r="D304" s="9" t="n">
        <v>43906</v>
      </c>
      <c r="E304" s="10" t="n">
        <v>2439.5</v>
      </c>
      <c r="F304" s="8" t="s">
        <v>11</v>
      </c>
      <c r="G304" s="8" t="s">
        <v>22</v>
      </c>
      <c r="H304" s="11" t="s">
        <v>23</v>
      </c>
      <c r="I304" s="8" t="s">
        <v>14</v>
      </c>
    </row>
    <row r="305" customFormat="false" ht="14.25" hidden="false" customHeight="false" outlineLevel="0" collapsed="false">
      <c r="A305" s="8" t="n">
        <v>304</v>
      </c>
      <c r="B305" s="8" t="s">
        <v>27</v>
      </c>
      <c r="C305" s="8" t="s">
        <v>21</v>
      </c>
      <c r="D305" s="9" t="n">
        <v>43907</v>
      </c>
      <c r="E305" s="10" t="n">
        <v>-38837.72</v>
      </c>
      <c r="F305" s="8" t="s">
        <v>34</v>
      </c>
      <c r="G305" s="8" t="s">
        <v>17</v>
      </c>
      <c r="H305" s="11" t="s">
        <v>18</v>
      </c>
      <c r="I305" s="8" t="s">
        <v>14</v>
      </c>
    </row>
    <row r="306" customFormat="false" ht="14.25" hidden="false" customHeight="false" outlineLevel="0" collapsed="false">
      <c r="A306" s="8" t="n">
        <v>305</v>
      </c>
      <c r="B306" s="8" t="s">
        <v>27</v>
      </c>
      <c r="C306" s="8" t="s">
        <v>16</v>
      </c>
      <c r="D306" s="9" t="n">
        <v>43907</v>
      </c>
      <c r="E306" s="10" t="n">
        <v>-7937.86</v>
      </c>
      <c r="F306" s="8" t="s">
        <v>34</v>
      </c>
      <c r="G306" s="8" t="s">
        <v>22</v>
      </c>
      <c r="H306" s="11" t="s">
        <v>23</v>
      </c>
      <c r="I306" s="8" t="s">
        <v>26</v>
      </c>
    </row>
    <row r="307" customFormat="false" ht="14.25" hidden="false" customHeight="false" outlineLevel="0" collapsed="false">
      <c r="A307" s="8" t="n">
        <v>306</v>
      </c>
      <c r="B307" s="8" t="s">
        <v>27</v>
      </c>
      <c r="C307" s="8" t="s">
        <v>10</v>
      </c>
      <c r="D307" s="9" t="n">
        <v>43907</v>
      </c>
      <c r="E307" s="10" t="n">
        <v>4530.5</v>
      </c>
      <c r="F307" s="8" t="s">
        <v>11</v>
      </c>
      <c r="G307" s="8" t="s">
        <v>12</v>
      </c>
      <c r="H307" s="11" t="s">
        <v>13</v>
      </c>
      <c r="I307" s="8" t="s">
        <v>24</v>
      </c>
    </row>
    <row r="308" customFormat="false" ht="14.25" hidden="false" customHeight="false" outlineLevel="0" collapsed="false">
      <c r="A308" s="8" t="n">
        <v>307</v>
      </c>
      <c r="B308" s="8" t="s">
        <v>27</v>
      </c>
      <c r="C308" s="8" t="s">
        <v>28</v>
      </c>
      <c r="D308" s="9" t="n">
        <v>43907</v>
      </c>
      <c r="E308" s="10" t="n">
        <v>6063.9</v>
      </c>
      <c r="F308" s="8" t="s">
        <v>11</v>
      </c>
      <c r="G308" s="8" t="s">
        <v>22</v>
      </c>
      <c r="H308" s="11" t="s">
        <v>23</v>
      </c>
      <c r="I308" s="8" t="s">
        <v>26</v>
      </c>
    </row>
    <row r="309" customFormat="false" ht="14.25" hidden="false" customHeight="false" outlineLevel="0" collapsed="false">
      <c r="A309" s="8" t="n">
        <v>308</v>
      </c>
      <c r="B309" s="8" t="s">
        <v>27</v>
      </c>
      <c r="C309" s="8" t="s">
        <v>10</v>
      </c>
      <c r="D309" s="9" t="n">
        <v>43907</v>
      </c>
      <c r="E309" s="10" t="n">
        <v>6063.9</v>
      </c>
      <c r="F309" s="8" t="s">
        <v>11</v>
      </c>
      <c r="G309" s="8" t="s">
        <v>12</v>
      </c>
      <c r="H309" s="11" t="s">
        <v>13</v>
      </c>
      <c r="I309" s="8" t="s">
        <v>24</v>
      </c>
    </row>
    <row r="310" customFormat="false" ht="14.25" hidden="false" customHeight="false" outlineLevel="0" collapsed="false">
      <c r="A310" s="8" t="n">
        <v>309</v>
      </c>
      <c r="B310" s="8" t="s">
        <v>41</v>
      </c>
      <c r="C310" s="8" t="s">
        <v>10</v>
      </c>
      <c r="D310" s="9" t="n">
        <v>43910</v>
      </c>
      <c r="E310" s="10" t="n">
        <v>4652.76</v>
      </c>
      <c r="F310" s="8" t="s">
        <v>11</v>
      </c>
      <c r="G310" s="8" t="s">
        <v>12</v>
      </c>
      <c r="H310" s="11" t="s">
        <v>13</v>
      </c>
      <c r="I310" s="8" t="s">
        <v>19</v>
      </c>
    </row>
    <row r="311" customFormat="false" ht="14.25" hidden="false" customHeight="false" outlineLevel="0" collapsed="false">
      <c r="A311" s="8" t="n">
        <v>310</v>
      </c>
      <c r="B311" s="8" t="s">
        <v>85</v>
      </c>
      <c r="C311" s="8" t="s">
        <v>28</v>
      </c>
      <c r="D311" s="9" t="n">
        <v>43910</v>
      </c>
      <c r="E311" s="10" t="n">
        <v>709840.33</v>
      </c>
      <c r="F311" s="8" t="s">
        <v>11</v>
      </c>
      <c r="G311" s="8" t="s">
        <v>36</v>
      </c>
      <c r="H311" s="11" t="s">
        <v>37</v>
      </c>
      <c r="I311" s="8" t="s">
        <v>14</v>
      </c>
    </row>
    <row r="312" customFormat="false" ht="14.25" hidden="false" customHeight="false" outlineLevel="0" collapsed="false">
      <c r="A312" s="8" t="n">
        <v>311</v>
      </c>
      <c r="B312" s="8" t="s">
        <v>40</v>
      </c>
      <c r="C312" s="8" t="s">
        <v>10</v>
      </c>
      <c r="D312" s="9" t="n">
        <v>43910</v>
      </c>
      <c r="E312" s="10" t="n">
        <v>13845.39</v>
      </c>
      <c r="F312" s="8" t="s">
        <v>11</v>
      </c>
      <c r="G312" s="8" t="s">
        <v>17</v>
      </c>
      <c r="H312" s="11" t="s">
        <v>18</v>
      </c>
      <c r="I312" s="8" t="s">
        <v>26</v>
      </c>
    </row>
    <row r="313" customFormat="false" ht="14.25" hidden="false" customHeight="false" outlineLevel="0" collapsed="false">
      <c r="A313" s="8" t="n">
        <v>312</v>
      </c>
      <c r="B313" s="8" t="s">
        <v>58</v>
      </c>
      <c r="C313" s="8" t="s">
        <v>10</v>
      </c>
      <c r="D313" s="9" t="n">
        <v>43910</v>
      </c>
      <c r="E313" s="10" t="n">
        <v>13552.14</v>
      </c>
      <c r="F313" s="8" t="s">
        <v>11</v>
      </c>
      <c r="G313" s="8" t="s">
        <v>17</v>
      </c>
      <c r="H313" s="11" t="s">
        <v>18</v>
      </c>
      <c r="I313" s="8" t="s">
        <v>26</v>
      </c>
    </row>
    <row r="314" customFormat="false" ht="14.25" hidden="false" customHeight="false" outlineLevel="0" collapsed="false">
      <c r="A314" s="8" t="n">
        <v>313</v>
      </c>
      <c r="B314" s="8" t="s">
        <v>58</v>
      </c>
      <c r="C314" s="8" t="s">
        <v>10</v>
      </c>
      <c r="D314" s="9" t="n">
        <v>43910</v>
      </c>
      <c r="E314" s="10" t="n">
        <v>12762.7</v>
      </c>
      <c r="F314" s="8" t="s">
        <v>11</v>
      </c>
      <c r="G314" s="8" t="s">
        <v>17</v>
      </c>
      <c r="H314" s="11" t="s">
        <v>18</v>
      </c>
      <c r="I314" s="8" t="s">
        <v>24</v>
      </c>
    </row>
    <row r="315" customFormat="false" ht="14.25" hidden="false" customHeight="false" outlineLevel="0" collapsed="false">
      <c r="A315" s="8" t="n">
        <v>314</v>
      </c>
      <c r="B315" s="8" t="s">
        <v>58</v>
      </c>
      <c r="C315" s="8" t="s">
        <v>16</v>
      </c>
      <c r="D315" s="9" t="n">
        <v>43910</v>
      </c>
      <c r="E315" s="10" t="n">
        <v>161483.85</v>
      </c>
      <c r="F315" s="8" t="s">
        <v>11</v>
      </c>
      <c r="G315" s="8" t="s">
        <v>12</v>
      </c>
      <c r="H315" s="11" t="s">
        <v>13</v>
      </c>
      <c r="I315" s="8" t="s">
        <v>26</v>
      </c>
    </row>
    <row r="316" customFormat="false" ht="14.25" hidden="false" customHeight="false" outlineLevel="0" collapsed="false">
      <c r="A316" s="8" t="n">
        <v>315</v>
      </c>
      <c r="B316" s="8" t="s">
        <v>58</v>
      </c>
      <c r="C316" s="8" t="s">
        <v>10</v>
      </c>
      <c r="D316" s="9" t="n">
        <v>43910</v>
      </c>
      <c r="E316" s="10" t="n">
        <v>-205.98</v>
      </c>
      <c r="F316" s="8" t="s">
        <v>34</v>
      </c>
      <c r="G316" s="8" t="s">
        <v>17</v>
      </c>
      <c r="H316" s="11" t="s">
        <v>18</v>
      </c>
      <c r="I316" s="8" t="s">
        <v>14</v>
      </c>
    </row>
    <row r="317" customFormat="false" ht="14.25" hidden="false" customHeight="false" outlineLevel="0" collapsed="false">
      <c r="A317" s="8" t="n">
        <v>316</v>
      </c>
      <c r="B317" s="8" t="s">
        <v>41</v>
      </c>
      <c r="C317" s="8" t="s">
        <v>10</v>
      </c>
      <c r="D317" s="9" t="n">
        <v>43911</v>
      </c>
      <c r="E317" s="10" t="n">
        <v>-8117.27</v>
      </c>
      <c r="F317" s="8" t="s">
        <v>34</v>
      </c>
      <c r="G317" s="8" t="s">
        <v>22</v>
      </c>
      <c r="H317" s="11" t="s">
        <v>23</v>
      </c>
      <c r="I317" s="8" t="s">
        <v>26</v>
      </c>
    </row>
    <row r="318" customFormat="false" ht="14.25" hidden="false" customHeight="false" outlineLevel="0" collapsed="false">
      <c r="A318" s="8" t="n">
        <v>317</v>
      </c>
      <c r="B318" s="8" t="s">
        <v>39</v>
      </c>
      <c r="C318" s="8" t="s">
        <v>10</v>
      </c>
      <c r="D318" s="9" t="n">
        <v>43912</v>
      </c>
      <c r="E318" s="10" t="n">
        <v>127935.53</v>
      </c>
      <c r="F318" s="8" t="s">
        <v>11</v>
      </c>
      <c r="G318" s="8" t="s">
        <v>22</v>
      </c>
      <c r="H318" s="11" t="s">
        <v>23</v>
      </c>
      <c r="I318" s="8" t="s">
        <v>24</v>
      </c>
    </row>
    <row r="319" customFormat="false" ht="14.25" hidden="false" customHeight="false" outlineLevel="0" collapsed="false">
      <c r="A319" s="8" t="n">
        <v>318</v>
      </c>
      <c r="B319" s="8" t="s">
        <v>40</v>
      </c>
      <c r="C319" s="8" t="s">
        <v>10</v>
      </c>
      <c r="D319" s="9" t="n">
        <v>43913</v>
      </c>
      <c r="E319" s="10" t="n">
        <v>-13397.48</v>
      </c>
      <c r="F319" s="8" t="s">
        <v>34</v>
      </c>
      <c r="G319" s="8" t="s">
        <v>30</v>
      </c>
      <c r="H319" s="11" t="s">
        <v>31</v>
      </c>
      <c r="I319" s="8" t="s">
        <v>19</v>
      </c>
    </row>
    <row r="320" customFormat="false" ht="14.25" hidden="false" customHeight="false" outlineLevel="0" collapsed="false">
      <c r="A320" s="8" t="n">
        <v>319</v>
      </c>
      <c r="B320" s="8" t="s">
        <v>39</v>
      </c>
      <c r="C320" s="8" t="s">
        <v>21</v>
      </c>
      <c r="D320" s="9" t="n">
        <v>43913</v>
      </c>
      <c r="E320" s="10" t="n">
        <v>138399.04</v>
      </c>
      <c r="F320" s="8" t="s">
        <v>11</v>
      </c>
      <c r="G320" s="8" t="s">
        <v>12</v>
      </c>
      <c r="H320" s="11" t="s">
        <v>13</v>
      </c>
      <c r="I320" s="8" t="s">
        <v>19</v>
      </c>
    </row>
    <row r="321" customFormat="false" ht="14.25" hidden="false" customHeight="false" outlineLevel="0" collapsed="false">
      <c r="A321" s="8" t="n">
        <v>320</v>
      </c>
      <c r="B321" s="8" t="s">
        <v>44</v>
      </c>
      <c r="C321" s="8" t="s">
        <v>28</v>
      </c>
      <c r="D321" s="9" t="n">
        <v>43914</v>
      </c>
      <c r="E321" s="10" t="n">
        <v>103392.18</v>
      </c>
      <c r="F321" s="8" t="s">
        <v>11</v>
      </c>
      <c r="G321" s="8" t="s">
        <v>12</v>
      </c>
      <c r="H321" s="11" t="s">
        <v>13</v>
      </c>
      <c r="I321" s="8" t="s">
        <v>26</v>
      </c>
    </row>
    <row r="322" customFormat="false" ht="14.25" hidden="false" customHeight="false" outlineLevel="0" collapsed="false">
      <c r="A322" s="8" t="n">
        <v>321</v>
      </c>
      <c r="B322" s="8" t="s">
        <v>44</v>
      </c>
      <c r="C322" s="8" t="s">
        <v>28</v>
      </c>
      <c r="D322" s="9" t="n">
        <v>43914</v>
      </c>
      <c r="E322" s="10" t="n">
        <v>73915.15</v>
      </c>
      <c r="F322" s="8" t="s">
        <v>11</v>
      </c>
      <c r="G322" s="8" t="s">
        <v>17</v>
      </c>
      <c r="H322" s="11" t="s">
        <v>18</v>
      </c>
      <c r="I322" s="8" t="s">
        <v>19</v>
      </c>
    </row>
    <row r="323" customFormat="false" ht="14.25" hidden="false" customHeight="false" outlineLevel="0" collapsed="false">
      <c r="A323" s="8" t="n">
        <v>322</v>
      </c>
      <c r="B323" s="8" t="s">
        <v>72</v>
      </c>
      <c r="C323" s="8" t="s">
        <v>10</v>
      </c>
      <c r="D323" s="9" t="n">
        <v>43914</v>
      </c>
      <c r="E323" s="10" t="n">
        <v>7200.63</v>
      </c>
      <c r="F323" s="8" t="s">
        <v>11</v>
      </c>
      <c r="G323" s="8" t="s">
        <v>36</v>
      </c>
      <c r="H323" s="11" t="s">
        <v>37</v>
      </c>
      <c r="I323" s="8" t="s">
        <v>24</v>
      </c>
    </row>
    <row r="324" customFormat="false" ht="14.25" hidden="false" customHeight="false" outlineLevel="0" collapsed="false">
      <c r="A324" s="8" t="n">
        <v>323</v>
      </c>
      <c r="B324" s="8" t="s">
        <v>45</v>
      </c>
      <c r="C324" s="8" t="s">
        <v>28</v>
      </c>
      <c r="D324" s="9" t="n">
        <v>43914</v>
      </c>
      <c r="E324" s="10" t="n">
        <v>3458.53</v>
      </c>
      <c r="F324" s="8" t="s">
        <v>11</v>
      </c>
      <c r="G324" s="8" t="s">
        <v>12</v>
      </c>
      <c r="H324" s="11" t="s">
        <v>13</v>
      </c>
      <c r="I324" s="8" t="s">
        <v>14</v>
      </c>
    </row>
    <row r="325" customFormat="false" ht="14.25" hidden="false" customHeight="false" outlineLevel="0" collapsed="false">
      <c r="A325" s="8" t="n">
        <v>324</v>
      </c>
      <c r="B325" s="8" t="s">
        <v>58</v>
      </c>
      <c r="C325" s="8" t="s">
        <v>10</v>
      </c>
      <c r="D325" s="9" t="n">
        <v>43914</v>
      </c>
      <c r="E325" s="10" t="n">
        <v>3888.04</v>
      </c>
      <c r="F325" s="8" t="s">
        <v>11</v>
      </c>
      <c r="G325" s="8" t="s">
        <v>12</v>
      </c>
      <c r="H325" s="11" t="s">
        <v>13</v>
      </c>
      <c r="I325" s="8" t="s">
        <v>26</v>
      </c>
    </row>
    <row r="326" customFormat="false" ht="14.25" hidden="false" customHeight="false" outlineLevel="0" collapsed="false">
      <c r="A326" s="8" t="n">
        <v>325</v>
      </c>
      <c r="B326" s="8" t="s">
        <v>58</v>
      </c>
      <c r="C326" s="8" t="s">
        <v>10</v>
      </c>
      <c r="D326" s="9" t="n">
        <v>43914</v>
      </c>
      <c r="E326" s="10" t="n">
        <v>7330.71</v>
      </c>
      <c r="F326" s="8" t="s">
        <v>11</v>
      </c>
      <c r="G326" s="8" t="s">
        <v>12</v>
      </c>
      <c r="H326" s="11" t="s">
        <v>13</v>
      </c>
      <c r="I326" s="8" t="s">
        <v>14</v>
      </c>
    </row>
    <row r="327" customFormat="false" ht="14.25" hidden="false" customHeight="false" outlineLevel="0" collapsed="false">
      <c r="A327" s="8" t="n">
        <v>326</v>
      </c>
      <c r="B327" s="8" t="s">
        <v>58</v>
      </c>
      <c r="C327" s="8" t="s">
        <v>16</v>
      </c>
      <c r="D327" s="9" t="n">
        <v>43914</v>
      </c>
      <c r="E327" s="10" t="n">
        <v>3586.39</v>
      </c>
      <c r="F327" s="8" t="s">
        <v>11</v>
      </c>
      <c r="G327" s="8" t="s">
        <v>36</v>
      </c>
      <c r="H327" s="11" t="s">
        <v>37</v>
      </c>
      <c r="I327" s="8" t="s">
        <v>19</v>
      </c>
    </row>
    <row r="328" customFormat="false" ht="14.25" hidden="false" customHeight="false" outlineLevel="0" collapsed="false">
      <c r="A328" s="8" t="n">
        <v>327</v>
      </c>
      <c r="B328" s="8" t="s">
        <v>45</v>
      </c>
      <c r="C328" s="8" t="s">
        <v>10</v>
      </c>
      <c r="D328" s="9" t="n">
        <v>43914</v>
      </c>
      <c r="E328" s="10" t="n">
        <v>25568</v>
      </c>
      <c r="F328" s="8" t="s">
        <v>11</v>
      </c>
      <c r="G328" s="8" t="s">
        <v>12</v>
      </c>
      <c r="H328" s="11" t="s">
        <v>13</v>
      </c>
      <c r="I328" s="8" t="s">
        <v>24</v>
      </c>
    </row>
    <row r="329" customFormat="false" ht="14.25" hidden="false" customHeight="false" outlineLevel="0" collapsed="false">
      <c r="A329" s="8" t="n">
        <v>328</v>
      </c>
      <c r="B329" s="8" t="s">
        <v>90</v>
      </c>
      <c r="C329" s="8" t="s">
        <v>16</v>
      </c>
      <c r="D329" s="9" t="n">
        <v>43914</v>
      </c>
      <c r="E329" s="10" t="n">
        <v>4105.76</v>
      </c>
      <c r="F329" s="8" t="s">
        <v>11</v>
      </c>
      <c r="G329" s="8" t="s">
        <v>17</v>
      </c>
      <c r="H329" s="11" t="s">
        <v>18</v>
      </c>
      <c r="I329" s="8" t="s">
        <v>19</v>
      </c>
    </row>
    <row r="330" customFormat="false" ht="14.25" hidden="false" customHeight="false" outlineLevel="0" collapsed="false">
      <c r="A330" s="8" t="n">
        <v>329</v>
      </c>
      <c r="B330" s="8" t="s">
        <v>72</v>
      </c>
      <c r="C330" s="8" t="s">
        <v>21</v>
      </c>
      <c r="D330" s="9" t="n">
        <v>43914</v>
      </c>
      <c r="E330" s="10" t="n">
        <v>3708.78</v>
      </c>
      <c r="F330" s="8" t="s">
        <v>11</v>
      </c>
      <c r="G330" s="8" t="s">
        <v>17</v>
      </c>
      <c r="H330" s="11" t="s">
        <v>18</v>
      </c>
      <c r="I330" s="8" t="s">
        <v>26</v>
      </c>
    </row>
    <row r="331" customFormat="false" ht="14.25" hidden="false" customHeight="false" outlineLevel="0" collapsed="false">
      <c r="A331" s="8" t="n">
        <v>330</v>
      </c>
      <c r="B331" s="8" t="s">
        <v>90</v>
      </c>
      <c r="C331" s="8" t="s">
        <v>28</v>
      </c>
      <c r="D331" s="9" t="n">
        <v>43914</v>
      </c>
      <c r="E331" s="10" t="n">
        <v>25568</v>
      </c>
      <c r="F331" s="8" t="s">
        <v>11</v>
      </c>
      <c r="G331" s="8" t="s">
        <v>12</v>
      </c>
      <c r="H331" s="11" t="s">
        <v>13</v>
      </c>
      <c r="I331" s="8" t="s">
        <v>14</v>
      </c>
    </row>
    <row r="332" customFormat="false" ht="14.25" hidden="false" customHeight="false" outlineLevel="0" collapsed="false">
      <c r="A332" s="8" t="n">
        <v>331</v>
      </c>
      <c r="B332" s="8" t="s">
        <v>58</v>
      </c>
      <c r="C332" s="8" t="s">
        <v>21</v>
      </c>
      <c r="D332" s="9" t="n">
        <v>43914</v>
      </c>
      <c r="E332" s="10" t="n">
        <v>4023.48</v>
      </c>
      <c r="F332" s="8" t="s">
        <v>11</v>
      </c>
      <c r="G332" s="8" t="s">
        <v>17</v>
      </c>
      <c r="H332" s="11" t="s">
        <v>18</v>
      </c>
      <c r="I332" s="8" t="s">
        <v>19</v>
      </c>
    </row>
    <row r="333" customFormat="false" ht="14.25" hidden="false" customHeight="false" outlineLevel="0" collapsed="false">
      <c r="A333" s="8" t="n">
        <v>332</v>
      </c>
      <c r="B333" s="8" t="s">
        <v>58</v>
      </c>
      <c r="C333" s="8" t="s">
        <v>16</v>
      </c>
      <c r="D333" s="9" t="n">
        <v>43914</v>
      </c>
      <c r="E333" s="10" t="n">
        <v>25568</v>
      </c>
      <c r="F333" s="8" t="s">
        <v>11</v>
      </c>
      <c r="G333" s="8" t="s">
        <v>12</v>
      </c>
      <c r="H333" s="11" t="s">
        <v>13</v>
      </c>
      <c r="I333" s="8" t="s">
        <v>19</v>
      </c>
    </row>
    <row r="334" customFormat="false" ht="14.25" hidden="false" customHeight="false" outlineLevel="0" collapsed="false">
      <c r="A334" s="8" t="n">
        <v>333</v>
      </c>
      <c r="B334" s="8" t="s">
        <v>79</v>
      </c>
      <c r="C334" s="8" t="s">
        <v>10</v>
      </c>
      <c r="D334" s="9" t="n">
        <v>43915</v>
      </c>
      <c r="E334" s="10" t="n">
        <v>25568</v>
      </c>
      <c r="F334" s="8" t="s">
        <v>11</v>
      </c>
      <c r="G334" s="8" t="s">
        <v>17</v>
      </c>
      <c r="H334" s="11" t="s">
        <v>18</v>
      </c>
      <c r="I334" s="8" t="s">
        <v>19</v>
      </c>
    </row>
    <row r="335" customFormat="false" ht="14.25" hidden="false" customHeight="false" outlineLevel="0" collapsed="false">
      <c r="A335" s="8" t="n">
        <v>334</v>
      </c>
      <c r="B335" s="8" t="s">
        <v>79</v>
      </c>
      <c r="C335" s="8" t="s">
        <v>28</v>
      </c>
      <c r="D335" s="9" t="n">
        <v>43915</v>
      </c>
      <c r="E335" s="10" t="n">
        <v>25568</v>
      </c>
      <c r="F335" s="8" t="s">
        <v>11</v>
      </c>
      <c r="G335" s="8" t="s">
        <v>12</v>
      </c>
      <c r="H335" s="11" t="s">
        <v>13</v>
      </c>
      <c r="I335" s="8" t="s">
        <v>26</v>
      </c>
    </row>
    <row r="336" customFormat="false" ht="14.25" hidden="false" customHeight="false" outlineLevel="0" collapsed="false">
      <c r="A336" s="8" t="n">
        <v>335</v>
      </c>
      <c r="B336" s="8" t="s">
        <v>32</v>
      </c>
      <c r="C336" s="8" t="s">
        <v>10</v>
      </c>
      <c r="D336" s="9" t="n">
        <v>43918</v>
      </c>
      <c r="E336" s="10" t="n">
        <v>8968.58</v>
      </c>
      <c r="F336" s="8" t="s">
        <v>11</v>
      </c>
      <c r="G336" s="8" t="s">
        <v>22</v>
      </c>
      <c r="H336" s="11" t="s">
        <v>23</v>
      </c>
      <c r="I336" s="8" t="s">
        <v>14</v>
      </c>
    </row>
    <row r="337" customFormat="false" ht="14.25" hidden="false" customHeight="false" outlineLevel="0" collapsed="false">
      <c r="A337" s="8" t="n">
        <v>336</v>
      </c>
      <c r="B337" s="8" t="s">
        <v>91</v>
      </c>
      <c r="C337" s="8" t="s">
        <v>10</v>
      </c>
      <c r="D337" s="9" t="n">
        <v>43919</v>
      </c>
      <c r="E337" s="10" t="n">
        <v>19730.22</v>
      </c>
      <c r="F337" s="8" t="s">
        <v>11</v>
      </c>
      <c r="G337" s="8" t="s">
        <v>36</v>
      </c>
      <c r="H337" s="11" t="s">
        <v>37</v>
      </c>
      <c r="I337" s="8" t="s">
        <v>26</v>
      </c>
    </row>
    <row r="338" customFormat="false" ht="14.25" hidden="false" customHeight="false" outlineLevel="0" collapsed="false">
      <c r="A338" s="8" t="n">
        <v>337</v>
      </c>
      <c r="B338" s="8" t="s">
        <v>85</v>
      </c>
      <c r="C338" s="8" t="s">
        <v>21</v>
      </c>
      <c r="D338" s="9" t="n">
        <v>43920</v>
      </c>
      <c r="E338" s="10" t="n">
        <v>-148038.97</v>
      </c>
      <c r="F338" s="8" t="s">
        <v>34</v>
      </c>
      <c r="G338" s="8" t="s">
        <v>17</v>
      </c>
      <c r="H338" s="11" t="s">
        <v>18</v>
      </c>
      <c r="I338" s="8" t="s">
        <v>14</v>
      </c>
    </row>
    <row r="339" customFormat="false" ht="14.25" hidden="false" customHeight="false" outlineLevel="0" collapsed="false">
      <c r="A339" s="8" t="n">
        <v>338</v>
      </c>
      <c r="B339" s="8" t="s">
        <v>39</v>
      </c>
      <c r="C339" s="8" t="s">
        <v>10</v>
      </c>
      <c r="D339" s="9" t="n">
        <v>43920</v>
      </c>
      <c r="E339" s="10" t="n">
        <v>8500</v>
      </c>
      <c r="F339" s="8" t="s">
        <v>11</v>
      </c>
      <c r="G339" s="8" t="s">
        <v>17</v>
      </c>
      <c r="H339" s="11" t="s">
        <v>18</v>
      </c>
      <c r="I339" s="8" t="s">
        <v>14</v>
      </c>
    </row>
    <row r="340" customFormat="false" ht="14.25" hidden="false" customHeight="false" outlineLevel="0" collapsed="false">
      <c r="A340" s="8" t="n">
        <v>339</v>
      </c>
      <c r="B340" s="8" t="s">
        <v>92</v>
      </c>
      <c r="C340" s="8" t="s">
        <v>21</v>
      </c>
      <c r="D340" s="9" t="n">
        <v>43921</v>
      </c>
      <c r="E340" s="10" t="n">
        <v>152806.49</v>
      </c>
      <c r="F340" s="8" t="s">
        <v>11</v>
      </c>
      <c r="G340" s="8" t="s">
        <v>17</v>
      </c>
      <c r="H340" s="11" t="s">
        <v>18</v>
      </c>
      <c r="I340" s="8" t="s">
        <v>26</v>
      </c>
    </row>
    <row r="341" customFormat="false" ht="14.25" hidden="false" customHeight="false" outlineLevel="0" collapsed="false">
      <c r="A341" s="8" t="n">
        <v>340</v>
      </c>
      <c r="B341" s="8" t="s">
        <v>93</v>
      </c>
      <c r="C341" s="8" t="s">
        <v>21</v>
      </c>
      <c r="D341" s="9" t="n">
        <v>43921</v>
      </c>
      <c r="E341" s="10" t="n">
        <v>182626.3</v>
      </c>
      <c r="F341" s="8" t="s">
        <v>11</v>
      </c>
      <c r="G341" s="8" t="s">
        <v>36</v>
      </c>
      <c r="H341" s="11" t="s">
        <v>37</v>
      </c>
      <c r="I341" s="8" t="s">
        <v>14</v>
      </c>
    </row>
    <row r="342" customFormat="false" ht="14.25" hidden="false" customHeight="false" outlineLevel="0" collapsed="false">
      <c r="A342" s="8" t="n">
        <v>341</v>
      </c>
      <c r="B342" s="8" t="s">
        <v>94</v>
      </c>
      <c r="C342" s="8" t="s">
        <v>10</v>
      </c>
      <c r="D342" s="9" t="n">
        <v>43921</v>
      </c>
      <c r="E342" s="10" t="n">
        <v>148557.15</v>
      </c>
      <c r="F342" s="8" t="s">
        <v>11</v>
      </c>
      <c r="G342" s="8" t="s">
        <v>12</v>
      </c>
      <c r="H342" s="11" t="s">
        <v>13</v>
      </c>
      <c r="I342" s="8" t="s">
        <v>26</v>
      </c>
    </row>
    <row r="343" customFormat="false" ht="14.25" hidden="false" customHeight="false" outlineLevel="0" collapsed="false">
      <c r="A343" s="8" t="n">
        <v>342</v>
      </c>
      <c r="B343" s="8" t="s">
        <v>95</v>
      </c>
      <c r="C343" s="8" t="s">
        <v>10</v>
      </c>
      <c r="D343" s="9" t="n">
        <v>43921</v>
      </c>
      <c r="E343" s="10" t="n">
        <v>2884.59</v>
      </c>
      <c r="F343" s="8" t="s">
        <v>11</v>
      </c>
      <c r="G343" s="8" t="s">
        <v>22</v>
      </c>
      <c r="H343" s="11" t="s">
        <v>23</v>
      </c>
      <c r="I343" s="8" t="s">
        <v>14</v>
      </c>
    </row>
    <row r="344" customFormat="false" ht="14.25" hidden="false" customHeight="false" outlineLevel="0" collapsed="false">
      <c r="A344" s="8" t="n">
        <v>343</v>
      </c>
      <c r="B344" s="8" t="s">
        <v>96</v>
      </c>
      <c r="C344" s="8" t="s">
        <v>16</v>
      </c>
      <c r="D344" s="9" t="n">
        <v>43921</v>
      </c>
      <c r="E344" s="10" t="n">
        <v>2658.93</v>
      </c>
      <c r="F344" s="8" t="s">
        <v>11</v>
      </c>
      <c r="G344" s="8" t="s">
        <v>17</v>
      </c>
      <c r="H344" s="11" t="s">
        <v>18</v>
      </c>
      <c r="I344" s="8" t="s">
        <v>26</v>
      </c>
    </row>
    <row r="345" customFormat="false" ht="14.25" hidden="false" customHeight="false" outlineLevel="0" collapsed="false">
      <c r="A345" s="8" t="n">
        <v>344</v>
      </c>
      <c r="B345" s="8" t="s">
        <v>97</v>
      </c>
      <c r="C345" s="8" t="s">
        <v>21</v>
      </c>
      <c r="D345" s="9" t="n">
        <v>43921</v>
      </c>
      <c r="E345" s="10" t="n">
        <v>165375.39</v>
      </c>
      <c r="F345" s="8" t="s">
        <v>11</v>
      </c>
      <c r="G345" s="8" t="s">
        <v>36</v>
      </c>
      <c r="H345" s="11" t="s">
        <v>37</v>
      </c>
      <c r="I345" s="8" t="s">
        <v>14</v>
      </c>
    </row>
    <row r="346" customFormat="false" ht="14.25" hidden="false" customHeight="false" outlineLevel="0" collapsed="false">
      <c r="A346" s="8" t="n">
        <v>345</v>
      </c>
      <c r="B346" s="8" t="s">
        <v>98</v>
      </c>
      <c r="C346" s="8" t="s">
        <v>16</v>
      </c>
      <c r="D346" s="9" t="n">
        <v>43921</v>
      </c>
      <c r="E346" s="10" t="n">
        <v>-34603.59</v>
      </c>
      <c r="F346" s="8" t="s">
        <v>34</v>
      </c>
      <c r="G346" s="8" t="s">
        <v>17</v>
      </c>
      <c r="H346" s="11" t="s">
        <v>18</v>
      </c>
      <c r="I346" s="8" t="s">
        <v>14</v>
      </c>
    </row>
    <row r="347" customFormat="false" ht="14.25" hidden="false" customHeight="false" outlineLevel="0" collapsed="false">
      <c r="A347" s="8" t="n">
        <v>346</v>
      </c>
      <c r="B347" s="8" t="s">
        <v>55</v>
      </c>
      <c r="C347" s="8" t="s">
        <v>28</v>
      </c>
      <c r="D347" s="9" t="n">
        <v>43921</v>
      </c>
      <c r="E347" s="10" t="n">
        <v>144801.1</v>
      </c>
      <c r="F347" s="8" t="s">
        <v>11</v>
      </c>
      <c r="G347" s="8" t="s">
        <v>22</v>
      </c>
      <c r="H347" s="11" t="s">
        <v>23</v>
      </c>
      <c r="I347" s="8" t="s">
        <v>26</v>
      </c>
    </row>
    <row r="348" customFormat="false" ht="14.25" hidden="false" customHeight="false" outlineLevel="0" collapsed="false">
      <c r="A348" s="8" t="n">
        <v>347</v>
      </c>
      <c r="B348" s="8" t="s">
        <v>99</v>
      </c>
      <c r="C348" s="8" t="s">
        <v>28</v>
      </c>
      <c r="D348" s="9" t="n">
        <v>43921</v>
      </c>
      <c r="E348" s="10" t="n">
        <v>-6728.86</v>
      </c>
      <c r="F348" s="8" t="s">
        <v>34</v>
      </c>
      <c r="G348" s="8" t="s">
        <v>17</v>
      </c>
      <c r="H348" s="11" t="s">
        <v>18</v>
      </c>
      <c r="I348" s="8" t="s">
        <v>26</v>
      </c>
    </row>
    <row r="349" customFormat="false" ht="14.25" hidden="false" customHeight="false" outlineLevel="0" collapsed="false">
      <c r="A349" s="8" t="n">
        <v>348</v>
      </c>
      <c r="B349" s="8" t="s">
        <v>100</v>
      </c>
      <c r="C349" s="8" t="s">
        <v>16</v>
      </c>
      <c r="D349" s="9" t="n">
        <v>43921</v>
      </c>
      <c r="E349" s="10" t="n">
        <v>-42971.46</v>
      </c>
      <c r="F349" s="8" t="s">
        <v>34</v>
      </c>
      <c r="G349" s="8" t="s">
        <v>17</v>
      </c>
      <c r="H349" s="11" t="s">
        <v>18</v>
      </c>
      <c r="I349" s="8" t="s">
        <v>14</v>
      </c>
    </row>
    <row r="350" customFormat="false" ht="14.25" hidden="false" customHeight="false" outlineLevel="0" collapsed="false">
      <c r="A350" s="8" t="n">
        <v>349</v>
      </c>
      <c r="B350" s="8" t="s">
        <v>27</v>
      </c>
      <c r="C350" s="8" t="s">
        <v>28</v>
      </c>
      <c r="D350" s="9" t="n">
        <v>43921</v>
      </c>
      <c r="E350" s="10" t="n">
        <v>-364602.46</v>
      </c>
      <c r="F350" s="8" t="s">
        <v>34</v>
      </c>
      <c r="G350" s="8" t="s">
        <v>12</v>
      </c>
      <c r="H350" s="11" t="s">
        <v>13</v>
      </c>
      <c r="I350" s="8" t="s">
        <v>14</v>
      </c>
    </row>
    <row r="351" customFormat="false" ht="14.25" hidden="false" customHeight="false" outlineLevel="0" collapsed="false">
      <c r="A351" s="8" t="n">
        <v>350</v>
      </c>
      <c r="B351" s="8" t="s">
        <v>100</v>
      </c>
      <c r="C351" s="8" t="s">
        <v>10</v>
      </c>
      <c r="D351" s="9" t="n">
        <v>43921</v>
      </c>
      <c r="E351" s="10" t="n">
        <v>7667</v>
      </c>
      <c r="F351" s="8" t="s">
        <v>11</v>
      </c>
      <c r="G351" s="8" t="s">
        <v>17</v>
      </c>
      <c r="H351" s="11" t="s">
        <v>18</v>
      </c>
      <c r="I351" s="8" t="s">
        <v>26</v>
      </c>
    </row>
    <row r="352" customFormat="false" ht="14.25" hidden="false" customHeight="false" outlineLevel="0" collapsed="false">
      <c r="A352" s="8" t="n">
        <v>351</v>
      </c>
      <c r="B352" s="8" t="s">
        <v>100</v>
      </c>
      <c r="C352" s="8" t="s">
        <v>21</v>
      </c>
      <c r="D352" s="9" t="n">
        <v>43921</v>
      </c>
      <c r="E352" s="10" t="n">
        <v>-11502.23</v>
      </c>
      <c r="F352" s="8" t="s">
        <v>34</v>
      </c>
      <c r="G352" s="8" t="s">
        <v>12</v>
      </c>
      <c r="H352" s="11" t="s">
        <v>13</v>
      </c>
      <c r="I352" s="8" t="s">
        <v>26</v>
      </c>
    </row>
    <row r="353" customFormat="false" ht="14.25" hidden="false" customHeight="false" outlineLevel="0" collapsed="false">
      <c r="A353" s="8" t="n">
        <v>352</v>
      </c>
      <c r="B353" s="8" t="s">
        <v>100</v>
      </c>
      <c r="C353" s="8" t="s">
        <v>10</v>
      </c>
      <c r="D353" s="9" t="n">
        <v>43921</v>
      </c>
      <c r="E353" s="10" t="n">
        <v>23343.56</v>
      </c>
      <c r="F353" s="8" t="s">
        <v>11</v>
      </c>
      <c r="G353" s="8" t="s">
        <v>17</v>
      </c>
      <c r="H353" s="11" t="s">
        <v>18</v>
      </c>
      <c r="I353" s="8" t="s">
        <v>24</v>
      </c>
    </row>
    <row r="354" customFormat="false" ht="14.25" hidden="false" customHeight="false" outlineLevel="0" collapsed="false">
      <c r="A354" s="8" t="n">
        <v>353</v>
      </c>
      <c r="B354" s="8" t="s">
        <v>100</v>
      </c>
      <c r="C354" s="8" t="s">
        <v>16</v>
      </c>
      <c r="D354" s="9" t="n">
        <v>43921</v>
      </c>
      <c r="E354" s="10" t="n">
        <v>22606.83</v>
      </c>
      <c r="F354" s="8" t="s">
        <v>11</v>
      </c>
      <c r="G354" s="8" t="s">
        <v>12</v>
      </c>
      <c r="H354" s="11" t="s">
        <v>13</v>
      </c>
      <c r="I354" s="8" t="s">
        <v>24</v>
      </c>
    </row>
    <row r="355" customFormat="false" ht="14.25" hidden="false" customHeight="false" outlineLevel="0" collapsed="false">
      <c r="A355" s="8" t="n">
        <v>354</v>
      </c>
      <c r="B355" s="8" t="s">
        <v>27</v>
      </c>
      <c r="C355" s="8" t="s">
        <v>21</v>
      </c>
      <c r="D355" s="9" t="n">
        <v>43921</v>
      </c>
      <c r="E355" s="10" t="n">
        <v>23064.44</v>
      </c>
      <c r="F355" s="8" t="s">
        <v>11</v>
      </c>
      <c r="G355" s="8" t="s">
        <v>12</v>
      </c>
      <c r="H355" s="11" t="s">
        <v>13</v>
      </c>
      <c r="I355" s="8" t="s">
        <v>14</v>
      </c>
    </row>
    <row r="356" customFormat="false" ht="14.25" hidden="false" customHeight="false" outlineLevel="0" collapsed="false">
      <c r="A356" s="8" t="n">
        <v>355</v>
      </c>
      <c r="B356" s="8" t="s">
        <v>27</v>
      </c>
      <c r="C356" s="8" t="s">
        <v>16</v>
      </c>
      <c r="D356" s="9" t="n">
        <v>43921</v>
      </c>
      <c r="E356" s="10" t="n">
        <v>10561.98</v>
      </c>
      <c r="F356" s="8" t="s">
        <v>11</v>
      </c>
      <c r="G356" s="8" t="s">
        <v>17</v>
      </c>
      <c r="H356" s="11" t="s">
        <v>18</v>
      </c>
      <c r="I356" s="8" t="s">
        <v>26</v>
      </c>
    </row>
    <row r="357" customFormat="false" ht="14.25" hidden="false" customHeight="false" outlineLevel="0" collapsed="false">
      <c r="A357" s="8" t="n">
        <v>356</v>
      </c>
      <c r="B357" s="8" t="s">
        <v>27</v>
      </c>
      <c r="C357" s="8" t="s">
        <v>10</v>
      </c>
      <c r="D357" s="9" t="n">
        <v>43921</v>
      </c>
      <c r="E357" s="10" t="n">
        <v>1774.17</v>
      </c>
      <c r="F357" s="8" t="s">
        <v>11</v>
      </c>
      <c r="G357" s="8" t="s">
        <v>12</v>
      </c>
      <c r="H357" s="11" t="s">
        <v>13</v>
      </c>
      <c r="I357" s="8" t="s">
        <v>14</v>
      </c>
    </row>
    <row r="358" customFormat="false" ht="14.25" hidden="false" customHeight="false" outlineLevel="0" collapsed="false">
      <c r="A358" s="8" t="n">
        <v>357</v>
      </c>
      <c r="B358" s="8" t="s">
        <v>27</v>
      </c>
      <c r="C358" s="8" t="s">
        <v>16</v>
      </c>
      <c r="D358" s="9" t="n">
        <v>43921</v>
      </c>
      <c r="E358" s="10" t="n">
        <v>9966.34</v>
      </c>
      <c r="F358" s="8" t="s">
        <v>11</v>
      </c>
      <c r="G358" s="8" t="s">
        <v>12</v>
      </c>
      <c r="H358" s="11" t="s">
        <v>13</v>
      </c>
      <c r="I358" s="8" t="s">
        <v>14</v>
      </c>
    </row>
    <row r="359" customFormat="false" ht="14.25" hidden="false" customHeight="false" outlineLevel="0" collapsed="false">
      <c r="A359" s="8" t="n">
        <v>358</v>
      </c>
      <c r="B359" s="8" t="s">
        <v>27</v>
      </c>
      <c r="C359" s="8" t="s">
        <v>16</v>
      </c>
      <c r="D359" s="9" t="n">
        <v>43921</v>
      </c>
      <c r="E359" s="10" t="n">
        <v>11084.74</v>
      </c>
      <c r="F359" s="8" t="s">
        <v>11</v>
      </c>
      <c r="G359" s="8" t="s">
        <v>17</v>
      </c>
      <c r="H359" s="11" t="s">
        <v>18</v>
      </c>
      <c r="I359" s="8" t="s">
        <v>26</v>
      </c>
    </row>
    <row r="360" customFormat="false" ht="14.25" hidden="false" customHeight="false" outlineLevel="0" collapsed="false">
      <c r="A360" s="8" t="n">
        <v>359</v>
      </c>
      <c r="B360" s="8" t="s">
        <v>27</v>
      </c>
      <c r="C360" s="8" t="s">
        <v>16</v>
      </c>
      <c r="D360" s="9" t="n">
        <v>43921</v>
      </c>
      <c r="E360" s="10" t="n">
        <v>-41.51</v>
      </c>
      <c r="F360" s="8" t="s">
        <v>34</v>
      </c>
      <c r="G360" s="8" t="s">
        <v>12</v>
      </c>
      <c r="H360" s="11" t="s">
        <v>13</v>
      </c>
      <c r="I360" s="8" t="s">
        <v>14</v>
      </c>
    </row>
    <row r="361" customFormat="false" ht="14.25" hidden="false" customHeight="false" outlineLevel="0" collapsed="false">
      <c r="A361" s="8" t="n">
        <v>360</v>
      </c>
      <c r="B361" s="8" t="s">
        <v>101</v>
      </c>
      <c r="C361" s="8" t="s">
        <v>21</v>
      </c>
      <c r="D361" s="9" t="n">
        <v>43925</v>
      </c>
      <c r="E361" s="10" t="n">
        <v>-2860580.67</v>
      </c>
      <c r="F361" s="8" t="s">
        <v>34</v>
      </c>
      <c r="G361" s="8" t="s">
        <v>17</v>
      </c>
      <c r="H361" s="11" t="s">
        <v>18</v>
      </c>
      <c r="I361" s="8" t="s">
        <v>14</v>
      </c>
    </row>
    <row r="362" customFormat="false" ht="14.25" hidden="false" customHeight="false" outlineLevel="0" collapsed="false">
      <c r="A362" s="8" t="n">
        <v>361</v>
      </c>
      <c r="B362" s="8" t="s">
        <v>102</v>
      </c>
      <c r="C362" s="8" t="s">
        <v>16</v>
      </c>
      <c r="D362" s="9" t="n">
        <v>43926</v>
      </c>
      <c r="E362" s="10" t="n">
        <v>53163.76</v>
      </c>
      <c r="F362" s="8" t="s">
        <v>11</v>
      </c>
      <c r="G362" s="8" t="s">
        <v>12</v>
      </c>
      <c r="H362" s="11" t="s">
        <v>13</v>
      </c>
      <c r="I362" s="8" t="s">
        <v>26</v>
      </c>
    </row>
    <row r="363" customFormat="false" ht="14.25" hidden="false" customHeight="false" outlineLevel="0" collapsed="false">
      <c r="A363" s="8" t="n">
        <v>362</v>
      </c>
      <c r="B363" s="8" t="s">
        <v>39</v>
      </c>
      <c r="C363" s="8" t="s">
        <v>16</v>
      </c>
      <c r="D363" s="9" t="n">
        <v>43926</v>
      </c>
      <c r="E363" s="10" t="n">
        <v>8364</v>
      </c>
      <c r="F363" s="8" t="s">
        <v>11</v>
      </c>
      <c r="G363" s="8" t="s">
        <v>12</v>
      </c>
      <c r="H363" s="11" t="s">
        <v>13</v>
      </c>
      <c r="I363" s="8" t="s">
        <v>26</v>
      </c>
    </row>
    <row r="364" customFormat="false" ht="14.25" hidden="false" customHeight="false" outlineLevel="0" collapsed="false">
      <c r="A364" s="8" t="n">
        <v>363</v>
      </c>
      <c r="B364" s="8" t="s">
        <v>39</v>
      </c>
      <c r="C364" s="8" t="s">
        <v>21</v>
      </c>
      <c r="D364" s="9" t="n">
        <v>43926</v>
      </c>
      <c r="E364" s="10" t="n">
        <v>2439.5</v>
      </c>
      <c r="F364" s="8" t="s">
        <v>11</v>
      </c>
      <c r="G364" s="8" t="s">
        <v>22</v>
      </c>
      <c r="H364" s="11" t="s">
        <v>23</v>
      </c>
      <c r="I364" s="8" t="s">
        <v>14</v>
      </c>
    </row>
    <row r="365" customFormat="false" ht="14.25" hidden="false" customHeight="false" outlineLevel="0" collapsed="false">
      <c r="A365" s="8" t="n">
        <v>364</v>
      </c>
      <c r="B365" s="8" t="s">
        <v>103</v>
      </c>
      <c r="C365" s="8" t="s">
        <v>21</v>
      </c>
      <c r="D365" s="9" t="n">
        <v>43927</v>
      </c>
      <c r="E365" s="10" t="n">
        <v>2439.5</v>
      </c>
      <c r="F365" s="8" t="s">
        <v>11</v>
      </c>
      <c r="G365" s="8" t="s">
        <v>12</v>
      </c>
      <c r="H365" s="11" t="s">
        <v>13</v>
      </c>
      <c r="I365" s="8" t="s">
        <v>14</v>
      </c>
    </row>
    <row r="366" customFormat="false" ht="14.25" hidden="false" customHeight="false" outlineLevel="0" collapsed="false">
      <c r="A366" s="8" t="n">
        <v>365</v>
      </c>
      <c r="B366" s="8" t="s">
        <v>104</v>
      </c>
      <c r="C366" s="8" t="s">
        <v>21</v>
      </c>
      <c r="D366" s="9" t="n">
        <v>43927</v>
      </c>
      <c r="E366" s="10" t="n">
        <v>3485</v>
      </c>
      <c r="F366" s="8" t="s">
        <v>11</v>
      </c>
      <c r="G366" s="8" t="s">
        <v>12</v>
      </c>
      <c r="H366" s="11" t="s">
        <v>13</v>
      </c>
      <c r="I366" s="8" t="s">
        <v>14</v>
      </c>
    </row>
    <row r="367" customFormat="false" ht="14.25" hidden="false" customHeight="false" outlineLevel="0" collapsed="false">
      <c r="A367" s="8" t="n">
        <v>366</v>
      </c>
      <c r="B367" s="8" t="s">
        <v>105</v>
      </c>
      <c r="C367" s="8" t="s">
        <v>10</v>
      </c>
      <c r="D367" s="9" t="n">
        <v>43927</v>
      </c>
      <c r="E367" s="10" t="n">
        <v>2927.4</v>
      </c>
      <c r="F367" s="8" t="s">
        <v>11</v>
      </c>
      <c r="G367" s="8" t="s">
        <v>36</v>
      </c>
      <c r="H367" s="11" t="s">
        <v>37</v>
      </c>
      <c r="I367" s="8" t="s">
        <v>24</v>
      </c>
    </row>
    <row r="368" customFormat="false" ht="14.25" hidden="false" customHeight="false" outlineLevel="0" collapsed="false">
      <c r="A368" s="8" t="n">
        <v>367</v>
      </c>
      <c r="B368" s="8" t="s">
        <v>32</v>
      </c>
      <c r="C368" s="8" t="s">
        <v>16</v>
      </c>
      <c r="D368" s="9" t="n">
        <v>43928</v>
      </c>
      <c r="E368" s="10" t="n">
        <v>2490.74</v>
      </c>
      <c r="F368" s="8" t="s">
        <v>11</v>
      </c>
      <c r="G368" s="8" t="s">
        <v>17</v>
      </c>
      <c r="H368" s="11" t="s">
        <v>18</v>
      </c>
      <c r="I368" s="8" t="s">
        <v>14</v>
      </c>
    </row>
    <row r="369" customFormat="false" ht="14.25" hidden="false" customHeight="false" outlineLevel="0" collapsed="false">
      <c r="A369" s="8" t="n">
        <v>368</v>
      </c>
      <c r="B369" s="8" t="s">
        <v>72</v>
      </c>
      <c r="C369" s="8" t="s">
        <v>28</v>
      </c>
      <c r="D369" s="9" t="n">
        <v>43928</v>
      </c>
      <c r="E369" s="10" t="n">
        <v>2854.91</v>
      </c>
      <c r="F369" s="8" t="s">
        <v>11</v>
      </c>
      <c r="G369" s="8" t="s">
        <v>12</v>
      </c>
      <c r="H369" s="11" t="s">
        <v>13</v>
      </c>
      <c r="I369" s="8" t="s">
        <v>14</v>
      </c>
    </row>
    <row r="370" customFormat="false" ht="14.25" hidden="false" customHeight="false" outlineLevel="0" collapsed="false">
      <c r="A370" s="8" t="n">
        <v>369</v>
      </c>
      <c r="B370" s="8" t="s">
        <v>38</v>
      </c>
      <c r="C370" s="8" t="s">
        <v>21</v>
      </c>
      <c r="D370" s="9" t="n">
        <v>43928</v>
      </c>
      <c r="E370" s="10" t="n">
        <v>8364</v>
      </c>
      <c r="F370" s="8" t="s">
        <v>11</v>
      </c>
      <c r="G370" s="8" t="s">
        <v>22</v>
      </c>
      <c r="H370" s="11" t="s">
        <v>23</v>
      </c>
      <c r="I370" s="8" t="s">
        <v>14</v>
      </c>
    </row>
    <row r="371" customFormat="false" ht="14.25" hidden="false" customHeight="false" outlineLevel="0" collapsed="false">
      <c r="A371" s="8" t="n">
        <v>370</v>
      </c>
      <c r="B371" s="8" t="s">
        <v>42</v>
      </c>
      <c r="C371" s="8" t="s">
        <v>10</v>
      </c>
      <c r="D371" s="9" t="n">
        <v>43928</v>
      </c>
      <c r="E371" s="10" t="n">
        <v>2788</v>
      </c>
      <c r="F371" s="8" t="s">
        <v>11</v>
      </c>
      <c r="G371" s="8" t="s">
        <v>17</v>
      </c>
      <c r="H371" s="11" t="s">
        <v>18</v>
      </c>
      <c r="I371" s="8" t="s">
        <v>26</v>
      </c>
    </row>
    <row r="372" customFormat="false" ht="14.25" hidden="false" customHeight="false" outlineLevel="0" collapsed="false">
      <c r="A372" s="8" t="n">
        <v>371</v>
      </c>
      <c r="B372" s="8" t="s">
        <v>45</v>
      </c>
      <c r="C372" s="8" t="s">
        <v>10</v>
      </c>
      <c r="D372" s="9" t="n">
        <v>43928</v>
      </c>
      <c r="E372" s="10" t="n">
        <v>3485</v>
      </c>
      <c r="F372" s="8" t="s">
        <v>11</v>
      </c>
      <c r="G372" s="8" t="s">
        <v>17</v>
      </c>
      <c r="H372" s="11" t="s">
        <v>18</v>
      </c>
      <c r="I372" s="8" t="s">
        <v>14</v>
      </c>
    </row>
    <row r="373" customFormat="false" ht="14.25" hidden="false" customHeight="false" outlineLevel="0" collapsed="false">
      <c r="A373" s="8" t="n">
        <v>372</v>
      </c>
      <c r="B373" s="8" t="s">
        <v>46</v>
      </c>
      <c r="C373" s="8" t="s">
        <v>28</v>
      </c>
      <c r="D373" s="9" t="n">
        <v>43928</v>
      </c>
      <c r="E373" s="10" t="n">
        <v>2927.4</v>
      </c>
      <c r="F373" s="8" t="s">
        <v>11</v>
      </c>
      <c r="G373" s="8" t="s">
        <v>12</v>
      </c>
      <c r="H373" s="11" t="s">
        <v>13</v>
      </c>
      <c r="I373" s="8" t="s">
        <v>26</v>
      </c>
    </row>
    <row r="374" customFormat="false" ht="14.25" hidden="false" customHeight="false" outlineLevel="0" collapsed="false">
      <c r="A374" s="8" t="n">
        <v>373</v>
      </c>
      <c r="B374" s="8" t="s">
        <v>38</v>
      </c>
      <c r="C374" s="8" t="s">
        <v>10</v>
      </c>
      <c r="D374" s="9" t="n">
        <v>43928</v>
      </c>
      <c r="E374" s="10" t="n">
        <v>2498.08</v>
      </c>
      <c r="F374" s="8" t="s">
        <v>11</v>
      </c>
      <c r="G374" s="8" t="s">
        <v>22</v>
      </c>
      <c r="H374" s="11" t="s">
        <v>23</v>
      </c>
      <c r="I374" s="8" t="s">
        <v>14</v>
      </c>
    </row>
    <row r="375" customFormat="false" ht="14.25" hidden="false" customHeight="false" outlineLevel="0" collapsed="false">
      <c r="A375" s="8" t="n">
        <v>374</v>
      </c>
      <c r="B375" s="8" t="s">
        <v>46</v>
      </c>
      <c r="C375" s="8" t="s">
        <v>28</v>
      </c>
      <c r="D375" s="9" t="n">
        <v>43928</v>
      </c>
      <c r="E375" s="10" t="n">
        <v>-1727170.95</v>
      </c>
      <c r="F375" s="8" t="s">
        <v>34</v>
      </c>
      <c r="G375" s="8" t="s">
        <v>12</v>
      </c>
      <c r="H375" s="11" t="s">
        <v>13</v>
      </c>
      <c r="I375" s="8" t="s">
        <v>14</v>
      </c>
    </row>
    <row r="376" customFormat="false" ht="14.25" hidden="false" customHeight="false" outlineLevel="0" collapsed="false">
      <c r="A376" s="8" t="n">
        <v>375</v>
      </c>
      <c r="B376" s="8" t="s">
        <v>42</v>
      </c>
      <c r="C376" s="8" t="s">
        <v>21</v>
      </c>
      <c r="D376" s="9" t="n">
        <v>43928</v>
      </c>
      <c r="E376" s="10" t="n">
        <v>-221420.05</v>
      </c>
      <c r="F376" s="8" t="s">
        <v>34</v>
      </c>
      <c r="G376" s="8" t="s">
        <v>17</v>
      </c>
      <c r="H376" s="11" t="s">
        <v>18</v>
      </c>
      <c r="I376" s="8" t="s">
        <v>26</v>
      </c>
    </row>
    <row r="377" customFormat="false" ht="14.25" hidden="false" customHeight="false" outlineLevel="0" collapsed="false">
      <c r="A377" s="8" t="n">
        <v>376</v>
      </c>
      <c r="B377" s="8" t="s">
        <v>45</v>
      </c>
      <c r="C377" s="8" t="s">
        <v>28</v>
      </c>
      <c r="D377" s="9" t="n">
        <v>43928</v>
      </c>
      <c r="E377" s="10" t="n">
        <v>-401900.1</v>
      </c>
      <c r="F377" s="8" t="s">
        <v>34</v>
      </c>
      <c r="G377" s="8" t="s">
        <v>36</v>
      </c>
      <c r="H377" s="11" t="s">
        <v>37</v>
      </c>
      <c r="I377" s="8" t="s">
        <v>26</v>
      </c>
    </row>
    <row r="378" customFormat="false" ht="14.25" hidden="false" customHeight="false" outlineLevel="0" collapsed="false">
      <c r="A378" s="8" t="n">
        <v>377</v>
      </c>
      <c r="B378" s="8" t="s">
        <v>47</v>
      </c>
      <c r="C378" s="8" t="s">
        <v>10</v>
      </c>
      <c r="D378" s="9" t="n">
        <v>43928</v>
      </c>
      <c r="E378" s="10" t="n">
        <v>2788</v>
      </c>
      <c r="F378" s="8" t="s">
        <v>11</v>
      </c>
      <c r="G378" s="8" t="s">
        <v>36</v>
      </c>
      <c r="H378" s="11" t="s">
        <v>37</v>
      </c>
      <c r="I378" s="8" t="s">
        <v>14</v>
      </c>
    </row>
    <row r="379" customFormat="false" ht="14.25" hidden="false" customHeight="false" outlineLevel="0" collapsed="false">
      <c r="A379" s="8" t="n">
        <v>378</v>
      </c>
      <c r="B379" s="8" t="s">
        <v>47</v>
      </c>
      <c r="C379" s="8" t="s">
        <v>28</v>
      </c>
      <c r="D379" s="9" t="n">
        <v>43928</v>
      </c>
      <c r="E379" s="10" t="n">
        <v>3833.5</v>
      </c>
      <c r="F379" s="8" t="s">
        <v>11</v>
      </c>
      <c r="G379" s="8" t="s">
        <v>12</v>
      </c>
      <c r="H379" s="11" t="s">
        <v>13</v>
      </c>
      <c r="I379" s="8" t="s">
        <v>14</v>
      </c>
    </row>
    <row r="380" customFormat="false" ht="14.25" hidden="false" customHeight="false" outlineLevel="0" collapsed="false">
      <c r="A380" s="8" t="n">
        <v>379</v>
      </c>
      <c r="B380" s="8" t="s">
        <v>57</v>
      </c>
      <c r="C380" s="8" t="s">
        <v>10</v>
      </c>
      <c r="D380" s="9" t="n">
        <v>43928</v>
      </c>
      <c r="E380" s="10" t="n">
        <v>2788</v>
      </c>
      <c r="F380" s="8" t="s">
        <v>11</v>
      </c>
      <c r="G380" s="8" t="s">
        <v>12</v>
      </c>
      <c r="H380" s="11" t="s">
        <v>13</v>
      </c>
      <c r="I380" s="8" t="s">
        <v>14</v>
      </c>
    </row>
    <row r="381" customFormat="false" ht="14.25" hidden="false" customHeight="false" outlineLevel="0" collapsed="false">
      <c r="A381" s="8" t="n">
        <v>380</v>
      </c>
      <c r="B381" s="8" t="s">
        <v>72</v>
      </c>
      <c r="C381" s="8" t="s">
        <v>16</v>
      </c>
      <c r="D381" s="9" t="n">
        <v>43928</v>
      </c>
      <c r="E381" s="10" t="n">
        <v>3833.5</v>
      </c>
      <c r="F381" s="8" t="s">
        <v>11</v>
      </c>
      <c r="G381" s="8" t="s">
        <v>17</v>
      </c>
      <c r="H381" s="11" t="s">
        <v>18</v>
      </c>
      <c r="I381" s="8" t="s">
        <v>19</v>
      </c>
    </row>
    <row r="382" customFormat="false" ht="14.25" hidden="false" customHeight="false" outlineLevel="0" collapsed="false">
      <c r="A382" s="8" t="n">
        <v>381</v>
      </c>
      <c r="B382" s="8" t="s">
        <v>57</v>
      </c>
      <c r="C382" s="8" t="s">
        <v>21</v>
      </c>
      <c r="D382" s="9" t="n">
        <v>43928</v>
      </c>
      <c r="E382" s="10" t="n">
        <v>1426.81</v>
      </c>
      <c r="F382" s="8" t="s">
        <v>11</v>
      </c>
      <c r="G382" s="8" t="s">
        <v>17</v>
      </c>
      <c r="H382" s="11" t="s">
        <v>18</v>
      </c>
      <c r="I382" s="8" t="s">
        <v>26</v>
      </c>
    </row>
    <row r="383" customFormat="false" ht="14.25" hidden="false" customHeight="false" outlineLevel="0" collapsed="false">
      <c r="A383" s="8" t="n">
        <v>382</v>
      </c>
      <c r="B383" s="8" t="s">
        <v>9</v>
      </c>
      <c r="C383" s="8" t="s">
        <v>28</v>
      </c>
      <c r="D383" s="9" t="n">
        <v>43932</v>
      </c>
      <c r="E383" s="10" t="n">
        <v>2550</v>
      </c>
      <c r="F383" s="8" t="s">
        <v>11</v>
      </c>
      <c r="G383" s="8" t="s">
        <v>17</v>
      </c>
      <c r="H383" s="11" t="s">
        <v>18</v>
      </c>
      <c r="I383" s="8" t="s">
        <v>14</v>
      </c>
    </row>
    <row r="384" customFormat="false" ht="14.25" hidden="false" customHeight="false" outlineLevel="0" collapsed="false">
      <c r="A384" s="8" t="n">
        <v>383</v>
      </c>
      <c r="B384" s="8" t="s">
        <v>51</v>
      </c>
      <c r="C384" s="8" t="s">
        <v>10</v>
      </c>
      <c r="D384" s="9" t="n">
        <v>43932</v>
      </c>
      <c r="E384" s="10" t="n">
        <v>397.56</v>
      </c>
      <c r="F384" s="8" t="s">
        <v>11</v>
      </c>
      <c r="G384" s="8" t="s">
        <v>12</v>
      </c>
      <c r="H384" s="11" t="s">
        <v>13</v>
      </c>
      <c r="I384" s="8" t="s">
        <v>14</v>
      </c>
    </row>
    <row r="385" customFormat="false" ht="14.25" hidden="false" customHeight="false" outlineLevel="0" collapsed="false">
      <c r="A385" s="8" t="n">
        <v>384</v>
      </c>
      <c r="B385" s="8" t="s">
        <v>39</v>
      </c>
      <c r="C385" s="8" t="s">
        <v>10</v>
      </c>
      <c r="D385" s="9" t="n">
        <v>43932</v>
      </c>
      <c r="E385" s="10" t="n">
        <v>2152.44</v>
      </c>
      <c r="F385" s="8" t="s">
        <v>11</v>
      </c>
      <c r="G385" s="8" t="s">
        <v>12</v>
      </c>
      <c r="H385" s="11" t="s">
        <v>13</v>
      </c>
      <c r="I385" s="8" t="s">
        <v>14</v>
      </c>
    </row>
    <row r="386" customFormat="false" ht="14.25" hidden="false" customHeight="false" outlineLevel="0" collapsed="false">
      <c r="A386" s="8" t="n">
        <v>385</v>
      </c>
      <c r="B386" s="8" t="s">
        <v>74</v>
      </c>
      <c r="C386" s="8" t="s">
        <v>16</v>
      </c>
      <c r="D386" s="9" t="n">
        <v>43933</v>
      </c>
      <c r="E386" s="10" t="n">
        <v>2192.66</v>
      </c>
      <c r="F386" s="8" t="s">
        <v>11</v>
      </c>
      <c r="G386" s="8" t="s">
        <v>36</v>
      </c>
      <c r="H386" s="11" t="s">
        <v>37</v>
      </c>
      <c r="I386" s="8" t="s">
        <v>14</v>
      </c>
    </row>
    <row r="387" customFormat="false" ht="14.25" hidden="false" customHeight="false" outlineLevel="0" collapsed="false">
      <c r="A387" s="8" t="n">
        <v>386</v>
      </c>
      <c r="B387" s="8" t="s">
        <v>9</v>
      </c>
      <c r="C387" s="8" t="s">
        <v>10</v>
      </c>
      <c r="D387" s="9" t="n">
        <v>43933</v>
      </c>
      <c r="E387" s="10" t="n">
        <v>-27220.9</v>
      </c>
      <c r="F387" s="8" t="s">
        <v>34</v>
      </c>
      <c r="G387" s="8" t="s">
        <v>12</v>
      </c>
      <c r="H387" s="11" t="s">
        <v>13</v>
      </c>
      <c r="I387" s="8" t="s">
        <v>24</v>
      </c>
    </row>
    <row r="388" customFormat="false" ht="14.25" hidden="false" customHeight="false" outlineLevel="0" collapsed="false">
      <c r="A388" s="8" t="n">
        <v>387</v>
      </c>
      <c r="B388" s="8" t="s">
        <v>20</v>
      </c>
      <c r="C388" s="8" t="s">
        <v>10</v>
      </c>
      <c r="D388" s="9" t="n">
        <v>43933</v>
      </c>
      <c r="E388" s="10" t="n">
        <v>-1875.3</v>
      </c>
      <c r="F388" s="8" t="s">
        <v>34</v>
      </c>
      <c r="G388" s="8" t="s">
        <v>17</v>
      </c>
      <c r="H388" s="11" t="s">
        <v>18</v>
      </c>
      <c r="I388" s="8" t="s">
        <v>14</v>
      </c>
    </row>
    <row r="389" customFormat="false" ht="14.25" hidden="false" customHeight="false" outlineLevel="0" collapsed="false">
      <c r="A389" s="8" t="n">
        <v>388</v>
      </c>
      <c r="B389" s="8" t="s">
        <v>20</v>
      </c>
      <c r="C389" s="8" t="s">
        <v>21</v>
      </c>
      <c r="D389" s="9" t="n">
        <v>43933</v>
      </c>
      <c r="E389" s="10" t="n">
        <v>-1758.02</v>
      </c>
      <c r="F389" s="8" t="s">
        <v>34</v>
      </c>
      <c r="G389" s="8" t="s">
        <v>36</v>
      </c>
      <c r="H389" s="11" t="s">
        <v>37</v>
      </c>
      <c r="I389" s="8" t="s">
        <v>19</v>
      </c>
    </row>
    <row r="390" customFormat="false" ht="14.25" hidden="false" customHeight="false" outlineLevel="0" collapsed="false">
      <c r="A390" s="8" t="n">
        <v>389</v>
      </c>
      <c r="B390" s="8" t="s">
        <v>20</v>
      </c>
      <c r="C390" s="8" t="s">
        <v>21</v>
      </c>
      <c r="D390" s="9" t="n">
        <v>43933</v>
      </c>
      <c r="E390" s="10" t="n">
        <v>-1386.63</v>
      </c>
      <c r="F390" s="8" t="s">
        <v>34</v>
      </c>
      <c r="G390" s="8" t="s">
        <v>12</v>
      </c>
      <c r="H390" s="11" t="s">
        <v>13</v>
      </c>
      <c r="I390" s="8" t="s">
        <v>14</v>
      </c>
    </row>
    <row r="391" customFormat="false" ht="14.25" hidden="false" customHeight="false" outlineLevel="0" collapsed="false">
      <c r="A391" s="8" t="n">
        <v>390</v>
      </c>
      <c r="B391" s="8" t="s">
        <v>49</v>
      </c>
      <c r="C391" s="8" t="s">
        <v>10</v>
      </c>
      <c r="D391" s="9" t="n">
        <v>43933</v>
      </c>
      <c r="E391" s="10" t="n">
        <v>-3044.93</v>
      </c>
      <c r="F391" s="8" t="s">
        <v>34</v>
      </c>
      <c r="G391" s="8" t="s">
        <v>22</v>
      </c>
      <c r="H391" s="11" t="s">
        <v>23</v>
      </c>
      <c r="I391" s="8" t="s">
        <v>14</v>
      </c>
    </row>
    <row r="392" customFormat="false" ht="14.25" hidden="false" customHeight="false" outlineLevel="0" collapsed="false">
      <c r="A392" s="8" t="n">
        <v>391</v>
      </c>
      <c r="B392" s="8" t="s">
        <v>106</v>
      </c>
      <c r="C392" s="8" t="s">
        <v>10</v>
      </c>
      <c r="D392" s="9" t="n">
        <v>43934</v>
      </c>
      <c r="E392" s="10" t="n">
        <v>12034.07</v>
      </c>
      <c r="F392" s="8" t="s">
        <v>11</v>
      </c>
      <c r="G392" s="8" t="s">
        <v>22</v>
      </c>
      <c r="H392" s="11" t="s">
        <v>23</v>
      </c>
      <c r="I392" s="8" t="s">
        <v>14</v>
      </c>
    </row>
    <row r="393" customFormat="false" ht="14.25" hidden="false" customHeight="false" outlineLevel="0" collapsed="false">
      <c r="A393" s="8" t="n">
        <v>392</v>
      </c>
      <c r="B393" s="8" t="s">
        <v>107</v>
      </c>
      <c r="C393" s="8" t="s">
        <v>10</v>
      </c>
      <c r="D393" s="9" t="n">
        <v>43939</v>
      </c>
      <c r="E393" s="10" t="n">
        <v>3136.5</v>
      </c>
      <c r="F393" s="8" t="s">
        <v>11</v>
      </c>
      <c r="G393" s="8" t="s">
        <v>17</v>
      </c>
      <c r="H393" s="11" t="s">
        <v>18</v>
      </c>
      <c r="I393" s="8" t="s">
        <v>26</v>
      </c>
    </row>
    <row r="394" customFormat="false" ht="14.25" hidden="false" customHeight="false" outlineLevel="0" collapsed="false">
      <c r="A394" s="8" t="n">
        <v>393</v>
      </c>
      <c r="B394" s="8" t="s">
        <v>108</v>
      </c>
      <c r="C394" s="8" t="s">
        <v>21</v>
      </c>
      <c r="D394" s="9" t="n">
        <v>43939</v>
      </c>
      <c r="E394" s="10" t="n">
        <v>3136.5</v>
      </c>
      <c r="F394" s="8" t="s">
        <v>11</v>
      </c>
      <c r="G394" s="8" t="s">
        <v>17</v>
      </c>
      <c r="H394" s="11" t="s">
        <v>18</v>
      </c>
      <c r="I394" s="8" t="s">
        <v>26</v>
      </c>
    </row>
    <row r="395" customFormat="false" ht="14.25" hidden="false" customHeight="false" outlineLevel="0" collapsed="false">
      <c r="A395" s="8" t="n">
        <v>394</v>
      </c>
      <c r="B395" s="8" t="s">
        <v>109</v>
      </c>
      <c r="C395" s="8" t="s">
        <v>16</v>
      </c>
      <c r="D395" s="9" t="n">
        <v>43939</v>
      </c>
      <c r="E395" s="10" t="n">
        <v>13152.64</v>
      </c>
      <c r="F395" s="8" t="s">
        <v>11</v>
      </c>
      <c r="G395" s="8" t="s">
        <v>17</v>
      </c>
      <c r="H395" s="11" t="s">
        <v>18</v>
      </c>
      <c r="I395" s="8" t="s">
        <v>26</v>
      </c>
    </row>
    <row r="396" customFormat="false" ht="14.25" hidden="false" customHeight="false" outlineLevel="0" collapsed="false">
      <c r="A396" s="8" t="n">
        <v>395</v>
      </c>
      <c r="B396" s="8" t="s">
        <v>109</v>
      </c>
      <c r="C396" s="8" t="s">
        <v>21</v>
      </c>
      <c r="D396" s="9" t="n">
        <v>43939</v>
      </c>
      <c r="E396" s="10" t="n">
        <v>12881.81</v>
      </c>
      <c r="F396" s="8" t="s">
        <v>11</v>
      </c>
      <c r="G396" s="8" t="s">
        <v>17</v>
      </c>
      <c r="H396" s="11" t="s">
        <v>18</v>
      </c>
      <c r="I396" s="8" t="s">
        <v>14</v>
      </c>
    </row>
    <row r="397" customFormat="false" ht="14.25" hidden="false" customHeight="false" outlineLevel="0" collapsed="false">
      <c r="A397" s="8" t="n">
        <v>396</v>
      </c>
      <c r="B397" s="8" t="s">
        <v>110</v>
      </c>
      <c r="C397" s="8" t="s">
        <v>28</v>
      </c>
      <c r="D397" s="9" t="n">
        <v>43940</v>
      </c>
      <c r="E397" s="10" t="n">
        <v>-55102.95</v>
      </c>
      <c r="F397" s="8" t="s">
        <v>34</v>
      </c>
      <c r="G397" s="8" t="s">
        <v>12</v>
      </c>
      <c r="H397" s="11" t="s">
        <v>13</v>
      </c>
      <c r="I397" s="8" t="s">
        <v>24</v>
      </c>
    </row>
    <row r="398" customFormat="false" ht="14.25" hidden="false" customHeight="false" outlineLevel="0" collapsed="false">
      <c r="A398" s="8" t="n">
        <v>397</v>
      </c>
      <c r="B398" s="8" t="s">
        <v>106</v>
      </c>
      <c r="C398" s="8" t="s">
        <v>10</v>
      </c>
      <c r="D398" s="9" t="n">
        <v>43940</v>
      </c>
      <c r="E398" s="10" t="n">
        <v>173313.98</v>
      </c>
      <c r="F398" s="8" t="s">
        <v>11</v>
      </c>
      <c r="G398" s="8" t="s">
        <v>12</v>
      </c>
      <c r="H398" s="11" t="s">
        <v>13</v>
      </c>
      <c r="I398" s="8" t="s">
        <v>26</v>
      </c>
    </row>
    <row r="399" customFormat="false" ht="14.25" hidden="false" customHeight="false" outlineLevel="0" collapsed="false">
      <c r="A399" s="8" t="n">
        <v>398</v>
      </c>
      <c r="B399" s="8" t="s">
        <v>106</v>
      </c>
      <c r="C399" s="8" t="s">
        <v>10</v>
      </c>
      <c r="D399" s="9" t="n">
        <v>43940</v>
      </c>
      <c r="E399" s="10" t="n">
        <v>84835.95</v>
      </c>
      <c r="F399" s="8" t="s">
        <v>11</v>
      </c>
      <c r="G399" s="8" t="s">
        <v>12</v>
      </c>
      <c r="H399" s="11" t="s">
        <v>13</v>
      </c>
      <c r="I399" s="8" t="s">
        <v>24</v>
      </c>
    </row>
    <row r="400" customFormat="false" ht="14.25" hidden="false" customHeight="false" outlineLevel="0" collapsed="false">
      <c r="A400" s="8" t="n">
        <v>399</v>
      </c>
      <c r="B400" s="8" t="s">
        <v>86</v>
      </c>
      <c r="C400" s="8" t="s">
        <v>21</v>
      </c>
      <c r="D400" s="9" t="n">
        <v>43940</v>
      </c>
      <c r="E400" s="10" t="n">
        <v>5581.66</v>
      </c>
      <c r="F400" s="8" t="s">
        <v>11</v>
      </c>
      <c r="G400" s="8" t="s">
        <v>12</v>
      </c>
      <c r="H400" s="11" t="s">
        <v>13</v>
      </c>
      <c r="I400" s="8" t="s">
        <v>14</v>
      </c>
    </row>
    <row r="401" customFormat="false" ht="14.25" hidden="false" customHeight="false" outlineLevel="0" collapsed="false">
      <c r="A401" s="8" t="n">
        <v>400</v>
      </c>
      <c r="B401" s="8" t="s">
        <v>100</v>
      </c>
      <c r="C401" s="8" t="s">
        <v>10</v>
      </c>
      <c r="D401" s="9" t="n">
        <v>43941</v>
      </c>
      <c r="E401" s="10" t="n">
        <v>152034.29</v>
      </c>
      <c r="F401" s="8" t="s">
        <v>11</v>
      </c>
      <c r="G401" s="8" t="s">
        <v>36</v>
      </c>
      <c r="H401" s="11" t="s">
        <v>37</v>
      </c>
      <c r="I401" s="8" t="s">
        <v>14</v>
      </c>
    </row>
    <row r="402" customFormat="false" ht="14.25" hidden="false" customHeight="false" outlineLevel="0" collapsed="false">
      <c r="A402" s="8" t="n">
        <v>401</v>
      </c>
      <c r="B402" s="8" t="s">
        <v>100</v>
      </c>
      <c r="C402" s="8" t="s">
        <v>10</v>
      </c>
      <c r="D402" s="9" t="n">
        <v>43941</v>
      </c>
      <c r="E402" s="10" t="n">
        <v>176702.09</v>
      </c>
      <c r="F402" s="8" t="s">
        <v>11</v>
      </c>
      <c r="G402" s="8" t="s">
        <v>30</v>
      </c>
      <c r="H402" s="11" t="s">
        <v>31</v>
      </c>
      <c r="I402" s="8" t="s">
        <v>19</v>
      </c>
    </row>
    <row r="403" customFormat="false" ht="14.25" hidden="false" customHeight="false" outlineLevel="0" collapsed="false">
      <c r="A403" s="8" t="n">
        <v>402</v>
      </c>
      <c r="B403" s="8" t="s">
        <v>39</v>
      </c>
      <c r="C403" s="8" t="s">
        <v>21</v>
      </c>
      <c r="D403" s="9" t="n">
        <v>43941</v>
      </c>
      <c r="E403" s="10" t="n">
        <v>-147313.34</v>
      </c>
      <c r="F403" s="8" t="s">
        <v>34</v>
      </c>
      <c r="G403" s="8" t="s">
        <v>12</v>
      </c>
      <c r="H403" s="11" t="s">
        <v>13</v>
      </c>
      <c r="I403" s="8" t="s">
        <v>26</v>
      </c>
    </row>
    <row r="404" customFormat="false" ht="14.25" hidden="false" customHeight="false" outlineLevel="0" collapsed="false">
      <c r="A404" s="8" t="n">
        <v>403</v>
      </c>
      <c r="B404" s="8" t="s">
        <v>100</v>
      </c>
      <c r="C404" s="8" t="s">
        <v>10</v>
      </c>
      <c r="D404" s="9" t="n">
        <v>43941</v>
      </c>
      <c r="E404" s="10" t="n">
        <v>13555.12</v>
      </c>
      <c r="F404" s="8" t="s">
        <v>11</v>
      </c>
      <c r="G404" s="8" t="s">
        <v>12</v>
      </c>
      <c r="H404" s="11" t="s">
        <v>13</v>
      </c>
      <c r="I404" s="8" t="s">
        <v>14</v>
      </c>
    </row>
    <row r="405" customFormat="false" ht="14.25" hidden="false" customHeight="false" outlineLevel="0" collapsed="false">
      <c r="A405" s="8" t="n">
        <v>404</v>
      </c>
      <c r="B405" s="8" t="s">
        <v>100</v>
      </c>
      <c r="C405" s="8" t="s">
        <v>10</v>
      </c>
      <c r="D405" s="9" t="n">
        <v>43941</v>
      </c>
      <c r="E405" s="10" t="n">
        <v>12398.36</v>
      </c>
      <c r="F405" s="8" t="s">
        <v>11</v>
      </c>
      <c r="G405" s="8" t="s">
        <v>36</v>
      </c>
      <c r="H405" s="11" t="s">
        <v>37</v>
      </c>
      <c r="I405" s="8" t="s">
        <v>26</v>
      </c>
    </row>
    <row r="406" customFormat="false" ht="14.25" hidden="false" customHeight="false" outlineLevel="0" collapsed="false">
      <c r="A406" s="8" t="n">
        <v>405</v>
      </c>
      <c r="B406" s="8" t="s">
        <v>100</v>
      </c>
      <c r="C406" s="8" t="s">
        <v>28</v>
      </c>
      <c r="D406" s="9" t="n">
        <v>43941</v>
      </c>
      <c r="E406" s="10" t="n">
        <v>11700.69</v>
      </c>
      <c r="F406" s="8" t="s">
        <v>11</v>
      </c>
      <c r="G406" s="8" t="s">
        <v>12</v>
      </c>
      <c r="H406" s="11" t="s">
        <v>13</v>
      </c>
      <c r="I406" s="8" t="s">
        <v>19</v>
      </c>
    </row>
    <row r="407" customFormat="false" ht="14.25" hidden="false" customHeight="false" outlineLevel="0" collapsed="false">
      <c r="A407" s="8" t="n">
        <v>406</v>
      </c>
      <c r="B407" s="8" t="s">
        <v>41</v>
      </c>
      <c r="C407" s="8" t="s">
        <v>21</v>
      </c>
      <c r="D407" s="9" t="n">
        <v>43945</v>
      </c>
      <c r="E407" s="10" t="n">
        <v>28333.34</v>
      </c>
      <c r="F407" s="8" t="s">
        <v>11</v>
      </c>
      <c r="G407" s="8" t="s">
        <v>17</v>
      </c>
      <c r="H407" s="11" t="s">
        <v>18</v>
      </c>
      <c r="I407" s="8" t="s">
        <v>24</v>
      </c>
    </row>
    <row r="408" customFormat="false" ht="14.25" hidden="false" customHeight="false" outlineLevel="0" collapsed="false">
      <c r="A408" s="8" t="n">
        <v>407</v>
      </c>
      <c r="B408" s="8" t="s">
        <v>52</v>
      </c>
      <c r="C408" s="8" t="s">
        <v>10</v>
      </c>
      <c r="D408" s="9" t="n">
        <v>43945</v>
      </c>
      <c r="E408" s="10" t="n">
        <v>12651.44</v>
      </c>
      <c r="F408" s="8" t="s">
        <v>11</v>
      </c>
      <c r="G408" s="8" t="s">
        <v>12</v>
      </c>
      <c r="H408" s="11" t="s">
        <v>13</v>
      </c>
      <c r="I408" s="8" t="s">
        <v>19</v>
      </c>
    </row>
    <row r="409" customFormat="false" ht="14.25" hidden="false" customHeight="false" outlineLevel="0" collapsed="false">
      <c r="A409" s="8" t="n">
        <v>408</v>
      </c>
      <c r="B409" s="8" t="s">
        <v>52</v>
      </c>
      <c r="C409" s="8" t="s">
        <v>10</v>
      </c>
      <c r="D409" s="9" t="n">
        <v>43945</v>
      </c>
      <c r="E409" s="10" t="n">
        <v>14162.95</v>
      </c>
      <c r="F409" s="8" t="s">
        <v>11</v>
      </c>
      <c r="G409" s="8" t="s">
        <v>17</v>
      </c>
      <c r="H409" s="11" t="s">
        <v>18</v>
      </c>
      <c r="I409" s="8" t="s">
        <v>14</v>
      </c>
    </row>
    <row r="410" customFormat="false" ht="14.25" hidden="false" customHeight="false" outlineLevel="0" collapsed="false">
      <c r="A410" s="8" t="n">
        <v>409</v>
      </c>
      <c r="B410" s="8" t="s">
        <v>52</v>
      </c>
      <c r="C410" s="8" t="s">
        <v>21</v>
      </c>
      <c r="D410" s="9" t="n">
        <v>43945</v>
      </c>
      <c r="E410" s="10" t="n">
        <v>163864.42</v>
      </c>
      <c r="F410" s="8" t="s">
        <v>11</v>
      </c>
      <c r="G410" s="8" t="s">
        <v>12</v>
      </c>
      <c r="H410" s="11" t="s">
        <v>13</v>
      </c>
      <c r="I410" s="8" t="s">
        <v>14</v>
      </c>
    </row>
    <row r="411" customFormat="false" ht="14.25" hidden="false" customHeight="false" outlineLevel="0" collapsed="false">
      <c r="A411" s="8" t="n">
        <v>410</v>
      </c>
      <c r="B411" s="8" t="s">
        <v>44</v>
      </c>
      <c r="C411" s="8" t="s">
        <v>16</v>
      </c>
      <c r="D411" s="9" t="n">
        <v>43946</v>
      </c>
      <c r="E411" s="10" t="n">
        <v>28333.34</v>
      </c>
      <c r="F411" s="8" t="s">
        <v>11</v>
      </c>
      <c r="G411" s="8" t="s">
        <v>12</v>
      </c>
      <c r="H411" s="11" t="s">
        <v>13</v>
      </c>
      <c r="I411" s="8" t="s">
        <v>26</v>
      </c>
    </row>
    <row r="412" customFormat="false" ht="14.25" hidden="false" customHeight="false" outlineLevel="0" collapsed="false">
      <c r="A412" s="8" t="n">
        <v>411</v>
      </c>
      <c r="B412" s="8" t="s">
        <v>43</v>
      </c>
      <c r="C412" s="8" t="s">
        <v>10</v>
      </c>
      <c r="D412" s="9" t="n">
        <v>43946</v>
      </c>
      <c r="E412" s="10" t="n">
        <v>13850.97</v>
      </c>
      <c r="F412" s="8" t="s">
        <v>11</v>
      </c>
      <c r="G412" s="8" t="s">
        <v>12</v>
      </c>
      <c r="H412" s="11" t="s">
        <v>13</v>
      </c>
      <c r="I412" s="8" t="s">
        <v>26</v>
      </c>
    </row>
    <row r="413" customFormat="false" ht="14.25" hidden="false" customHeight="false" outlineLevel="0" collapsed="false">
      <c r="A413" s="8" t="n">
        <v>412</v>
      </c>
      <c r="B413" s="8" t="s">
        <v>79</v>
      </c>
      <c r="C413" s="8" t="s">
        <v>16</v>
      </c>
      <c r="D413" s="9" t="n">
        <v>43946</v>
      </c>
      <c r="E413" s="10" t="n">
        <v>12706.76</v>
      </c>
      <c r="F413" s="8" t="s">
        <v>11</v>
      </c>
      <c r="G413" s="8" t="s">
        <v>12</v>
      </c>
      <c r="H413" s="11" t="s">
        <v>13</v>
      </c>
      <c r="I413" s="8" t="s">
        <v>14</v>
      </c>
    </row>
    <row r="414" customFormat="false" ht="14.25" hidden="false" customHeight="false" outlineLevel="0" collapsed="false">
      <c r="A414" s="8" t="n">
        <v>413</v>
      </c>
      <c r="B414" s="8" t="s">
        <v>45</v>
      </c>
      <c r="C414" s="8" t="s">
        <v>16</v>
      </c>
      <c r="D414" s="9" t="n">
        <v>43946</v>
      </c>
      <c r="E414" s="10" t="n">
        <v>28333.22</v>
      </c>
      <c r="F414" s="8" t="s">
        <v>11</v>
      </c>
      <c r="G414" s="8" t="s">
        <v>12</v>
      </c>
      <c r="H414" s="11" t="s">
        <v>13</v>
      </c>
      <c r="I414" s="8" t="s">
        <v>14</v>
      </c>
    </row>
    <row r="415" customFormat="false" ht="14.25" hidden="false" customHeight="false" outlineLevel="0" collapsed="false">
      <c r="A415" s="8" t="n">
        <v>414</v>
      </c>
      <c r="B415" s="8" t="s">
        <v>44</v>
      </c>
      <c r="C415" s="8" t="s">
        <v>21</v>
      </c>
      <c r="D415" s="9" t="n">
        <v>43946</v>
      </c>
      <c r="E415" s="10" t="n">
        <v>131037.96</v>
      </c>
      <c r="F415" s="8" t="s">
        <v>11</v>
      </c>
      <c r="G415" s="8" t="s">
        <v>12</v>
      </c>
      <c r="H415" s="11" t="s">
        <v>13</v>
      </c>
      <c r="I415" s="8" t="s">
        <v>26</v>
      </c>
    </row>
    <row r="416" customFormat="false" ht="14.25" hidden="false" customHeight="false" outlineLevel="0" collapsed="false">
      <c r="A416" s="8" t="n">
        <v>415</v>
      </c>
      <c r="B416" s="8" t="s">
        <v>43</v>
      </c>
      <c r="C416" s="8" t="s">
        <v>21</v>
      </c>
      <c r="D416" s="9" t="n">
        <v>43946</v>
      </c>
      <c r="E416" s="10" t="n">
        <v>23474.04</v>
      </c>
      <c r="F416" s="8" t="s">
        <v>11</v>
      </c>
      <c r="G416" s="8" t="s">
        <v>12</v>
      </c>
      <c r="H416" s="11" t="s">
        <v>13</v>
      </c>
      <c r="I416" s="8" t="s">
        <v>19</v>
      </c>
    </row>
    <row r="417" customFormat="false" ht="14.25" hidden="false" customHeight="false" outlineLevel="0" collapsed="false">
      <c r="A417" s="8" t="n">
        <v>416</v>
      </c>
      <c r="B417" s="8" t="s">
        <v>47</v>
      </c>
      <c r="C417" s="8" t="s">
        <v>28</v>
      </c>
      <c r="D417" s="9" t="n">
        <v>43946</v>
      </c>
      <c r="E417" s="10" t="n">
        <v>-22931.02</v>
      </c>
      <c r="F417" s="8" t="s">
        <v>34</v>
      </c>
      <c r="G417" s="8" t="s">
        <v>17</v>
      </c>
      <c r="H417" s="11" t="s">
        <v>18</v>
      </c>
      <c r="I417" s="8" t="s">
        <v>14</v>
      </c>
    </row>
    <row r="418" customFormat="false" ht="14.25" hidden="false" customHeight="false" outlineLevel="0" collapsed="false">
      <c r="A418" s="8" t="n">
        <v>417</v>
      </c>
      <c r="B418" s="8" t="s">
        <v>45</v>
      </c>
      <c r="C418" s="8" t="s">
        <v>28</v>
      </c>
      <c r="D418" s="9" t="n">
        <v>43946</v>
      </c>
      <c r="E418" s="10" t="n">
        <v>-34746.95</v>
      </c>
      <c r="F418" s="8" t="s">
        <v>34</v>
      </c>
      <c r="G418" s="8" t="s">
        <v>12</v>
      </c>
      <c r="H418" s="11" t="s">
        <v>13</v>
      </c>
      <c r="I418" s="8" t="s">
        <v>26</v>
      </c>
    </row>
    <row r="419" customFormat="false" ht="14.25" hidden="false" customHeight="false" outlineLevel="0" collapsed="false">
      <c r="A419" s="8" t="n">
        <v>418</v>
      </c>
      <c r="B419" s="8" t="s">
        <v>79</v>
      </c>
      <c r="C419" s="8" t="s">
        <v>16</v>
      </c>
      <c r="D419" s="9" t="n">
        <v>43946</v>
      </c>
      <c r="E419" s="10" t="n">
        <v>-11424.84</v>
      </c>
      <c r="F419" s="8" t="s">
        <v>34</v>
      </c>
      <c r="G419" s="8" t="s">
        <v>22</v>
      </c>
      <c r="H419" s="11" t="s">
        <v>23</v>
      </c>
      <c r="I419" s="8" t="s">
        <v>24</v>
      </c>
    </row>
    <row r="420" customFormat="false" ht="14.25" hidden="false" customHeight="false" outlineLevel="0" collapsed="false">
      <c r="A420" s="8" t="n">
        <v>419</v>
      </c>
      <c r="B420" s="8" t="s">
        <v>47</v>
      </c>
      <c r="C420" s="8" t="s">
        <v>28</v>
      </c>
      <c r="D420" s="9" t="n">
        <v>43946</v>
      </c>
      <c r="E420" s="10" t="n">
        <v>-12901.35</v>
      </c>
      <c r="F420" s="8" t="s">
        <v>34</v>
      </c>
      <c r="G420" s="8" t="s">
        <v>17</v>
      </c>
      <c r="H420" s="11" t="s">
        <v>18</v>
      </c>
      <c r="I420" s="8" t="s">
        <v>14</v>
      </c>
    </row>
    <row r="421" customFormat="false" ht="14.25" hidden="false" customHeight="false" outlineLevel="0" collapsed="false">
      <c r="A421" s="8" t="n">
        <v>420</v>
      </c>
      <c r="B421" s="8" t="s">
        <v>72</v>
      </c>
      <c r="C421" s="8" t="s">
        <v>16</v>
      </c>
      <c r="D421" s="9" t="n">
        <v>43946</v>
      </c>
      <c r="E421" s="10" t="n">
        <v>154120.72</v>
      </c>
      <c r="F421" s="8" t="s">
        <v>11</v>
      </c>
      <c r="G421" s="8" t="s">
        <v>12</v>
      </c>
      <c r="H421" s="11" t="s">
        <v>13</v>
      </c>
      <c r="I421" s="8" t="s">
        <v>14</v>
      </c>
    </row>
    <row r="422" customFormat="false" ht="14.25" hidden="false" customHeight="false" outlineLevel="0" collapsed="false">
      <c r="A422" s="8" t="n">
        <v>421</v>
      </c>
      <c r="B422" s="8" t="s">
        <v>72</v>
      </c>
      <c r="C422" s="8" t="s">
        <v>10</v>
      </c>
      <c r="D422" s="9" t="n">
        <v>43946</v>
      </c>
      <c r="E422" s="10" t="n">
        <v>-24883.92</v>
      </c>
      <c r="F422" s="8" t="s">
        <v>34</v>
      </c>
      <c r="G422" s="8" t="s">
        <v>17</v>
      </c>
      <c r="H422" s="11" t="s">
        <v>18</v>
      </c>
      <c r="I422" s="8" t="s">
        <v>26</v>
      </c>
    </row>
    <row r="423" customFormat="false" ht="14.25" hidden="false" customHeight="false" outlineLevel="0" collapsed="false">
      <c r="A423" s="8" t="n">
        <v>422</v>
      </c>
      <c r="B423" s="8" t="s">
        <v>57</v>
      </c>
      <c r="C423" s="8" t="s">
        <v>10</v>
      </c>
      <c r="D423" s="9" t="n">
        <v>43946</v>
      </c>
      <c r="E423" s="10" t="n">
        <v>-22498.56</v>
      </c>
      <c r="F423" s="8" t="s">
        <v>34</v>
      </c>
      <c r="G423" s="8" t="s">
        <v>12</v>
      </c>
      <c r="H423" s="11" t="s">
        <v>13</v>
      </c>
      <c r="I423" s="8" t="s">
        <v>14</v>
      </c>
    </row>
    <row r="424" customFormat="false" ht="14.25" hidden="false" customHeight="false" outlineLevel="0" collapsed="false">
      <c r="A424" s="8" t="n">
        <v>423</v>
      </c>
      <c r="B424" s="8" t="s">
        <v>57</v>
      </c>
      <c r="C424" s="8" t="s">
        <v>16</v>
      </c>
      <c r="D424" s="9" t="n">
        <v>43946</v>
      </c>
      <c r="E424" s="10" t="n">
        <v>-25890.03</v>
      </c>
      <c r="F424" s="8" t="s">
        <v>34</v>
      </c>
      <c r="G424" s="8" t="s">
        <v>12</v>
      </c>
      <c r="H424" s="11" t="s">
        <v>13</v>
      </c>
      <c r="I424" s="8" t="s">
        <v>14</v>
      </c>
    </row>
    <row r="425" customFormat="false" ht="14.25" hidden="false" customHeight="false" outlineLevel="0" collapsed="false">
      <c r="A425" s="8" t="n">
        <v>424</v>
      </c>
      <c r="B425" s="8" t="s">
        <v>60</v>
      </c>
      <c r="C425" s="8" t="s">
        <v>21</v>
      </c>
      <c r="D425" s="9" t="n">
        <v>43947</v>
      </c>
      <c r="E425" s="10" t="n">
        <v>-10500</v>
      </c>
      <c r="F425" s="8" t="s">
        <v>34</v>
      </c>
      <c r="G425" s="8" t="s">
        <v>36</v>
      </c>
      <c r="H425" s="11" t="s">
        <v>37</v>
      </c>
      <c r="I425" s="8" t="s">
        <v>14</v>
      </c>
    </row>
    <row r="426" customFormat="false" ht="14.25" hidden="false" customHeight="false" outlineLevel="0" collapsed="false">
      <c r="A426" s="8" t="n">
        <v>425</v>
      </c>
      <c r="B426" s="8" t="s">
        <v>50</v>
      </c>
      <c r="C426" s="8" t="s">
        <v>10</v>
      </c>
      <c r="D426" s="9" t="n">
        <v>43947</v>
      </c>
      <c r="E426" s="10" t="n">
        <v>-26404.91</v>
      </c>
      <c r="F426" s="8" t="s">
        <v>34</v>
      </c>
      <c r="G426" s="8" t="s">
        <v>12</v>
      </c>
      <c r="H426" s="11" t="s">
        <v>13</v>
      </c>
      <c r="I426" s="8" t="s">
        <v>26</v>
      </c>
    </row>
    <row r="427" customFormat="false" ht="14.25" hidden="false" customHeight="false" outlineLevel="0" collapsed="false">
      <c r="A427" s="8" t="n">
        <v>426</v>
      </c>
      <c r="B427" s="8" t="s">
        <v>32</v>
      </c>
      <c r="C427" s="8" t="s">
        <v>10</v>
      </c>
      <c r="D427" s="9" t="n">
        <v>43947</v>
      </c>
      <c r="E427" s="10" t="n">
        <v>148512</v>
      </c>
      <c r="F427" s="8" t="s">
        <v>11</v>
      </c>
      <c r="G427" s="8" t="s">
        <v>17</v>
      </c>
      <c r="H427" s="11" t="s">
        <v>18</v>
      </c>
      <c r="I427" s="8" t="s">
        <v>24</v>
      </c>
    </row>
    <row r="428" customFormat="false" ht="14.25" hidden="false" customHeight="false" outlineLevel="0" collapsed="false">
      <c r="A428" s="8" t="n">
        <v>427</v>
      </c>
      <c r="B428" s="8" t="s">
        <v>111</v>
      </c>
      <c r="C428" s="8" t="s">
        <v>28</v>
      </c>
      <c r="D428" s="9" t="n">
        <v>43948</v>
      </c>
      <c r="E428" s="10" t="n">
        <v>3161180.92</v>
      </c>
      <c r="F428" s="8" t="s">
        <v>11</v>
      </c>
      <c r="G428" s="8" t="s">
        <v>30</v>
      </c>
      <c r="H428" s="11" t="s">
        <v>31</v>
      </c>
      <c r="I428" s="8" t="s">
        <v>14</v>
      </c>
    </row>
    <row r="429" customFormat="false" ht="14.25" hidden="false" customHeight="false" outlineLevel="0" collapsed="false">
      <c r="A429" s="8" t="n">
        <v>428</v>
      </c>
      <c r="B429" s="8" t="s">
        <v>77</v>
      </c>
      <c r="C429" s="8" t="s">
        <v>10</v>
      </c>
      <c r="D429" s="9" t="n">
        <v>43948</v>
      </c>
      <c r="E429" s="10" t="n">
        <v>-3507.77</v>
      </c>
      <c r="F429" s="8" t="s">
        <v>34</v>
      </c>
      <c r="G429" s="8" t="s">
        <v>12</v>
      </c>
      <c r="H429" s="11" t="s">
        <v>13</v>
      </c>
      <c r="I429" s="8" t="s">
        <v>14</v>
      </c>
    </row>
    <row r="430" customFormat="false" ht="14.25" hidden="false" customHeight="false" outlineLevel="0" collapsed="false">
      <c r="A430" s="8" t="n">
        <v>429</v>
      </c>
      <c r="B430" s="8" t="s">
        <v>20</v>
      </c>
      <c r="C430" s="8" t="s">
        <v>16</v>
      </c>
      <c r="D430" s="9" t="n">
        <v>43949</v>
      </c>
      <c r="E430" s="10" t="n">
        <v>-5072.34</v>
      </c>
      <c r="F430" s="8" t="s">
        <v>34</v>
      </c>
      <c r="G430" s="8" t="s">
        <v>36</v>
      </c>
      <c r="H430" s="11" t="s">
        <v>37</v>
      </c>
      <c r="I430" s="8" t="s">
        <v>14</v>
      </c>
    </row>
    <row r="431" customFormat="false" ht="14.25" hidden="false" customHeight="false" outlineLevel="0" collapsed="false">
      <c r="A431" s="8" t="n">
        <v>430</v>
      </c>
      <c r="B431" s="8" t="s">
        <v>73</v>
      </c>
      <c r="C431" s="8" t="s">
        <v>16</v>
      </c>
      <c r="D431" s="9" t="n">
        <v>43949</v>
      </c>
      <c r="E431" s="10" t="n">
        <v>-12854.87</v>
      </c>
      <c r="F431" s="8" t="s">
        <v>34</v>
      </c>
      <c r="G431" s="8" t="s">
        <v>22</v>
      </c>
      <c r="H431" s="11" t="s">
        <v>23</v>
      </c>
      <c r="I431" s="8" t="s">
        <v>24</v>
      </c>
    </row>
    <row r="432" customFormat="false" ht="14.25" hidden="false" customHeight="false" outlineLevel="0" collapsed="false">
      <c r="A432" s="8" t="n">
        <v>431</v>
      </c>
      <c r="B432" s="8" t="s">
        <v>20</v>
      </c>
      <c r="C432" s="8" t="s">
        <v>28</v>
      </c>
      <c r="D432" s="9" t="n">
        <v>43949</v>
      </c>
      <c r="E432" s="10" t="n">
        <v>-370.09</v>
      </c>
      <c r="F432" s="8" t="s">
        <v>34</v>
      </c>
      <c r="G432" s="8" t="s">
        <v>17</v>
      </c>
      <c r="H432" s="11" t="s">
        <v>18</v>
      </c>
      <c r="I432" s="8" t="s">
        <v>14</v>
      </c>
    </row>
    <row r="433" customFormat="false" ht="14.25" hidden="false" customHeight="false" outlineLevel="0" collapsed="false">
      <c r="A433" s="8" t="n">
        <v>432</v>
      </c>
      <c r="B433" s="8" t="s">
        <v>20</v>
      </c>
      <c r="C433" s="8" t="s">
        <v>21</v>
      </c>
      <c r="D433" s="9" t="n">
        <v>43949</v>
      </c>
      <c r="E433" s="10" t="n">
        <v>-27058.57</v>
      </c>
      <c r="F433" s="8" t="s">
        <v>34</v>
      </c>
      <c r="G433" s="8" t="s">
        <v>36</v>
      </c>
      <c r="H433" s="11" t="s">
        <v>37</v>
      </c>
      <c r="I433" s="8" t="s">
        <v>26</v>
      </c>
    </row>
    <row r="434" customFormat="false" ht="14.25" hidden="false" customHeight="false" outlineLevel="0" collapsed="false">
      <c r="A434" s="8" t="n">
        <v>433</v>
      </c>
      <c r="B434" s="8" t="s">
        <v>73</v>
      </c>
      <c r="C434" s="8" t="s">
        <v>10</v>
      </c>
      <c r="D434" s="9" t="n">
        <v>43949</v>
      </c>
      <c r="E434" s="10" t="n">
        <v>-52582.64</v>
      </c>
      <c r="F434" s="8" t="s">
        <v>34</v>
      </c>
      <c r="G434" s="8" t="s">
        <v>22</v>
      </c>
      <c r="H434" s="11" t="s">
        <v>23</v>
      </c>
      <c r="I434" s="8" t="s">
        <v>26</v>
      </c>
    </row>
    <row r="435" customFormat="false" ht="14.25" hidden="false" customHeight="false" outlineLevel="0" collapsed="false">
      <c r="A435" s="8" t="n">
        <v>434</v>
      </c>
      <c r="B435" s="8" t="s">
        <v>73</v>
      </c>
      <c r="C435" s="8" t="s">
        <v>10</v>
      </c>
      <c r="D435" s="9" t="n">
        <v>43949</v>
      </c>
      <c r="E435" s="10" t="n">
        <v>49758.09</v>
      </c>
      <c r="F435" s="8" t="s">
        <v>11</v>
      </c>
      <c r="G435" s="8" t="s">
        <v>17</v>
      </c>
      <c r="H435" s="11" t="s">
        <v>18</v>
      </c>
      <c r="I435" s="8" t="s">
        <v>26</v>
      </c>
    </row>
    <row r="436" customFormat="false" ht="14.25" hidden="false" customHeight="false" outlineLevel="0" collapsed="false">
      <c r="A436" s="8" t="n">
        <v>435</v>
      </c>
      <c r="B436" s="8" t="s">
        <v>39</v>
      </c>
      <c r="C436" s="8" t="s">
        <v>28</v>
      </c>
      <c r="D436" s="9" t="n">
        <v>43951</v>
      </c>
      <c r="E436" s="10" t="n">
        <v>-168527.94</v>
      </c>
      <c r="F436" s="8" t="s">
        <v>34</v>
      </c>
      <c r="G436" s="8" t="s">
        <v>12</v>
      </c>
      <c r="H436" s="11" t="s">
        <v>13</v>
      </c>
      <c r="I436" s="8" t="s">
        <v>24</v>
      </c>
    </row>
    <row r="437" customFormat="false" ht="14.25" hidden="false" customHeight="false" outlineLevel="0" collapsed="false">
      <c r="A437" s="8" t="n">
        <v>436</v>
      </c>
      <c r="B437" s="8" t="s">
        <v>39</v>
      </c>
      <c r="C437" s="8" t="s">
        <v>21</v>
      </c>
      <c r="D437" s="9" t="n">
        <v>43951</v>
      </c>
      <c r="E437" s="10" t="n">
        <v>-13801.27</v>
      </c>
      <c r="F437" s="8" t="s">
        <v>34</v>
      </c>
      <c r="G437" s="8" t="s">
        <v>36</v>
      </c>
      <c r="H437" s="11" t="s">
        <v>37</v>
      </c>
      <c r="I437" s="8" t="s">
        <v>19</v>
      </c>
    </row>
    <row r="438" customFormat="false" ht="14.25" hidden="false" customHeight="false" outlineLevel="0" collapsed="false">
      <c r="A438" s="8" t="n">
        <v>437</v>
      </c>
      <c r="B438" s="8" t="s">
        <v>15</v>
      </c>
      <c r="C438" s="8" t="s">
        <v>16</v>
      </c>
      <c r="D438" s="9" t="n">
        <v>43953</v>
      </c>
      <c r="E438" s="10" t="n">
        <v>-8197.63</v>
      </c>
      <c r="F438" s="8" t="s">
        <v>34</v>
      </c>
      <c r="G438" s="8" t="s">
        <v>36</v>
      </c>
      <c r="H438" s="11" t="s">
        <v>37</v>
      </c>
      <c r="I438" s="8" t="s">
        <v>14</v>
      </c>
    </row>
    <row r="439" customFormat="false" ht="14.25" hidden="false" customHeight="false" outlineLevel="0" collapsed="false">
      <c r="A439" s="8" t="n">
        <v>438</v>
      </c>
      <c r="B439" s="8" t="s">
        <v>15</v>
      </c>
      <c r="C439" s="8" t="s">
        <v>10</v>
      </c>
      <c r="D439" s="9" t="n">
        <v>43954</v>
      </c>
      <c r="E439" s="10" t="n">
        <v>4000865.03</v>
      </c>
      <c r="F439" s="8" t="s">
        <v>11</v>
      </c>
      <c r="G439" s="8" t="s">
        <v>12</v>
      </c>
      <c r="H439" s="11" t="s">
        <v>13</v>
      </c>
      <c r="I439" s="8" t="s">
        <v>19</v>
      </c>
    </row>
    <row r="440" customFormat="false" ht="14.25" hidden="false" customHeight="false" outlineLevel="0" collapsed="false">
      <c r="A440" s="8" t="n">
        <v>439</v>
      </c>
      <c r="B440" s="8" t="s">
        <v>61</v>
      </c>
      <c r="C440" s="8" t="s">
        <v>16</v>
      </c>
      <c r="D440" s="9" t="n">
        <v>43954</v>
      </c>
      <c r="E440" s="10" t="n">
        <v>142597.75</v>
      </c>
      <c r="F440" s="8" t="s">
        <v>11</v>
      </c>
      <c r="G440" s="8" t="s">
        <v>22</v>
      </c>
      <c r="H440" s="11" t="s">
        <v>23</v>
      </c>
      <c r="I440" s="8" t="s">
        <v>19</v>
      </c>
    </row>
    <row r="441" customFormat="false" ht="14.25" hidden="false" customHeight="false" outlineLevel="0" collapsed="false">
      <c r="A441" s="8" t="n">
        <v>440</v>
      </c>
      <c r="B441" s="8" t="s">
        <v>62</v>
      </c>
      <c r="C441" s="8" t="s">
        <v>21</v>
      </c>
      <c r="D441" s="9" t="n">
        <v>43954</v>
      </c>
      <c r="E441" s="10" t="n">
        <v>8862.54</v>
      </c>
      <c r="F441" s="8" t="s">
        <v>11</v>
      </c>
      <c r="G441" s="8" t="s">
        <v>12</v>
      </c>
      <c r="H441" s="11" t="s">
        <v>13</v>
      </c>
      <c r="I441" s="8" t="s">
        <v>19</v>
      </c>
    </row>
    <row r="442" customFormat="false" ht="14.25" hidden="false" customHeight="false" outlineLevel="0" collapsed="false">
      <c r="A442" s="8" t="n">
        <v>441</v>
      </c>
      <c r="B442" s="8" t="s">
        <v>61</v>
      </c>
      <c r="C442" s="8" t="s">
        <v>10</v>
      </c>
      <c r="D442" s="9" t="n">
        <v>43954</v>
      </c>
      <c r="E442" s="10" t="n">
        <v>7789.11</v>
      </c>
      <c r="F442" s="8" t="s">
        <v>11</v>
      </c>
      <c r="G442" s="8" t="s">
        <v>17</v>
      </c>
      <c r="H442" s="11" t="s">
        <v>18</v>
      </c>
      <c r="I442" s="8" t="s">
        <v>26</v>
      </c>
    </row>
    <row r="443" customFormat="false" ht="14.25" hidden="false" customHeight="false" outlineLevel="0" collapsed="false">
      <c r="A443" s="8" t="n">
        <v>442</v>
      </c>
      <c r="B443" s="8" t="s">
        <v>62</v>
      </c>
      <c r="C443" s="8" t="s">
        <v>10</v>
      </c>
      <c r="D443" s="9" t="n">
        <v>43954</v>
      </c>
      <c r="E443" s="10" t="n">
        <v>8014.1</v>
      </c>
      <c r="F443" s="8" t="s">
        <v>11</v>
      </c>
      <c r="G443" s="8" t="s">
        <v>12</v>
      </c>
      <c r="H443" s="11" t="s">
        <v>13</v>
      </c>
      <c r="I443" s="8" t="s">
        <v>14</v>
      </c>
    </row>
    <row r="444" customFormat="false" ht="14.25" hidden="false" customHeight="false" outlineLevel="0" collapsed="false">
      <c r="A444" s="8" t="n">
        <v>443</v>
      </c>
      <c r="B444" s="8" t="s">
        <v>61</v>
      </c>
      <c r="C444" s="8" t="s">
        <v>10</v>
      </c>
      <c r="D444" s="9" t="n">
        <v>43954</v>
      </c>
      <c r="E444" s="10" t="n">
        <v>7868.59</v>
      </c>
      <c r="F444" s="8" t="s">
        <v>11</v>
      </c>
      <c r="G444" s="8" t="s">
        <v>22</v>
      </c>
      <c r="H444" s="11" t="s">
        <v>23</v>
      </c>
      <c r="I444" s="8" t="s">
        <v>14</v>
      </c>
    </row>
    <row r="445" customFormat="false" ht="14.25" hidden="false" customHeight="false" outlineLevel="0" collapsed="false">
      <c r="A445" s="8" t="n">
        <v>444</v>
      </c>
      <c r="B445" s="8" t="s">
        <v>62</v>
      </c>
      <c r="C445" s="8" t="s">
        <v>16</v>
      </c>
      <c r="D445" s="9" t="n">
        <v>43954</v>
      </c>
      <c r="E445" s="10" t="n">
        <v>8185.84</v>
      </c>
      <c r="F445" s="8" t="s">
        <v>11</v>
      </c>
      <c r="G445" s="8" t="s">
        <v>22</v>
      </c>
      <c r="H445" s="11" t="s">
        <v>23</v>
      </c>
      <c r="I445" s="8" t="s">
        <v>14</v>
      </c>
    </row>
    <row r="446" customFormat="false" ht="14.25" hidden="false" customHeight="false" outlineLevel="0" collapsed="false">
      <c r="A446" s="8" t="n">
        <v>445</v>
      </c>
      <c r="B446" s="8" t="s">
        <v>41</v>
      </c>
      <c r="C446" s="8" t="s">
        <v>28</v>
      </c>
      <c r="D446" s="9" t="n">
        <v>43955</v>
      </c>
      <c r="E446" s="10" t="n">
        <v>8438.04</v>
      </c>
      <c r="F446" s="8" t="s">
        <v>11</v>
      </c>
      <c r="G446" s="8" t="s">
        <v>30</v>
      </c>
      <c r="H446" s="11" t="s">
        <v>31</v>
      </c>
      <c r="I446" s="8" t="s">
        <v>19</v>
      </c>
    </row>
    <row r="447" customFormat="false" ht="14.25" hidden="false" customHeight="false" outlineLevel="0" collapsed="false">
      <c r="A447" s="8" t="n">
        <v>446</v>
      </c>
      <c r="B447" s="8" t="s">
        <v>40</v>
      </c>
      <c r="C447" s="8" t="s">
        <v>10</v>
      </c>
      <c r="D447" s="9" t="n">
        <v>43956</v>
      </c>
      <c r="E447" s="10" t="n">
        <v>8347.84</v>
      </c>
      <c r="F447" s="8" t="s">
        <v>11</v>
      </c>
      <c r="G447" s="8" t="s">
        <v>12</v>
      </c>
      <c r="H447" s="11" t="s">
        <v>13</v>
      </c>
      <c r="I447" s="8" t="s">
        <v>19</v>
      </c>
    </row>
    <row r="448" customFormat="false" ht="14.25" hidden="false" customHeight="false" outlineLevel="0" collapsed="false">
      <c r="A448" s="8" t="n">
        <v>447</v>
      </c>
      <c r="B448" s="8" t="s">
        <v>39</v>
      </c>
      <c r="C448" s="8" t="s">
        <v>10</v>
      </c>
      <c r="D448" s="9" t="n">
        <v>43956</v>
      </c>
      <c r="E448" s="10" t="n">
        <v>7946.53</v>
      </c>
      <c r="F448" s="8" t="s">
        <v>11</v>
      </c>
      <c r="G448" s="8" t="s">
        <v>36</v>
      </c>
      <c r="H448" s="11" t="s">
        <v>37</v>
      </c>
      <c r="I448" s="8" t="s">
        <v>19</v>
      </c>
    </row>
    <row r="449" customFormat="false" ht="14.25" hidden="false" customHeight="false" outlineLevel="0" collapsed="false">
      <c r="A449" s="8" t="n">
        <v>448</v>
      </c>
      <c r="B449" s="8" t="s">
        <v>44</v>
      </c>
      <c r="C449" s="8" t="s">
        <v>16</v>
      </c>
      <c r="D449" s="9" t="n">
        <v>43959</v>
      </c>
      <c r="E449" s="10" t="n">
        <v>-13513.96</v>
      </c>
      <c r="F449" s="8" t="s">
        <v>34</v>
      </c>
      <c r="G449" s="8" t="s">
        <v>17</v>
      </c>
      <c r="H449" s="11" t="s">
        <v>18</v>
      </c>
      <c r="I449" s="8" t="s">
        <v>26</v>
      </c>
    </row>
    <row r="450" customFormat="false" ht="14.25" hidden="false" customHeight="false" outlineLevel="0" collapsed="false">
      <c r="A450" s="8" t="n">
        <v>449</v>
      </c>
      <c r="B450" s="8" t="s">
        <v>44</v>
      </c>
      <c r="C450" s="8" t="s">
        <v>21</v>
      </c>
      <c r="D450" s="9" t="n">
        <v>43959</v>
      </c>
      <c r="E450" s="10" t="n">
        <v>3485</v>
      </c>
      <c r="F450" s="8" t="s">
        <v>11</v>
      </c>
      <c r="G450" s="8" t="s">
        <v>22</v>
      </c>
      <c r="H450" s="11" t="s">
        <v>23</v>
      </c>
      <c r="I450" s="8" t="s">
        <v>26</v>
      </c>
    </row>
    <row r="451" customFormat="false" ht="14.25" hidden="false" customHeight="false" outlineLevel="0" collapsed="false">
      <c r="A451" s="8" t="n">
        <v>450</v>
      </c>
      <c r="B451" s="8" t="s">
        <v>43</v>
      </c>
      <c r="C451" s="8" t="s">
        <v>10</v>
      </c>
      <c r="D451" s="9" t="n">
        <v>43959</v>
      </c>
      <c r="E451" s="10" t="n">
        <v>3485</v>
      </c>
      <c r="F451" s="8" t="s">
        <v>11</v>
      </c>
      <c r="G451" s="8" t="s">
        <v>12</v>
      </c>
      <c r="H451" s="11" t="s">
        <v>13</v>
      </c>
      <c r="I451" s="8" t="s">
        <v>14</v>
      </c>
    </row>
    <row r="452" customFormat="false" ht="14.25" hidden="false" customHeight="false" outlineLevel="0" collapsed="false">
      <c r="A452" s="8" t="n">
        <v>451</v>
      </c>
      <c r="B452" s="8" t="s">
        <v>46</v>
      </c>
      <c r="C452" s="8" t="s">
        <v>16</v>
      </c>
      <c r="D452" s="9" t="n">
        <v>43959</v>
      </c>
      <c r="E452" s="10" t="n">
        <v>-7493.78</v>
      </c>
      <c r="F452" s="8" t="s">
        <v>34</v>
      </c>
      <c r="G452" s="8" t="s">
        <v>12</v>
      </c>
      <c r="H452" s="11" t="s">
        <v>13</v>
      </c>
      <c r="I452" s="8" t="s">
        <v>14</v>
      </c>
    </row>
    <row r="453" customFormat="false" ht="14.25" hidden="false" customHeight="false" outlineLevel="0" collapsed="false">
      <c r="A453" s="8" t="n">
        <v>452</v>
      </c>
      <c r="B453" s="8" t="s">
        <v>42</v>
      </c>
      <c r="C453" s="8" t="s">
        <v>21</v>
      </c>
      <c r="D453" s="9" t="n">
        <v>43959</v>
      </c>
      <c r="E453" s="10" t="n">
        <v>5924.5</v>
      </c>
      <c r="F453" s="8" t="s">
        <v>11</v>
      </c>
      <c r="G453" s="8" t="s">
        <v>12</v>
      </c>
      <c r="H453" s="11" t="s">
        <v>13</v>
      </c>
      <c r="I453" s="8" t="s">
        <v>24</v>
      </c>
    </row>
    <row r="454" customFormat="false" ht="14.25" hidden="false" customHeight="false" outlineLevel="0" collapsed="false">
      <c r="A454" s="8" t="n">
        <v>453</v>
      </c>
      <c r="B454" s="8" t="s">
        <v>45</v>
      </c>
      <c r="C454" s="8" t="s">
        <v>21</v>
      </c>
      <c r="D454" s="9" t="n">
        <v>43959</v>
      </c>
      <c r="E454" s="10" t="n">
        <v>5924.5</v>
      </c>
      <c r="F454" s="8" t="s">
        <v>11</v>
      </c>
      <c r="G454" s="8" t="s">
        <v>36</v>
      </c>
      <c r="H454" s="11" t="s">
        <v>37</v>
      </c>
      <c r="I454" s="8" t="s">
        <v>14</v>
      </c>
    </row>
    <row r="455" customFormat="false" ht="14.25" hidden="false" customHeight="false" outlineLevel="0" collapsed="false">
      <c r="A455" s="8" t="n">
        <v>454</v>
      </c>
      <c r="B455" s="8" t="s">
        <v>49</v>
      </c>
      <c r="C455" s="8" t="s">
        <v>28</v>
      </c>
      <c r="D455" s="9" t="n">
        <v>43959</v>
      </c>
      <c r="E455" s="10" t="n">
        <v>5924.5</v>
      </c>
      <c r="F455" s="8" t="s">
        <v>11</v>
      </c>
      <c r="G455" s="8" t="s">
        <v>22</v>
      </c>
      <c r="H455" s="11" t="s">
        <v>23</v>
      </c>
      <c r="I455" s="8" t="s">
        <v>24</v>
      </c>
    </row>
    <row r="456" customFormat="false" ht="14.25" hidden="false" customHeight="false" outlineLevel="0" collapsed="false">
      <c r="A456" s="8" t="n">
        <v>455</v>
      </c>
      <c r="B456" s="8" t="s">
        <v>43</v>
      </c>
      <c r="C456" s="8" t="s">
        <v>16</v>
      </c>
      <c r="D456" s="9" t="n">
        <v>43959</v>
      </c>
      <c r="E456" s="10" t="n">
        <v>4879</v>
      </c>
      <c r="F456" s="8" t="s">
        <v>11</v>
      </c>
      <c r="G456" s="8" t="s">
        <v>17</v>
      </c>
      <c r="H456" s="11" t="s">
        <v>18</v>
      </c>
      <c r="I456" s="8" t="s">
        <v>14</v>
      </c>
    </row>
    <row r="457" customFormat="false" ht="14.25" hidden="false" customHeight="false" outlineLevel="0" collapsed="false">
      <c r="A457" s="8" t="n">
        <v>456</v>
      </c>
      <c r="B457" s="8" t="s">
        <v>46</v>
      </c>
      <c r="C457" s="8" t="s">
        <v>28</v>
      </c>
      <c r="D457" s="9" t="n">
        <v>43959</v>
      </c>
      <c r="E457" s="10" t="n">
        <v>3833.5</v>
      </c>
      <c r="F457" s="8" t="s">
        <v>11</v>
      </c>
      <c r="G457" s="8" t="s">
        <v>17</v>
      </c>
      <c r="H457" s="11" t="s">
        <v>18</v>
      </c>
      <c r="I457" s="8" t="s">
        <v>14</v>
      </c>
    </row>
    <row r="458" customFormat="false" ht="14.25" hidden="false" customHeight="false" outlineLevel="0" collapsed="false">
      <c r="A458" s="8" t="n">
        <v>457</v>
      </c>
      <c r="B458" s="8" t="s">
        <v>42</v>
      </c>
      <c r="C458" s="8" t="s">
        <v>21</v>
      </c>
      <c r="D458" s="9" t="n">
        <v>43959</v>
      </c>
      <c r="E458" s="10" t="n">
        <v>2439.5</v>
      </c>
      <c r="F458" s="8" t="s">
        <v>11</v>
      </c>
      <c r="G458" s="8" t="s">
        <v>17</v>
      </c>
      <c r="H458" s="11" t="s">
        <v>18</v>
      </c>
      <c r="I458" s="8" t="s">
        <v>26</v>
      </c>
    </row>
    <row r="459" customFormat="false" ht="14.25" hidden="false" customHeight="false" outlineLevel="0" collapsed="false">
      <c r="A459" s="8" t="n">
        <v>458</v>
      </c>
      <c r="B459" s="8" t="s">
        <v>45</v>
      </c>
      <c r="C459" s="8" t="s">
        <v>21</v>
      </c>
      <c r="D459" s="9" t="n">
        <v>43959</v>
      </c>
      <c r="E459" s="10" t="n">
        <v>3568.64</v>
      </c>
      <c r="F459" s="8" t="s">
        <v>11</v>
      </c>
      <c r="G459" s="8" t="s">
        <v>36</v>
      </c>
      <c r="H459" s="11" t="s">
        <v>37</v>
      </c>
      <c r="I459" s="8" t="s">
        <v>14</v>
      </c>
    </row>
    <row r="460" customFormat="false" ht="14.25" hidden="false" customHeight="false" outlineLevel="0" collapsed="false">
      <c r="A460" s="8" t="n">
        <v>459</v>
      </c>
      <c r="B460" s="8" t="s">
        <v>81</v>
      </c>
      <c r="C460" s="8" t="s">
        <v>21</v>
      </c>
      <c r="D460" s="9" t="n">
        <v>43961</v>
      </c>
      <c r="E460" s="10" t="n">
        <v>5924.5</v>
      </c>
      <c r="F460" s="8" t="s">
        <v>11</v>
      </c>
      <c r="G460" s="8" t="s">
        <v>12</v>
      </c>
      <c r="H460" s="11" t="s">
        <v>13</v>
      </c>
      <c r="I460" s="8" t="s">
        <v>24</v>
      </c>
    </row>
    <row r="461" customFormat="false" ht="14.25" hidden="false" customHeight="false" outlineLevel="0" collapsed="false">
      <c r="A461" s="8" t="n">
        <v>460</v>
      </c>
      <c r="B461" s="8" t="s">
        <v>81</v>
      </c>
      <c r="C461" s="8" t="s">
        <v>16</v>
      </c>
      <c r="D461" s="9" t="n">
        <v>43961</v>
      </c>
      <c r="E461" s="10" t="n">
        <v>4879</v>
      </c>
      <c r="F461" s="8" t="s">
        <v>11</v>
      </c>
      <c r="G461" s="8" t="s">
        <v>12</v>
      </c>
      <c r="H461" s="11" t="s">
        <v>13</v>
      </c>
      <c r="I461" s="8" t="s">
        <v>26</v>
      </c>
    </row>
    <row r="462" customFormat="false" ht="14.25" hidden="false" customHeight="false" outlineLevel="0" collapsed="false">
      <c r="A462" s="8" t="n">
        <v>461</v>
      </c>
      <c r="B462" s="8" t="s">
        <v>81</v>
      </c>
      <c r="C462" s="8" t="s">
        <v>16</v>
      </c>
      <c r="D462" s="9" t="n">
        <v>43961</v>
      </c>
      <c r="E462" s="10" t="n">
        <v>63163.03</v>
      </c>
      <c r="F462" s="8" t="s">
        <v>11</v>
      </c>
      <c r="G462" s="8" t="s">
        <v>12</v>
      </c>
      <c r="H462" s="11" t="s">
        <v>13</v>
      </c>
      <c r="I462" s="8" t="s">
        <v>26</v>
      </c>
    </row>
    <row r="463" customFormat="false" ht="14.25" hidden="false" customHeight="false" outlineLevel="0" collapsed="false">
      <c r="A463" s="8" t="n">
        <v>462</v>
      </c>
      <c r="B463" s="8" t="s">
        <v>81</v>
      </c>
      <c r="C463" s="8" t="s">
        <v>21</v>
      </c>
      <c r="D463" s="9" t="n">
        <v>43961</v>
      </c>
      <c r="E463" s="10" t="n">
        <v>3833.5</v>
      </c>
      <c r="F463" s="8" t="s">
        <v>11</v>
      </c>
      <c r="G463" s="8" t="s">
        <v>30</v>
      </c>
      <c r="H463" s="11" t="s">
        <v>31</v>
      </c>
      <c r="I463" s="8" t="s">
        <v>26</v>
      </c>
    </row>
    <row r="464" customFormat="false" ht="14.25" hidden="false" customHeight="false" outlineLevel="0" collapsed="false">
      <c r="A464" s="8" t="n">
        <v>463</v>
      </c>
      <c r="B464" s="8" t="s">
        <v>66</v>
      </c>
      <c r="C464" s="8" t="s">
        <v>28</v>
      </c>
      <c r="D464" s="9" t="n">
        <v>43962</v>
      </c>
      <c r="E464" s="10" t="n">
        <v>2439.5</v>
      </c>
      <c r="F464" s="8" t="s">
        <v>11</v>
      </c>
      <c r="G464" s="8" t="s">
        <v>12</v>
      </c>
      <c r="H464" s="11" t="s">
        <v>13</v>
      </c>
      <c r="I464" s="8" t="s">
        <v>14</v>
      </c>
    </row>
    <row r="465" customFormat="false" ht="14.25" hidden="false" customHeight="false" outlineLevel="0" collapsed="false">
      <c r="A465" s="8" t="n">
        <v>464</v>
      </c>
      <c r="B465" s="8" t="s">
        <v>66</v>
      </c>
      <c r="C465" s="8" t="s">
        <v>16</v>
      </c>
      <c r="D465" s="9" t="n">
        <v>43962</v>
      </c>
      <c r="E465" s="10" t="n">
        <v>3568.64</v>
      </c>
      <c r="F465" s="8" t="s">
        <v>11</v>
      </c>
      <c r="G465" s="8" t="s">
        <v>12</v>
      </c>
      <c r="H465" s="11" t="s">
        <v>13</v>
      </c>
      <c r="I465" s="8" t="s">
        <v>14</v>
      </c>
    </row>
    <row r="466" customFormat="false" ht="14.25" hidden="false" customHeight="false" outlineLevel="0" collapsed="false">
      <c r="A466" s="8" t="n">
        <v>465</v>
      </c>
      <c r="B466" s="8" t="s">
        <v>66</v>
      </c>
      <c r="C466" s="8" t="s">
        <v>21</v>
      </c>
      <c r="D466" s="9" t="n">
        <v>43962</v>
      </c>
      <c r="E466" s="10" t="n">
        <v>-37299.57</v>
      </c>
      <c r="F466" s="8" t="s">
        <v>34</v>
      </c>
      <c r="G466" s="8" t="s">
        <v>12</v>
      </c>
      <c r="H466" s="11" t="s">
        <v>13</v>
      </c>
      <c r="I466" s="8" t="s">
        <v>19</v>
      </c>
    </row>
    <row r="467" customFormat="false" ht="14.25" hidden="false" customHeight="false" outlineLevel="0" collapsed="false">
      <c r="A467" s="8" t="n">
        <v>466</v>
      </c>
      <c r="B467" s="8" t="s">
        <v>66</v>
      </c>
      <c r="C467" s="8" t="s">
        <v>21</v>
      </c>
      <c r="D467" s="9" t="n">
        <v>43962</v>
      </c>
      <c r="E467" s="10" t="n">
        <v>2439.5</v>
      </c>
      <c r="F467" s="8" t="s">
        <v>11</v>
      </c>
      <c r="G467" s="8" t="s">
        <v>36</v>
      </c>
      <c r="H467" s="11" t="s">
        <v>37</v>
      </c>
      <c r="I467" s="8" t="s">
        <v>14</v>
      </c>
    </row>
    <row r="468" customFormat="false" ht="14.25" hidden="false" customHeight="false" outlineLevel="0" collapsed="false">
      <c r="A468" s="8" t="n">
        <v>467</v>
      </c>
      <c r="B468" s="8" t="s">
        <v>66</v>
      </c>
      <c r="C468" s="8" t="s">
        <v>10</v>
      </c>
      <c r="D468" s="9" t="n">
        <v>43962</v>
      </c>
      <c r="E468" s="10" t="n">
        <v>2439.5</v>
      </c>
      <c r="F468" s="8" t="s">
        <v>11</v>
      </c>
      <c r="G468" s="8" t="s">
        <v>12</v>
      </c>
      <c r="H468" s="11" t="s">
        <v>13</v>
      </c>
      <c r="I468" s="8" t="s">
        <v>26</v>
      </c>
    </row>
    <row r="469" customFormat="false" ht="14.25" hidden="false" customHeight="false" outlineLevel="0" collapsed="false">
      <c r="A469" s="8" t="n">
        <v>468</v>
      </c>
      <c r="B469" s="8" t="s">
        <v>66</v>
      </c>
      <c r="C469" s="8" t="s">
        <v>28</v>
      </c>
      <c r="D469" s="9" t="n">
        <v>43962</v>
      </c>
      <c r="E469" s="10" t="n">
        <v>164699.71</v>
      </c>
      <c r="F469" s="8" t="s">
        <v>11</v>
      </c>
      <c r="G469" s="8" t="s">
        <v>12</v>
      </c>
      <c r="H469" s="11" t="s">
        <v>13</v>
      </c>
      <c r="I469" s="8" t="s">
        <v>19</v>
      </c>
    </row>
    <row r="470" customFormat="false" ht="14.25" hidden="false" customHeight="false" outlineLevel="0" collapsed="false">
      <c r="A470" s="8" t="n">
        <v>469</v>
      </c>
      <c r="B470" s="8" t="s">
        <v>66</v>
      </c>
      <c r="C470" s="8" t="s">
        <v>10</v>
      </c>
      <c r="D470" s="9" t="n">
        <v>43962</v>
      </c>
      <c r="E470" s="10" t="n">
        <v>357.34</v>
      </c>
      <c r="F470" s="8" t="s">
        <v>11</v>
      </c>
      <c r="G470" s="8" t="s">
        <v>12</v>
      </c>
      <c r="H470" s="11" t="s">
        <v>13</v>
      </c>
      <c r="I470" s="8" t="s">
        <v>14</v>
      </c>
    </row>
    <row r="471" customFormat="false" ht="14.25" hidden="false" customHeight="false" outlineLevel="0" collapsed="false">
      <c r="A471" s="8" t="n">
        <v>470</v>
      </c>
      <c r="B471" s="8" t="s">
        <v>66</v>
      </c>
      <c r="C471" s="8" t="s">
        <v>16</v>
      </c>
      <c r="D471" s="9" t="n">
        <v>43962</v>
      </c>
      <c r="E471" s="10" t="n">
        <v>2550</v>
      </c>
      <c r="F471" s="8" t="s">
        <v>11</v>
      </c>
      <c r="G471" s="8" t="s">
        <v>30</v>
      </c>
      <c r="H471" s="11" t="s">
        <v>31</v>
      </c>
      <c r="I471" s="8" t="s">
        <v>14</v>
      </c>
    </row>
    <row r="472" customFormat="false" ht="14.25" hidden="false" customHeight="false" outlineLevel="0" collapsed="false">
      <c r="A472" s="8" t="n">
        <v>471</v>
      </c>
      <c r="B472" s="8" t="s">
        <v>66</v>
      </c>
      <c r="C472" s="8" t="s">
        <v>16</v>
      </c>
      <c r="D472" s="9" t="n">
        <v>43962</v>
      </c>
      <c r="E472" s="10" t="n">
        <v>1137.01</v>
      </c>
      <c r="F472" s="8" t="s">
        <v>11</v>
      </c>
      <c r="G472" s="8" t="s">
        <v>22</v>
      </c>
      <c r="H472" s="11" t="s">
        <v>23</v>
      </c>
      <c r="I472" s="8" t="s">
        <v>26</v>
      </c>
    </row>
    <row r="473" customFormat="false" ht="14.25" hidden="false" customHeight="false" outlineLevel="0" collapsed="false">
      <c r="A473" s="8" t="n">
        <v>472</v>
      </c>
      <c r="B473" s="8" t="s">
        <v>66</v>
      </c>
      <c r="C473" s="8" t="s">
        <v>10</v>
      </c>
      <c r="D473" s="9" t="n">
        <v>43962</v>
      </c>
      <c r="E473" s="10" t="n">
        <v>3833.5</v>
      </c>
      <c r="F473" s="8" t="s">
        <v>11</v>
      </c>
      <c r="G473" s="8" t="s">
        <v>36</v>
      </c>
      <c r="H473" s="11" t="s">
        <v>37</v>
      </c>
      <c r="I473" s="8" t="s">
        <v>26</v>
      </c>
    </row>
    <row r="474" customFormat="false" ht="14.25" hidden="false" customHeight="false" outlineLevel="0" collapsed="false">
      <c r="A474" s="8" t="n">
        <v>473</v>
      </c>
      <c r="B474" s="8" t="s">
        <v>112</v>
      </c>
      <c r="C474" s="8" t="s">
        <v>28</v>
      </c>
      <c r="D474" s="9" t="n">
        <v>43963</v>
      </c>
      <c r="E474" s="10" t="n">
        <v>-13450.43</v>
      </c>
      <c r="F474" s="8" t="s">
        <v>34</v>
      </c>
      <c r="G474" s="8" t="s">
        <v>17</v>
      </c>
      <c r="H474" s="11" t="s">
        <v>18</v>
      </c>
      <c r="I474" s="8" t="s">
        <v>24</v>
      </c>
    </row>
    <row r="475" customFormat="false" ht="14.25" hidden="false" customHeight="false" outlineLevel="0" collapsed="false">
      <c r="A475" s="8" t="n">
        <v>474</v>
      </c>
      <c r="B475" s="8" t="s">
        <v>39</v>
      </c>
      <c r="C475" s="8" t="s">
        <v>28</v>
      </c>
      <c r="D475" s="9" t="n">
        <v>43963</v>
      </c>
      <c r="E475" s="10" t="n">
        <v>-13267.24</v>
      </c>
      <c r="F475" s="8" t="s">
        <v>34</v>
      </c>
      <c r="G475" s="8" t="s">
        <v>36</v>
      </c>
      <c r="H475" s="11" t="s">
        <v>37</v>
      </c>
      <c r="I475" s="8" t="s">
        <v>24</v>
      </c>
    </row>
    <row r="476" customFormat="false" ht="14.25" hidden="false" customHeight="false" outlineLevel="0" collapsed="false">
      <c r="A476" s="8" t="n">
        <v>475</v>
      </c>
      <c r="B476" s="8" t="s">
        <v>27</v>
      </c>
      <c r="C476" s="8" t="s">
        <v>28</v>
      </c>
      <c r="D476" s="9" t="n">
        <v>43963</v>
      </c>
      <c r="E476" s="10" t="n">
        <v>-14566.2</v>
      </c>
      <c r="F476" s="8" t="s">
        <v>34</v>
      </c>
      <c r="G476" s="8" t="s">
        <v>17</v>
      </c>
      <c r="H476" s="11" t="s">
        <v>18</v>
      </c>
      <c r="I476" s="8" t="s">
        <v>14</v>
      </c>
    </row>
    <row r="477" customFormat="false" ht="14.25" hidden="false" customHeight="false" outlineLevel="0" collapsed="false">
      <c r="A477" s="8" t="n">
        <v>476</v>
      </c>
      <c r="B477" s="8" t="s">
        <v>27</v>
      </c>
      <c r="C477" s="8" t="s">
        <v>10</v>
      </c>
      <c r="D477" s="9" t="n">
        <v>43963</v>
      </c>
      <c r="E477" s="10" t="n">
        <v>3130.05</v>
      </c>
      <c r="F477" s="8" t="s">
        <v>11</v>
      </c>
      <c r="G477" s="8" t="s">
        <v>12</v>
      </c>
      <c r="H477" s="11" t="s">
        <v>13</v>
      </c>
      <c r="I477" s="8" t="s">
        <v>14</v>
      </c>
    </row>
    <row r="478" customFormat="false" ht="14.25" hidden="false" customHeight="false" outlineLevel="0" collapsed="false">
      <c r="A478" s="8" t="n">
        <v>477</v>
      </c>
      <c r="B478" s="8" t="s">
        <v>27</v>
      </c>
      <c r="C478" s="8" t="s">
        <v>16</v>
      </c>
      <c r="D478" s="9" t="n">
        <v>43963</v>
      </c>
      <c r="E478" s="10" t="n">
        <v>3950.53</v>
      </c>
      <c r="F478" s="8" t="s">
        <v>11</v>
      </c>
      <c r="G478" s="8" t="s">
        <v>36</v>
      </c>
      <c r="H478" s="11" t="s">
        <v>37</v>
      </c>
      <c r="I478" s="8" t="s">
        <v>26</v>
      </c>
    </row>
    <row r="479" customFormat="false" ht="14.25" hidden="false" customHeight="false" outlineLevel="0" collapsed="false">
      <c r="A479" s="8" t="n">
        <v>478</v>
      </c>
      <c r="B479" s="8" t="s">
        <v>27</v>
      </c>
      <c r="C479" s="8" t="s">
        <v>28</v>
      </c>
      <c r="D479" s="9" t="n">
        <v>43963</v>
      </c>
      <c r="E479" s="10" t="n">
        <v>3643.91</v>
      </c>
      <c r="F479" s="8" t="s">
        <v>11</v>
      </c>
      <c r="G479" s="8" t="s">
        <v>17</v>
      </c>
      <c r="H479" s="11" t="s">
        <v>18</v>
      </c>
      <c r="I479" s="8" t="s">
        <v>26</v>
      </c>
    </row>
    <row r="480" customFormat="false" ht="14.25" hidden="false" customHeight="false" outlineLevel="0" collapsed="false">
      <c r="A480" s="8" t="n">
        <v>479</v>
      </c>
      <c r="B480" s="8" t="s">
        <v>27</v>
      </c>
      <c r="C480" s="8" t="s">
        <v>10</v>
      </c>
      <c r="D480" s="9" t="n">
        <v>43963</v>
      </c>
      <c r="E480" s="10" t="n">
        <v>3330.51</v>
      </c>
      <c r="F480" s="8" t="s">
        <v>11</v>
      </c>
      <c r="G480" s="8" t="s">
        <v>12</v>
      </c>
      <c r="H480" s="11" t="s">
        <v>13</v>
      </c>
      <c r="I480" s="8" t="s">
        <v>26</v>
      </c>
    </row>
    <row r="481" customFormat="false" ht="14.25" hidden="false" customHeight="false" outlineLevel="0" collapsed="false">
      <c r="A481" s="8" t="n">
        <v>480</v>
      </c>
      <c r="B481" s="8" t="s">
        <v>101</v>
      </c>
      <c r="C481" s="8" t="s">
        <v>21</v>
      </c>
      <c r="D481" s="9" t="n">
        <v>43966</v>
      </c>
      <c r="E481" s="10" t="n">
        <v>3606.94</v>
      </c>
      <c r="F481" s="8" t="s">
        <v>11</v>
      </c>
      <c r="G481" s="8" t="s">
        <v>17</v>
      </c>
      <c r="H481" s="11" t="s">
        <v>18</v>
      </c>
      <c r="I481" s="8" t="s">
        <v>14</v>
      </c>
    </row>
    <row r="482" customFormat="false" ht="14.25" hidden="false" customHeight="false" outlineLevel="0" collapsed="false">
      <c r="A482" s="8" t="n">
        <v>481</v>
      </c>
      <c r="B482" s="8" t="s">
        <v>9</v>
      </c>
      <c r="C482" s="8" t="s">
        <v>10</v>
      </c>
      <c r="D482" s="9" t="n">
        <v>43968</v>
      </c>
      <c r="E482" s="10" t="n">
        <v>3756.99</v>
      </c>
      <c r="F482" s="8" t="s">
        <v>11</v>
      </c>
      <c r="G482" s="8" t="s">
        <v>17</v>
      </c>
      <c r="H482" s="11" t="s">
        <v>18</v>
      </c>
      <c r="I482" s="8" t="s">
        <v>14</v>
      </c>
    </row>
    <row r="483" customFormat="false" ht="14.25" hidden="false" customHeight="false" outlineLevel="0" collapsed="false">
      <c r="A483" s="8" t="n">
        <v>482</v>
      </c>
      <c r="B483" s="8" t="s">
        <v>32</v>
      </c>
      <c r="C483" s="8" t="s">
        <v>21</v>
      </c>
      <c r="D483" s="9" t="n">
        <v>43968</v>
      </c>
      <c r="E483" s="10" t="n">
        <v>3539.76</v>
      </c>
      <c r="F483" s="8" t="s">
        <v>11</v>
      </c>
      <c r="G483" s="8" t="s">
        <v>22</v>
      </c>
      <c r="H483" s="11" t="s">
        <v>23</v>
      </c>
      <c r="I483" s="8" t="s">
        <v>14</v>
      </c>
    </row>
    <row r="484" customFormat="false" ht="14.25" hidden="false" customHeight="false" outlineLevel="0" collapsed="false">
      <c r="A484" s="8" t="n">
        <v>483</v>
      </c>
      <c r="B484" s="8" t="s">
        <v>100</v>
      </c>
      <c r="C484" s="8" t="s">
        <v>10</v>
      </c>
      <c r="D484" s="9" t="n">
        <v>43968</v>
      </c>
      <c r="E484" s="10" t="n">
        <v>3714.44</v>
      </c>
      <c r="F484" s="8" t="s">
        <v>11</v>
      </c>
      <c r="G484" s="8" t="s">
        <v>12</v>
      </c>
      <c r="H484" s="11" t="s">
        <v>13</v>
      </c>
      <c r="I484" s="8" t="s">
        <v>26</v>
      </c>
    </row>
    <row r="485" customFormat="false" ht="14.25" hidden="false" customHeight="false" outlineLevel="0" collapsed="false">
      <c r="A485" s="8" t="n">
        <v>484</v>
      </c>
      <c r="B485" s="8" t="s">
        <v>100</v>
      </c>
      <c r="C485" s="8" t="s">
        <v>28</v>
      </c>
      <c r="D485" s="9" t="n">
        <v>43968</v>
      </c>
      <c r="E485" s="10" t="n">
        <v>3715.14</v>
      </c>
      <c r="F485" s="8" t="s">
        <v>11</v>
      </c>
      <c r="G485" s="8" t="s">
        <v>12</v>
      </c>
      <c r="H485" s="11" t="s">
        <v>13</v>
      </c>
      <c r="I485" s="8" t="s">
        <v>26</v>
      </c>
    </row>
    <row r="486" customFormat="false" ht="14.25" hidden="false" customHeight="false" outlineLevel="0" collapsed="false">
      <c r="A486" s="8" t="n">
        <v>485</v>
      </c>
      <c r="B486" s="8" t="s">
        <v>100</v>
      </c>
      <c r="C486" s="8" t="s">
        <v>10</v>
      </c>
      <c r="D486" s="9" t="n">
        <v>43968</v>
      </c>
      <c r="E486" s="10" t="n">
        <v>3431.82</v>
      </c>
      <c r="F486" s="8" t="s">
        <v>11</v>
      </c>
      <c r="G486" s="8" t="s">
        <v>36</v>
      </c>
      <c r="H486" s="11" t="s">
        <v>37</v>
      </c>
      <c r="I486" s="8" t="s">
        <v>26</v>
      </c>
    </row>
    <row r="487" customFormat="false" ht="14.25" hidden="false" customHeight="false" outlineLevel="0" collapsed="false">
      <c r="A487" s="8" t="n">
        <v>486</v>
      </c>
      <c r="B487" s="8" t="s">
        <v>100</v>
      </c>
      <c r="C487" s="8" t="s">
        <v>28</v>
      </c>
      <c r="D487" s="9" t="n">
        <v>43968</v>
      </c>
      <c r="E487" s="10" t="n">
        <v>-915.36</v>
      </c>
      <c r="F487" s="8" t="s">
        <v>34</v>
      </c>
      <c r="G487" s="8" t="s">
        <v>12</v>
      </c>
      <c r="H487" s="11" t="s">
        <v>13</v>
      </c>
      <c r="I487" s="8" t="s">
        <v>26</v>
      </c>
    </row>
    <row r="488" customFormat="false" ht="14.25" hidden="false" customHeight="false" outlineLevel="0" collapsed="false">
      <c r="A488" s="8" t="n">
        <v>487</v>
      </c>
      <c r="B488" s="8" t="s">
        <v>100</v>
      </c>
      <c r="C488" s="8" t="s">
        <v>28</v>
      </c>
      <c r="D488" s="9" t="n">
        <v>43968</v>
      </c>
      <c r="E488" s="10" t="n">
        <v>-30790.31</v>
      </c>
      <c r="F488" s="8" t="s">
        <v>34</v>
      </c>
      <c r="G488" s="8" t="s">
        <v>12</v>
      </c>
      <c r="H488" s="11" t="s">
        <v>13</v>
      </c>
      <c r="I488" s="8" t="s">
        <v>14</v>
      </c>
    </row>
    <row r="489" customFormat="false" ht="14.25" hidden="false" customHeight="false" outlineLevel="0" collapsed="false">
      <c r="A489" s="8" t="n">
        <v>488</v>
      </c>
      <c r="B489" s="8" t="s">
        <v>50</v>
      </c>
      <c r="C489" s="8" t="s">
        <v>21</v>
      </c>
      <c r="D489" s="9" t="n">
        <v>43969</v>
      </c>
      <c r="E489" s="10" t="n">
        <v>134654.46</v>
      </c>
      <c r="F489" s="8" t="s">
        <v>11</v>
      </c>
      <c r="G489" s="8" t="s">
        <v>22</v>
      </c>
      <c r="H489" s="11" t="s">
        <v>23</v>
      </c>
      <c r="I489" s="8" t="s">
        <v>26</v>
      </c>
    </row>
    <row r="490" customFormat="false" ht="14.25" hidden="false" customHeight="false" outlineLevel="0" collapsed="false">
      <c r="A490" s="8" t="n">
        <v>489</v>
      </c>
      <c r="B490" s="8" t="s">
        <v>39</v>
      </c>
      <c r="C490" s="8" t="s">
        <v>16</v>
      </c>
      <c r="D490" s="9" t="n">
        <v>43969</v>
      </c>
      <c r="E490" s="10" t="n">
        <v>7253.71</v>
      </c>
      <c r="F490" s="8" t="s">
        <v>11</v>
      </c>
      <c r="G490" s="8" t="s">
        <v>12</v>
      </c>
      <c r="H490" s="11" t="s">
        <v>13</v>
      </c>
      <c r="I490" s="8" t="s">
        <v>14</v>
      </c>
    </row>
    <row r="491" customFormat="false" ht="14.25" hidden="false" customHeight="false" outlineLevel="0" collapsed="false">
      <c r="A491" s="8" t="n">
        <v>490</v>
      </c>
      <c r="B491" s="8" t="s">
        <v>51</v>
      </c>
      <c r="C491" s="8" t="s">
        <v>21</v>
      </c>
      <c r="D491" s="9" t="n">
        <v>43970</v>
      </c>
      <c r="E491" s="10" t="n">
        <v>7253.71</v>
      </c>
      <c r="F491" s="8" t="s">
        <v>11</v>
      </c>
      <c r="G491" s="8" t="s">
        <v>17</v>
      </c>
      <c r="H491" s="11" t="s">
        <v>18</v>
      </c>
      <c r="I491" s="8" t="s">
        <v>14</v>
      </c>
    </row>
    <row r="492" customFormat="false" ht="14.25" hidden="false" customHeight="false" outlineLevel="0" collapsed="false">
      <c r="A492" s="8" t="n">
        <v>491</v>
      </c>
      <c r="B492" s="8" t="s">
        <v>44</v>
      </c>
      <c r="C492" s="8" t="s">
        <v>21</v>
      </c>
      <c r="D492" s="9" t="n">
        <v>43974</v>
      </c>
      <c r="E492" s="10" t="n">
        <v>7253.71</v>
      </c>
      <c r="F492" s="8" t="s">
        <v>11</v>
      </c>
      <c r="G492" s="8" t="s">
        <v>12</v>
      </c>
      <c r="H492" s="11" t="s">
        <v>13</v>
      </c>
      <c r="I492" s="8" t="s">
        <v>14</v>
      </c>
    </row>
    <row r="493" customFormat="false" ht="14.25" hidden="false" customHeight="false" outlineLevel="0" collapsed="false">
      <c r="A493" s="8" t="n">
        <v>492</v>
      </c>
      <c r="B493" s="8" t="s">
        <v>38</v>
      </c>
      <c r="C493" s="8" t="s">
        <v>16</v>
      </c>
      <c r="D493" s="9" t="n">
        <v>43974</v>
      </c>
      <c r="E493" s="10" t="n">
        <v>7253.71</v>
      </c>
      <c r="F493" s="8" t="s">
        <v>11</v>
      </c>
      <c r="G493" s="8" t="s">
        <v>12</v>
      </c>
      <c r="H493" s="11" t="s">
        <v>13</v>
      </c>
      <c r="I493" s="8" t="s">
        <v>19</v>
      </c>
    </row>
    <row r="494" customFormat="false" ht="14.25" hidden="false" customHeight="false" outlineLevel="0" collapsed="false">
      <c r="A494" s="8" t="n">
        <v>493</v>
      </c>
      <c r="B494" s="8" t="s">
        <v>45</v>
      </c>
      <c r="C494" s="8" t="s">
        <v>21</v>
      </c>
      <c r="D494" s="9" t="n">
        <v>43974</v>
      </c>
      <c r="E494" s="10" t="n">
        <v>7253.71</v>
      </c>
      <c r="F494" s="8" t="s">
        <v>11</v>
      </c>
      <c r="G494" s="8" t="s">
        <v>17</v>
      </c>
      <c r="H494" s="11" t="s">
        <v>18</v>
      </c>
      <c r="I494" s="8" t="s">
        <v>14</v>
      </c>
    </row>
    <row r="495" customFormat="false" ht="14.25" hidden="false" customHeight="false" outlineLevel="0" collapsed="false">
      <c r="A495" s="8" t="n">
        <v>494</v>
      </c>
      <c r="B495" s="8" t="s">
        <v>45</v>
      </c>
      <c r="C495" s="8" t="s">
        <v>16</v>
      </c>
      <c r="D495" s="9" t="n">
        <v>43974</v>
      </c>
      <c r="E495" s="10" t="n">
        <v>7253.66</v>
      </c>
      <c r="F495" s="8" t="s">
        <v>11</v>
      </c>
      <c r="G495" s="8" t="s">
        <v>36</v>
      </c>
      <c r="H495" s="11" t="s">
        <v>37</v>
      </c>
      <c r="I495" s="8" t="s">
        <v>26</v>
      </c>
    </row>
    <row r="496" customFormat="false" ht="14.25" hidden="false" customHeight="false" outlineLevel="0" collapsed="false">
      <c r="A496" s="8" t="n">
        <v>495</v>
      </c>
      <c r="B496" s="8" t="s">
        <v>44</v>
      </c>
      <c r="C496" s="8" t="s">
        <v>28</v>
      </c>
      <c r="D496" s="9" t="n">
        <v>43974</v>
      </c>
      <c r="E496" s="10" t="n">
        <v>-4711.63</v>
      </c>
      <c r="F496" s="8" t="s">
        <v>34</v>
      </c>
      <c r="G496" s="8" t="s">
        <v>12</v>
      </c>
      <c r="H496" s="11" t="s">
        <v>13</v>
      </c>
      <c r="I496" s="8" t="s">
        <v>14</v>
      </c>
    </row>
    <row r="497" customFormat="false" ht="14.25" hidden="false" customHeight="false" outlineLevel="0" collapsed="false">
      <c r="A497" s="8" t="n">
        <v>496</v>
      </c>
      <c r="B497" s="8" t="s">
        <v>38</v>
      </c>
      <c r="C497" s="8" t="s">
        <v>21</v>
      </c>
      <c r="D497" s="9" t="n">
        <v>43974</v>
      </c>
      <c r="E497" s="10" t="n">
        <v>-4080.79</v>
      </c>
      <c r="F497" s="8" t="s">
        <v>34</v>
      </c>
      <c r="G497" s="8" t="s">
        <v>12</v>
      </c>
      <c r="H497" s="11" t="s">
        <v>13</v>
      </c>
      <c r="I497" s="8" t="s">
        <v>14</v>
      </c>
    </row>
    <row r="498" customFormat="false" ht="14.25" hidden="false" customHeight="false" outlineLevel="0" collapsed="false">
      <c r="A498" s="8" t="n">
        <v>497</v>
      </c>
      <c r="B498" s="8" t="s">
        <v>45</v>
      </c>
      <c r="C498" s="8" t="s">
        <v>21</v>
      </c>
      <c r="D498" s="9" t="n">
        <v>43974</v>
      </c>
      <c r="E498" s="10" t="n">
        <v>66633.33</v>
      </c>
      <c r="F498" s="8" t="s">
        <v>11</v>
      </c>
      <c r="G498" s="8" t="s">
        <v>12</v>
      </c>
      <c r="H498" s="11" t="s">
        <v>13</v>
      </c>
      <c r="I498" s="8" t="s">
        <v>14</v>
      </c>
    </row>
    <row r="499" customFormat="false" ht="14.25" hidden="false" customHeight="false" outlineLevel="0" collapsed="false">
      <c r="A499" s="8" t="n">
        <v>498</v>
      </c>
      <c r="B499" s="8" t="s">
        <v>45</v>
      </c>
      <c r="C499" s="8" t="s">
        <v>21</v>
      </c>
      <c r="D499" s="9" t="n">
        <v>43974</v>
      </c>
      <c r="E499" s="10" t="n">
        <v>11999.76</v>
      </c>
      <c r="F499" s="8" t="s">
        <v>11</v>
      </c>
      <c r="G499" s="8" t="s">
        <v>22</v>
      </c>
      <c r="H499" s="11" t="s">
        <v>23</v>
      </c>
      <c r="I499" s="8" t="s">
        <v>14</v>
      </c>
    </row>
    <row r="500" customFormat="false" ht="14.25" hidden="false" customHeight="false" outlineLevel="0" collapsed="false">
      <c r="A500" s="8" t="n">
        <v>499</v>
      </c>
      <c r="B500" s="8" t="s">
        <v>39</v>
      </c>
      <c r="C500" s="8" t="s">
        <v>28</v>
      </c>
      <c r="D500" s="9" t="n">
        <v>43976</v>
      </c>
      <c r="E500" s="10" t="n">
        <v>22837.46</v>
      </c>
      <c r="F500" s="8" t="s">
        <v>11</v>
      </c>
      <c r="G500" s="8" t="s">
        <v>12</v>
      </c>
      <c r="H500" s="11" t="s">
        <v>13</v>
      </c>
      <c r="I500" s="8" t="s">
        <v>19</v>
      </c>
    </row>
    <row r="501" customFormat="false" ht="14.25" hidden="false" customHeight="false" outlineLevel="0" collapsed="false">
      <c r="A501" s="8" t="n">
        <v>500</v>
      </c>
      <c r="B501" s="8" t="s">
        <v>113</v>
      </c>
      <c r="C501" s="8" t="s">
        <v>10</v>
      </c>
      <c r="D501" s="9" t="n">
        <v>43977</v>
      </c>
      <c r="E501" s="10" t="n">
        <v>10126.17</v>
      </c>
      <c r="F501" s="8" t="s">
        <v>11</v>
      </c>
      <c r="G501" s="8" t="s">
        <v>12</v>
      </c>
      <c r="H501" s="11" t="s">
        <v>13</v>
      </c>
      <c r="I501" s="8" t="s">
        <v>14</v>
      </c>
    </row>
    <row r="502" customFormat="false" ht="14.25" hidden="false" customHeight="false" outlineLevel="0" collapsed="false">
      <c r="A502" s="8" t="n">
        <v>501</v>
      </c>
      <c r="B502" s="8" t="s">
        <v>29</v>
      </c>
      <c r="C502" s="8" t="s">
        <v>16</v>
      </c>
      <c r="D502" s="9" t="n">
        <v>43977</v>
      </c>
      <c r="E502" s="10" t="n">
        <v>23511.04</v>
      </c>
      <c r="F502" s="8" t="s">
        <v>11</v>
      </c>
      <c r="G502" s="8" t="s">
        <v>36</v>
      </c>
      <c r="H502" s="11" t="s">
        <v>37</v>
      </c>
      <c r="I502" s="8" t="s">
        <v>26</v>
      </c>
    </row>
    <row r="503" customFormat="false" ht="14.25" hidden="false" customHeight="false" outlineLevel="0" collapsed="false">
      <c r="A503" s="8" t="n">
        <v>502</v>
      </c>
      <c r="B503" s="8" t="s">
        <v>86</v>
      </c>
      <c r="C503" s="8" t="s">
        <v>21</v>
      </c>
      <c r="D503" s="9" t="n">
        <v>43980</v>
      </c>
      <c r="E503" s="10" t="n">
        <v>10443.75</v>
      </c>
      <c r="F503" s="8" t="s">
        <v>11</v>
      </c>
      <c r="G503" s="8" t="s">
        <v>22</v>
      </c>
      <c r="H503" s="11" t="s">
        <v>23</v>
      </c>
      <c r="I503" s="8" t="s">
        <v>26</v>
      </c>
    </row>
    <row r="504" customFormat="false" ht="14.25" hidden="false" customHeight="false" outlineLevel="0" collapsed="false">
      <c r="A504" s="8" t="n">
        <v>503</v>
      </c>
      <c r="B504" s="8" t="s">
        <v>50</v>
      </c>
      <c r="C504" s="8" t="s">
        <v>10</v>
      </c>
      <c r="D504" s="9" t="n">
        <v>43981</v>
      </c>
      <c r="E504" s="10" t="n">
        <v>20867.31</v>
      </c>
      <c r="F504" s="8" t="s">
        <v>11</v>
      </c>
      <c r="G504" s="8" t="s">
        <v>30</v>
      </c>
      <c r="H504" s="11" t="s">
        <v>31</v>
      </c>
      <c r="I504" s="8" t="s">
        <v>14</v>
      </c>
    </row>
    <row r="505" customFormat="false" ht="14.25" hidden="false" customHeight="false" outlineLevel="0" collapsed="false">
      <c r="A505" s="8" t="n">
        <v>504</v>
      </c>
      <c r="B505" s="8" t="s">
        <v>50</v>
      </c>
      <c r="C505" s="8" t="s">
        <v>16</v>
      </c>
      <c r="D505" s="9" t="n">
        <v>43981</v>
      </c>
      <c r="E505" s="10" t="n">
        <v>193156.56</v>
      </c>
      <c r="F505" s="8" t="s">
        <v>11</v>
      </c>
      <c r="G505" s="8" t="s">
        <v>17</v>
      </c>
      <c r="H505" s="11" t="s">
        <v>18</v>
      </c>
      <c r="I505" s="8" t="s">
        <v>24</v>
      </c>
    </row>
    <row r="506" customFormat="false" ht="14.25" hidden="false" customHeight="false" outlineLevel="0" collapsed="false">
      <c r="A506" s="8" t="n">
        <v>505</v>
      </c>
      <c r="B506" s="8" t="s">
        <v>15</v>
      </c>
      <c r="C506" s="8" t="s">
        <v>28</v>
      </c>
      <c r="D506" s="9" t="n">
        <v>43982</v>
      </c>
      <c r="E506" s="10" t="n">
        <v>-12322.35</v>
      </c>
      <c r="F506" s="8" t="s">
        <v>34</v>
      </c>
      <c r="G506" s="8" t="s">
        <v>12</v>
      </c>
      <c r="H506" s="11" t="s">
        <v>13</v>
      </c>
      <c r="I506" s="8" t="s">
        <v>14</v>
      </c>
    </row>
    <row r="507" customFormat="false" ht="14.25" hidden="false" customHeight="false" outlineLevel="0" collapsed="false">
      <c r="A507" s="8" t="n">
        <v>506</v>
      </c>
      <c r="B507" s="8" t="s">
        <v>114</v>
      </c>
      <c r="C507" s="8" t="s">
        <v>21</v>
      </c>
      <c r="D507" s="9" t="n">
        <v>43983</v>
      </c>
      <c r="E507" s="10" t="n">
        <v>-13777.51</v>
      </c>
      <c r="F507" s="8" t="s">
        <v>34</v>
      </c>
      <c r="G507" s="8" t="s">
        <v>22</v>
      </c>
      <c r="H507" s="11" t="s">
        <v>23</v>
      </c>
      <c r="I507" s="8" t="s">
        <v>19</v>
      </c>
    </row>
    <row r="508" customFormat="false" ht="14.25" hidden="false" customHeight="false" outlineLevel="0" collapsed="false">
      <c r="A508" s="8" t="n">
        <v>507</v>
      </c>
      <c r="B508" s="8" t="s">
        <v>115</v>
      </c>
      <c r="C508" s="8" t="s">
        <v>16</v>
      </c>
      <c r="D508" s="9" t="n">
        <v>43983</v>
      </c>
      <c r="E508" s="10" t="n">
        <v>-17480.44</v>
      </c>
      <c r="F508" s="8" t="s">
        <v>34</v>
      </c>
      <c r="G508" s="8" t="s">
        <v>22</v>
      </c>
      <c r="H508" s="11" t="s">
        <v>23</v>
      </c>
      <c r="I508" s="8" t="s">
        <v>14</v>
      </c>
    </row>
    <row r="509" customFormat="false" ht="14.25" hidden="false" customHeight="false" outlineLevel="0" collapsed="false">
      <c r="A509" s="8" t="n">
        <v>508</v>
      </c>
      <c r="B509" s="8" t="s">
        <v>116</v>
      </c>
      <c r="C509" s="8" t="s">
        <v>21</v>
      </c>
      <c r="D509" s="9" t="n">
        <v>43983</v>
      </c>
      <c r="E509" s="10" t="n">
        <v>-11682.09</v>
      </c>
      <c r="F509" s="8" t="s">
        <v>34</v>
      </c>
      <c r="G509" s="8" t="s">
        <v>12</v>
      </c>
      <c r="H509" s="11" t="s">
        <v>13</v>
      </c>
      <c r="I509" s="8" t="s">
        <v>24</v>
      </c>
    </row>
    <row r="510" customFormat="false" ht="14.25" hidden="false" customHeight="false" outlineLevel="0" collapsed="false">
      <c r="A510" s="8" t="n">
        <v>509</v>
      </c>
      <c r="B510" s="8" t="s">
        <v>58</v>
      </c>
      <c r="C510" s="8" t="s">
        <v>16</v>
      </c>
      <c r="D510" s="9" t="n">
        <v>43983</v>
      </c>
      <c r="E510" s="10" t="n">
        <v>-641.2</v>
      </c>
      <c r="F510" s="8" t="s">
        <v>34</v>
      </c>
      <c r="G510" s="8" t="s">
        <v>36</v>
      </c>
      <c r="H510" s="11" t="s">
        <v>37</v>
      </c>
      <c r="I510" s="8" t="s">
        <v>26</v>
      </c>
    </row>
    <row r="511" customFormat="false" ht="14.25" hidden="false" customHeight="false" outlineLevel="0" collapsed="false">
      <c r="A511" s="8" t="n">
        <v>510</v>
      </c>
      <c r="B511" s="8" t="s">
        <v>117</v>
      </c>
      <c r="C511" s="8" t="s">
        <v>10</v>
      </c>
      <c r="D511" s="9" t="n">
        <v>43983</v>
      </c>
      <c r="E511" s="10" t="n">
        <v>-1767.43</v>
      </c>
      <c r="F511" s="8" t="s">
        <v>34</v>
      </c>
      <c r="G511" s="8" t="s">
        <v>12</v>
      </c>
      <c r="H511" s="11" t="s">
        <v>13</v>
      </c>
      <c r="I511" s="8" t="s">
        <v>14</v>
      </c>
    </row>
    <row r="512" customFormat="false" ht="14.25" hidden="false" customHeight="false" outlineLevel="0" collapsed="false">
      <c r="A512" s="8" t="n">
        <v>511</v>
      </c>
      <c r="B512" s="8" t="s">
        <v>118</v>
      </c>
      <c r="C512" s="8" t="s">
        <v>21</v>
      </c>
      <c r="D512" s="9" t="n">
        <v>43983</v>
      </c>
      <c r="E512" s="10" t="n">
        <v>-1715.98</v>
      </c>
      <c r="F512" s="8" t="s">
        <v>34</v>
      </c>
      <c r="G512" s="8" t="s">
        <v>36</v>
      </c>
      <c r="H512" s="11" t="s">
        <v>37</v>
      </c>
      <c r="I512" s="8" t="s">
        <v>19</v>
      </c>
    </row>
    <row r="513" customFormat="false" ht="14.25" hidden="false" customHeight="false" outlineLevel="0" collapsed="false">
      <c r="A513" s="8" t="n">
        <v>512</v>
      </c>
      <c r="B513" s="8" t="s">
        <v>119</v>
      </c>
      <c r="C513" s="8" t="s">
        <v>16</v>
      </c>
      <c r="D513" s="9" t="n">
        <v>43983</v>
      </c>
      <c r="E513" s="10" t="n">
        <v>129821.78</v>
      </c>
      <c r="F513" s="8" t="s">
        <v>11</v>
      </c>
      <c r="G513" s="8" t="s">
        <v>12</v>
      </c>
      <c r="H513" s="11" t="s">
        <v>13</v>
      </c>
      <c r="I513" s="8" t="s">
        <v>26</v>
      </c>
    </row>
    <row r="514" customFormat="false" ht="14.25" hidden="false" customHeight="false" outlineLevel="0" collapsed="false">
      <c r="A514" s="8" t="n">
        <v>513</v>
      </c>
      <c r="B514" s="8" t="s">
        <v>39</v>
      </c>
      <c r="C514" s="8" t="s">
        <v>28</v>
      </c>
      <c r="D514" s="9" t="n">
        <v>43984</v>
      </c>
      <c r="E514" s="10" t="n">
        <v>6283.31</v>
      </c>
      <c r="F514" s="8" t="s">
        <v>11</v>
      </c>
      <c r="G514" s="8" t="s">
        <v>12</v>
      </c>
      <c r="H514" s="11" t="s">
        <v>13</v>
      </c>
      <c r="I514" s="8" t="s">
        <v>14</v>
      </c>
    </row>
    <row r="515" customFormat="false" ht="14.25" hidden="false" customHeight="false" outlineLevel="0" collapsed="false">
      <c r="A515" s="8" t="n">
        <v>514</v>
      </c>
      <c r="B515" s="8" t="s">
        <v>39</v>
      </c>
      <c r="C515" s="8" t="s">
        <v>10</v>
      </c>
      <c r="D515" s="9" t="n">
        <v>43984</v>
      </c>
      <c r="E515" s="10" t="n">
        <v>9661.85</v>
      </c>
      <c r="F515" s="8" t="s">
        <v>11</v>
      </c>
      <c r="G515" s="8" t="s">
        <v>12</v>
      </c>
      <c r="H515" s="11" t="s">
        <v>13</v>
      </c>
      <c r="I515" s="8" t="s">
        <v>19</v>
      </c>
    </row>
    <row r="516" customFormat="false" ht="14.25" hidden="false" customHeight="false" outlineLevel="0" collapsed="false">
      <c r="A516" s="8" t="n">
        <v>515</v>
      </c>
      <c r="B516" s="8" t="s">
        <v>27</v>
      </c>
      <c r="C516" s="8" t="s">
        <v>28</v>
      </c>
      <c r="D516" s="9" t="n">
        <v>43984</v>
      </c>
      <c r="E516" s="10" t="n">
        <v>9056.7</v>
      </c>
      <c r="F516" s="8" t="s">
        <v>11</v>
      </c>
      <c r="G516" s="8" t="s">
        <v>12</v>
      </c>
      <c r="H516" s="11" t="s">
        <v>13</v>
      </c>
      <c r="I516" s="8" t="s">
        <v>26</v>
      </c>
    </row>
    <row r="517" customFormat="false" ht="14.25" hidden="false" customHeight="false" outlineLevel="0" collapsed="false">
      <c r="A517" s="8" t="n">
        <v>516</v>
      </c>
      <c r="B517" s="8" t="s">
        <v>27</v>
      </c>
      <c r="C517" s="8" t="s">
        <v>28</v>
      </c>
      <c r="D517" s="9" t="n">
        <v>43984</v>
      </c>
      <c r="E517" s="10" t="n">
        <v>9203.62</v>
      </c>
      <c r="F517" s="8" t="s">
        <v>11</v>
      </c>
      <c r="G517" s="8" t="s">
        <v>30</v>
      </c>
      <c r="H517" s="11" t="s">
        <v>31</v>
      </c>
      <c r="I517" s="8" t="s">
        <v>14</v>
      </c>
    </row>
    <row r="518" customFormat="false" ht="14.25" hidden="false" customHeight="false" outlineLevel="0" collapsed="false">
      <c r="A518" s="8" t="n">
        <v>517</v>
      </c>
      <c r="B518" s="8" t="s">
        <v>27</v>
      </c>
      <c r="C518" s="8" t="s">
        <v>10</v>
      </c>
      <c r="D518" s="9" t="n">
        <v>43984</v>
      </c>
      <c r="E518" s="10" t="n">
        <v>9682.66</v>
      </c>
      <c r="F518" s="8" t="s">
        <v>11</v>
      </c>
      <c r="G518" s="8" t="s">
        <v>17</v>
      </c>
      <c r="H518" s="11" t="s">
        <v>18</v>
      </c>
      <c r="I518" s="8" t="s">
        <v>24</v>
      </c>
    </row>
    <row r="519" customFormat="false" ht="14.25" hidden="false" customHeight="false" outlineLevel="0" collapsed="false">
      <c r="A519" s="8" t="n">
        <v>518</v>
      </c>
      <c r="B519" s="8" t="s">
        <v>27</v>
      </c>
      <c r="C519" s="8" t="s">
        <v>10</v>
      </c>
      <c r="D519" s="9" t="n">
        <v>43984</v>
      </c>
      <c r="E519" s="10" t="n">
        <v>8662.37</v>
      </c>
      <c r="F519" s="8" t="s">
        <v>11</v>
      </c>
      <c r="G519" s="8" t="s">
        <v>12</v>
      </c>
      <c r="H519" s="11" t="s">
        <v>13</v>
      </c>
      <c r="I519" s="8" t="s">
        <v>26</v>
      </c>
    </row>
    <row r="520" customFormat="false" ht="14.25" hidden="false" customHeight="false" outlineLevel="0" collapsed="false">
      <c r="A520" s="8" t="n">
        <v>519</v>
      </c>
      <c r="B520" s="8" t="s">
        <v>27</v>
      </c>
      <c r="C520" s="8" t="s">
        <v>10</v>
      </c>
      <c r="D520" s="9" t="n">
        <v>43984</v>
      </c>
      <c r="E520" s="10" t="n">
        <v>8765.35</v>
      </c>
      <c r="F520" s="8" t="s">
        <v>11</v>
      </c>
      <c r="G520" s="8" t="s">
        <v>12</v>
      </c>
      <c r="H520" s="11" t="s">
        <v>13</v>
      </c>
      <c r="I520" s="8" t="s">
        <v>26</v>
      </c>
    </row>
    <row r="521" customFormat="false" ht="14.25" hidden="false" customHeight="false" outlineLevel="0" collapsed="false">
      <c r="A521" s="8" t="n">
        <v>520</v>
      </c>
      <c r="B521" s="8" t="s">
        <v>81</v>
      </c>
      <c r="C521" s="8" t="s">
        <v>10</v>
      </c>
      <c r="D521" s="9" t="n">
        <v>43987</v>
      </c>
      <c r="E521" s="10" t="n">
        <v>8817.74</v>
      </c>
      <c r="F521" s="8" t="s">
        <v>11</v>
      </c>
      <c r="G521" s="8" t="s">
        <v>17</v>
      </c>
      <c r="H521" s="11" t="s">
        <v>18</v>
      </c>
      <c r="I521" s="8" t="s">
        <v>24</v>
      </c>
    </row>
    <row r="522" customFormat="false" ht="14.25" hidden="false" customHeight="false" outlineLevel="0" collapsed="false">
      <c r="A522" s="8" t="n">
        <v>521</v>
      </c>
      <c r="B522" s="8" t="s">
        <v>81</v>
      </c>
      <c r="C522" s="8" t="s">
        <v>10</v>
      </c>
      <c r="D522" s="9" t="n">
        <v>43987</v>
      </c>
      <c r="E522" s="10" t="n">
        <v>9311.54</v>
      </c>
      <c r="F522" s="8" t="s">
        <v>11</v>
      </c>
      <c r="G522" s="8" t="s">
        <v>12</v>
      </c>
      <c r="H522" s="11" t="s">
        <v>13</v>
      </c>
      <c r="I522" s="8" t="s">
        <v>26</v>
      </c>
    </row>
    <row r="523" customFormat="false" ht="14.25" hidden="false" customHeight="false" outlineLevel="0" collapsed="false">
      <c r="A523" s="8" t="n">
        <v>522</v>
      </c>
      <c r="B523" s="8" t="s">
        <v>81</v>
      </c>
      <c r="C523" s="8" t="s">
        <v>21</v>
      </c>
      <c r="D523" s="9" t="n">
        <v>43987</v>
      </c>
      <c r="E523" s="10" t="n">
        <v>8806.51</v>
      </c>
      <c r="F523" s="8" t="s">
        <v>11</v>
      </c>
      <c r="G523" s="8" t="s">
        <v>12</v>
      </c>
      <c r="H523" s="11" t="s">
        <v>13</v>
      </c>
      <c r="I523" s="8" t="s">
        <v>26</v>
      </c>
    </row>
    <row r="524" customFormat="false" ht="14.25" hidden="false" customHeight="false" outlineLevel="0" collapsed="false">
      <c r="A524" s="8" t="n">
        <v>523</v>
      </c>
      <c r="B524" s="8" t="s">
        <v>81</v>
      </c>
      <c r="C524" s="8" t="s">
        <v>10</v>
      </c>
      <c r="D524" s="9" t="n">
        <v>43987</v>
      </c>
      <c r="E524" s="10" t="n">
        <v>7391.72</v>
      </c>
      <c r="F524" s="8" t="s">
        <v>11</v>
      </c>
      <c r="G524" s="8" t="s">
        <v>12</v>
      </c>
      <c r="H524" s="11" t="s">
        <v>13</v>
      </c>
      <c r="I524" s="8" t="s">
        <v>19</v>
      </c>
    </row>
    <row r="525" customFormat="false" ht="14.25" hidden="false" customHeight="false" outlineLevel="0" collapsed="false">
      <c r="A525" s="8" t="n">
        <v>524</v>
      </c>
      <c r="B525" s="8" t="s">
        <v>20</v>
      </c>
      <c r="C525" s="8" t="s">
        <v>10</v>
      </c>
      <c r="D525" s="9" t="n">
        <v>43990</v>
      </c>
      <c r="E525" s="10" t="n">
        <v>13194.71</v>
      </c>
      <c r="F525" s="8" t="s">
        <v>11</v>
      </c>
      <c r="G525" s="8" t="s">
        <v>12</v>
      </c>
      <c r="H525" s="11" t="s">
        <v>13</v>
      </c>
      <c r="I525" s="8" t="s">
        <v>14</v>
      </c>
    </row>
    <row r="526" customFormat="false" ht="14.25" hidden="false" customHeight="false" outlineLevel="0" collapsed="false">
      <c r="A526" s="8" t="n">
        <v>525</v>
      </c>
      <c r="B526" s="8" t="s">
        <v>20</v>
      </c>
      <c r="C526" s="8" t="s">
        <v>16</v>
      </c>
      <c r="D526" s="9" t="n">
        <v>43990</v>
      </c>
      <c r="E526" s="10" t="n">
        <v>141727.44</v>
      </c>
      <c r="F526" s="8" t="s">
        <v>11</v>
      </c>
      <c r="G526" s="8" t="s">
        <v>36</v>
      </c>
      <c r="H526" s="11" t="s">
        <v>37</v>
      </c>
      <c r="I526" s="8" t="s">
        <v>14</v>
      </c>
    </row>
    <row r="527" customFormat="false" ht="14.25" hidden="false" customHeight="false" outlineLevel="0" collapsed="false">
      <c r="A527" s="8" t="n">
        <v>526</v>
      </c>
      <c r="B527" s="8" t="s">
        <v>20</v>
      </c>
      <c r="C527" s="8" t="s">
        <v>16</v>
      </c>
      <c r="D527" s="9" t="n">
        <v>43990</v>
      </c>
      <c r="E527" s="10" t="n">
        <v>16059.48</v>
      </c>
      <c r="F527" s="8" t="s">
        <v>11</v>
      </c>
      <c r="G527" s="8" t="s">
        <v>12</v>
      </c>
      <c r="H527" s="11" t="s">
        <v>13</v>
      </c>
      <c r="I527" s="8" t="s">
        <v>24</v>
      </c>
    </row>
    <row r="528" customFormat="false" ht="14.25" hidden="false" customHeight="false" outlineLevel="0" collapsed="false">
      <c r="A528" s="8" t="n">
        <v>527</v>
      </c>
      <c r="B528" s="8" t="s">
        <v>15</v>
      </c>
      <c r="C528" s="8" t="s">
        <v>10</v>
      </c>
      <c r="D528" s="9" t="n">
        <v>43991</v>
      </c>
      <c r="E528" s="10" t="n">
        <v>13862.06</v>
      </c>
      <c r="F528" s="8" t="s">
        <v>11</v>
      </c>
      <c r="G528" s="8" t="s">
        <v>12</v>
      </c>
      <c r="H528" s="11" t="s">
        <v>13</v>
      </c>
      <c r="I528" s="8" t="s">
        <v>14</v>
      </c>
    </row>
    <row r="529" customFormat="false" ht="14.25" hidden="false" customHeight="false" outlineLevel="0" collapsed="false">
      <c r="A529" s="8" t="n">
        <v>528</v>
      </c>
      <c r="B529" s="8" t="s">
        <v>44</v>
      </c>
      <c r="C529" s="8" t="s">
        <v>21</v>
      </c>
      <c r="D529" s="9" t="n">
        <v>43991</v>
      </c>
      <c r="E529" s="10" t="n">
        <v>16059.48</v>
      </c>
      <c r="F529" s="8" t="s">
        <v>11</v>
      </c>
      <c r="G529" s="8" t="s">
        <v>22</v>
      </c>
      <c r="H529" s="11" t="s">
        <v>23</v>
      </c>
      <c r="I529" s="8" t="s">
        <v>14</v>
      </c>
    </row>
    <row r="530" customFormat="false" ht="14.25" hidden="false" customHeight="false" outlineLevel="0" collapsed="false">
      <c r="A530" s="8" t="n">
        <v>529</v>
      </c>
      <c r="B530" s="8" t="s">
        <v>44</v>
      </c>
      <c r="C530" s="8" t="s">
        <v>21</v>
      </c>
      <c r="D530" s="9" t="n">
        <v>43991</v>
      </c>
      <c r="E530" s="10" t="n">
        <v>13323.91</v>
      </c>
      <c r="F530" s="8" t="s">
        <v>11</v>
      </c>
      <c r="G530" s="8" t="s">
        <v>12</v>
      </c>
      <c r="H530" s="11" t="s">
        <v>13</v>
      </c>
      <c r="I530" s="8" t="s">
        <v>14</v>
      </c>
    </row>
    <row r="531" customFormat="false" ht="14.25" hidden="false" customHeight="false" outlineLevel="0" collapsed="false">
      <c r="A531" s="8" t="n">
        <v>530</v>
      </c>
      <c r="B531" s="8" t="s">
        <v>79</v>
      </c>
      <c r="C531" s="8" t="s">
        <v>28</v>
      </c>
      <c r="D531" s="9" t="n">
        <v>43991</v>
      </c>
      <c r="E531" s="10" t="n">
        <v>16059.48</v>
      </c>
      <c r="F531" s="8" t="s">
        <v>11</v>
      </c>
      <c r="G531" s="8" t="s">
        <v>12</v>
      </c>
      <c r="H531" s="11" t="s">
        <v>13</v>
      </c>
      <c r="I531" s="8" t="s">
        <v>14</v>
      </c>
    </row>
    <row r="532" customFormat="false" ht="14.25" hidden="false" customHeight="false" outlineLevel="0" collapsed="false">
      <c r="A532" s="8" t="n">
        <v>531</v>
      </c>
      <c r="B532" s="8" t="s">
        <v>49</v>
      </c>
      <c r="C532" s="8" t="s">
        <v>28</v>
      </c>
      <c r="D532" s="9" t="n">
        <v>43991</v>
      </c>
      <c r="E532" s="10" t="n">
        <v>16059.48</v>
      </c>
      <c r="F532" s="8" t="s">
        <v>11</v>
      </c>
      <c r="G532" s="8" t="s">
        <v>12</v>
      </c>
      <c r="H532" s="11" t="s">
        <v>13</v>
      </c>
      <c r="I532" s="8" t="s">
        <v>14</v>
      </c>
    </row>
    <row r="533" customFormat="false" ht="14.25" hidden="false" customHeight="false" outlineLevel="0" collapsed="false">
      <c r="A533" s="8" t="n">
        <v>532</v>
      </c>
      <c r="B533" s="8" t="s">
        <v>72</v>
      </c>
      <c r="C533" s="8" t="s">
        <v>10</v>
      </c>
      <c r="D533" s="9" t="n">
        <v>43991</v>
      </c>
      <c r="E533" s="10" t="n">
        <v>27820.37</v>
      </c>
      <c r="F533" s="8" t="s">
        <v>11</v>
      </c>
      <c r="G533" s="8" t="s">
        <v>12</v>
      </c>
      <c r="H533" s="11" t="s">
        <v>13</v>
      </c>
      <c r="I533" s="8" t="s">
        <v>24</v>
      </c>
    </row>
    <row r="534" customFormat="false" ht="14.25" hidden="false" customHeight="false" outlineLevel="0" collapsed="false">
      <c r="A534" s="8" t="n">
        <v>533</v>
      </c>
      <c r="B534" s="8" t="s">
        <v>47</v>
      </c>
      <c r="C534" s="8" t="s">
        <v>28</v>
      </c>
      <c r="D534" s="9" t="n">
        <v>43991</v>
      </c>
      <c r="E534" s="10" t="n">
        <v>33631.54</v>
      </c>
      <c r="F534" s="8" t="s">
        <v>11</v>
      </c>
      <c r="G534" s="8" t="s">
        <v>12</v>
      </c>
      <c r="H534" s="11" t="s">
        <v>13</v>
      </c>
      <c r="I534" s="8" t="s">
        <v>14</v>
      </c>
    </row>
    <row r="535" customFormat="false" ht="14.25" hidden="false" customHeight="false" outlineLevel="0" collapsed="false">
      <c r="A535" s="8" t="n">
        <v>534</v>
      </c>
      <c r="B535" s="8" t="s">
        <v>47</v>
      </c>
      <c r="C535" s="8" t="s">
        <v>16</v>
      </c>
      <c r="D535" s="9" t="n">
        <v>43991</v>
      </c>
      <c r="E535" s="10" t="n">
        <v>29846.86</v>
      </c>
      <c r="F535" s="8" t="s">
        <v>11</v>
      </c>
      <c r="G535" s="8" t="s">
        <v>30</v>
      </c>
      <c r="H535" s="11" t="s">
        <v>31</v>
      </c>
      <c r="I535" s="8" t="s">
        <v>26</v>
      </c>
    </row>
    <row r="536" customFormat="false" ht="14.25" hidden="false" customHeight="false" outlineLevel="0" collapsed="false">
      <c r="A536" s="8" t="n">
        <v>535</v>
      </c>
      <c r="B536" s="8" t="s">
        <v>57</v>
      </c>
      <c r="C536" s="8" t="s">
        <v>21</v>
      </c>
      <c r="D536" s="9" t="n">
        <v>43991</v>
      </c>
      <c r="E536" s="10" t="n">
        <v>29272.89</v>
      </c>
      <c r="F536" s="8" t="s">
        <v>11</v>
      </c>
      <c r="G536" s="8" t="s">
        <v>17</v>
      </c>
      <c r="H536" s="11" t="s">
        <v>18</v>
      </c>
      <c r="I536" s="8" t="s">
        <v>26</v>
      </c>
    </row>
    <row r="537" customFormat="false" ht="14.25" hidden="false" customHeight="false" outlineLevel="0" collapsed="false">
      <c r="A537" s="8" t="n">
        <v>536</v>
      </c>
      <c r="B537" s="8" t="s">
        <v>79</v>
      </c>
      <c r="C537" s="8" t="s">
        <v>28</v>
      </c>
      <c r="D537" s="9" t="n">
        <v>43991</v>
      </c>
      <c r="E537" s="10" t="n">
        <v>28701.84</v>
      </c>
      <c r="F537" s="8" t="s">
        <v>11</v>
      </c>
      <c r="G537" s="8" t="s">
        <v>36</v>
      </c>
      <c r="H537" s="11" t="s">
        <v>37</v>
      </c>
      <c r="I537" s="8" t="s">
        <v>14</v>
      </c>
    </row>
    <row r="538" customFormat="false" ht="14.25" hidden="false" customHeight="false" outlineLevel="0" collapsed="false">
      <c r="A538" s="8" t="n">
        <v>537</v>
      </c>
      <c r="B538" s="8" t="s">
        <v>72</v>
      </c>
      <c r="C538" s="8" t="s">
        <v>28</v>
      </c>
      <c r="D538" s="9" t="n">
        <v>43991</v>
      </c>
      <c r="E538" s="10" t="n">
        <v>-674.31</v>
      </c>
      <c r="F538" s="8" t="s">
        <v>34</v>
      </c>
      <c r="G538" s="8" t="s">
        <v>36</v>
      </c>
      <c r="H538" s="11" t="s">
        <v>37</v>
      </c>
      <c r="I538" s="8" t="s">
        <v>26</v>
      </c>
    </row>
    <row r="539" customFormat="false" ht="14.25" hidden="false" customHeight="false" outlineLevel="0" collapsed="false">
      <c r="A539" s="8" t="n">
        <v>538</v>
      </c>
      <c r="B539" s="8" t="s">
        <v>57</v>
      </c>
      <c r="C539" s="8" t="s">
        <v>16</v>
      </c>
      <c r="D539" s="9" t="n">
        <v>43991</v>
      </c>
      <c r="E539" s="10" t="n">
        <v>135651.86</v>
      </c>
      <c r="F539" s="8" t="s">
        <v>11</v>
      </c>
      <c r="G539" s="8" t="s">
        <v>36</v>
      </c>
      <c r="H539" s="11" t="s">
        <v>37</v>
      </c>
      <c r="I539" s="8" t="s">
        <v>14</v>
      </c>
    </row>
    <row r="540" customFormat="false" ht="14.25" hidden="false" customHeight="false" outlineLevel="0" collapsed="false">
      <c r="A540" s="8" t="n">
        <v>539</v>
      </c>
      <c r="B540" s="8" t="s">
        <v>120</v>
      </c>
      <c r="C540" s="8" t="s">
        <v>10</v>
      </c>
      <c r="D540" s="9" t="n">
        <v>43995</v>
      </c>
      <c r="E540" s="10" t="n">
        <v>16348.31</v>
      </c>
      <c r="F540" s="8" t="s">
        <v>11</v>
      </c>
      <c r="G540" s="8" t="s">
        <v>36</v>
      </c>
      <c r="H540" s="11" t="s">
        <v>37</v>
      </c>
      <c r="I540" s="8" t="s">
        <v>14</v>
      </c>
    </row>
    <row r="541" customFormat="false" ht="14.25" hidden="false" customHeight="false" outlineLevel="0" collapsed="false">
      <c r="A541" s="8" t="n">
        <v>540</v>
      </c>
      <c r="B541" s="8" t="s">
        <v>73</v>
      </c>
      <c r="C541" s="8" t="s">
        <v>21</v>
      </c>
      <c r="D541" s="9" t="n">
        <v>43995</v>
      </c>
      <c r="E541" s="10" t="n">
        <v>16004.76</v>
      </c>
      <c r="F541" s="8" t="s">
        <v>11</v>
      </c>
      <c r="G541" s="8" t="s">
        <v>17</v>
      </c>
      <c r="H541" s="11" t="s">
        <v>18</v>
      </c>
      <c r="I541" s="8" t="s">
        <v>14</v>
      </c>
    </row>
    <row r="542" customFormat="false" ht="14.25" hidden="false" customHeight="false" outlineLevel="0" collapsed="false">
      <c r="A542" s="8" t="n">
        <v>541</v>
      </c>
      <c r="B542" s="8" t="s">
        <v>15</v>
      </c>
      <c r="C542" s="8" t="s">
        <v>10</v>
      </c>
      <c r="D542" s="9" t="n">
        <v>43995</v>
      </c>
      <c r="E542" s="10" t="n">
        <v>14345.21</v>
      </c>
      <c r="F542" s="8" t="s">
        <v>11</v>
      </c>
      <c r="G542" s="8" t="s">
        <v>12</v>
      </c>
      <c r="H542" s="11" t="s">
        <v>13</v>
      </c>
      <c r="I542" s="8" t="s">
        <v>14</v>
      </c>
    </row>
    <row r="543" customFormat="false" ht="14.25" hidden="false" customHeight="false" outlineLevel="0" collapsed="false">
      <c r="A543" s="8" t="n">
        <v>542</v>
      </c>
      <c r="B543" s="8" t="s">
        <v>15</v>
      </c>
      <c r="C543" s="8" t="s">
        <v>10</v>
      </c>
      <c r="D543" s="9" t="n">
        <v>43995</v>
      </c>
      <c r="E543" s="10" t="n">
        <v>142245.06</v>
      </c>
      <c r="F543" s="8" t="s">
        <v>11</v>
      </c>
      <c r="G543" s="8" t="s">
        <v>12</v>
      </c>
      <c r="H543" s="11" t="s">
        <v>13</v>
      </c>
      <c r="I543" s="8" t="s">
        <v>14</v>
      </c>
    </row>
    <row r="544" customFormat="false" ht="14.25" hidden="false" customHeight="false" outlineLevel="0" collapsed="false">
      <c r="A544" s="8" t="n">
        <v>543</v>
      </c>
      <c r="B544" s="8" t="s">
        <v>15</v>
      </c>
      <c r="C544" s="8" t="s">
        <v>10</v>
      </c>
      <c r="D544" s="9" t="n">
        <v>43995</v>
      </c>
      <c r="E544" s="10" t="n">
        <v>15098.48</v>
      </c>
      <c r="F544" s="8" t="s">
        <v>11</v>
      </c>
      <c r="G544" s="8" t="s">
        <v>30</v>
      </c>
      <c r="H544" s="11" t="s">
        <v>31</v>
      </c>
      <c r="I544" s="8" t="s">
        <v>14</v>
      </c>
    </row>
    <row r="545" customFormat="false" ht="14.25" hidden="false" customHeight="false" outlineLevel="0" collapsed="false">
      <c r="A545" s="8" t="n">
        <v>544</v>
      </c>
      <c r="B545" s="8" t="s">
        <v>15</v>
      </c>
      <c r="C545" s="8" t="s">
        <v>28</v>
      </c>
      <c r="D545" s="9" t="n">
        <v>43995</v>
      </c>
      <c r="E545" s="10" t="n">
        <v>-230.86</v>
      </c>
      <c r="F545" s="8" t="s">
        <v>34</v>
      </c>
      <c r="G545" s="8" t="s">
        <v>12</v>
      </c>
      <c r="H545" s="11" t="s">
        <v>13</v>
      </c>
      <c r="I545" s="8" t="s">
        <v>19</v>
      </c>
    </row>
    <row r="546" customFormat="false" ht="14.25" hidden="false" customHeight="false" outlineLevel="0" collapsed="false">
      <c r="A546" s="8" t="n">
        <v>545</v>
      </c>
      <c r="B546" s="8" t="s">
        <v>73</v>
      </c>
      <c r="C546" s="8" t="s">
        <v>28</v>
      </c>
      <c r="D546" s="9" t="n">
        <v>43995</v>
      </c>
      <c r="E546" s="10" t="n">
        <v>-1519.77</v>
      </c>
      <c r="F546" s="8" t="s">
        <v>34</v>
      </c>
      <c r="G546" s="8" t="s">
        <v>12</v>
      </c>
      <c r="H546" s="11" t="s">
        <v>13</v>
      </c>
      <c r="I546" s="8" t="s">
        <v>26</v>
      </c>
    </row>
    <row r="547" customFormat="false" ht="14.25" hidden="false" customHeight="false" outlineLevel="0" collapsed="false">
      <c r="A547" s="8" t="n">
        <v>546</v>
      </c>
      <c r="B547" s="8" t="s">
        <v>73</v>
      </c>
      <c r="C547" s="8" t="s">
        <v>16</v>
      </c>
      <c r="D547" s="9" t="n">
        <v>43995</v>
      </c>
      <c r="E547" s="10" t="n">
        <v>-2720.83</v>
      </c>
      <c r="F547" s="8" t="s">
        <v>34</v>
      </c>
      <c r="G547" s="8" t="s">
        <v>22</v>
      </c>
      <c r="H547" s="11" t="s">
        <v>23</v>
      </c>
      <c r="I547" s="8" t="s">
        <v>19</v>
      </c>
    </row>
    <row r="548" customFormat="false" ht="14.25" hidden="false" customHeight="false" outlineLevel="0" collapsed="false">
      <c r="A548" s="8" t="n">
        <v>547</v>
      </c>
      <c r="B548" s="8" t="s">
        <v>15</v>
      </c>
      <c r="C548" s="8" t="s">
        <v>16</v>
      </c>
      <c r="D548" s="9" t="n">
        <v>43995</v>
      </c>
      <c r="E548" s="10" t="n">
        <v>-532.35</v>
      </c>
      <c r="F548" s="8" t="s">
        <v>34</v>
      </c>
      <c r="G548" s="8" t="s">
        <v>12</v>
      </c>
      <c r="H548" s="11" t="s">
        <v>13</v>
      </c>
      <c r="I548" s="8" t="s">
        <v>24</v>
      </c>
    </row>
    <row r="549" customFormat="false" ht="14.25" hidden="false" customHeight="false" outlineLevel="0" collapsed="false">
      <c r="A549" s="8" t="n">
        <v>548</v>
      </c>
      <c r="B549" s="8" t="s">
        <v>15</v>
      </c>
      <c r="C549" s="8" t="s">
        <v>16</v>
      </c>
      <c r="D549" s="9" t="n">
        <v>43995</v>
      </c>
      <c r="E549" s="10" t="n">
        <v>-60.87</v>
      </c>
      <c r="F549" s="8" t="s">
        <v>34</v>
      </c>
      <c r="G549" s="8" t="s">
        <v>12</v>
      </c>
      <c r="H549" s="11" t="s">
        <v>13</v>
      </c>
      <c r="I549" s="8" t="s">
        <v>26</v>
      </c>
    </row>
    <row r="550" customFormat="false" ht="14.25" hidden="false" customHeight="false" outlineLevel="0" collapsed="false">
      <c r="A550" s="8" t="n">
        <v>549</v>
      </c>
      <c r="B550" s="8" t="s">
        <v>15</v>
      </c>
      <c r="C550" s="8" t="s">
        <v>21</v>
      </c>
      <c r="D550" s="9" t="n">
        <v>43995</v>
      </c>
      <c r="E550" s="10" t="n">
        <v>161683.03</v>
      </c>
      <c r="F550" s="8" t="s">
        <v>11</v>
      </c>
      <c r="G550" s="8" t="s">
        <v>12</v>
      </c>
      <c r="H550" s="11" t="s">
        <v>13</v>
      </c>
      <c r="I550" s="8" t="s">
        <v>14</v>
      </c>
    </row>
    <row r="551" customFormat="false" ht="14.25" hidden="false" customHeight="false" outlineLevel="0" collapsed="false">
      <c r="A551" s="8" t="n">
        <v>550</v>
      </c>
      <c r="B551" s="8" t="s">
        <v>15</v>
      </c>
      <c r="C551" s="8" t="s">
        <v>28</v>
      </c>
      <c r="D551" s="9" t="n">
        <v>43995</v>
      </c>
      <c r="E551" s="10" t="n">
        <v>-50196.58</v>
      </c>
      <c r="F551" s="8" t="s">
        <v>34</v>
      </c>
      <c r="G551" s="8" t="s">
        <v>17</v>
      </c>
      <c r="H551" s="11" t="s">
        <v>18</v>
      </c>
      <c r="I551" s="8" t="s">
        <v>14</v>
      </c>
    </row>
    <row r="552" customFormat="false" ht="14.25" hidden="false" customHeight="false" outlineLevel="0" collapsed="false">
      <c r="A552" s="8" t="n">
        <v>551</v>
      </c>
      <c r="B552" s="8" t="s">
        <v>15</v>
      </c>
      <c r="C552" s="8" t="s">
        <v>28</v>
      </c>
      <c r="D552" s="9" t="n">
        <v>43995</v>
      </c>
      <c r="E552" s="10" t="n">
        <v>-6610.1</v>
      </c>
      <c r="F552" s="8" t="s">
        <v>34</v>
      </c>
      <c r="G552" s="8" t="s">
        <v>36</v>
      </c>
      <c r="H552" s="11" t="s">
        <v>37</v>
      </c>
      <c r="I552" s="8" t="s">
        <v>14</v>
      </c>
    </row>
    <row r="553" customFormat="false" ht="14.25" hidden="false" customHeight="false" outlineLevel="0" collapsed="false">
      <c r="A553" s="8" t="n">
        <v>552</v>
      </c>
      <c r="B553" s="8" t="s">
        <v>15</v>
      </c>
      <c r="C553" s="8" t="s">
        <v>21</v>
      </c>
      <c r="D553" s="9" t="n">
        <v>43995</v>
      </c>
      <c r="E553" s="10" t="n">
        <v>-19487.55</v>
      </c>
      <c r="F553" s="8" t="s">
        <v>34</v>
      </c>
      <c r="G553" s="8" t="s">
        <v>17</v>
      </c>
      <c r="H553" s="11" t="s">
        <v>18</v>
      </c>
      <c r="I553" s="8" t="s">
        <v>14</v>
      </c>
    </row>
    <row r="554" customFormat="false" ht="14.25" hidden="false" customHeight="false" outlineLevel="0" collapsed="false">
      <c r="A554" s="8" t="n">
        <v>553</v>
      </c>
      <c r="B554" s="8" t="s">
        <v>15</v>
      </c>
      <c r="C554" s="8" t="s">
        <v>16</v>
      </c>
      <c r="D554" s="9" t="n">
        <v>43995</v>
      </c>
      <c r="E554" s="10" t="n">
        <v>5893.98</v>
      </c>
      <c r="F554" s="8" t="s">
        <v>11</v>
      </c>
      <c r="G554" s="8" t="s">
        <v>17</v>
      </c>
      <c r="H554" s="11" t="s">
        <v>18</v>
      </c>
      <c r="I554" s="8" t="s">
        <v>26</v>
      </c>
    </row>
    <row r="555" customFormat="false" ht="14.25" hidden="false" customHeight="false" outlineLevel="0" collapsed="false">
      <c r="A555" s="8" t="n">
        <v>554</v>
      </c>
      <c r="B555" s="8" t="s">
        <v>15</v>
      </c>
      <c r="C555" s="8" t="s">
        <v>21</v>
      </c>
      <c r="D555" s="9" t="n">
        <v>43995</v>
      </c>
      <c r="E555" s="10" t="n">
        <v>5495.17</v>
      </c>
      <c r="F555" s="8" t="s">
        <v>11</v>
      </c>
      <c r="G555" s="8" t="s">
        <v>17</v>
      </c>
      <c r="H555" s="11" t="s">
        <v>18</v>
      </c>
      <c r="I555" s="8" t="s">
        <v>14</v>
      </c>
    </row>
    <row r="556" customFormat="false" ht="14.25" hidden="false" customHeight="false" outlineLevel="0" collapsed="false">
      <c r="A556" s="8" t="n">
        <v>555</v>
      </c>
      <c r="B556" s="8" t="s">
        <v>15</v>
      </c>
      <c r="C556" s="8" t="s">
        <v>21</v>
      </c>
      <c r="D556" s="9" t="n">
        <v>43995</v>
      </c>
      <c r="E556" s="10" t="n">
        <v>5602.92</v>
      </c>
      <c r="F556" s="8" t="s">
        <v>11</v>
      </c>
      <c r="G556" s="8" t="s">
        <v>22</v>
      </c>
      <c r="H556" s="11" t="s">
        <v>23</v>
      </c>
      <c r="I556" s="8" t="s">
        <v>26</v>
      </c>
    </row>
    <row r="557" customFormat="false" ht="14.25" hidden="false" customHeight="false" outlineLevel="0" collapsed="false">
      <c r="A557" s="8" t="n">
        <v>556</v>
      </c>
      <c r="B557" s="8" t="s">
        <v>15</v>
      </c>
      <c r="C557" s="8" t="s">
        <v>16</v>
      </c>
      <c r="D557" s="9" t="n">
        <v>43995</v>
      </c>
      <c r="E557" s="10" t="n">
        <v>5775.6</v>
      </c>
      <c r="F557" s="8" t="s">
        <v>11</v>
      </c>
      <c r="G557" s="8" t="s">
        <v>17</v>
      </c>
      <c r="H557" s="11" t="s">
        <v>18</v>
      </c>
      <c r="I557" s="8" t="s">
        <v>26</v>
      </c>
    </row>
    <row r="558" customFormat="false" ht="14.25" hidden="false" customHeight="false" outlineLevel="0" collapsed="false">
      <c r="A558" s="8" t="n">
        <v>557</v>
      </c>
      <c r="B558" s="8" t="s">
        <v>15</v>
      </c>
      <c r="C558" s="8" t="s">
        <v>16</v>
      </c>
      <c r="D558" s="9" t="n">
        <v>43995</v>
      </c>
      <c r="E558" s="10" t="n">
        <v>-45870.58</v>
      </c>
      <c r="F558" s="8" t="s">
        <v>34</v>
      </c>
      <c r="G558" s="8" t="s">
        <v>17</v>
      </c>
      <c r="H558" s="11" t="s">
        <v>18</v>
      </c>
      <c r="I558" s="8" t="s">
        <v>24</v>
      </c>
    </row>
    <row r="559" customFormat="false" ht="14.25" hidden="false" customHeight="false" outlineLevel="0" collapsed="false">
      <c r="A559" s="8" t="n">
        <v>558</v>
      </c>
      <c r="B559" s="8" t="s">
        <v>77</v>
      </c>
      <c r="C559" s="8" t="s">
        <v>10</v>
      </c>
      <c r="D559" s="9" t="n">
        <v>43996</v>
      </c>
      <c r="E559" s="10" t="n">
        <v>-22847.58</v>
      </c>
      <c r="F559" s="8" t="s">
        <v>34</v>
      </c>
      <c r="G559" s="8" t="s">
        <v>12</v>
      </c>
      <c r="H559" s="11" t="s">
        <v>13</v>
      </c>
      <c r="I559" s="8" t="s">
        <v>26</v>
      </c>
    </row>
    <row r="560" customFormat="false" ht="14.25" hidden="false" customHeight="false" outlineLevel="0" collapsed="false">
      <c r="A560" s="8" t="n">
        <v>559</v>
      </c>
      <c r="B560" s="8" t="s">
        <v>86</v>
      </c>
      <c r="C560" s="8" t="s">
        <v>16</v>
      </c>
      <c r="D560" s="9" t="n">
        <v>43996</v>
      </c>
      <c r="E560" s="10" t="n">
        <v>-17656.24</v>
      </c>
      <c r="F560" s="8" t="s">
        <v>34</v>
      </c>
      <c r="G560" s="8" t="s">
        <v>17</v>
      </c>
      <c r="H560" s="11" t="s">
        <v>18</v>
      </c>
      <c r="I560" s="8" t="s">
        <v>14</v>
      </c>
    </row>
    <row r="561" customFormat="false" ht="14.25" hidden="false" customHeight="false" outlineLevel="0" collapsed="false">
      <c r="A561" s="8" t="n">
        <v>560</v>
      </c>
      <c r="B561" s="8" t="s">
        <v>15</v>
      </c>
      <c r="C561" s="8" t="s">
        <v>16</v>
      </c>
      <c r="D561" s="9" t="n">
        <v>43996</v>
      </c>
      <c r="E561" s="10" t="n">
        <v>-244.27</v>
      </c>
      <c r="F561" s="8" t="s">
        <v>34</v>
      </c>
      <c r="G561" s="8" t="s">
        <v>30</v>
      </c>
      <c r="H561" s="11" t="s">
        <v>31</v>
      </c>
      <c r="I561" s="8" t="s">
        <v>19</v>
      </c>
    </row>
    <row r="562" customFormat="false" ht="14.25" hidden="false" customHeight="false" outlineLevel="0" collapsed="false">
      <c r="A562" s="8" t="n">
        <v>561</v>
      </c>
      <c r="B562" s="8" t="s">
        <v>100</v>
      </c>
      <c r="C562" s="8" t="s">
        <v>16</v>
      </c>
      <c r="D562" s="9" t="n">
        <v>43996</v>
      </c>
      <c r="E562" s="10" t="n">
        <v>6703.73</v>
      </c>
      <c r="F562" s="8" t="s">
        <v>11</v>
      </c>
      <c r="G562" s="8" t="s">
        <v>17</v>
      </c>
      <c r="H562" s="11" t="s">
        <v>18</v>
      </c>
      <c r="I562" s="8" t="s">
        <v>14</v>
      </c>
    </row>
    <row r="563" customFormat="false" ht="14.25" hidden="false" customHeight="false" outlineLevel="0" collapsed="false">
      <c r="A563" s="8" t="n">
        <v>562</v>
      </c>
      <c r="B563" s="8" t="s">
        <v>100</v>
      </c>
      <c r="C563" s="8" t="s">
        <v>10</v>
      </c>
      <c r="D563" s="9" t="n">
        <v>43996</v>
      </c>
      <c r="E563" s="10" t="n">
        <v>136001.72</v>
      </c>
      <c r="F563" s="8" t="s">
        <v>11</v>
      </c>
      <c r="G563" s="8" t="s">
        <v>36</v>
      </c>
      <c r="H563" s="11" t="s">
        <v>37</v>
      </c>
      <c r="I563" s="8" t="s">
        <v>26</v>
      </c>
    </row>
    <row r="564" customFormat="false" ht="14.25" hidden="false" customHeight="false" outlineLevel="0" collapsed="false">
      <c r="A564" s="8" t="n">
        <v>563</v>
      </c>
      <c r="B564" s="8" t="s">
        <v>100</v>
      </c>
      <c r="C564" s="8" t="s">
        <v>16</v>
      </c>
      <c r="D564" s="9" t="n">
        <v>43996</v>
      </c>
      <c r="E564" s="10" t="n">
        <v>22400.42</v>
      </c>
      <c r="F564" s="8" t="s">
        <v>11</v>
      </c>
      <c r="G564" s="8" t="s">
        <v>12</v>
      </c>
      <c r="H564" s="11" t="s">
        <v>13</v>
      </c>
      <c r="I564" s="8" t="s">
        <v>14</v>
      </c>
    </row>
    <row r="565" customFormat="false" ht="14.25" hidden="false" customHeight="false" outlineLevel="0" collapsed="false">
      <c r="A565" s="8" t="n">
        <v>564</v>
      </c>
      <c r="B565" s="8" t="s">
        <v>49</v>
      </c>
      <c r="C565" s="8" t="s">
        <v>21</v>
      </c>
      <c r="D565" s="9" t="n">
        <v>43996</v>
      </c>
      <c r="E565" s="10" t="n">
        <v>21767.71</v>
      </c>
      <c r="F565" s="8" t="s">
        <v>11</v>
      </c>
      <c r="G565" s="8" t="s">
        <v>17</v>
      </c>
      <c r="H565" s="11" t="s">
        <v>18</v>
      </c>
      <c r="I565" s="8" t="s">
        <v>26</v>
      </c>
    </row>
    <row r="566" customFormat="false" ht="14.25" hidden="false" customHeight="false" outlineLevel="0" collapsed="false">
      <c r="A566" s="8" t="n">
        <v>565</v>
      </c>
      <c r="B566" s="8" t="s">
        <v>100</v>
      </c>
      <c r="C566" s="8" t="s">
        <v>10</v>
      </c>
      <c r="D566" s="9" t="n">
        <v>43996</v>
      </c>
      <c r="E566" s="10" t="n">
        <v>22198.77</v>
      </c>
      <c r="F566" s="8" t="s">
        <v>11</v>
      </c>
      <c r="G566" s="8" t="s">
        <v>12</v>
      </c>
      <c r="H566" s="11" t="s">
        <v>13</v>
      </c>
      <c r="I566" s="8" t="s">
        <v>14</v>
      </c>
    </row>
    <row r="567" customFormat="false" ht="14.25" hidden="false" customHeight="false" outlineLevel="0" collapsed="false">
      <c r="A567" s="8" t="n">
        <v>566</v>
      </c>
      <c r="B567" s="8" t="s">
        <v>100</v>
      </c>
      <c r="C567" s="8" t="s">
        <v>21</v>
      </c>
      <c r="D567" s="9" t="n">
        <v>43996</v>
      </c>
      <c r="E567" s="10" t="n">
        <v>59370.45</v>
      </c>
      <c r="F567" s="8" t="s">
        <v>11</v>
      </c>
      <c r="G567" s="8" t="s">
        <v>30</v>
      </c>
      <c r="H567" s="11" t="s">
        <v>31</v>
      </c>
      <c r="I567" s="8" t="s">
        <v>19</v>
      </c>
    </row>
    <row r="568" customFormat="false" ht="14.25" hidden="false" customHeight="false" outlineLevel="0" collapsed="false">
      <c r="A568" s="8" t="n">
        <v>567</v>
      </c>
      <c r="B568" s="8" t="s">
        <v>121</v>
      </c>
      <c r="C568" s="8" t="s">
        <v>10</v>
      </c>
      <c r="D568" s="9" t="n">
        <v>43998</v>
      </c>
      <c r="E568" s="10" t="n">
        <v>-12884.1</v>
      </c>
      <c r="F568" s="8" t="s">
        <v>34</v>
      </c>
      <c r="G568" s="8" t="s">
        <v>12</v>
      </c>
      <c r="H568" s="11" t="s">
        <v>13</v>
      </c>
      <c r="I568" s="8" t="s">
        <v>14</v>
      </c>
    </row>
    <row r="569" customFormat="false" ht="14.25" hidden="false" customHeight="false" outlineLevel="0" collapsed="false">
      <c r="A569" s="8" t="n">
        <v>568</v>
      </c>
      <c r="B569" s="8" t="s">
        <v>61</v>
      </c>
      <c r="C569" s="8" t="s">
        <v>21</v>
      </c>
      <c r="D569" s="9" t="n">
        <v>43998</v>
      </c>
      <c r="E569" s="10" t="n">
        <v>148257.06</v>
      </c>
      <c r="F569" s="8" t="s">
        <v>11</v>
      </c>
      <c r="G569" s="8" t="s">
        <v>17</v>
      </c>
      <c r="H569" s="11" t="s">
        <v>18</v>
      </c>
      <c r="I569" s="8" t="s">
        <v>14</v>
      </c>
    </row>
    <row r="570" customFormat="false" ht="14.25" hidden="false" customHeight="false" outlineLevel="0" collapsed="false">
      <c r="A570" s="8" t="n">
        <v>569</v>
      </c>
      <c r="B570" s="8" t="s">
        <v>62</v>
      </c>
      <c r="C570" s="8" t="s">
        <v>21</v>
      </c>
      <c r="D570" s="9" t="n">
        <v>43998</v>
      </c>
      <c r="E570" s="10" t="n">
        <v>173499.58</v>
      </c>
      <c r="F570" s="8" t="s">
        <v>11</v>
      </c>
      <c r="G570" s="8" t="s">
        <v>12</v>
      </c>
      <c r="H570" s="11" t="s">
        <v>13</v>
      </c>
      <c r="I570" s="8" t="s">
        <v>14</v>
      </c>
    </row>
    <row r="571" customFormat="false" ht="14.25" hidden="false" customHeight="false" outlineLevel="0" collapsed="false">
      <c r="A571" s="8" t="n">
        <v>570</v>
      </c>
      <c r="B571" s="8" t="s">
        <v>39</v>
      </c>
      <c r="C571" s="8" t="s">
        <v>21</v>
      </c>
      <c r="D571" s="9" t="n">
        <v>43998</v>
      </c>
      <c r="E571" s="10" t="n">
        <v>-30235.56</v>
      </c>
      <c r="F571" s="8" t="s">
        <v>34</v>
      </c>
      <c r="G571" s="8" t="s">
        <v>36</v>
      </c>
      <c r="H571" s="11" t="s">
        <v>37</v>
      </c>
      <c r="I571" s="8" t="s">
        <v>19</v>
      </c>
    </row>
    <row r="572" customFormat="false" ht="14.25" hidden="false" customHeight="false" outlineLevel="0" collapsed="false">
      <c r="A572" s="8" t="n">
        <v>571</v>
      </c>
      <c r="B572" s="8" t="s">
        <v>61</v>
      </c>
      <c r="C572" s="8" t="s">
        <v>28</v>
      </c>
      <c r="D572" s="9" t="n">
        <v>43998</v>
      </c>
      <c r="E572" s="10" t="n">
        <v>9028.47</v>
      </c>
      <c r="F572" s="8" t="s">
        <v>11</v>
      </c>
      <c r="G572" s="8" t="s">
        <v>36</v>
      </c>
      <c r="H572" s="11" t="s">
        <v>37</v>
      </c>
      <c r="I572" s="8" t="s">
        <v>14</v>
      </c>
    </row>
    <row r="573" customFormat="false" ht="14.25" hidden="false" customHeight="false" outlineLevel="0" collapsed="false">
      <c r="A573" s="8" t="n">
        <v>572</v>
      </c>
      <c r="B573" s="8" t="s">
        <v>62</v>
      </c>
      <c r="C573" s="8" t="s">
        <v>16</v>
      </c>
      <c r="D573" s="9" t="n">
        <v>43998</v>
      </c>
      <c r="E573" s="10" t="n">
        <v>-1364.79</v>
      </c>
      <c r="F573" s="8" t="s">
        <v>34</v>
      </c>
      <c r="G573" s="8" t="s">
        <v>22</v>
      </c>
      <c r="H573" s="11" t="s">
        <v>23</v>
      </c>
      <c r="I573" s="8" t="s">
        <v>14</v>
      </c>
    </row>
    <row r="574" customFormat="false" ht="14.25" hidden="false" customHeight="false" outlineLevel="0" collapsed="false">
      <c r="A574" s="8" t="n">
        <v>573</v>
      </c>
      <c r="B574" s="8" t="s">
        <v>61</v>
      </c>
      <c r="C574" s="8" t="s">
        <v>16</v>
      </c>
      <c r="D574" s="9" t="n">
        <v>43998</v>
      </c>
      <c r="E574" s="10" t="n">
        <v>-539.56</v>
      </c>
      <c r="F574" s="8" t="s">
        <v>34</v>
      </c>
      <c r="G574" s="8" t="s">
        <v>36</v>
      </c>
      <c r="H574" s="11" t="s">
        <v>37</v>
      </c>
      <c r="I574" s="8" t="s">
        <v>26</v>
      </c>
    </row>
    <row r="575" customFormat="false" ht="14.25" hidden="false" customHeight="false" outlineLevel="0" collapsed="false">
      <c r="A575" s="8" t="n">
        <v>574</v>
      </c>
      <c r="B575" s="8" t="s">
        <v>62</v>
      </c>
      <c r="C575" s="8" t="s">
        <v>21</v>
      </c>
      <c r="D575" s="9" t="n">
        <v>43998</v>
      </c>
      <c r="E575" s="10" t="n">
        <v>-4856.22</v>
      </c>
      <c r="F575" s="8" t="s">
        <v>34</v>
      </c>
      <c r="G575" s="8" t="s">
        <v>12</v>
      </c>
      <c r="H575" s="11" t="s">
        <v>13</v>
      </c>
      <c r="I575" s="8" t="s">
        <v>14</v>
      </c>
    </row>
    <row r="576" customFormat="false" ht="14.25" hidden="false" customHeight="false" outlineLevel="0" collapsed="false">
      <c r="A576" s="8" t="n">
        <v>575</v>
      </c>
      <c r="B576" s="8" t="s">
        <v>86</v>
      </c>
      <c r="C576" s="8" t="s">
        <v>10</v>
      </c>
      <c r="D576" s="9" t="n">
        <v>44003</v>
      </c>
      <c r="E576" s="10" t="n">
        <v>3546</v>
      </c>
      <c r="F576" s="8" t="s">
        <v>11</v>
      </c>
      <c r="G576" s="8" t="s">
        <v>22</v>
      </c>
      <c r="H576" s="11" t="s">
        <v>23</v>
      </c>
      <c r="I576" s="8" t="s">
        <v>26</v>
      </c>
    </row>
    <row r="577" customFormat="false" ht="14.25" hidden="false" customHeight="false" outlineLevel="0" collapsed="false">
      <c r="A577" s="8" t="n">
        <v>576</v>
      </c>
      <c r="B577" s="8" t="s">
        <v>52</v>
      </c>
      <c r="C577" s="8" t="s">
        <v>16</v>
      </c>
      <c r="D577" s="9" t="n">
        <v>44003</v>
      </c>
      <c r="E577" s="10" t="n">
        <v>25752.96</v>
      </c>
      <c r="F577" s="8" t="s">
        <v>11</v>
      </c>
      <c r="G577" s="8" t="s">
        <v>17</v>
      </c>
      <c r="H577" s="11" t="s">
        <v>18</v>
      </c>
      <c r="I577" s="8" t="s">
        <v>24</v>
      </c>
    </row>
    <row r="578" customFormat="false" ht="14.25" hidden="false" customHeight="false" outlineLevel="0" collapsed="false">
      <c r="A578" s="8" t="n">
        <v>577</v>
      </c>
      <c r="B578" s="8" t="s">
        <v>52</v>
      </c>
      <c r="C578" s="8" t="s">
        <v>16</v>
      </c>
      <c r="D578" s="9" t="n">
        <v>44003</v>
      </c>
      <c r="E578" s="10" t="n">
        <v>3582.47</v>
      </c>
      <c r="F578" s="8" t="s">
        <v>11</v>
      </c>
      <c r="G578" s="8" t="s">
        <v>17</v>
      </c>
      <c r="H578" s="11" t="s">
        <v>18</v>
      </c>
      <c r="I578" s="8" t="s">
        <v>26</v>
      </c>
    </row>
    <row r="579" customFormat="false" ht="14.25" hidden="false" customHeight="false" outlineLevel="0" collapsed="false">
      <c r="A579" s="8" t="n">
        <v>578</v>
      </c>
      <c r="B579" s="8" t="s">
        <v>52</v>
      </c>
      <c r="C579" s="8" t="s">
        <v>16</v>
      </c>
      <c r="D579" s="9" t="n">
        <v>44003</v>
      </c>
      <c r="E579" s="10" t="n">
        <v>25495.43</v>
      </c>
      <c r="F579" s="8" t="s">
        <v>11</v>
      </c>
      <c r="G579" s="8" t="s">
        <v>30</v>
      </c>
      <c r="H579" s="11" t="s">
        <v>31</v>
      </c>
      <c r="I579" s="8" t="s">
        <v>24</v>
      </c>
    </row>
    <row r="580" customFormat="false" ht="14.25" hidden="false" customHeight="false" outlineLevel="0" collapsed="false">
      <c r="A580" s="8" t="n">
        <v>579</v>
      </c>
      <c r="B580" s="8" t="s">
        <v>29</v>
      </c>
      <c r="C580" s="8" t="s">
        <v>10</v>
      </c>
      <c r="D580" s="9" t="n">
        <v>44005</v>
      </c>
      <c r="E580" s="10" t="n">
        <v>3136.5</v>
      </c>
      <c r="F580" s="8" t="s">
        <v>11</v>
      </c>
      <c r="G580" s="8" t="s">
        <v>12</v>
      </c>
      <c r="H580" s="11" t="s">
        <v>13</v>
      </c>
      <c r="I580" s="8" t="s">
        <v>14</v>
      </c>
    </row>
    <row r="581" customFormat="false" ht="14.25" hidden="false" customHeight="false" outlineLevel="0" collapsed="false">
      <c r="A581" s="8" t="n">
        <v>580</v>
      </c>
      <c r="B581" s="8" t="s">
        <v>44</v>
      </c>
      <c r="C581" s="8" t="s">
        <v>21</v>
      </c>
      <c r="D581" s="9" t="n">
        <v>44005</v>
      </c>
      <c r="E581" s="10" t="n">
        <v>3485</v>
      </c>
      <c r="F581" s="8" t="s">
        <v>11</v>
      </c>
      <c r="G581" s="8" t="s">
        <v>12</v>
      </c>
      <c r="H581" s="11" t="s">
        <v>13</v>
      </c>
      <c r="I581" s="8" t="s">
        <v>14</v>
      </c>
    </row>
    <row r="582" customFormat="false" ht="14.25" hidden="false" customHeight="false" outlineLevel="0" collapsed="false">
      <c r="A582" s="8" t="n">
        <v>581</v>
      </c>
      <c r="B582" s="8" t="s">
        <v>44</v>
      </c>
      <c r="C582" s="8" t="s">
        <v>28</v>
      </c>
      <c r="D582" s="9" t="n">
        <v>44005</v>
      </c>
      <c r="E582" s="10" t="n">
        <v>3407.8</v>
      </c>
      <c r="F582" s="8" t="s">
        <v>11</v>
      </c>
      <c r="G582" s="8" t="s">
        <v>22</v>
      </c>
      <c r="H582" s="11" t="s">
        <v>23</v>
      </c>
      <c r="I582" s="8" t="s">
        <v>14</v>
      </c>
    </row>
    <row r="583" customFormat="false" ht="14.25" hidden="false" customHeight="false" outlineLevel="0" collapsed="false">
      <c r="A583" s="8" t="n">
        <v>582</v>
      </c>
      <c r="B583" s="8" t="s">
        <v>45</v>
      </c>
      <c r="C583" s="8" t="s">
        <v>28</v>
      </c>
      <c r="D583" s="9" t="n">
        <v>44005</v>
      </c>
      <c r="E583" s="10" t="n">
        <v>25683.28</v>
      </c>
      <c r="F583" s="8" t="s">
        <v>11</v>
      </c>
      <c r="G583" s="8" t="s">
        <v>36</v>
      </c>
      <c r="H583" s="11" t="s">
        <v>37</v>
      </c>
      <c r="I583" s="8" t="s">
        <v>19</v>
      </c>
    </row>
    <row r="584" customFormat="false" ht="14.25" hidden="false" customHeight="false" outlineLevel="0" collapsed="false">
      <c r="A584" s="8" t="n">
        <v>583</v>
      </c>
      <c r="B584" s="8" t="s">
        <v>45</v>
      </c>
      <c r="C584" s="8" t="s">
        <v>21</v>
      </c>
      <c r="D584" s="9" t="n">
        <v>44005</v>
      </c>
      <c r="E584" s="10" t="n">
        <v>3136.5</v>
      </c>
      <c r="F584" s="8" t="s">
        <v>11</v>
      </c>
      <c r="G584" s="8" t="s">
        <v>30</v>
      </c>
      <c r="H584" s="11" t="s">
        <v>31</v>
      </c>
      <c r="I584" s="8" t="s">
        <v>14</v>
      </c>
    </row>
    <row r="585" customFormat="false" ht="14.25" hidden="false" customHeight="false" outlineLevel="0" collapsed="false">
      <c r="A585" s="8" t="n">
        <v>584</v>
      </c>
      <c r="B585" s="8" t="s">
        <v>72</v>
      </c>
      <c r="C585" s="8" t="s">
        <v>16</v>
      </c>
      <c r="D585" s="9" t="n">
        <v>44005</v>
      </c>
      <c r="E585" s="10" t="n">
        <v>3485</v>
      </c>
      <c r="F585" s="8" t="s">
        <v>11</v>
      </c>
      <c r="G585" s="8" t="s">
        <v>12</v>
      </c>
      <c r="H585" s="11" t="s">
        <v>13</v>
      </c>
      <c r="I585" s="8" t="s">
        <v>26</v>
      </c>
    </row>
    <row r="586" customFormat="false" ht="14.25" hidden="false" customHeight="false" outlineLevel="0" collapsed="false">
      <c r="A586" s="8" t="n">
        <v>585</v>
      </c>
      <c r="B586" s="8" t="s">
        <v>72</v>
      </c>
      <c r="C586" s="8" t="s">
        <v>21</v>
      </c>
      <c r="D586" s="9" t="n">
        <v>44005</v>
      </c>
      <c r="E586" s="10" t="n">
        <v>5227.5</v>
      </c>
      <c r="F586" s="8" t="s">
        <v>11</v>
      </c>
      <c r="G586" s="8" t="s">
        <v>12</v>
      </c>
      <c r="H586" s="11" t="s">
        <v>13</v>
      </c>
      <c r="I586" s="8" t="s">
        <v>26</v>
      </c>
    </row>
    <row r="587" customFormat="false" ht="14.25" hidden="false" customHeight="false" outlineLevel="0" collapsed="false">
      <c r="A587" s="8" t="n">
        <v>586</v>
      </c>
      <c r="B587" s="8" t="s">
        <v>32</v>
      </c>
      <c r="C587" s="8" t="s">
        <v>10</v>
      </c>
      <c r="D587" s="9" t="n">
        <v>44008</v>
      </c>
      <c r="E587" s="10" t="n">
        <v>5227.5</v>
      </c>
      <c r="F587" s="8" t="s">
        <v>11</v>
      </c>
      <c r="G587" s="8" t="s">
        <v>12</v>
      </c>
      <c r="H587" s="11" t="s">
        <v>13</v>
      </c>
      <c r="I587" s="8" t="s">
        <v>19</v>
      </c>
    </row>
    <row r="588" customFormat="false" ht="14.25" hidden="false" customHeight="false" outlineLevel="0" collapsed="false">
      <c r="A588" s="8" t="n">
        <v>587</v>
      </c>
      <c r="B588" s="8" t="s">
        <v>121</v>
      </c>
      <c r="C588" s="8" t="s">
        <v>10</v>
      </c>
      <c r="D588" s="9" t="n">
        <v>44009</v>
      </c>
      <c r="E588" s="10" t="n">
        <v>2788</v>
      </c>
      <c r="F588" s="8" t="s">
        <v>11</v>
      </c>
      <c r="G588" s="8" t="s">
        <v>22</v>
      </c>
      <c r="H588" s="11" t="s">
        <v>23</v>
      </c>
      <c r="I588" s="8" t="s">
        <v>14</v>
      </c>
    </row>
    <row r="589" customFormat="false" ht="14.25" hidden="false" customHeight="false" outlineLevel="0" collapsed="false">
      <c r="A589" s="8" t="n">
        <v>588</v>
      </c>
      <c r="B589" s="8" t="s">
        <v>122</v>
      </c>
      <c r="C589" s="8" t="s">
        <v>21</v>
      </c>
      <c r="D589" s="9" t="n">
        <v>44009</v>
      </c>
      <c r="E589" s="10" t="n">
        <v>2439.5</v>
      </c>
      <c r="F589" s="8" t="s">
        <v>11</v>
      </c>
      <c r="G589" s="8" t="s">
        <v>36</v>
      </c>
      <c r="H589" s="11" t="s">
        <v>37</v>
      </c>
      <c r="I589" s="8" t="s">
        <v>19</v>
      </c>
    </row>
    <row r="590" customFormat="false" ht="14.25" hidden="false" customHeight="false" outlineLevel="0" collapsed="false">
      <c r="A590" s="8" t="n">
        <v>589</v>
      </c>
      <c r="B590" s="8" t="s">
        <v>39</v>
      </c>
      <c r="C590" s="8" t="s">
        <v>10</v>
      </c>
      <c r="D590" s="9" t="n">
        <v>44009</v>
      </c>
      <c r="E590" s="10" t="n">
        <v>8897.11</v>
      </c>
      <c r="F590" s="8" t="s">
        <v>11</v>
      </c>
      <c r="G590" s="8" t="s">
        <v>36</v>
      </c>
      <c r="H590" s="11" t="s">
        <v>37</v>
      </c>
      <c r="I590" s="8" t="s">
        <v>26</v>
      </c>
    </row>
    <row r="591" customFormat="false" ht="14.25" hidden="false" customHeight="false" outlineLevel="0" collapsed="false">
      <c r="A591" s="8" t="n">
        <v>590</v>
      </c>
      <c r="B591" s="8" t="s">
        <v>65</v>
      </c>
      <c r="C591" s="8" t="s">
        <v>10</v>
      </c>
      <c r="D591" s="9" t="n">
        <v>44010</v>
      </c>
      <c r="E591" s="10" t="n">
        <v>8718.31</v>
      </c>
      <c r="F591" s="8" t="s">
        <v>11</v>
      </c>
      <c r="G591" s="8" t="s">
        <v>36</v>
      </c>
      <c r="H591" s="11" t="s">
        <v>37</v>
      </c>
      <c r="I591" s="8" t="s">
        <v>19</v>
      </c>
    </row>
    <row r="592" customFormat="false" ht="14.25" hidden="false" customHeight="false" outlineLevel="0" collapsed="false">
      <c r="A592" s="8" t="n">
        <v>591</v>
      </c>
      <c r="B592" s="8" t="s">
        <v>123</v>
      </c>
      <c r="C592" s="8" t="s">
        <v>16</v>
      </c>
      <c r="D592" s="9" t="n">
        <v>44010</v>
      </c>
      <c r="E592" s="10" t="n">
        <v>9354.02</v>
      </c>
      <c r="F592" s="8" t="s">
        <v>11</v>
      </c>
      <c r="G592" s="8" t="s">
        <v>12</v>
      </c>
      <c r="H592" s="11" t="s">
        <v>13</v>
      </c>
      <c r="I592" s="8" t="s">
        <v>26</v>
      </c>
    </row>
    <row r="593" customFormat="false" ht="14.25" hidden="false" customHeight="false" outlineLevel="0" collapsed="false">
      <c r="A593" s="8" t="n">
        <v>592</v>
      </c>
      <c r="B593" s="8" t="s">
        <v>124</v>
      </c>
      <c r="C593" s="8" t="s">
        <v>10</v>
      </c>
      <c r="D593" s="9" t="n">
        <v>44010</v>
      </c>
      <c r="E593" s="10" t="n">
        <v>2439.5</v>
      </c>
      <c r="F593" s="8" t="s">
        <v>11</v>
      </c>
      <c r="G593" s="8" t="s">
        <v>12</v>
      </c>
      <c r="H593" s="11" t="s">
        <v>13</v>
      </c>
      <c r="I593" s="8" t="s">
        <v>26</v>
      </c>
    </row>
    <row r="594" customFormat="false" ht="14.25" hidden="false" customHeight="false" outlineLevel="0" collapsed="false">
      <c r="A594" s="8" t="n">
        <v>593</v>
      </c>
      <c r="B594" s="8" t="s">
        <v>125</v>
      </c>
      <c r="C594" s="8" t="s">
        <v>28</v>
      </c>
      <c r="D594" s="9" t="n">
        <v>44010</v>
      </c>
      <c r="E594" s="10" t="n">
        <v>3582.58</v>
      </c>
      <c r="F594" s="8" t="s">
        <v>11</v>
      </c>
      <c r="G594" s="8" t="s">
        <v>12</v>
      </c>
      <c r="H594" s="11" t="s">
        <v>13</v>
      </c>
      <c r="I594" s="8" t="s">
        <v>24</v>
      </c>
    </row>
    <row r="595" customFormat="false" ht="14.25" hidden="false" customHeight="false" outlineLevel="0" collapsed="false">
      <c r="A595" s="8" t="n">
        <v>594</v>
      </c>
      <c r="B595" s="8" t="s">
        <v>126</v>
      </c>
      <c r="C595" s="8" t="s">
        <v>16</v>
      </c>
      <c r="D595" s="9" t="n">
        <v>44010</v>
      </c>
      <c r="E595" s="10" t="n">
        <v>2857.7</v>
      </c>
      <c r="F595" s="8" t="s">
        <v>11</v>
      </c>
      <c r="G595" s="8" t="s">
        <v>17</v>
      </c>
      <c r="H595" s="11" t="s">
        <v>18</v>
      </c>
      <c r="I595" s="8" t="s">
        <v>26</v>
      </c>
    </row>
    <row r="596" customFormat="false" ht="14.25" hidden="false" customHeight="false" outlineLevel="0" collapsed="false">
      <c r="A596" s="8" t="n">
        <v>595</v>
      </c>
      <c r="B596" s="8" t="s">
        <v>127</v>
      </c>
      <c r="C596" s="8" t="s">
        <v>21</v>
      </c>
      <c r="D596" s="9" t="n">
        <v>44010</v>
      </c>
      <c r="E596" s="10" t="n">
        <v>3589.55</v>
      </c>
      <c r="F596" s="8" t="s">
        <v>11</v>
      </c>
      <c r="G596" s="8" t="s">
        <v>12</v>
      </c>
      <c r="H596" s="11" t="s">
        <v>13</v>
      </c>
      <c r="I596" s="8" t="s">
        <v>19</v>
      </c>
    </row>
    <row r="597" customFormat="false" ht="14.25" hidden="false" customHeight="false" outlineLevel="0" collapsed="false">
      <c r="A597" s="8" t="n">
        <v>596</v>
      </c>
      <c r="B597" s="8" t="s">
        <v>41</v>
      </c>
      <c r="C597" s="8" t="s">
        <v>21</v>
      </c>
      <c r="D597" s="9" t="n">
        <v>44011</v>
      </c>
      <c r="E597" s="10" t="n">
        <v>9830.69</v>
      </c>
      <c r="F597" s="8" t="s">
        <v>11</v>
      </c>
      <c r="G597" s="8" t="s">
        <v>12</v>
      </c>
      <c r="H597" s="11" t="s">
        <v>13</v>
      </c>
      <c r="I597" s="8" t="s">
        <v>24</v>
      </c>
    </row>
    <row r="598" customFormat="false" ht="14.25" hidden="false" customHeight="false" outlineLevel="0" collapsed="false">
      <c r="A598" s="8" t="n">
        <v>597</v>
      </c>
      <c r="B598" s="8" t="s">
        <v>40</v>
      </c>
      <c r="C598" s="8" t="s">
        <v>16</v>
      </c>
      <c r="D598" s="9" t="n">
        <v>44011</v>
      </c>
      <c r="E598" s="10" t="n">
        <v>8803.68</v>
      </c>
      <c r="F598" s="8" t="s">
        <v>11</v>
      </c>
      <c r="G598" s="8" t="s">
        <v>12</v>
      </c>
      <c r="H598" s="11" t="s">
        <v>13</v>
      </c>
      <c r="I598" s="8" t="s">
        <v>26</v>
      </c>
    </row>
    <row r="599" customFormat="false" ht="14.25" hidden="false" customHeight="false" outlineLevel="0" collapsed="false">
      <c r="A599" s="8" t="n">
        <v>598</v>
      </c>
      <c r="B599" s="8" t="s">
        <v>20</v>
      </c>
      <c r="C599" s="8" t="s">
        <v>16</v>
      </c>
      <c r="D599" s="9" t="n">
        <v>44012</v>
      </c>
      <c r="E599" s="10" t="n">
        <v>-517.55</v>
      </c>
      <c r="F599" s="8" t="s">
        <v>34</v>
      </c>
      <c r="G599" s="8" t="s">
        <v>12</v>
      </c>
      <c r="H599" s="11" t="s">
        <v>13</v>
      </c>
      <c r="I599" s="8" t="s">
        <v>26</v>
      </c>
    </row>
    <row r="600" customFormat="false" ht="14.25" hidden="false" customHeight="false" outlineLevel="0" collapsed="false">
      <c r="A600" s="8" t="n">
        <v>599</v>
      </c>
      <c r="B600" s="8" t="s">
        <v>20</v>
      </c>
      <c r="C600" s="8" t="s">
        <v>10</v>
      </c>
      <c r="D600" s="9" t="n">
        <v>44012</v>
      </c>
      <c r="E600" s="10" t="n">
        <v>3485</v>
      </c>
      <c r="F600" s="8" t="s">
        <v>11</v>
      </c>
      <c r="G600" s="8" t="s">
        <v>22</v>
      </c>
      <c r="H600" s="11" t="s">
        <v>23</v>
      </c>
      <c r="I600" s="8" t="s">
        <v>14</v>
      </c>
    </row>
    <row r="601" customFormat="false" ht="14.25" hidden="false" customHeight="false" outlineLevel="0" collapsed="false">
      <c r="A601" s="8" t="n">
        <v>600</v>
      </c>
      <c r="B601" s="8" t="s">
        <v>20</v>
      </c>
      <c r="C601" s="8" t="s">
        <v>10</v>
      </c>
      <c r="D601" s="9" t="n">
        <v>44012</v>
      </c>
      <c r="E601" s="10" t="n">
        <v>3485</v>
      </c>
      <c r="F601" s="8" t="s">
        <v>11</v>
      </c>
      <c r="G601" s="8" t="s">
        <v>30</v>
      </c>
      <c r="H601" s="11" t="s">
        <v>31</v>
      </c>
      <c r="I601" s="8" t="s">
        <v>26</v>
      </c>
    </row>
    <row r="602" customFormat="false" ht="14.25" hidden="false" customHeight="false" outlineLevel="0" collapsed="false">
      <c r="A602" s="8" t="n">
        <v>601</v>
      </c>
      <c r="B602" s="8" t="s">
        <v>39</v>
      </c>
      <c r="C602" s="8" t="s">
        <v>28</v>
      </c>
      <c r="D602" s="9" t="n">
        <v>44012</v>
      </c>
      <c r="E602" s="10" t="n">
        <v>-140.18</v>
      </c>
      <c r="F602" s="8" t="s">
        <v>34</v>
      </c>
      <c r="G602" s="8" t="s">
        <v>17</v>
      </c>
      <c r="H602" s="11" t="s">
        <v>18</v>
      </c>
      <c r="I602" s="8" t="s">
        <v>14</v>
      </c>
    </row>
    <row r="603" customFormat="false" ht="14.25" hidden="false" customHeight="false" outlineLevel="0" collapsed="false">
      <c r="A603" s="8" t="n">
        <v>602</v>
      </c>
      <c r="B603" s="8" t="s">
        <v>128</v>
      </c>
      <c r="C603" s="8" t="s">
        <v>28</v>
      </c>
      <c r="D603" s="9" t="n">
        <v>44017</v>
      </c>
      <c r="E603" s="10" t="n">
        <v>-961.42</v>
      </c>
      <c r="F603" s="8" t="s">
        <v>34</v>
      </c>
      <c r="G603" s="8" t="s">
        <v>17</v>
      </c>
      <c r="H603" s="11" t="s">
        <v>18</v>
      </c>
      <c r="I603" s="8" t="s">
        <v>14</v>
      </c>
    </row>
    <row r="604" customFormat="false" ht="14.25" hidden="false" customHeight="false" outlineLevel="0" collapsed="false">
      <c r="A604" s="8" t="n">
        <v>603</v>
      </c>
      <c r="B604" s="8" t="s">
        <v>81</v>
      </c>
      <c r="C604" s="8" t="s">
        <v>28</v>
      </c>
      <c r="D604" s="9" t="n">
        <v>44017</v>
      </c>
      <c r="E604" s="10" t="n">
        <v>144504.54</v>
      </c>
      <c r="F604" s="8" t="s">
        <v>11</v>
      </c>
      <c r="G604" s="8" t="s">
        <v>17</v>
      </c>
      <c r="H604" s="11" t="s">
        <v>18</v>
      </c>
      <c r="I604" s="8" t="s">
        <v>14</v>
      </c>
    </row>
    <row r="605" customFormat="false" ht="14.25" hidden="false" customHeight="false" outlineLevel="0" collapsed="false">
      <c r="A605" s="8" t="n">
        <v>604</v>
      </c>
      <c r="B605" s="8" t="s">
        <v>81</v>
      </c>
      <c r="C605" s="8" t="s">
        <v>10</v>
      </c>
      <c r="D605" s="9" t="n">
        <v>44017</v>
      </c>
      <c r="E605" s="10" t="n">
        <v>17004.11</v>
      </c>
      <c r="F605" s="8" t="s">
        <v>11</v>
      </c>
      <c r="G605" s="8" t="s">
        <v>12</v>
      </c>
      <c r="H605" s="11" t="s">
        <v>13</v>
      </c>
      <c r="I605" s="8" t="s">
        <v>19</v>
      </c>
    </row>
    <row r="606" customFormat="false" ht="14.25" hidden="false" customHeight="false" outlineLevel="0" collapsed="false">
      <c r="A606" s="8" t="n">
        <v>605</v>
      </c>
      <c r="B606" s="8" t="s">
        <v>81</v>
      </c>
      <c r="C606" s="8" t="s">
        <v>21</v>
      </c>
      <c r="D606" s="9" t="n">
        <v>44017</v>
      </c>
      <c r="E606" s="10" t="n">
        <v>15241.78</v>
      </c>
      <c r="F606" s="8" t="s">
        <v>11</v>
      </c>
      <c r="G606" s="8" t="s">
        <v>12</v>
      </c>
      <c r="H606" s="11" t="s">
        <v>13</v>
      </c>
      <c r="I606" s="8" t="s">
        <v>14</v>
      </c>
    </row>
    <row r="607" customFormat="false" ht="14.25" hidden="false" customHeight="false" outlineLevel="0" collapsed="false">
      <c r="A607" s="8" t="n">
        <v>606</v>
      </c>
      <c r="B607" s="8" t="s">
        <v>49</v>
      </c>
      <c r="C607" s="8" t="s">
        <v>28</v>
      </c>
      <c r="D607" s="9" t="n">
        <v>44017</v>
      </c>
      <c r="E607" s="10" t="n">
        <v>15695.47</v>
      </c>
      <c r="F607" s="8" t="s">
        <v>11</v>
      </c>
      <c r="G607" s="8" t="s">
        <v>12</v>
      </c>
      <c r="H607" s="11" t="s">
        <v>13</v>
      </c>
      <c r="I607" s="8" t="s">
        <v>26</v>
      </c>
    </row>
    <row r="608" customFormat="false" ht="14.25" hidden="false" customHeight="false" outlineLevel="0" collapsed="false">
      <c r="A608" s="8" t="n">
        <v>607</v>
      </c>
      <c r="B608" s="8" t="s">
        <v>81</v>
      </c>
      <c r="C608" s="8" t="s">
        <v>28</v>
      </c>
      <c r="D608" s="9" t="n">
        <v>44017</v>
      </c>
      <c r="E608" s="10" t="n">
        <v>15876.76</v>
      </c>
      <c r="F608" s="8" t="s">
        <v>11</v>
      </c>
      <c r="G608" s="8" t="s">
        <v>12</v>
      </c>
      <c r="H608" s="11" t="s">
        <v>13</v>
      </c>
      <c r="I608" s="8" t="s">
        <v>24</v>
      </c>
    </row>
    <row r="609" customFormat="false" ht="14.25" hidden="false" customHeight="false" outlineLevel="0" collapsed="false">
      <c r="A609" s="8" t="n">
        <v>608</v>
      </c>
      <c r="B609" s="8" t="s">
        <v>72</v>
      </c>
      <c r="C609" s="8" t="s">
        <v>16</v>
      </c>
      <c r="D609" s="9" t="n">
        <v>44019</v>
      </c>
      <c r="E609" s="10" t="n">
        <v>-680.47</v>
      </c>
      <c r="F609" s="8" t="s">
        <v>34</v>
      </c>
      <c r="G609" s="8" t="s">
        <v>12</v>
      </c>
      <c r="H609" s="11" t="s">
        <v>13</v>
      </c>
      <c r="I609" s="8" t="s">
        <v>26</v>
      </c>
    </row>
    <row r="610" customFormat="false" ht="14.25" hidden="false" customHeight="false" outlineLevel="0" collapsed="false">
      <c r="A610" s="8" t="n">
        <v>609</v>
      </c>
      <c r="B610" s="8" t="s">
        <v>44</v>
      </c>
      <c r="C610" s="8" t="s">
        <v>21</v>
      </c>
      <c r="D610" s="9" t="n">
        <v>44019</v>
      </c>
      <c r="E610" s="10" t="n">
        <v>-12386.68</v>
      </c>
      <c r="F610" s="8" t="s">
        <v>34</v>
      </c>
      <c r="G610" s="8" t="s">
        <v>12</v>
      </c>
      <c r="H610" s="11" t="s">
        <v>13</v>
      </c>
      <c r="I610" s="8" t="s">
        <v>26</v>
      </c>
    </row>
    <row r="611" customFormat="false" ht="14.25" hidden="false" customHeight="false" outlineLevel="0" collapsed="false">
      <c r="A611" s="8" t="n">
        <v>610</v>
      </c>
      <c r="B611" s="8" t="s">
        <v>45</v>
      </c>
      <c r="C611" s="8" t="s">
        <v>28</v>
      </c>
      <c r="D611" s="9" t="n">
        <v>44019</v>
      </c>
      <c r="E611" s="10" t="n">
        <v>11007.69</v>
      </c>
      <c r="F611" s="8" t="s">
        <v>11</v>
      </c>
      <c r="G611" s="8" t="s">
        <v>36</v>
      </c>
      <c r="H611" s="11" t="s">
        <v>37</v>
      </c>
      <c r="I611" s="8" t="s">
        <v>24</v>
      </c>
    </row>
    <row r="612" customFormat="false" ht="14.25" hidden="false" customHeight="false" outlineLevel="0" collapsed="false">
      <c r="A612" s="8" t="n">
        <v>611</v>
      </c>
      <c r="B612" s="8" t="s">
        <v>44</v>
      </c>
      <c r="C612" s="8" t="s">
        <v>28</v>
      </c>
      <c r="D612" s="9" t="n">
        <v>44019</v>
      </c>
      <c r="E612" s="10" t="n">
        <v>11007.69</v>
      </c>
      <c r="F612" s="8" t="s">
        <v>11</v>
      </c>
      <c r="G612" s="8" t="s">
        <v>12</v>
      </c>
      <c r="H612" s="11" t="s">
        <v>13</v>
      </c>
      <c r="I612" s="8" t="s">
        <v>14</v>
      </c>
    </row>
    <row r="613" customFormat="false" ht="14.25" hidden="false" customHeight="false" outlineLevel="0" collapsed="false">
      <c r="A613" s="8" t="n">
        <v>612</v>
      </c>
      <c r="B613" s="8" t="s">
        <v>39</v>
      </c>
      <c r="C613" s="8" t="s">
        <v>21</v>
      </c>
      <c r="D613" s="9" t="n">
        <v>44019</v>
      </c>
      <c r="E613" s="10" t="n">
        <v>11007.69</v>
      </c>
      <c r="F613" s="8" t="s">
        <v>11</v>
      </c>
      <c r="G613" s="8" t="s">
        <v>17</v>
      </c>
      <c r="H613" s="11" t="s">
        <v>18</v>
      </c>
      <c r="I613" s="8" t="s">
        <v>14</v>
      </c>
    </row>
    <row r="614" customFormat="false" ht="14.25" hidden="false" customHeight="false" outlineLevel="0" collapsed="false">
      <c r="A614" s="8" t="n">
        <v>613</v>
      </c>
      <c r="B614" s="8" t="s">
        <v>39</v>
      </c>
      <c r="C614" s="8" t="s">
        <v>10</v>
      </c>
      <c r="D614" s="9" t="n">
        <v>44019</v>
      </c>
      <c r="E614" s="10" t="n">
        <v>11007.65</v>
      </c>
      <c r="F614" s="8" t="s">
        <v>11</v>
      </c>
      <c r="G614" s="8" t="s">
        <v>17</v>
      </c>
      <c r="H614" s="11" t="s">
        <v>18</v>
      </c>
      <c r="I614" s="8" t="s">
        <v>19</v>
      </c>
    </row>
    <row r="615" customFormat="false" ht="14.25" hidden="false" customHeight="false" outlineLevel="0" collapsed="false">
      <c r="A615" s="8" t="n">
        <v>614</v>
      </c>
      <c r="B615" s="8" t="s">
        <v>72</v>
      </c>
      <c r="C615" s="8" t="s">
        <v>21</v>
      </c>
      <c r="D615" s="9" t="n">
        <v>44019</v>
      </c>
      <c r="E615" s="10" t="n">
        <v>154820.51</v>
      </c>
      <c r="F615" s="8" t="s">
        <v>11</v>
      </c>
      <c r="G615" s="8" t="s">
        <v>12</v>
      </c>
      <c r="H615" s="11" t="s">
        <v>13</v>
      </c>
      <c r="I615" s="8" t="s">
        <v>24</v>
      </c>
    </row>
    <row r="616" customFormat="false" ht="14.25" hidden="false" customHeight="false" outlineLevel="0" collapsed="false">
      <c r="A616" s="8" t="n">
        <v>615</v>
      </c>
      <c r="B616" s="8" t="s">
        <v>45</v>
      </c>
      <c r="C616" s="8" t="s">
        <v>10</v>
      </c>
      <c r="D616" s="9" t="n">
        <v>44019</v>
      </c>
      <c r="E616" s="10" t="n">
        <v>-1644.97</v>
      </c>
      <c r="F616" s="8" t="s">
        <v>34</v>
      </c>
      <c r="G616" s="8" t="s">
        <v>12</v>
      </c>
      <c r="H616" s="11" t="s">
        <v>13</v>
      </c>
      <c r="I616" s="8" t="s">
        <v>14</v>
      </c>
    </row>
    <row r="617" customFormat="false" ht="14.25" hidden="false" customHeight="false" outlineLevel="0" collapsed="false">
      <c r="A617" s="8" t="n">
        <v>616</v>
      </c>
      <c r="B617" s="8" t="s">
        <v>47</v>
      </c>
      <c r="C617" s="8" t="s">
        <v>21</v>
      </c>
      <c r="D617" s="9" t="n">
        <v>44019</v>
      </c>
      <c r="E617" s="10" t="n">
        <v>-5366.8</v>
      </c>
      <c r="F617" s="8" t="s">
        <v>34</v>
      </c>
      <c r="G617" s="8" t="s">
        <v>22</v>
      </c>
      <c r="H617" s="11" t="s">
        <v>23</v>
      </c>
      <c r="I617" s="8" t="s">
        <v>26</v>
      </c>
    </row>
    <row r="618" customFormat="false" ht="14.25" hidden="false" customHeight="false" outlineLevel="0" collapsed="false">
      <c r="A618" s="8" t="n">
        <v>617</v>
      </c>
      <c r="B618" s="8" t="s">
        <v>47</v>
      </c>
      <c r="C618" s="8" t="s">
        <v>16</v>
      </c>
      <c r="D618" s="9" t="n">
        <v>44019</v>
      </c>
      <c r="E618" s="10" t="n">
        <v>-1455.3</v>
      </c>
      <c r="F618" s="8" t="s">
        <v>34</v>
      </c>
      <c r="G618" s="8" t="s">
        <v>12</v>
      </c>
      <c r="H618" s="11" t="s">
        <v>13</v>
      </c>
      <c r="I618" s="8" t="s">
        <v>19</v>
      </c>
    </row>
    <row r="619" customFormat="false" ht="14.25" hidden="false" customHeight="false" outlineLevel="0" collapsed="false">
      <c r="A619" s="8" t="n">
        <v>618</v>
      </c>
      <c r="B619" s="8" t="s">
        <v>77</v>
      </c>
      <c r="C619" s="8" t="s">
        <v>21</v>
      </c>
      <c r="D619" s="9" t="n">
        <v>44022</v>
      </c>
      <c r="E619" s="10" t="n">
        <v>-1799.28</v>
      </c>
      <c r="F619" s="8" t="s">
        <v>34</v>
      </c>
      <c r="G619" s="8" t="s">
        <v>22</v>
      </c>
      <c r="H619" s="11" t="s">
        <v>23</v>
      </c>
      <c r="I619" s="8" t="s">
        <v>26</v>
      </c>
    </row>
    <row r="620" customFormat="false" ht="14.25" hidden="false" customHeight="false" outlineLevel="0" collapsed="false">
      <c r="A620" s="8" t="n">
        <v>619</v>
      </c>
      <c r="B620" s="8" t="s">
        <v>41</v>
      </c>
      <c r="C620" s="8" t="s">
        <v>21</v>
      </c>
      <c r="D620" s="9" t="n">
        <v>44023</v>
      </c>
      <c r="E620" s="10" t="n">
        <v>-124783.4</v>
      </c>
      <c r="F620" s="8" t="s">
        <v>34</v>
      </c>
      <c r="G620" s="8" t="s">
        <v>17</v>
      </c>
      <c r="H620" s="11" t="s">
        <v>18</v>
      </c>
      <c r="I620" s="8" t="s">
        <v>24</v>
      </c>
    </row>
    <row r="621" customFormat="false" ht="14.25" hidden="false" customHeight="false" outlineLevel="0" collapsed="false">
      <c r="A621" s="8" t="n">
        <v>620</v>
      </c>
      <c r="B621" s="8" t="s">
        <v>61</v>
      </c>
      <c r="C621" s="8" t="s">
        <v>21</v>
      </c>
      <c r="D621" s="9" t="n">
        <v>44026</v>
      </c>
      <c r="E621" s="10" t="n">
        <v>-1416.77</v>
      </c>
      <c r="F621" s="8" t="s">
        <v>34</v>
      </c>
      <c r="G621" s="8" t="s">
        <v>17</v>
      </c>
      <c r="H621" s="11" t="s">
        <v>18</v>
      </c>
      <c r="I621" s="8" t="s">
        <v>26</v>
      </c>
    </row>
    <row r="622" customFormat="false" ht="14.25" hidden="false" customHeight="false" outlineLevel="0" collapsed="false">
      <c r="A622" s="8" t="n">
        <v>621</v>
      </c>
      <c r="B622" s="8" t="s">
        <v>62</v>
      </c>
      <c r="C622" s="8" t="s">
        <v>10</v>
      </c>
      <c r="D622" s="9" t="n">
        <v>44026</v>
      </c>
      <c r="E622" s="10" t="n">
        <v>145938.09</v>
      </c>
      <c r="F622" s="8" t="s">
        <v>11</v>
      </c>
      <c r="G622" s="8" t="s">
        <v>30</v>
      </c>
      <c r="H622" s="11" t="s">
        <v>31</v>
      </c>
      <c r="I622" s="8" t="s">
        <v>19</v>
      </c>
    </row>
    <row r="623" customFormat="false" ht="14.25" hidden="false" customHeight="false" outlineLevel="0" collapsed="false">
      <c r="A623" s="8" t="n">
        <v>622</v>
      </c>
      <c r="B623" s="8" t="s">
        <v>33</v>
      </c>
      <c r="C623" s="8" t="s">
        <v>21</v>
      </c>
      <c r="D623" s="9" t="n">
        <v>44026</v>
      </c>
      <c r="E623" s="10" t="n">
        <v>144778.8</v>
      </c>
      <c r="F623" s="8" t="s">
        <v>11</v>
      </c>
      <c r="G623" s="8" t="s">
        <v>17</v>
      </c>
      <c r="H623" s="11" t="s">
        <v>18</v>
      </c>
      <c r="I623" s="8" t="s">
        <v>26</v>
      </c>
    </row>
    <row r="624" customFormat="false" ht="14.25" hidden="false" customHeight="false" outlineLevel="0" collapsed="false">
      <c r="A624" s="8" t="n">
        <v>623</v>
      </c>
      <c r="B624" s="8" t="s">
        <v>39</v>
      </c>
      <c r="C624" s="8" t="s">
        <v>10</v>
      </c>
      <c r="D624" s="9" t="n">
        <v>44026</v>
      </c>
      <c r="E624" s="10" t="n">
        <v>157456.95</v>
      </c>
      <c r="F624" s="8" t="s">
        <v>11</v>
      </c>
      <c r="G624" s="8" t="s">
        <v>30</v>
      </c>
      <c r="H624" s="11" t="s">
        <v>31</v>
      </c>
      <c r="I624" s="8" t="s">
        <v>24</v>
      </c>
    </row>
    <row r="625" customFormat="false" ht="14.25" hidden="false" customHeight="false" outlineLevel="0" collapsed="false">
      <c r="A625" s="8" t="n">
        <v>624</v>
      </c>
      <c r="B625" s="8" t="s">
        <v>49</v>
      </c>
      <c r="C625" s="8" t="s">
        <v>10</v>
      </c>
      <c r="D625" s="9" t="n">
        <v>44026</v>
      </c>
      <c r="E625" s="10" t="n">
        <v>130577.3</v>
      </c>
      <c r="F625" s="8" t="s">
        <v>11</v>
      </c>
      <c r="G625" s="8" t="s">
        <v>17</v>
      </c>
      <c r="H625" s="11" t="s">
        <v>18</v>
      </c>
      <c r="I625" s="8" t="s">
        <v>14</v>
      </c>
    </row>
    <row r="626" customFormat="false" ht="14.25" hidden="false" customHeight="false" outlineLevel="0" collapsed="false">
      <c r="A626" s="8" t="n">
        <v>625</v>
      </c>
      <c r="B626" s="8" t="s">
        <v>61</v>
      </c>
      <c r="C626" s="8" t="s">
        <v>10</v>
      </c>
      <c r="D626" s="9" t="n">
        <v>44026</v>
      </c>
      <c r="E626" s="10" t="n">
        <v>170134.18</v>
      </c>
      <c r="F626" s="8" t="s">
        <v>11</v>
      </c>
      <c r="G626" s="8" t="s">
        <v>12</v>
      </c>
      <c r="H626" s="11" t="s">
        <v>13</v>
      </c>
      <c r="I626" s="8" t="s">
        <v>24</v>
      </c>
    </row>
    <row r="627" customFormat="false" ht="14.25" hidden="false" customHeight="false" outlineLevel="0" collapsed="false">
      <c r="A627" s="8" t="n">
        <v>626</v>
      </c>
      <c r="B627" s="8" t="s">
        <v>62</v>
      </c>
      <c r="C627" s="8" t="s">
        <v>21</v>
      </c>
      <c r="D627" s="9" t="n">
        <v>44026</v>
      </c>
      <c r="E627" s="10" t="n">
        <v>-26497.84</v>
      </c>
      <c r="F627" s="8" t="s">
        <v>34</v>
      </c>
      <c r="G627" s="8" t="s">
        <v>17</v>
      </c>
      <c r="H627" s="11" t="s">
        <v>18</v>
      </c>
      <c r="I627" s="8" t="s">
        <v>26</v>
      </c>
    </row>
    <row r="628" customFormat="false" ht="14.25" hidden="false" customHeight="false" outlineLevel="0" collapsed="false">
      <c r="A628" s="8" t="n">
        <v>627</v>
      </c>
      <c r="B628" s="8" t="s">
        <v>33</v>
      </c>
      <c r="C628" s="8" t="s">
        <v>10</v>
      </c>
      <c r="D628" s="9" t="n">
        <v>44026</v>
      </c>
      <c r="E628" s="10" t="n">
        <v>31085.64</v>
      </c>
      <c r="F628" s="8" t="s">
        <v>11</v>
      </c>
      <c r="G628" s="8" t="s">
        <v>17</v>
      </c>
      <c r="H628" s="11" t="s">
        <v>18</v>
      </c>
      <c r="I628" s="8" t="s">
        <v>19</v>
      </c>
    </row>
    <row r="629" customFormat="false" ht="14.25" hidden="false" customHeight="false" outlineLevel="0" collapsed="false">
      <c r="A629" s="8" t="n">
        <v>628</v>
      </c>
      <c r="B629" s="8" t="s">
        <v>61</v>
      </c>
      <c r="C629" s="8" t="s">
        <v>28</v>
      </c>
      <c r="D629" s="9" t="n">
        <v>44026</v>
      </c>
      <c r="E629" s="10" t="n">
        <v>-62689.41</v>
      </c>
      <c r="F629" s="8" t="s">
        <v>34</v>
      </c>
      <c r="G629" s="8" t="s">
        <v>12</v>
      </c>
      <c r="H629" s="11" t="s">
        <v>13</v>
      </c>
      <c r="I629" s="8" t="s">
        <v>14</v>
      </c>
    </row>
    <row r="630" customFormat="false" ht="14.25" hidden="false" customHeight="false" outlineLevel="0" collapsed="false">
      <c r="A630" s="8" t="n">
        <v>629</v>
      </c>
      <c r="B630" s="8" t="s">
        <v>62</v>
      </c>
      <c r="C630" s="8" t="s">
        <v>21</v>
      </c>
      <c r="D630" s="9" t="n">
        <v>44026</v>
      </c>
      <c r="E630" s="10" t="n">
        <v>-8880.87</v>
      </c>
      <c r="F630" s="8" t="s">
        <v>34</v>
      </c>
      <c r="G630" s="8" t="s">
        <v>17</v>
      </c>
      <c r="H630" s="11" t="s">
        <v>18</v>
      </c>
      <c r="I630" s="8" t="s">
        <v>26</v>
      </c>
    </row>
    <row r="631" customFormat="false" ht="14.25" hidden="false" customHeight="false" outlineLevel="0" collapsed="false">
      <c r="A631" s="8" t="n">
        <v>630</v>
      </c>
      <c r="B631" s="8" t="s">
        <v>33</v>
      </c>
      <c r="C631" s="8" t="s">
        <v>10</v>
      </c>
      <c r="D631" s="9" t="n">
        <v>44026</v>
      </c>
      <c r="E631" s="10" t="n">
        <v>-26740.25</v>
      </c>
      <c r="F631" s="8" t="s">
        <v>34</v>
      </c>
      <c r="G631" s="8" t="s">
        <v>12</v>
      </c>
      <c r="H631" s="11" t="s">
        <v>13</v>
      </c>
      <c r="I631" s="8" t="s">
        <v>24</v>
      </c>
    </row>
    <row r="632" customFormat="false" ht="14.25" hidden="false" customHeight="false" outlineLevel="0" collapsed="false">
      <c r="A632" s="8" t="n">
        <v>631</v>
      </c>
      <c r="B632" s="8" t="s">
        <v>33</v>
      </c>
      <c r="C632" s="8" t="s">
        <v>28</v>
      </c>
      <c r="D632" s="9" t="n">
        <v>44026</v>
      </c>
      <c r="E632" s="10" t="n">
        <v>-43456.63</v>
      </c>
      <c r="F632" s="8" t="s">
        <v>34</v>
      </c>
      <c r="G632" s="8" t="s">
        <v>12</v>
      </c>
      <c r="H632" s="11" t="s">
        <v>13</v>
      </c>
      <c r="I632" s="8" t="s">
        <v>14</v>
      </c>
    </row>
    <row r="633" customFormat="false" ht="14.25" hidden="false" customHeight="false" outlineLevel="0" collapsed="false">
      <c r="A633" s="8" t="n">
        <v>632</v>
      </c>
      <c r="B633" s="8" t="s">
        <v>33</v>
      </c>
      <c r="C633" s="8" t="s">
        <v>21</v>
      </c>
      <c r="D633" s="9" t="n">
        <v>44026</v>
      </c>
      <c r="E633" s="10" t="n">
        <v>-19297.81</v>
      </c>
      <c r="F633" s="8" t="s">
        <v>34</v>
      </c>
      <c r="G633" s="8" t="s">
        <v>22</v>
      </c>
      <c r="H633" s="11" t="s">
        <v>23</v>
      </c>
      <c r="I633" s="8" t="s">
        <v>19</v>
      </c>
    </row>
    <row r="634" customFormat="false" ht="14.25" hidden="false" customHeight="false" outlineLevel="0" collapsed="false">
      <c r="A634" s="8" t="n">
        <v>633</v>
      </c>
      <c r="B634" s="8" t="s">
        <v>40</v>
      </c>
      <c r="C634" s="8" t="s">
        <v>10</v>
      </c>
      <c r="D634" s="9" t="n">
        <v>44030</v>
      </c>
      <c r="E634" s="10" t="n">
        <v>-26854.87</v>
      </c>
      <c r="F634" s="8" t="s">
        <v>34</v>
      </c>
      <c r="G634" s="8" t="s">
        <v>12</v>
      </c>
      <c r="H634" s="11" t="s">
        <v>13</v>
      </c>
      <c r="I634" s="8" t="s">
        <v>24</v>
      </c>
    </row>
    <row r="635" customFormat="false" ht="14.25" hidden="false" customHeight="false" outlineLevel="0" collapsed="false">
      <c r="A635" s="8" t="n">
        <v>634</v>
      </c>
      <c r="B635" s="8" t="s">
        <v>129</v>
      </c>
      <c r="C635" s="8" t="s">
        <v>10</v>
      </c>
      <c r="D635" s="9" t="n">
        <v>44032</v>
      </c>
      <c r="E635" s="10" t="n">
        <v>-14372.75</v>
      </c>
      <c r="F635" s="8" t="s">
        <v>34</v>
      </c>
      <c r="G635" s="8" t="s">
        <v>12</v>
      </c>
      <c r="H635" s="11" t="s">
        <v>13</v>
      </c>
      <c r="I635" s="8" t="s">
        <v>19</v>
      </c>
    </row>
    <row r="636" customFormat="false" ht="14.25" hidden="false" customHeight="false" outlineLevel="0" collapsed="false">
      <c r="A636" s="8" t="n">
        <v>635</v>
      </c>
      <c r="B636" s="8" t="s">
        <v>64</v>
      </c>
      <c r="C636" s="8" t="s">
        <v>10</v>
      </c>
      <c r="D636" s="9" t="n">
        <v>44032</v>
      </c>
      <c r="E636" s="10" t="n">
        <v>-9299.75</v>
      </c>
      <c r="F636" s="8" t="s">
        <v>34</v>
      </c>
      <c r="G636" s="8" t="s">
        <v>17</v>
      </c>
      <c r="H636" s="11" t="s">
        <v>18</v>
      </c>
      <c r="I636" s="8" t="s">
        <v>19</v>
      </c>
    </row>
    <row r="637" customFormat="false" ht="14.25" hidden="false" customHeight="false" outlineLevel="0" collapsed="false">
      <c r="A637" s="8" t="n">
        <v>636</v>
      </c>
      <c r="B637" s="8" t="s">
        <v>40</v>
      </c>
      <c r="C637" s="8" t="s">
        <v>28</v>
      </c>
      <c r="D637" s="9" t="n">
        <v>44032</v>
      </c>
      <c r="E637" s="10" t="n">
        <v>-31277.4</v>
      </c>
      <c r="F637" s="8" t="s">
        <v>34</v>
      </c>
      <c r="G637" s="8" t="s">
        <v>12</v>
      </c>
      <c r="H637" s="11" t="s">
        <v>13</v>
      </c>
      <c r="I637" s="8" t="s">
        <v>14</v>
      </c>
    </row>
    <row r="638" customFormat="false" ht="14.25" hidden="false" customHeight="false" outlineLevel="0" collapsed="false">
      <c r="A638" s="8" t="n">
        <v>637</v>
      </c>
      <c r="B638" s="8" t="s">
        <v>32</v>
      </c>
      <c r="C638" s="8" t="s">
        <v>10</v>
      </c>
      <c r="D638" s="9" t="n">
        <v>44032</v>
      </c>
      <c r="E638" s="10" t="n">
        <v>6324</v>
      </c>
      <c r="F638" s="8" t="s">
        <v>11</v>
      </c>
      <c r="G638" s="8" t="s">
        <v>17</v>
      </c>
      <c r="H638" s="11" t="s">
        <v>18</v>
      </c>
      <c r="I638" s="8" t="s">
        <v>26</v>
      </c>
    </row>
    <row r="639" customFormat="false" ht="14.25" hidden="false" customHeight="false" outlineLevel="0" collapsed="false">
      <c r="A639" s="8" t="n">
        <v>638</v>
      </c>
      <c r="B639" s="8" t="s">
        <v>100</v>
      </c>
      <c r="C639" s="8" t="s">
        <v>10</v>
      </c>
      <c r="D639" s="9" t="n">
        <v>44032</v>
      </c>
      <c r="E639" s="10" t="n">
        <v>17395.68</v>
      </c>
      <c r="F639" s="8" t="s">
        <v>11</v>
      </c>
      <c r="G639" s="8" t="s">
        <v>36</v>
      </c>
      <c r="H639" s="11" t="s">
        <v>37</v>
      </c>
      <c r="I639" s="8" t="s">
        <v>14</v>
      </c>
    </row>
    <row r="640" customFormat="false" ht="14.25" hidden="false" customHeight="false" outlineLevel="0" collapsed="false">
      <c r="A640" s="8" t="n">
        <v>639</v>
      </c>
      <c r="B640" s="8" t="s">
        <v>100</v>
      </c>
      <c r="C640" s="8" t="s">
        <v>10</v>
      </c>
      <c r="D640" s="9" t="n">
        <v>44032</v>
      </c>
      <c r="E640" s="10" t="n">
        <v>6324</v>
      </c>
      <c r="F640" s="8" t="s">
        <v>11</v>
      </c>
      <c r="G640" s="8" t="s">
        <v>12</v>
      </c>
      <c r="H640" s="11" t="s">
        <v>13</v>
      </c>
      <c r="I640" s="8" t="s">
        <v>26</v>
      </c>
    </row>
    <row r="641" customFormat="false" ht="14.25" hidden="false" customHeight="false" outlineLevel="0" collapsed="false">
      <c r="A641" s="8" t="n">
        <v>640</v>
      </c>
      <c r="B641" s="8" t="s">
        <v>100</v>
      </c>
      <c r="C641" s="8" t="s">
        <v>10</v>
      </c>
      <c r="D641" s="9" t="n">
        <v>44032</v>
      </c>
      <c r="E641" s="10" t="n">
        <v>6324</v>
      </c>
      <c r="F641" s="8" t="s">
        <v>11</v>
      </c>
      <c r="G641" s="8" t="s">
        <v>30</v>
      </c>
      <c r="H641" s="11" t="s">
        <v>31</v>
      </c>
      <c r="I641" s="8" t="s">
        <v>14</v>
      </c>
    </row>
    <row r="642" customFormat="false" ht="14.25" hidden="false" customHeight="false" outlineLevel="0" collapsed="false">
      <c r="A642" s="8" t="n">
        <v>641</v>
      </c>
      <c r="B642" s="8" t="s">
        <v>100</v>
      </c>
      <c r="C642" s="8" t="s">
        <v>10</v>
      </c>
      <c r="D642" s="9" t="n">
        <v>44032</v>
      </c>
      <c r="E642" s="10" t="n">
        <v>6324</v>
      </c>
      <c r="F642" s="8" t="s">
        <v>11</v>
      </c>
      <c r="G642" s="8" t="s">
        <v>17</v>
      </c>
      <c r="H642" s="11" t="s">
        <v>18</v>
      </c>
      <c r="I642" s="8" t="s">
        <v>26</v>
      </c>
    </row>
    <row r="643" customFormat="false" ht="14.25" hidden="false" customHeight="false" outlineLevel="0" collapsed="false">
      <c r="A643" s="8" t="n">
        <v>642</v>
      </c>
      <c r="B643" s="8" t="s">
        <v>100</v>
      </c>
      <c r="C643" s="8" t="s">
        <v>21</v>
      </c>
      <c r="D643" s="9" t="n">
        <v>44032</v>
      </c>
      <c r="E643" s="10" t="n">
        <v>6324</v>
      </c>
      <c r="F643" s="8" t="s">
        <v>11</v>
      </c>
      <c r="G643" s="8" t="s">
        <v>17</v>
      </c>
      <c r="H643" s="11" t="s">
        <v>18</v>
      </c>
      <c r="I643" s="8" t="s">
        <v>26</v>
      </c>
    </row>
    <row r="644" customFormat="false" ht="14.25" hidden="false" customHeight="false" outlineLevel="0" collapsed="false">
      <c r="A644" s="8" t="n">
        <v>643</v>
      </c>
      <c r="B644" s="8" t="s">
        <v>100</v>
      </c>
      <c r="C644" s="8" t="s">
        <v>10</v>
      </c>
      <c r="D644" s="9" t="n">
        <v>44032</v>
      </c>
      <c r="E644" s="10" t="n">
        <v>15725.24</v>
      </c>
      <c r="F644" s="8" t="s">
        <v>11</v>
      </c>
      <c r="G644" s="8" t="s">
        <v>36</v>
      </c>
      <c r="H644" s="11" t="s">
        <v>37</v>
      </c>
      <c r="I644" s="8" t="s">
        <v>14</v>
      </c>
    </row>
    <row r="645" customFormat="false" ht="14.25" hidden="false" customHeight="false" outlineLevel="0" collapsed="false">
      <c r="A645" s="8" t="n">
        <v>644</v>
      </c>
      <c r="B645" s="8" t="s">
        <v>66</v>
      </c>
      <c r="C645" s="8" t="s">
        <v>16</v>
      </c>
      <c r="D645" s="9" t="n">
        <v>44033</v>
      </c>
      <c r="E645" s="10" t="n">
        <v>16382.33</v>
      </c>
      <c r="F645" s="8" t="s">
        <v>11</v>
      </c>
      <c r="G645" s="8" t="s">
        <v>17</v>
      </c>
      <c r="H645" s="11" t="s">
        <v>18</v>
      </c>
      <c r="I645" s="8" t="s">
        <v>14</v>
      </c>
    </row>
    <row r="646" customFormat="false" ht="14.25" hidden="false" customHeight="false" outlineLevel="0" collapsed="false">
      <c r="A646" s="8" t="n">
        <v>645</v>
      </c>
      <c r="B646" s="8" t="s">
        <v>66</v>
      </c>
      <c r="C646" s="8" t="s">
        <v>10</v>
      </c>
      <c r="D646" s="9" t="n">
        <v>44033</v>
      </c>
      <c r="E646" s="10" t="n">
        <v>18451.73</v>
      </c>
      <c r="F646" s="8" t="s">
        <v>11</v>
      </c>
      <c r="G646" s="8" t="s">
        <v>12</v>
      </c>
      <c r="H646" s="11" t="s">
        <v>13</v>
      </c>
      <c r="I646" s="8" t="s">
        <v>26</v>
      </c>
    </row>
    <row r="647" customFormat="false" ht="14.25" hidden="false" customHeight="false" outlineLevel="0" collapsed="false">
      <c r="A647" s="8" t="n">
        <v>646</v>
      </c>
      <c r="B647" s="8" t="s">
        <v>39</v>
      </c>
      <c r="C647" s="8" t="s">
        <v>28</v>
      </c>
      <c r="D647" s="9" t="n">
        <v>44033</v>
      </c>
      <c r="E647" s="10" t="n">
        <v>2256.2</v>
      </c>
      <c r="F647" s="8" t="s">
        <v>11</v>
      </c>
      <c r="G647" s="8" t="s">
        <v>17</v>
      </c>
      <c r="H647" s="11" t="s">
        <v>18</v>
      </c>
      <c r="I647" s="8" t="s">
        <v>14</v>
      </c>
    </row>
    <row r="648" customFormat="false" ht="14.25" hidden="false" customHeight="false" outlineLevel="0" collapsed="false">
      <c r="A648" s="8" t="n">
        <v>647</v>
      </c>
      <c r="B648" s="8" t="s">
        <v>66</v>
      </c>
      <c r="C648" s="8" t="s">
        <v>10</v>
      </c>
      <c r="D648" s="9" t="n">
        <v>44033</v>
      </c>
      <c r="E648" s="10" t="n">
        <v>17891.3</v>
      </c>
      <c r="F648" s="8" t="s">
        <v>11</v>
      </c>
      <c r="G648" s="8" t="s">
        <v>36</v>
      </c>
      <c r="H648" s="11" t="s">
        <v>37</v>
      </c>
      <c r="I648" s="8" t="s">
        <v>14</v>
      </c>
    </row>
    <row r="649" customFormat="false" ht="14.25" hidden="false" customHeight="false" outlineLevel="0" collapsed="false">
      <c r="A649" s="8" t="n">
        <v>648</v>
      </c>
      <c r="B649" s="8" t="s">
        <v>47</v>
      </c>
      <c r="C649" s="8" t="s">
        <v>16</v>
      </c>
      <c r="D649" s="9" t="n">
        <v>44033</v>
      </c>
      <c r="E649" s="10" t="n">
        <v>9314.56</v>
      </c>
      <c r="F649" s="8" t="s">
        <v>11</v>
      </c>
      <c r="G649" s="8" t="s">
        <v>36</v>
      </c>
      <c r="H649" s="11" t="s">
        <v>37</v>
      </c>
      <c r="I649" s="8" t="s">
        <v>19</v>
      </c>
    </row>
    <row r="650" customFormat="false" ht="14.25" hidden="false" customHeight="false" outlineLevel="0" collapsed="false">
      <c r="A650" s="8" t="n">
        <v>649</v>
      </c>
      <c r="B650" s="8" t="s">
        <v>66</v>
      </c>
      <c r="C650" s="8" t="s">
        <v>21</v>
      </c>
      <c r="D650" s="9" t="n">
        <v>44033</v>
      </c>
      <c r="E650" s="10" t="n">
        <v>-7443.87</v>
      </c>
      <c r="F650" s="8" t="s">
        <v>34</v>
      </c>
      <c r="G650" s="8" t="s">
        <v>12</v>
      </c>
      <c r="H650" s="11" t="s">
        <v>13</v>
      </c>
      <c r="I650" s="8" t="s">
        <v>24</v>
      </c>
    </row>
    <row r="651" customFormat="false" ht="14.25" hidden="false" customHeight="false" outlineLevel="0" collapsed="false">
      <c r="A651" s="8" t="n">
        <v>650</v>
      </c>
      <c r="B651" s="8" t="s">
        <v>47</v>
      </c>
      <c r="C651" s="8" t="s">
        <v>16</v>
      </c>
      <c r="D651" s="9" t="n">
        <v>44033</v>
      </c>
      <c r="E651" s="10" t="n">
        <v>-10015.95</v>
      </c>
      <c r="F651" s="8" t="s">
        <v>34</v>
      </c>
      <c r="G651" s="8" t="s">
        <v>36</v>
      </c>
      <c r="H651" s="11" t="s">
        <v>37</v>
      </c>
      <c r="I651" s="8" t="s">
        <v>14</v>
      </c>
    </row>
    <row r="652" customFormat="false" ht="14.25" hidden="false" customHeight="false" outlineLevel="0" collapsed="false">
      <c r="A652" s="8" t="n">
        <v>651</v>
      </c>
      <c r="B652" s="8" t="s">
        <v>66</v>
      </c>
      <c r="C652" s="8" t="s">
        <v>16</v>
      </c>
      <c r="D652" s="9" t="n">
        <v>44033</v>
      </c>
      <c r="E652" s="10" t="n">
        <v>14789.51</v>
      </c>
      <c r="F652" s="8" t="s">
        <v>11</v>
      </c>
      <c r="G652" s="8" t="s">
        <v>12</v>
      </c>
      <c r="H652" s="11" t="s">
        <v>13</v>
      </c>
      <c r="I652" s="8" t="s">
        <v>19</v>
      </c>
    </row>
    <row r="653" customFormat="false" ht="14.25" hidden="false" customHeight="false" outlineLevel="0" collapsed="false">
      <c r="A653" s="8" t="n">
        <v>652</v>
      </c>
      <c r="B653" s="8" t="s">
        <v>66</v>
      </c>
      <c r="C653" s="8" t="s">
        <v>16</v>
      </c>
      <c r="D653" s="9" t="n">
        <v>44033</v>
      </c>
      <c r="E653" s="10" t="n">
        <v>14789.51</v>
      </c>
      <c r="F653" s="8" t="s">
        <v>11</v>
      </c>
      <c r="G653" s="8" t="s">
        <v>17</v>
      </c>
      <c r="H653" s="11" t="s">
        <v>18</v>
      </c>
      <c r="I653" s="8" t="s">
        <v>19</v>
      </c>
    </row>
    <row r="654" customFormat="false" ht="14.25" hidden="false" customHeight="false" outlineLevel="0" collapsed="false">
      <c r="A654" s="8" t="n">
        <v>653</v>
      </c>
      <c r="B654" s="8" t="s">
        <v>66</v>
      </c>
      <c r="C654" s="8" t="s">
        <v>16</v>
      </c>
      <c r="D654" s="9" t="n">
        <v>44033</v>
      </c>
      <c r="E654" s="10" t="n">
        <v>158546.55</v>
      </c>
      <c r="F654" s="8" t="s">
        <v>11</v>
      </c>
      <c r="G654" s="8" t="s">
        <v>17</v>
      </c>
      <c r="H654" s="11" t="s">
        <v>18</v>
      </c>
      <c r="I654" s="8" t="s">
        <v>14</v>
      </c>
    </row>
    <row r="655" customFormat="false" ht="14.25" hidden="false" customHeight="false" outlineLevel="0" collapsed="false">
      <c r="A655" s="8" t="n">
        <v>654</v>
      </c>
      <c r="B655" s="8" t="s">
        <v>66</v>
      </c>
      <c r="C655" s="8" t="s">
        <v>21</v>
      </c>
      <c r="D655" s="9" t="n">
        <v>44033</v>
      </c>
      <c r="E655" s="10" t="n">
        <v>14789.49</v>
      </c>
      <c r="F655" s="8" t="s">
        <v>11</v>
      </c>
      <c r="G655" s="8" t="s">
        <v>12</v>
      </c>
      <c r="H655" s="11" t="s">
        <v>13</v>
      </c>
      <c r="I655" s="8" t="s">
        <v>14</v>
      </c>
    </row>
    <row r="656" customFormat="false" ht="14.25" hidden="false" customHeight="false" outlineLevel="0" collapsed="false">
      <c r="A656" s="8" t="n">
        <v>655</v>
      </c>
      <c r="B656" s="8" t="s">
        <v>66</v>
      </c>
      <c r="C656" s="8" t="s">
        <v>16</v>
      </c>
      <c r="D656" s="9" t="n">
        <v>44033</v>
      </c>
      <c r="E656" s="10" t="n">
        <v>-700406.25</v>
      </c>
      <c r="F656" s="8" t="s">
        <v>34</v>
      </c>
      <c r="G656" s="8" t="s">
        <v>12</v>
      </c>
      <c r="H656" s="11" t="s">
        <v>13</v>
      </c>
      <c r="I656" s="8" t="s">
        <v>14</v>
      </c>
    </row>
    <row r="657" customFormat="false" ht="14.25" hidden="false" customHeight="false" outlineLevel="0" collapsed="false">
      <c r="A657" s="8" t="n">
        <v>656</v>
      </c>
      <c r="B657" s="8" t="s">
        <v>66</v>
      </c>
      <c r="C657" s="8" t="s">
        <v>10</v>
      </c>
      <c r="D657" s="9" t="n">
        <v>44033</v>
      </c>
      <c r="E657" s="10" t="n">
        <v>-3179.4</v>
      </c>
      <c r="F657" s="8" t="s">
        <v>34</v>
      </c>
      <c r="G657" s="8" t="s">
        <v>17</v>
      </c>
      <c r="H657" s="11" t="s">
        <v>18</v>
      </c>
      <c r="I657" s="8" t="s">
        <v>14</v>
      </c>
    </row>
    <row r="658" customFormat="false" ht="14.25" hidden="false" customHeight="false" outlineLevel="0" collapsed="false">
      <c r="A658" s="8" t="n">
        <v>657</v>
      </c>
      <c r="B658" s="8" t="s">
        <v>130</v>
      </c>
      <c r="C658" s="8" t="s">
        <v>28</v>
      </c>
      <c r="D658" s="9" t="n">
        <v>44037</v>
      </c>
      <c r="E658" s="10" t="n">
        <v>-6848.21</v>
      </c>
      <c r="F658" s="8" t="s">
        <v>34</v>
      </c>
      <c r="G658" s="8" t="s">
        <v>36</v>
      </c>
      <c r="H658" s="11" t="s">
        <v>37</v>
      </c>
      <c r="I658" s="8" t="s">
        <v>24</v>
      </c>
    </row>
    <row r="659" customFormat="false" ht="14.25" hidden="false" customHeight="false" outlineLevel="0" collapsed="false">
      <c r="A659" s="8" t="n">
        <v>658</v>
      </c>
      <c r="B659" s="8" t="s">
        <v>40</v>
      </c>
      <c r="C659" s="8" t="s">
        <v>28</v>
      </c>
      <c r="D659" s="9" t="n">
        <v>44038</v>
      </c>
      <c r="E659" s="10" t="n">
        <v>-2708.9</v>
      </c>
      <c r="F659" s="8" t="s">
        <v>34</v>
      </c>
      <c r="G659" s="8" t="s">
        <v>17</v>
      </c>
      <c r="H659" s="11" t="s">
        <v>18</v>
      </c>
      <c r="I659" s="8" t="s">
        <v>14</v>
      </c>
    </row>
    <row r="660" customFormat="false" ht="14.25" hidden="false" customHeight="false" outlineLevel="0" collapsed="false">
      <c r="A660" s="8" t="n">
        <v>659</v>
      </c>
      <c r="B660" s="8" t="s">
        <v>27</v>
      </c>
      <c r="C660" s="8" t="s">
        <v>10</v>
      </c>
      <c r="D660" s="9" t="n">
        <v>44038</v>
      </c>
      <c r="E660" s="10" t="n">
        <v>-7817.36</v>
      </c>
      <c r="F660" s="8" t="s">
        <v>34</v>
      </c>
      <c r="G660" s="8" t="s">
        <v>22</v>
      </c>
      <c r="H660" s="11" t="s">
        <v>23</v>
      </c>
      <c r="I660" s="8" t="s">
        <v>14</v>
      </c>
    </row>
    <row r="661" customFormat="false" ht="14.25" hidden="false" customHeight="false" outlineLevel="0" collapsed="false">
      <c r="A661" s="8" t="n">
        <v>660</v>
      </c>
      <c r="B661" s="8" t="s">
        <v>27</v>
      </c>
      <c r="C661" s="8" t="s">
        <v>21</v>
      </c>
      <c r="D661" s="9" t="n">
        <v>44038</v>
      </c>
      <c r="E661" s="10" t="n">
        <v>-1968.82</v>
      </c>
      <c r="F661" s="8" t="s">
        <v>34</v>
      </c>
      <c r="G661" s="8" t="s">
        <v>12</v>
      </c>
      <c r="H661" s="11" t="s">
        <v>13</v>
      </c>
      <c r="I661" s="8" t="s">
        <v>14</v>
      </c>
    </row>
    <row r="662" customFormat="false" ht="14.25" hidden="false" customHeight="false" outlineLevel="0" collapsed="false">
      <c r="A662" s="8" t="n">
        <v>661</v>
      </c>
      <c r="B662" s="8" t="s">
        <v>27</v>
      </c>
      <c r="C662" s="8" t="s">
        <v>28</v>
      </c>
      <c r="D662" s="9" t="n">
        <v>44038</v>
      </c>
      <c r="E662" s="10" t="n">
        <v>-803.36</v>
      </c>
      <c r="F662" s="8" t="s">
        <v>34</v>
      </c>
      <c r="G662" s="8" t="s">
        <v>12</v>
      </c>
      <c r="H662" s="11" t="s">
        <v>13</v>
      </c>
      <c r="I662" s="8" t="s">
        <v>19</v>
      </c>
    </row>
    <row r="663" customFormat="false" ht="14.25" hidden="false" customHeight="false" outlineLevel="0" collapsed="false">
      <c r="A663" s="8" t="n">
        <v>662</v>
      </c>
      <c r="B663" s="8" t="s">
        <v>29</v>
      </c>
      <c r="C663" s="8" t="s">
        <v>28</v>
      </c>
      <c r="D663" s="9" t="n">
        <v>44040</v>
      </c>
      <c r="E663" s="10" t="n">
        <v>-542.47</v>
      </c>
      <c r="F663" s="8" t="s">
        <v>34</v>
      </c>
      <c r="G663" s="8" t="s">
        <v>22</v>
      </c>
      <c r="H663" s="11" t="s">
        <v>23</v>
      </c>
      <c r="I663" s="8" t="s">
        <v>14</v>
      </c>
    </row>
    <row r="664" customFormat="false" ht="14.25" hidden="false" customHeight="false" outlineLevel="0" collapsed="false">
      <c r="A664" s="8" t="n">
        <v>663</v>
      </c>
      <c r="B664" s="8" t="s">
        <v>131</v>
      </c>
      <c r="C664" s="8" t="s">
        <v>21</v>
      </c>
      <c r="D664" s="9" t="n">
        <v>44040</v>
      </c>
      <c r="E664" s="10" t="n">
        <v>-1324.61</v>
      </c>
      <c r="F664" s="8" t="s">
        <v>34</v>
      </c>
      <c r="G664" s="8" t="s">
        <v>36</v>
      </c>
      <c r="H664" s="11" t="s">
        <v>37</v>
      </c>
      <c r="I664" s="8" t="s">
        <v>24</v>
      </c>
    </row>
    <row r="665" customFormat="false" ht="14.25" hidden="false" customHeight="false" outlineLevel="0" collapsed="false">
      <c r="A665" s="8" t="n">
        <v>664</v>
      </c>
      <c r="B665" s="8" t="s">
        <v>132</v>
      </c>
      <c r="C665" s="8" t="s">
        <v>28</v>
      </c>
      <c r="D665" s="9" t="n">
        <v>44040</v>
      </c>
      <c r="E665" s="10" t="n">
        <v>-444.22</v>
      </c>
      <c r="F665" s="8" t="s">
        <v>34</v>
      </c>
      <c r="G665" s="8" t="s">
        <v>12</v>
      </c>
      <c r="H665" s="11" t="s">
        <v>13</v>
      </c>
      <c r="I665" s="8" t="s">
        <v>24</v>
      </c>
    </row>
    <row r="666" customFormat="false" ht="14.25" hidden="false" customHeight="false" outlineLevel="0" collapsed="false">
      <c r="A666" s="8" t="n">
        <v>665</v>
      </c>
      <c r="B666" s="8" t="s">
        <v>133</v>
      </c>
      <c r="C666" s="8" t="s">
        <v>21</v>
      </c>
      <c r="D666" s="9" t="n">
        <v>44040</v>
      </c>
      <c r="E666" s="10" t="n">
        <v>13260</v>
      </c>
      <c r="F666" s="8" t="s">
        <v>11</v>
      </c>
      <c r="G666" s="8" t="s">
        <v>12</v>
      </c>
      <c r="H666" s="11" t="s">
        <v>13</v>
      </c>
      <c r="I666" s="8" t="s">
        <v>19</v>
      </c>
    </row>
    <row r="667" customFormat="false" ht="14.25" hidden="false" customHeight="false" outlineLevel="0" collapsed="false">
      <c r="A667" s="8" t="n">
        <v>666</v>
      </c>
      <c r="B667" s="8" t="s">
        <v>134</v>
      </c>
      <c r="C667" s="8" t="s">
        <v>28</v>
      </c>
      <c r="D667" s="9" t="n">
        <v>44040</v>
      </c>
      <c r="E667" s="10" t="n">
        <v>742.48</v>
      </c>
      <c r="F667" s="8" t="s">
        <v>11</v>
      </c>
      <c r="G667" s="8" t="s">
        <v>17</v>
      </c>
      <c r="H667" s="11" t="s">
        <v>18</v>
      </c>
      <c r="I667" s="8" t="s">
        <v>14</v>
      </c>
    </row>
    <row r="668" customFormat="false" ht="14.25" hidden="false" customHeight="false" outlineLevel="0" collapsed="false">
      <c r="A668" s="8" t="n">
        <v>667</v>
      </c>
      <c r="B668" s="8" t="s">
        <v>111</v>
      </c>
      <c r="C668" s="8" t="s">
        <v>10</v>
      </c>
      <c r="D668" s="9" t="n">
        <v>44040</v>
      </c>
      <c r="E668" s="10" t="n">
        <v>47788.02</v>
      </c>
      <c r="F668" s="8" t="s">
        <v>11</v>
      </c>
      <c r="G668" s="8" t="s">
        <v>12</v>
      </c>
      <c r="H668" s="11" t="s">
        <v>13</v>
      </c>
      <c r="I668" s="8" t="s">
        <v>14</v>
      </c>
    </row>
    <row r="669" customFormat="false" ht="14.25" hidden="false" customHeight="false" outlineLevel="0" collapsed="false">
      <c r="A669" s="8" t="n">
        <v>668</v>
      </c>
      <c r="B669" s="8" t="s">
        <v>32</v>
      </c>
      <c r="C669" s="8" t="s">
        <v>21</v>
      </c>
      <c r="D669" s="9" t="n">
        <v>44043</v>
      </c>
      <c r="E669" s="10" t="n">
        <v>45512.4</v>
      </c>
      <c r="F669" s="8" t="s">
        <v>11</v>
      </c>
      <c r="G669" s="8" t="s">
        <v>17</v>
      </c>
      <c r="H669" s="11" t="s">
        <v>18</v>
      </c>
      <c r="I669" s="8" t="s">
        <v>14</v>
      </c>
    </row>
    <row r="670" customFormat="false" ht="14.25" hidden="false" customHeight="false" outlineLevel="0" collapsed="false">
      <c r="A670" s="8" t="n">
        <v>669</v>
      </c>
      <c r="B670" s="8" t="s">
        <v>73</v>
      </c>
      <c r="C670" s="8" t="s">
        <v>28</v>
      </c>
      <c r="D670" s="9" t="n">
        <v>44043</v>
      </c>
      <c r="E670" s="10" t="n">
        <v>-21575.3</v>
      </c>
      <c r="F670" s="8" t="s">
        <v>34</v>
      </c>
      <c r="G670" s="8" t="s">
        <v>17</v>
      </c>
      <c r="H670" s="11" t="s">
        <v>18</v>
      </c>
      <c r="I670" s="8" t="s">
        <v>26</v>
      </c>
    </row>
    <row r="671" customFormat="false" ht="14.25" hidden="false" customHeight="false" outlineLevel="0" collapsed="false">
      <c r="A671" s="8" t="n">
        <v>670</v>
      </c>
      <c r="B671" s="8" t="s">
        <v>61</v>
      </c>
      <c r="C671" s="8" t="s">
        <v>10</v>
      </c>
      <c r="D671" s="9" t="n">
        <v>44043</v>
      </c>
      <c r="E671" s="10" t="n">
        <v>-17101.14</v>
      </c>
      <c r="F671" s="8" t="s">
        <v>34</v>
      </c>
      <c r="G671" s="8" t="s">
        <v>12</v>
      </c>
      <c r="H671" s="11" t="s">
        <v>13</v>
      </c>
      <c r="I671" s="8" t="s">
        <v>24</v>
      </c>
    </row>
    <row r="672" customFormat="false" ht="14.25" hidden="false" customHeight="false" outlineLevel="0" collapsed="false">
      <c r="A672" s="8" t="n">
        <v>671</v>
      </c>
      <c r="B672" s="8" t="s">
        <v>62</v>
      </c>
      <c r="C672" s="8" t="s">
        <v>10</v>
      </c>
      <c r="D672" s="9" t="n">
        <v>44043</v>
      </c>
      <c r="E672" s="10" t="n">
        <v>-15811.74</v>
      </c>
      <c r="F672" s="8" t="s">
        <v>34</v>
      </c>
      <c r="G672" s="8" t="s">
        <v>12</v>
      </c>
      <c r="H672" s="11" t="s">
        <v>13</v>
      </c>
      <c r="I672" s="8" t="s">
        <v>14</v>
      </c>
    </row>
    <row r="673" customFormat="false" ht="14.25" hidden="false" customHeight="false" outlineLevel="0" collapsed="false">
      <c r="A673" s="8" t="n">
        <v>672</v>
      </c>
      <c r="B673" s="8" t="s">
        <v>73</v>
      </c>
      <c r="C673" s="8" t="s">
        <v>10</v>
      </c>
      <c r="D673" s="9" t="n">
        <v>44043</v>
      </c>
      <c r="E673" s="10" t="n">
        <v>-11502.44</v>
      </c>
      <c r="F673" s="8" t="s">
        <v>34</v>
      </c>
      <c r="G673" s="8" t="s">
        <v>17</v>
      </c>
      <c r="H673" s="11" t="s">
        <v>18</v>
      </c>
      <c r="I673" s="8" t="s">
        <v>24</v>
      </c>
    </row>
    <row r="674" customFormat="false" ht="14.25" hidden="false" customHeight="false" outlineLevel="0" collapsed="false">
      <c r="A674" s="8" t="n">
        <v>673</v>
      </c>
      <c r="B674" s="8" t="s">
        <v>61</v>
      </c>
      <c r="C674" s="8" t="s">
        <v>10</v>
      </c>
      <c r="D674" s="9" t="n">
        <v>44043</v>
      </c>
      <c r="E674" s="10" t="n">
        <v>-8443.65</v>
      </c>
      <c r="F674" s="8" t="s">
        <v>34</v>
      </c>
      <c r="G674" s="8" t="s">
        <v>17</v>
      </c>
      <c r="H674" s="11" t="s">
        <v>18</v>
      </c>
      <c r="I674" s="8" t="s">
        <v>19</v>
      </c>
    </row>
    <row r="675" customFormat="false" ht="14.25" hidden="false" customHeight="false" outlineLevel="0" collapsed="false">
      <c r="A675" s="8" t="n">
        <v>674</v>
      </c>
      <c r="B675" s="8" t="s">
        <v>62</v>
      </c>
      <c r="C675" s="8" t="s">
        <v>10</v>
      </c>
      <c r="D675" s="9" t="n">
        <v>44043</v>
      </c>
      <c r="E675" s="10" t="n">
        <v>-18918.13</v>
      </c>
      <c r="F675" s="8" t="s">
        <v>34</v>
      </c>
      <c r="G675" s="8" t="s">
        <v>17</v>
      </c>
      <c r="H675" s="11" t="s">
        <v>18</v>
      </c>
      <c r="I675" s="8" t="s">
        <v>26</v>
      </c>
    </row>
    <row r="676" customFormat="false" ht="14.25" hidden="false" customHeight="false" outlineLevel="0" collapsed="false">
      <c r="A676" s="8" t="n">
        <v>675</v>
      </c>
      <c r="B676" s="8" t="s">
        <v>73</v>
      </c>
      <c r="C676" s="8" t="s">
        <v>16</v>
      </c>
      <c r="D676" s="9" t="n">
        <v>44043</v>
      </c>
      <c r="E676" s="10" t="n">
        <v>-6108.66</v>
      </c>
      <c r="F676" s="8" t="s">
        <v>34</v>
      </c>
      <c r="G676" s="8" t="s">
        <v>17</v>
      </c>
      <c r="H676" s="11" t="s">
        <v>18</v>
      </c>
      <c r="I676" s="8" t="s">
        <v>14</v>
      </c>
    </row>
    <row r="677" customFormat="false" ht="14.25" hidden="false" customHeight="false" outlineLevel="0" collapsed="false">
      <c r="A677" s="8" t="n">
        <v>676</v>
      </c>
      <c r="B677" s="8" t="s">
        <v>61</v>
      </c>
      <c r="C677" s="8" t="s">
        <v>16</v>
      </c>
      <c r="D677" s="9" t="n">
        <v>44043</v>
      </c>
      <c r="E677" s="10" t="n">
        <v>-17322.55</v>
      </c>
      <c r="F677" s="8" t="s">
        <v>34</v>
      </c>
      <c r="G677" s="8" t="s">
        <v>17</v>
      </c>
      <c r="H677" s="11" t="s">
        <v>18</v>
      </c>
      <c r="I677" s="8" t="s">
        <v>24</v>
      </c>
    </row>
    <row r="678" customFormat="false" ht="14.25" hidden="false" customHeight="false" outlineLevel="0" collapsed="false">
      <c r="A678" s="8" t="n">
        <v>677</v>
      </c>
      <c r="B678" s="8" t="s">
        <v>62</v>
      </c>
      <c r="C678" s="8" t="s">
        <v>10</v>
      </c>
      <c r="D678" s="9" t="n">
        <v>44043</v>
      </c>
      <c r="E678" s="10" t="n">
        <v>10676.39</v>
      </c>
      <c r="F678" s="8" t="s">
        <v>11</v>
      </c>
      <c r="G678" s="8" t="s">
        <v>36</v>
      </c>
      <c r="H678" s="11" t="s">
        <v>37</v>
      </c>
      <c r="I678" s="8" t="s">
        <v>14</v>
      </c>
    </row>
    <row r="679" customFormat="false" ht="14.25" hidden="false" customHeight="false" outlineLevel="0" collapsed="false">
      <c r="A679" s="8" t="n">
        <v>678</v>
      </c>
      <c r="B679" s="8" t="s">
        <v>63</v>
      </c>
      <c r="C679" s="8" t="s">
        <v>16</v>
      </c>
      <c r="D679" s="9" t="n">
        <v>44043</v>
      </c>
      <c r="E679" s="10" t="n">
        <v>131071.51</v>
      </c>
      <c r="F679" s="8" t="s">
        <v>11</v>
      </c>
      <c r="G679" s="8" t="s">
        <v>22</v>
      </c>
      <c r="H679" s="11" t="s">
        <v>23</v>
      </c>
      <c r="I679" s="8" t="s">
        <v>14</v>
      </c>
    </row>
    <row r="680" customFormat="false" ht="14.25" hidden="false" customHeight="false" outlineLevel="0" collapsed="false">
      <c r="A680" s="8" t="n">
        <v>679</v>
      </c>
      <c r="B680" s="8" t="s">
        <v>63</v>
      </c>
      <c r="C680" s="8" t="s">
        <v>16</v>
      </c>
      <c r="D680" s="9" t="n">
        <v>44043</v>
      </c>
      <c r="E680" s="10" t="n">
        <v>163.64</v>
      </c>
      <c r="F680" s="8" t="s">
        <v>11</v>
      </c>
      <c r="G680" s="8" t="s">
        <v>17</v>
      </c>
      <c r="H680" s="11" t="s">
        <v>18</v>
      </c>
      <c r="I680" s="8" t="s">
        <v>14</v>
      </c>
    </row>
    <row r="681" customFormat="false" ht="14.25" hidden="false" customHeight="false" outlineLevel="0" collapsed="false">
      <c r="A681" s="8" t="n">
        <v>680</v>
      </c>
      <c r="B681" s="8" t="s">
        <v>63</v>
      </c>
      <c r="C681" s="8" t="s">
        <v>21</v>
      </c>
      <c r="D681" s="9" t="n">
        <v>44043</v>
      </c>
      <c r="E681" s="10" t="n">
        <v>20680.85</v>
      </c>
      <c r="F681" s="8" t="s">
        <v>11</v>
      </c>
      <c r="G681" s="8" t="s">
        <v>17</v>
      </c>
      <c r="H681" s="11" t="s">
        <v>18</v>
      </c>
      <c r="I681" s="8" t="s">
        <v>26</v>
      </c>
    </row>
    <row r="682" customFormat="false" ht="14.25" hidden="false" customHeight="false" outlineLevel="0" collapsed="false">
      <c r="A682" s="8" t="n">
        <v>681</v>
      </c>
      <c r="B682" s="8" t="s">
        <v>125</v>
      </c>
      <c r="C682" s="8" t="s">
        <v>21</v>
      </c>
      <c r="D682" s="9" t="n">
        <v>44044</v>
      </c>
      <c r="E682" s="10" t="n">
        <v>165678.3</v>
      </c>
      <c r="F682" s="8" t="s">
        <v>11</v>
      </c>
      <c r="G682" s="8" t="s">
        <v>22</v>
      </c>
      <c r="H682" s="11" t="s">
        <v>23</v>
      </c>
      <c r="I682" s="8" t="s">
        <v>19</v>
      </c>
    </row>
    <row r="683" customFormat="false" ht="14.25" hidden="false" customHeight="false" outlineLevel="0" collapsed="false">
      <c r="A683" s="8" t="n">
        <v>682</v>
      </c>
      <c r="B683" s="8" t="s">
        <v>125</v>
      </c>
      <c r="C683" s="8" t="s">
        <v>28</v>
      </c>
      <c r="D683" s="9" t="n">
        <v>44044</v>
      </c>
      <c r="E683" s="10" t="n">
        <v>20066.57</v>
      </c>
      <c r="F683" s="8" t="s">
        <v>11</v>
      </c>
      <c r="G683" s="8" t="s">
        <v>12</v>
      </c>
      <c r="H683" s="11" t="s">
        <v>13</v>
      </c>
      <c r="I683" s="8" t="s">
        <v>26</v>
      </c>
    </row>
    <row r="684" customFormat="false" ht="14.25" hidden="false" customHeight="false" outlineLevel="0" collapsed="false">
      <c r="A684" s="8" t="n">
        <v>683</v>
      </c>
      <c r="B684" s="8" t="s">
        <v>125</v>
      </c>
      <c r="C684" s="8" t="s">
        <v>28</v>
      </c>
      <c r="D684" s="9" t="n">
        <v>44044</v>
      </c>
      <c r="E684" s="10" t="n">
        <v>19306.02</v>
      </c>
      <c r="F684" s="8" t="s">
        <v>11</v>
      </c>
      <c r="G684" s="8" t="s">
        <v>17</v>
      </c>
      <c r="H684" s="11" t="s">
        <v>18</v>
      </c>
      <c r="I684" s="8" t="s">
        <v>26</v>
      </c>
    </row>
    <row r="685" customFormat="false" ht="14.25" hidden="false" customHeight="false" outlineLevel="0" collapsed="false">
      <c r="A685" s="8" t="n">
        <v>684</v>
      </c>
      <c r="B685" s="8" t="s">
        <v>125</v>
      </c>
      <c r="C685" s="8" t="s">
        <v>21</v>
      </c>
      <c r="D685" s="9" t="n">
        <v>44044</v>
      </c>
      <c r="E685" s="10" t="n">
        <v>-1554300.18</v>
      </c>
      <c r="F685" s="8" t="s">
        <v>34</v>
      </c>
      <c r="G685" s="8" t="s">
        <v>17</v>
      </c>
      <c r="H685" s="11" t="s">
        <v>18</v>
      </c>
      <c r="I685" s="8" t="s">
        <v>26</v>
      </c>
    </row>
    <row r="686" customFormat="false" ht="14.25" hidden="false" customHeight="false" outlineLevel="0" collapsed="false">
      <c r="A686" s="8" t="n">
        <v>685</v>
      </c>
      <c r="B686" s="8" t="s">
        <v>125</v>
      </c>
      <c r="C686" s="8" t="s">
        <v>28</v>
      </c>
      <c r="D686" s="9" t="n">
        <v>44044</v>
      </c>
      <c r="E686" s="10" t="n">
        <v>5157.8</v>
      </c>
      <c r="F686" s="8" t="s">
        <v>11</v>
      </c>
      <c r="G686" s="8" t="s">
        <v>12</v>
      </c>
      <c r="H686" s="11" t="s">
        <v>13</v>
      </c>
      <c r="I686" s="8" t="s">
        <v>14</v>
      </c>
    </row>
    <row r="687" customFormat="false" ht="14.25" hidden="false" customHeight="false" outlineLevel="0" collapsed="false">
      <c r="A687" s="8" t="n">
        <v>686</v>
      </c>
      <c r="B687" s="8" t="s">
        <v>125</v>
      </c>
      <c r="C687" s="8" t="s">
        <v>28</v>
      </c>
      <c r="D687" s="9" t="n">
        <v>44044</v>
      </c>
      <c r="E687" s="10" t="n">
        <v>2439.5</v>
      </c>
      <c r="F687" s="8" t="s">
        <v>11</v>
      </c>
      <c r="G687" s="8" t="s">
        <v>12</v>
      </c>
      <c r="H687" s="11" t="s">
        <v>13</v>
      </c>
      <c r="I687" s="8" t="s">
        <v>14</v>
      </c>
    </row>
    <row r="688" customFormat="false" ht="14.25" hidden="false" customHeight="false" outlineLevel="0" collapsed="false">
      <c r="A688" s="8" t="n">
        <v>687</v>
      </c>
      <c r="B688" s="8" t="s">
        <v>125</v>
      </c>
      <c r="C688" s="8" t="s">
        <v>28</v>
      </c>
      <c r="D688" s="9" t="n">
        <v>44044</v>
      </c>
      <c r="E688" s="10" t="n">
        <v>3275.9</v>
      </c>
      <c r="F688" s="8" t="s">
        <v>11</v>
      </c>
      <c r="G688" s="8" t="s">
        <v>36</v>
      </c>
      <c r="H688" s="11" t="s">
        <v>37</v>
      </c>
      <c r="I688" s="8" t="s">
        <v>14</v>
      </c>
    </row>
    <row r="689" customFormat="false" ht="14.25" hidden="false" customHeight="false" outlineLevel="0" collapsed="false">
      <c r="A689" s="8" t="n">
        <v>688</v>
      </c>
      <c r="B689" s="8" t="s">
        <v>51</v>
      </c>
      <c r="C689" s="8" t="s">
        <v>10</v>
      </c>
      <c r="D689" s="9" t="n">
        <v>44044</v>
      </c>
      <c r="E689" s="10" t="n">
        <v>2788</v>
      </c>
      <c r="F689" s="8" t="s">
        <v>11</v>
      </c>
      <c r="G689" s="8" t="s">
        <v>22</v>
      </c>
      <c r="H689" s="11" t="s">
        <v>23</v>
      </c>
      <c r="I689" s="8" t="s">
        <v>19</v>
      </c>
    </row>
    <row r="690" customFormat="false" ht="14.25" hidden="false" customHeight="false" outlineLevel="0" collapsed="false">
      <c r="A690" s="8" t="n">
        <v>689</v>
      </c>
      <c r="B690" s="8" t="s">
        <v>101</v>
      </c>
      <c r="C690" s="8" t="s">
        <v>28</v>
      </c>
      <c r="D690" s="9" t="n">
        <v>44045</v>
      </c>
      <c r="E690" s="10" t="n">
        <v>4879</v>
      </c>
      <c r="F690" s="8" t="s">
        <v>11</v>
      </c>
      <c r="G690" s="8" t="s">
        <v>17</v>
      </c>
      <c r="H690" s="11" t="s">
        <v>18</v>
      </c>
      <c r="I690" s="8" t="s">
        <v>14</v>
      </c>
    </row>
    <row r="691" customFormat="false" ht="14.25" hidden="false" customHeight="false" outlineLevel="0" collapsed="false">
      <c r="A691" s="8" t="n">
        <v>690</v>
      </c>
      <c r="B691" s="8" t="s">
        <v>41</v>
      </c>
      <c r="C691" s="8" t="s">
        <v>21</v>
      </c>
      <c r="D691" s="9" t="n">
        <v>44045</v>
      </c>
      <c r="E691" s="10" t="n">
        <v>2439.5</v>
      </c>
      <c r="F691" s="8" t="s">
        <v>11</v>
      </c>
      <c r="G691" s="8" t="s">
        <v>36</v>
      </c>
      <c r="H691" s="11" t="s">
        <v>37</v>
      </c>
      <c r="I691" s="8" t="s">
        <v>14</v>
      </c>
    </row>
    <row r="692" customFormat="false" ht="14.25" hidden="false" customHeight="false" outlineLevel="0" collapsed="false">
      <c r="A692" s="8" t="n">
        <v>691</v>
      </c>
      <c r="B692" s="8" t="s">
        <v>20</v>
      </c>
      <c r="C692" s="8" t="s">
        <v>28</v>
      </c>
      <c r="D692" s="9" t="n">
        <v>44045</v>
      </c>
      <c r="E692" s="10" t="n">
        <v>4879</v>
      </c>
      <c r="F692" s="8" t="s">
        <v>11</v>
      </c>
      <c r="G692" s="8" t="s">
        <v>12</v>
      </c>
      <c r="H692" s="11" t="s">
        <v>13</v>
      </c>
      <c r="I692" s="8" t="s">
        <v>14</v>
      </c>
    </row>
    <row r="693" customFormat="false" ht="14.25" hidden="false" customHeight="false" outlineLevel="0" collapsed="false">
      <c r="A693" s="8" t="n">
        <v>692</v>
      </c>
      <c r="B693" s="8" t="s">
        <v>20</v>
      </c>
      <c r="C693" s="8" t="s">
        <v>28</v>
      </c>
      <c r="D693" s="9" t="n">
        <v>44045</v>
      </c>
      <c r="E693" s="10" t="n">
        <v>3275.9</v>
      </c>
      <c r="F693" s="8" t="s">
        <v>11</v>
      </c>
      <c r="G693" s="8" t="s">
        <v>17</v>
      </c>
      <c r="H693" s="11" t="s">
        <v>18</v>
      </c>
      <c r="I693" s="8" t="s">
        <v>14</v>
      </c>
    </row>
    <row r="694" customFormat="false" ht="14.25" hidden="false" customHeight="false" outlineLevel="0" collapsed="false">
      <c r="A694" s="8" t="n">
        <v>693</v>
      </c>
      <c r="B694" s="8" t="s">
        <v>20</v>
      </c>
      <c r="C694" s="8" t="s">
        <v>10</v>
      </c>
      <c r="D694" s="9" t="n">
        <v>44045</v>
      </c>
      <c r="E694" s="10" t="n">
        <v>2788</v>
      </c>
      <c r="F694" s="8" t="s">
        <v>11</v>
      </c>
      <c r="G694" s="8" t="s">
        <v>17</v>
      </c>
      <c r="H694" s="11" t="s">
        <v>18</v>
      </c>
      <c r="I694" s="8" t="s">
        <v>14</v>
      </c>
    </row>
    <row r="695" customFormat="false" ht="14.25" hidden="false" customHeight="false" outlineLevel="0" collapsed="false">
      <c r="A695" s="8" t="n">
        <v>694</v>
      </c>
      <c r="B695" s="8" t="s">
        <v>20</v>
      </c>
      <c r="C695" s="8" t="s">
        <v>16</v>
      </c>
      <c r="D695" s="9" t="n">
        <v>44045</v>
      </c>
      <c r="E695" s="10" t="n">
        <v>2866.06</v>
      </c>
      <c r="F695" s="8" t="s">
        <v>11</v>
      </c>
      <c r="G695" s="8" t="s">
        <v>30</v>
      </c>
      <c r="H695" s="11" t="s">
        <v>31</v>
      </c>
      <c r="I695" s="8" t="s">
        <v>24</v>
      </c>
    </row>
    <row r="696" customFormat="false" ht="14.25" hidden="false" customHeight="false" outlineLevel="0" collapsed="false">
      <c r="A696" s="8" t="n">
        <v>695</v>
      </c>
      <c r="B696" s="8" t="s">
        <v>39</v>
      </c>
      <c r="C696" s="8" t="s">
        <v>21</v>
      </c>
      <c r="D696" s="9" t="n">
        <v>44047</v>
      </c>
      <c r="E696" s="10" t="n">
        <v>2863.28</v>
      </c>
      <c r="F696" s="8" t="s">
        <v>11</v>
      </c>
      <c r="G696" s="8" t="s">
        <v>22</v>
      </c>
      <c r="H696" s="11" t="s">
        <v>23</v>
      </c>
      <c r="I696" s="8" t="s">
        <v>14</v>
      </c>
    </row>
    <row r="697" customFormat="false" ht="14.25" hidden="false" customHeight="false" outlineLevel="0" collapsed="false">
      <c r="A697" s="8" t="n">
        <v>696</v>
      </c>
      <c r="B697" s="8" t="s">
        <v>52</v>
      </c>
      <c r="C697" s="8" t="s">
        <v>28</v>
      </c>
      <c r="D697" s="9" t="n">
        <v>44050</v>
      </c>
      <c r="E697" s="10" t="n">
        <v>4752.25</v>
      </c>
      <c r="F697" s="8" t="s">
        <v>11</v>
      </c>
      <c r="G697" s="8" t="s">
        <v>12</v>
      </c>
      <c r="H697" s="11" t="s">
        <v>13</v>
      </c>
      <c r="I697" s="8" t="s">
        <v>26</v>
      </c>
    </row>
    <row r="698" customFormat="false" ht="14.25" hidden="false" customHeight="false" outlineLevel="0" collapsed="false">
      <c r="A698" s="8" t="n">
        <v>697</v>
      </c>
      <c r="B698" s="8" t="s">
        <v>66</v>
      </c>
      <c r="C698" s="8" t="s">
        <v>28</v>
      </c>
      <c r="D698" s="9" t="n">
        <v>44050</v>
      </c>
      <c r="E698" s="10" t="n">
        <v>5441.24</v>
      </c>
      <c r="F698" s="8" t="s">
        <v>11</v>
      </c>
      <c r="G698" s="8" t="s">
        <v>17</v>
      </c>
      <c r="H698" s="11" t="s">
        <v>18</v>
      </c>
      <c r="I698" s="8" t="s">
        <v>19</v>
      </c>
    </row>
    <row r="699" customFormat="false" ht="14.25" hidden="false" customHeight="false" outlineLevel="0" collapsed="false">
      <c r="A699" s="8" t="n">
        <v>698</v>
      </c>
      <c r="B699" s="8" t="s">
        <v>52</v>
      </c>
      <c r="C699" s="8" t="s">
        <v>21</v>
      </c>
      <c r="D699" s="9" t="n">
        <v>44050</v>
      </c>
      <c r="E699" s="10" t="n">
        <v>4842.69</v>
      </c>
      <c r="F699" s="8" t="s">
        <v>11</v>
      </c>
      <c r="G699" s="8" t="s">
        <v>12</v>
      </c>
      <c r="H699" s="11" t="s">
        <v>13</v>
      </c>
      <c r="I699" s="8" t="s">
        <v>26</v>
      </c>
    </row>
    <row r="700" customFormat="false" ht="14.25" hidden="false" customHeight="false" outlineLevel="0" collapsed="false">
      <c r="A700" s="8" t="n">
        <v>699</v>
      </c>
      <c r="B700" s="8" t="s">
        <v>52</v>
      </c>
      <c r="C700" s="8" t="s">
        <v>28</v>
      </c>
      <c r="D700" s="9" t="n">
        <v>44050</v>
      </c>
      <c r="E700" s="10" t="n">
        <v>5128.9</v>
      </c>
      <c r="F700" s="8" t="s">
        <v>11</v>
      </c>
      <c r="G700" s="8" t="s">
        <v>36</v>
      </c>
      <c r="H700" s="11" t="s">
        <v>37</v>
      </c>
      <c r="I700" s="8" t="s">
        <v>26</v>
      </c>
    </row>
    <row r="701" customFormat="false" ht="14.25" hidden="false" customHeight="false" outlineLevel="0" collapsed="false">
      <c r="A701" s="8" t="n">
        <v>700</v>
      </c>
      <c r="B701" s="8" t="s">
        <v>66</v>
      </c>
      <c r="C701" s="8" t="s">
        <v>16</v>
      </c>
      <c r="D701" s="9" t="n">
        <v>44050</v>
      </c>
      <c r="E701" s="10" t="n">
        <v>5128.9</v>
      </c>
      <c r="F701" s="8" t="s">
        <v>11</v>
      </c>
      <c r="G701" s="8" t="s">
        <v>12</v>
      </c>
      <c r="H701" s="11" t="s">
        <v>13</v>
      </c>
      <c r="I701" s="8" t="s">
        <v>14</v>
      </c>
    </row>
    <row r="702" customFormat="false" ht="14.25" hidden="false" customHeight="false" outlineLevel="0" collapsed="false">
      <c r="A702" s="8" t="n">
        <v>701</v>
      </c>
      <c r="B702" s="8" t="s">
        <v>66</v>
      </c>
      <c r="C702" s="8" t="s">
        <v>21</v>
      </c>
      <c r="D702" s="9" t="n">
        <v>44050</v>
      </c>
      <c r="E702" s="10" t="n">
        <v>2564.45</v>
      </c>
      <c r="F702" s="8" t="s">
        <v>11</v>
      </c>
      <c r="G702" s="8" t="s">
        <v>22</v>
      </c>
      <c r="H702" s="11" t="s">
        <v>23</v>
      </c>
      <c r="I702" s="8" t="s">
        <v>14</v>
      </c>
    </row>
    <row r="703" customFormat="false" ht="14.25" hidden="false" customHeight="false" outlineLevel="0" collapsed="false">
      <c r="A703" s="8" t="n">
        <v>702</v>
      </c>
      <c r="B703" s="8" t="s">
        <v>66</v>
      </c>
      <c r="C703" s="8" t="s">
        <v>16</v>
      </c>
      <c r="D703" s="9" t="n">
        <v>44050</v>
      </c>
      <c r="E703" s="10" t="n">
        <v>2784.26</v>
      </c>
      <c r="F703" s="8" t="s">
        <v>11</v>
      </c>
      <c r="G703" s="8" t="s">
        <v>17</v>
      </c>
      <c r="H703" s="11" t="s">
        <v>18</v>
      </c>
      <c r="I703" s="8" t="s">
        <v>14</v>
      </c>
    </row>
    <row r="704" customFormat="false" ht="14.25" hidden="false" customHeight="false" outlineLevel="0" collapsed="false">
      <c r="A704" s="8" t="n">
        <v>703</v>
      </c>
      <c r="B704" s="8" t="s">
        <v>66</v>
      </c>
      <c r="C704" s="8" t="s">
        <v>28</v>
      </c>
      <c r="D704" s="9" t="n">
        <v>44050</v>
      </c>
      <c r="E704" s="10" t="n">
        <v>164492.44</v>
      </c>
      <c r="F704" s="8" t="s">
        <v>11</v>
      </c>
      <c r="G704" s="8" t="s">
        <v>17</v>
      </c>
      <c r="H704" s="11" t="s">
        <v>18</v>
      </c>
      <c r="I704" s="8" t="s">
        <v>24</v>
      </c>
    </row>
    <row r="705" customFormat="false" ht="14.25" hidden="false" customHeight="false" outlineLevel="0" collapsed="false">
      <c r="A705" s="8" t="n">
        <v>704</v>
      </c>
      <c r="B705" s="8" t="s">
        <v>66</v>
      </c>
      <c r="C705" s="8" t="s">
        <v>10</v>
      </c>
      <c r="D705" s="9" t="n">
        <v>44050</v>
      </c>
      <c r="E705" s="10" t="n">
        <v>2564.45</v>
      </c>
      <c r="F705" s="8" t="s">
        <v>11</v>
      </c>
      <c r="G705" s="8" t="s">
        <v>12</v>
      </c>
      <c r="H705" s="11" t="s">
        <v>13</v>
      </c>
      <c r="I705" s="8" t="s">
        <v>19</v>
      </c>
    </row>
    <row r="706" customFormat="false" ht="14.25" hidden="false" customHeight="false" outlineLevel="0" collapsed="false">
      <c r="A706" s="8" t="n">
        <v>705</v>
      </c>
      <c r="B706" s="8" t="s">
        <v>66</v>
      </c>
      <c r="C706" s="8" t="s">
        <v>10</v>
      </c>
      <c r="D706" s="9" t="n">
        <v>44050</v>
      </c>
      <c r="E706" s="10" t="n">
        <v>2784.26</v>
      </c>
      <c r="F706" s="8" t="s">
        <v>11</v>
      </c>
      <c r="G706" s="8" t="s">
        <v>22</v>
      </c>
      <c r="H706" s="11" t="s">
        <v>23</v>
      </c>
      <c r="I706" s="8" t="s">
        <v>26</v>
      </c>
    </row>
    <row r="707" customFormat="false" ht="14.25" hidden="false" customHeight="false" outlineLevel="0" collapsed="false">
      <c r="A707" s="8" t="n">
        <v>706</v>
      </c>
      <c r="B707" s="8" t="s">
        <v>66</v>
      </c>
      <c r="C707" s="8" t="s">
        <v>10</v>
      </c>
      <c r="D707" s="9" t="n">
        <v>44050</v>
      </c>
      <c r="E707" s="10" t="n">
        <v>-1731.45</v>
      </c>
      <c r="F707" s="8" t="s">
        <v>34</v>
      </c>
      <c r="G707" s="8" t="s">
        <v>12</v>
      </c>
      <c r="H707" s="11" t="s">
        <v>13</v>
      </c>
      <c r="I707" s="8" t="s">
        <v>24</v>
      </c>
    </row>
    <row r="708" customFormat="false" ht="14.25" hidden="false" customHeight="false" outlineLevel="0" collapsed="false">
      <c r="A708" s="8" t="n">
        <v>707</v>
      </c>
      <c r="B708" s="8" t="s">
        <v>66</v>
      </c>
      <c r="C708" s="8" t="s">
        <v>10</v>
      </c>
      <c r="D708" s="9" t="n">
        <v>44050</v>
      </c>
      <c r="E708" s="10" t="n">
        <v>-34023.5</v>
      </c>
      <c r="F708" s="8" t="s">
        <v>34</v>
      </c>
      <c r="G708" s="8" t="s">
        <v>12</v>
      </c>
      <c r="H708" s="11" t="s">
        <v>13</v>
      </c>
      <c r="I708" s="8" t="s">
        <v>14</v>
      </c>
    </row>
    <row r="709" customFormat="false" ht="14.25" hidden="false" customHeight="false" outlineLevel="0" collapsed="false">
      <c r="A709" s="8" t="n">
        <v>708</v>
      </c>
      <c r="B709" s="8" t="s">
        <v>66</v>
      </c>
      <c r="C709" s="8" t="s">
        <v>28</v>
      </c>
      <c r="D709" s="9" t="n">
        <v>44050</v>
      </c>
      <c r="E709" s="10" t="n">
        <v>-33452.27</v>
      </c>
      <c r="F709" s="8" t="s">
        <v>34</v>
      </c>
      <c r="G709" s="8" t="s">
        <v>12</v>
      </c>
      <c r="H709" s="11" t="s">
        <v>13</v>
      </c>
      <c r="I709" s="8" t="s">
        <v>26</v>
      </c>
    </row>
    <row r="710" customFormat="false" ht="14.25" hidden="false" customHeight="false" outlineLevel="0" collapsed="false">
      <c r="A710" s="8" t="n">
        <v>709</v>
      </c>
      <c r="B710" s="8" t="s">
        <v>77</v>
      </c>
      <c r="C710" s="8" t="s">
        <v>10</v>
      </c>
      <c r="D710" s="9" t="n">
        <v>44052</v>
      </c>
      <c r="E710" s="10" t="n">
        <v>-9051.91</v>
      </c>
      <c r="F710" s="8" t="s">
        <v>34</v>
      </c>
      <c r="G710" s="8" t="s">
        <v>36</v>
      </c>
      <c r="H710" s="11" t="s">
        <v>37</v>
      </c>
      <c r="I710" s="8" t="s">
        <v>14</v>
      </c>
    </row>
    <row r="711" customFormat="false" ht="14.25" hidden="false" customHeight="false" outlineLevel="0" collapsed="false">
      <c r="A711" s="8" t="n">
        <v>710</v>
      </c>
      <c r="B711" s="8" t="s">
        <v>9</v>
      </c>
      <c r="C711" s="8" t="s">
        <v>16</v>
      </c>
      <c r="D711" s="9" t="n">
        <v>44052</v>
      </c>
      <c r="E711" s="10" t="n">
        <v>48497.91</v>
      </c>
      <c r="F711" s="8" t="s">
        <v>11</v>
      </c>
      <c r="G711" s="8" t="s">
        <v>36</v>
      </c>
      <c r="H711" s="11" t="s">
        <v>37</v>
      </c>
      <c r="I711" s="8" t="s">
        <v>26</v>
      </c>
    </row>
    <row r="712" customFormat="false" ht="14.25" hidden="false" customHeight="false" outlineLevel="0" collapsed="false">
      <c r="A712" s="8" t="n">
        <v>711</v>
      </c>
      <c r="B712" s="8" t="s">
        <v>45</v>
      </c>
      <c r="C712" s="8" t="s">
        <v>16</v>
      </c>
      <c r="D712" s="9" t="n">
        <v>44052</v>
      </c>
      <c r="E712" s="10" t="n">
        <v>73907.5</v>
      </c>
      <c r="F712" s="8" t="s">
        <v>11</v>
      </c>
      <c r="G712" s="8" t="s">
        <v>12</v>
      </c>
      <c r="H712" s="11" t="s">
        <v>13</v>
      </c>
      <c r="I712" s="8" t="s">
        <v>14</v>
      </c>
    </row>
    <row r="713" customFormat="false" ht="14.25" hidden="false" customHeight="false" outlineLevel="0" collapsed="false">
      <c r="A713" s="8" t="n">
        <v>712</v>
      </c>
      <c r="B713" s="8" t="s">
        <v>44</v>
      </c>
      <c r="C713" s="8" t="s">
        <v>28</v>
      </c>
      <c r="D713" s="9" t="n">
        <v>44052</v>
      </c>
      <c r="E713" s="10" t="n">
        <v>78508.58</v>
      </c>
      <c r="F713" s="8" t="s">
        <v>11</v>
      </c>
      <c r="G713" s="8" t="s">
        <v>12</v>
      </c>
      <c r="H713" s="11" t="s">
        <v>13</v>
      </c>
      <c r="I713" s="8" t="s">
        <v>14</v>
      </c>
    </row>
    <row r="714" customFormat="false" ht="14.25" hidden="false" customHeight="false" outlineLevel="0" collapsed="false">
      <c r="A714" s="8" t="n">
        <v>713</v>
      </c>
      <c r="B714" s="8" t="s">
        <v>44</v>
      </c>
      <c r="C714" s="8" t="s">
        <v>21</v>
      </c>
      <c r="D714" s="9" t="n">
        <v>44052</v>
      </c>
      <c r="E714" s="10" t="n">
        <v>-1075800.83</v>
      </c>
      <c r="F714" s="8" t="s">
        <v>34</v>
      </c>
      <c r="G714" s="8" t="s">
        <v>12</v>
      </c>
      <c r="H714" s="11" t="s">
        <v>13</v>
      </c>
      <c r="I714" s="8" t="s">
        <v>14</v>
      </c>
    </row>
    <row r="715" customFormat="false" ht="14.25" hidden="false" customHeight="false" outlineLevel="0" collapsed="false">
      <c r="A715" s="8" t="n">
        <v>714</v>
      </c>
      <c r="B715" s="8" t="s">
        <v>57</v>
      </c>
      <c r="C715" s="8" t="s">
        <v>16</v>
      </c>
      <c r="D715" s="9" t="n">
        <v>44052</v>
      </c>
      <c r="E715" s="10" t="n">
        <v>50343.85</v>
      </c>
      <c r="F715" s="8" t="s">
        <v>11</v>
      </c>
      <c r="G715" s="8" t="s">
        <v>12</v>
      </c>
      <c r="H715" s="11" t="s">
        <v>13</v>
      </c>
      <c r="I715" s="8" t="s">
        <v>14</v>
      </c>
    </row>
    <row r="716" customFormat="false" ht="14.25" hidden="false" customHeight="false" outlineLevel="0" collapsed="false">
      <c r="A716" s="8" t="n">
        <v>715</v>
      </c>
      <c r="B716" s="8" t="s">
        <v>72</v>
      </c>
      <c r="C716" s="8" t="s">
        <v>10</v>
      </c>
      <c r="D716" s="9" t="n">
        <v>44052</v>
      </c>
      <c r="E716" s="10" t="n">
        <v>14229.71</v>
      </c>
      <c r="F716" s="8" t="s">
        <v>11</v>
      </c>
      <c r="G716" s="8" t="s">
        <v>36</v>
      </c>
      <c r="H716" s="11" t="s">
        <v>37</v>
      </c>
      <c r="I716" s="8" t="s">
        <v>14</v>
      </c>
    </row>
    <row r="717" customFormat="false" ht="14.25" hidden="false" customHeight="false" outlineLevel="0" collapsed="false">
      <c r="A717" s="8" t="n">
        <v>716</v>
      </c>
      <c r="B717" s="8" t="s">
        <v>79</v>
      </c>
      <c r="C717" s="8" t="s">
        <v>28</v>
      </c>
      <c r="D717" s="9" t="n">
        <v>44052</v>
      </c>
      <c r="E717" s="10" t="n">
        <v>12365.96</v>
      </c>
      <c r="F717" s="8" t="s">
        <v>11</v>
      </c>
      <c r="G717" s="8" t="s">
        <v>12</v>
      </c>
      <c r="H717" s="11" t="s">
        <v>13</v>
      </c>
      <c r="I717" s="8" t="s">
        <v>26</v>
      </c>
    </row>
    <row r="718" customFormat="false" ht="14.25" hidden="false" customHeight="false" outlineLevel="0" collapsed="false">
      <c r="A718" s="8" t="n">
        <v>717</v>
      </c>
      <c r="B718" s="8" t="s">
        <v>45</v>
      </c>
      <c r="C718" s="8" t="s">
        <v>10</v>
      </c>
      <c r="D718" s="9" t="n">
        <v>44052</v>
      </c>
      <c r="E718" s="10" t="n">
        <v>13411.49</v>
      </c>
      <c r="F718" s="8" t="s">
        <v>11</v>
      </c>
      <c r="G718" s="8" t="s">
        <v>22</v>
      </c>
      <c r="H718" s="11" t="s">
        <v>23</v>
      </c>
      <c r="I718" s="8" t="s">
        <v>26</v>
      </c>
    </row>
    <row r="719" customFormat="false" ht="14.25" hidden="false" customHeight="false" outlineLevel="0" collapsed="false">
      <c r="A719" s="8" t="n">
        <v>718</v>
      </c>
      <c r="B719" s="8" t="s">
        <v>49</v>
      </c>
      <c r="C719" s="8" t="s">
        <v>16</v>
      </c>
      <c r="D719" s="9" t="n">
        <v>44052</v>
      </c>
      <c r="E719" s="10" t="n">
        <v>173967.88</v>
      </c>
      <c r="F719" s="8" t="s">
        <v>11</v>
      </c>
      <c r="G719" s="8" t="s">
        <v>12</v>
      </c>
      <c r="H719" s="11" t="s">
        <v>13</v>
      </c>
      <c r="I719" s="8" t="s">
        <v>26</v>
      </c>
    </row>
    <row r="720" customFormat="false" ht="14.25" hidden="false" customHeight="false" outlineLevel="0" collapsed="false">
      <c r="A720" s="8" t="n">
        <v>719</v>
      </c>
      <c r="B720" s="8" t="s">
        <v>57</v>
      </c>
      <c r="C720" s="8" t="s">
        <v>21</v>
      </c>
      <c r="D720" s="9" t="n">
        <v>44052</v>
      </c>
      <c r="E720" s="10" t="n">
        <v>-182.07</v>
      </c>
      <c r="F720" s="8" t="s">
        <v>34</v>
      </c>
      <c r="G720" s="8" t="s">
        <v>12</v>
      </c>
      <c r="H720" s="11" t="s">
        <v>13</v>
      </c>
      <c r="I720" s="8" t="s">
        <v>14</v>
      </c>
    </row>
    <row r="721" customFormat="false" ht="14.25" hidden="false" customHeight="false" outlineLevel="0" collapsed="false">
      <c r="A721" s="8" t="n">
        <v>720</v>
      </c>
      <c r="B721" s="8" t="s">
        <v>72</v>
      </c>
      <c r="C721" s="8" t="s">
        <v>10</v>
      </c>
      <c r="D721" s="9" t="n">
        <v>44052</v>
      </c>
      <c r="E721" s="10" t="n">
        <v>-23317.14</v>
      </c>
      <c r="F721" s="8" t="s">
        <v>34</v>
      </c>
      <c r="G721" s="8" t="s">
        <v>17</v>
      </c>
      <c r="H721" s="11" t="s">
        <v>18</v>
      </c>
      <c r="I721" s="8" t="s">
        <v>14</v>
      </c>
    </row>
    <row r="722" customFormat="false" ht="14.25" hidden="false" customHeight="false" outlineLevel="0" collapsed="false">
      <c r="A722" s="8" t="n">
        <v>721</v>
      </c>
      <c r="B722" s="8" t="s">
        <v>79</v>
      </c>
      <c r="C722" s="8" t="s">
        <v>10</v>
      </c>
      <c r="D722" s="9" t="n">
        <v>44052</v>
      </c>
      <c r="E722" s="10" t="n">
        <v>-50054.38</v>
      </c>
      <c r="F722" s="8" t="s">
        <v>34</v>
      </c>
      <c r="G722" s="8" t="s">
        <v>17</v>
      </c>
      <c r="H722" s="11" t="s">
        <v>18</v>
      </c>
      <c r="I722" s="8" t="s">
        <v>26</v>
      </c>
    </row>
    <row r="723" customFormat="false" ht="14.25" hidden="false" customHeight="false" outlineLevel="0" collapsed="false">
      <c r="A723" s="8" t="n">
        <v>722</v>
      </c>
      <c r="B723" s="8" t="s">
        <v>47</v>
      </c>
      <c r="C723" s="8" t="s">
        <v>16</v>
      </c>
      <c r="D723" s="9" t="n">
        <v>44052</v>
      </c>
      <c r="E723" s="10" t="n">
        <v>-4146.84</v>
      </c>
      <c r="F723" s="8" t="s">
        <v>34</v>
      </c>
      <c r="G723" s="8" t="s">
        <v>17</v>
      </c>
      <c r="H723" s="11" t="s">
        <v>18</v>
      </c>
      <c r="I723" s="8" t="s">
        <v>24</v>
      </c>
    </row>
    <row r="724" customFormat="false" ht="14.25" hidden="false" customHeight="false" outlineLevel="0" collapsed="false">
      <c r="A724" s="8" t="n">
        <v>723</v>
      </c>
      <c r="B724" s="8" t="s">
        <v>47</v>
      </c>
      <c r="C724" s="8" t="s">
        <v>21</v>
      </c>
      <c r="D724" s="9" t="n">
        <v>44052</v>
      </c>
      <c r="E724" s="10" t="n">
        <v>-838.85</v>
      </c>
      <c r="F724" s="8" t="s">
        <v>34</v>
      </c>
      <c r="G724" s="8" t="s">
        <v>12</v>
      </c>
      <c r="H724" s="11" t="s">
        <v>13</v>
      </c>
      <c r="I724" s="8" t="s">
        <v>26</v>
      </c>
    </row>
    <row r="725" customFormat="false" ht="14.25" hidden="false" customHeight="false" outlineLevel="0" collapsed="false">
      <c r="A725" s="8" t="n">
        <v>724</v>
      </c>
      <c r="B725" s="8" t="s">
        <v>85</v>
      </c>
      <c r="C725" s="8" t="s">
        <v>28</v>
      </c>
      <c r="D725" s="9" t="n">
        <v>44053</v>
      </c>
      <c r="E725" s="10" t="n">
        <v>140153.93</v>
      </c>
      <c r="F725" s="8" t="s">
        <v>11</v>
      </c>
      <c r="G725" s="8" t="s">
        <v>17</v>
      </c>
      <c r="H725" s="11" t="s">
        <v>18</v>
      </c>
      <c r="I725" s="8" t="s">
        <v>14</v>
      </c>
    </row>
    <row r="726" customFormat="false" ht="14.25" hidden="false" customHeight="false" outlineLevel="0" collapsed="false">
      <c r="A726" s="8" t="n">
        <v>725</v>
      </c>
      <c r="B726" s="8" t="s">
        <v>81</v>
      </c>
      <c r="C726" s="8" t="s">
        <v>16</v>
      </c>
      <c r="D726" s="9" t="n">
        <v>44053</v>
      </c>
      <c r="E726" s="10" t="n">
        <v>167782.29</v>
      </c>
      <c r="F726" s="8" t="s">
        <v>11</v>
      </c>
      <c r="G726" s="8" t="s">
        <v>17</v>
      </c>
      <c r="H726" s="11" t="s">
        <v>18</v>
      </c>
      <c r="I726" s="8" t="s">
        <v>14</v>
      </c>
    </row>
    <row r="727" customFormat="false" ht="14.25" hidden="false" customHeight="false" outlineLevel="0" collapsed="false">
      <c r="A727" s="8" t="n">
        <v>726</v>
      </c>
      <c r="B727" s="8" t="s">
        <v>81</v>
      </c>
      <c r="C727" s="8" t="s">
        <v>28</v>
      </c>
      <c r="D727" s="9" t="n">
        <v>44053</v>
      </c>
      <c r="E727" s="10" t="n">
        <v>-1668520.41</v>
      </c>
      <c r="F727" s="8" t="s">
        <v>34</v>
      </c>
      <c r="G727" s="8" t="s">
        <v>36</v>
      </c>
      <c r="H727" s="11" t="s">
        <v>37</v>
      </c>
      <c r="I727" s="8" t="s">
        <v>26</v>
      </c>
    </row>
    <row r="728" customFormat="false" ht="14.25" hidden="false" customHeight="false" outlineLevel="0" collapsed="false">
      <c r="A728" s="8" t="n">
        <v>727</v>
      </c>
      <c r="B728" s="8" t="s">
        <v>81</v>
      </c>
      <c r="C728" s="8" t="s">
        <v>10</v>
      </c>
      <c r="D728" s="9" t="n">
        <v>44053</v>
      </c>
      <c r="E728" s="10" t="n">
        <v>-48696.69</v>
      </c>
      <c r="F728" s="8" t="s">
        <v>34</v>
      </c>
      <c r="G728" s="8" t="s">
        <v>12</v>
      </c>
      <c r="H728" s="11" t="s">
        <v>13</v>
      </c>
      <c r="I728" s="8" t="s">
        <v>14</v>
      </c>
    </row>
    <row r="729" customFormat="false" ht="14.25" hidden="false" customHeight="false" outlineLevel="0" collapsed="false">
      <c r="A729" s="8" t="n">
        <v>728</v>
      </c>
      <c r="B729" s="8" t="s">
        <v>81</v>
      </c>
      <c r="C729" s="8" t="s">
        <v>28</v>
      </c>
      <c r="D729" s="9" t="n">
        <v>44053</v>
      </c>
      <c r="E729" s="10" t="n">
        <v>-38105.9</v>
      </c>
      <c r="F729" s="8" t="s">
        <v>34</v>
      </c>
      <c r="G729" s="8" t="s">
        <v>12</v>
      </c>
      <c r="H729" s="11" t="s">
        <v>13</v>
      </c>
      <c r="I729" s="8" t="s">
        <v>14</v>
      </c>
    </row>
    <row r="730" customFormat="false" ht="14.25" hidden="false" customHeight="false" outlineLevel="0" collapsed="false">
      <c r="A730" s="8" t="n">
        <v>729</v>
      </c>
      <c r="B730" s="8" t="s">
        <v>86</v>
      </c>
      <c r="C730" s="8" t="s">
        <v>16</v>
      </c>
      <c r="D730" s="9" t="n">
        <v>44054</v>
      </c>
      <c r="E730" s="10" t="n">
        <v>-11647.9</v>
      </c>
      <c r="F730" s="8" t="s">
        <v>34</v>
      </c>
      <c r="G730" s="8" t="s">
        <v>22</v>
      </c>
      <c r="H730" s="11" t="s">
        <v>23</v>
      </c>
      <c r="I730" s="8" t="s">
        <v>26</v>
      </c>
    </row>
    <row r="731" customFormat="false" ht="14.25" hidden="false" customHeight="false" outlineLevel="0" collapsed="false">
      <c r="A731" s="8" t="n">
        <v>730</v>
      </c>
      <c r="B731" s="8" t="s">
        <v>39</v>
      </c>
      <c r="C731" s="8" t="s">
        <v>16</v>
      </c>
      <c r="D731" s="9" t="n">
        <v>44054</v>
      </c>
      <c r="E731" s="10" t="n">
        <v>-31673.08</v>
      </c>
      <c r="F731" s="8" t="s">
        <v>34</v>
      </c>
      <c r="G731" s="8" t="s">
        <v>12</v>
      </c>
      <c r="H731" s="11" t="s">
        <v>13</v>
      </c>
      <c r="I731" s="8" t="s">
        <v>19</v>
      </c>
    </row>
    <row r="732" customFormat="false" ht="14.25" hidden="false" customHeight="false" outlineLevel="0" collapsed="false">
      <c r="A732" s="8" t="n">
        <v>731</v>
      </c>
      <c r="B732" s="8" t="s">
        <v>27</v>
      </c>
      <c r="C732" s="8" t="s">
        <v>21</v>
      </c>
      <c r="D732" s="9" t="n">
        <v>44054</v>
      </c>
      <c r="E732" s="10" t="n">
        <v>22655.41</v>
      </c>
      <c r="F732" s="8" t="s">
        <v>11</v>
      </c>
      <c r="G732" s="8" t="s">
        <v>36</v>
      </c>
      <c r="H732" s="11" t="s">
        <v>37</v>
      </c>
      <c r="I732" s="8" t="s">
        <v>14</v>
      </c>
    </row>
    <row r="733" customFormat="false" ht="14.25" hidden="false" customHeight="false" outlineLevel="0" collapsed="false">
      <c r="A733" s="8" t="n">
        <v>732</v>
      </c>
      <c r="B733" s="8" t="s">
        <v>58</v>
      </c>
      <c r="C733" s="8" t="s">
        <v>10</v>
      </c>
      <c r="D733" s="9" t="n">
        <v>44057</v>
      </c>
      <c r="E733" s="10" t="n">
        <v>20685.13</v>
      </c>
      <c r="F733" s="8" t="s">
        <v>11</v>
      </c>
      <c r="G733" s="8" t="s">
        <v>17</v>
      </c>
      <c r="H733" s="11" t="s">
        <v>18</v>
      </c>
      <c r="I733" s="8" t="s">
        <v>24</v>
      </c>
    </row>
    <row r="734" customFormat="false" ht="14.25" hidden="false" customHeight="false" outlineLevel="0" collapsed="false">
      <c r="A734" s="8" t="n">
        <v>733</v>
      </c>
      <c r="B734" s="8" t="s">
        <v>58</v>
      </c>
      <c r="C734" s="8" t="s">
        <v>21</v>
      </c>
      <c r="D734" s="9" t="n">
        <v>44057</v>
      </c>
      <c r="E734" s="10" t="n">
        <v>22187.11</v>
      </c>
      <c r="F734" s="8" t="s">
        <v>11</v>
      </c>
      <c r="G734" s="8" t="s">
        <v>22</v>
      </c>
      <c r="H734" s="11" t="s">
        <v>23</v>
      </c>
      <c r="I734" s="8" t="s">
        <v>26</v>
      </c>
    </row>
    <row r="735" customFormat="false" ht="14.25" hidden="false" customHeight="false" outlineLevel="0" collapsed="false">
      <c r="A735" s="8" t="n">
        <v>734</v>
      </c>
      <c r="B735" s="8" t="s">
        <v>58</v>
      </c>
      <c r="C735" s="8" t="s">
        <v>21</v>
      </c>
      <c r="D735" s="9" t="n">
        <v>44057</v>
      </c>
      <c r="E735" s="10" t="n">
        <v>-12399.1</v>
      </c>
      <c r="F735" s="8" t="s">
        <v>34</v>
      </c>
      <c r="G735" s="8" t="s">
        <v>36</v>
      </c>
      <c r="H735" s="11" t="s">
        <v>37</v>
      </c>
      <c r="I735" s="8" t="s">
        <v>26</v>
      </c>
    </row>
    <row r="736" customFormat="false" ht="14.25" hidden="false" customHeight="false" outlineLevel="0" collapsed="false">
      <c r="A736" s="8" t="n">
        <v>735</v>
      </c>
      <c r="B736" s="8" t="s">
        <v>58</v>
      </c>
      <c r="C736" s="8" t="s">
        <v>28</v>
      </c>
      <c r="D736" s="9" t="n">
        <v>44057</v>
      </c>
      <c r="E736" s="10" t="n">
        <v>-67964.58</v>
      </c>
      <c r="F736" s="8" t="s">
        <v>34</v>
      </c>
      <c r="G736" s="8" t="s">
        <v>12</v>
      </c>
      <c r="H736" s="11" t="s">
        <v>13</v>
      </c>
      <c r="I736" s="8" t="s">
        <v>19</v>
      </c>
    </row>
    <row r="737" customFormat="false" ht="14.25" hidden="false" customHeight="false" outlineLevel="0" collapsed="false">
      <c r="A737" s="8" t="n">
        <v>736</v>
      </c>
      <c r="B737" s="8" t="s">
        <v>58</v>
      </c>
      <c r="C737" s="8" t="s">
        <v>10</v>
      </c>
      <c r="D737" s="9" t="n">
        <v>44057</v>
      </c>
      <c r="E737" s="10" t="n">
        <v>-11458.72</v>
      </c>
      <c r="F737" s="8" t="s">
        <v>34</v>
      </c>
      <c r="G737" s="8" t="s">
        <v>12</v>
      </c>
      <c r="H737" s="11" t="s">
        <v>13</v>
      </c>
      <c r="I737" s="8" t="s">
        <v>24</v>
      </c>
    </row>
    <row r="738" customFormat="false" ht="14.25" hidden="false" customHeight="false" outlineLevel="0" collapsed="false">
      <c r="A738" s="8" t="n">
        <v>737</v>
      </c>
      <c r="B738" s="8" t="s">
        <v>50</v>
      </c>
      <c r="C738" s="8" t="s">
        <v>10</v>
      </c>
      <c r="D738" s="9" t="n">
        <v>44058</v>
      </c>
      <c r="E738" s="10" t="n">
        <v>-20882.58</v>
      </c>
      <c r="F738" s="8" t="s">
        <v>34</v>
      </c>
      <c r="G738" s="8" t="s">
        <v>12</v>
      </c>
      <c r="H738" s="11" t="s">
        <v>13</v>
      </c>
      <c r="I738" s="8" t="s">
        <v>14</v>
      </c>
    </row>
    <row r="739" customFormat="false" ht="14.25" hidden="false" customHeight="false" outlineLevel="0" collapsed="false">
      <c r="A739" s="8" t="n">
        <v>738</v>
      </c>
      <c r="B739" s="8" t="s">
        <v>40</v>
      </c>
      <c r="C739" s="8" t="s">
        <v>28</v>
      </c>
      <c r="D739" s="9" t="n">
        <v>44058</v>
      </c>
      <c r="E739" s="10" t="n">
        <v>-15160.6</v>
      </c>
      <c r="F739" s="8" t="s">
        <v>34</v>
      </c>
      <c r="G739" s="8" t="s">
        <v>12</v>
      </c>
      <c r="H739" s="11" t="s">
        <v>13</v>
      </c>
      <c r="I739" s="8" t="s">
        <v>19</v>
      </c>
    </row>
    <row r="740" customFormat="false" ht="14.25" hidden="false" customHeight="false" outlineLevel="0" collapsed="false">
      <c r="A740" s="8" t="n">
        <v>739</v>
      </c>
      <c r="B740" s="8" t="s">
        <v>85</v>
      </c>
      <c r="C740" s="8" t="s">
        <v>16</v>
      </c>
      <c r="D740" s="9" t="n">
        <v>44059</v>
      </c>
      <c r="E740" s="10" t="n">
        <v>-2264.64</v>
      </c>
      <c r="F740" s="8" t="s">
        <v>34</v>
      </c>
      <c r="G740" s="8" t="s">
        <v>17</v>
      </c>
      <c r="H740" s="11" t="s">
        <v>18</v>
      </c>
      <c r="I740" s="8" t="s">
        <v>24</v>
      </c>
    </row>
    <row r="741" customFormat="false" ht="14.25" hidden="false" customHeight="false" outlineLevel="0" collapsed="false">
      <c r="A741" s="8" t="n">
        <v>740</v>
      </c>
      <c r="B741" s="8" t="s">
        <v>50</v>
      </c>
      <c r="C741" s="8" t="s">
        <v>21</v>
      </c>
      <c r="D741" s="9" t="n">
        <v>44060</v>
      </c>
      <c r="E741" s="10" t="n">
        <v>5691.6</v>
      </c>
      <c r="F741" s="8" t="s">
        <v>11</v>
      </c>
      <c r="G741" s="8" t="s">
        <v>12</v>
      </c>
      <c r="H741" s="11" t="s">
        <v>13</v>
      </c>
      <c r="I741" s="8" t="s">
        <v>14</v>
      </c>
    </row>
    <row r="742" customFormat="false" ht="14.25" hidden="false" customHeight="false" outlineLevel="0" collapsed="false">
      <c r="A742" s="8" t="n">
        <v>741</v>
      </c>
      <c r="B742" s="8" t="s">
        <v>32</v>
      </c>
      <c r="C742" s="8" t="s">
        <v>28</v>
      </c>
      <c r="D742" s="9" t="n">
        <v>44061</v>
      </c>
      <c r="E742" s="10" t="n">
        <v>5691.6</v>
      </c>
      <c r="F742" s="8" t="s">
        <v>11</v>
      </c>
      <c r="G742" s="8" t="s">
        <v>12</v>
      </c>
      <c r="H742" s="11" t="s">
        <v>13</v>
      </c>
      <c r="I742" s="8" t="s">
        <v>19</v>
      </c>
    </row>
    <row r="743" customFormat="false" ht="14.25" hidden="false" customHeight="false" outlineLevel="0" collapsed="false">
      <c r="A743" s="8" t="n">
        <v>742</v>
      </c>
      <c r="B743" s="8" t="s">
        <v>39</v>
      </c>
      <c r="C743" s="8" t="s">
        <v>28</v>
      </c>
      <c r="D743" s="9" t="n">
        <v>44061</v>
      </c>
      <c r="E743" s="10" t="n">
        <v>92126.63</v>
      </c>
      <c r="F743" s="8" t="s">
        <v>11</v>
      </c>
      <c r="G743" s="8" t="s">
        <v>30</v>
      </c>
      <c r="H743" s="11" t="s">
        <v>31</v>
      </c>
      <c r="I743" s="8" t="s">
        <v>26</v>
      </c>
    </row>
    <row r="744" customFormat="false" ht="14.25" hidden="false" customHeight="false" outlineLevel="0" collapsed="false">
      <c r="A744" s="8" t="n">
        <v>743</v>
      </c>
      <c r="B744" s="8" t="s">
        <v>85</v>
      </c>
      <c r="C744" s="8" t="s">
        <v>16</v>
      </c>
      <c r="D744" s="9" t="n">
        <v>44064</v>
      </c>
      <c r="E744" s="10" t="n">
        <v>5691.6</v>
      </c>
      <c r="F744" s="8" t="s">
        <v>11</v>
      </c>
      <c r="G744" s="8" t="s">
        <v>17</v>
      </c>
      <c r="H744" s="11" t="s">
        <v>18</v>
      </c>
      <c r="I744" s="8" t="s">
        <v>26</v>
      </c>
    </row>
    <row r="745" customFormat="false" ht="14.25" hidden="false" customHeight="false" outlineLevel="0" collapsed="false">
      <c r="A745" s="8" t="n">
        <v>744</v>
      </c>
      <c r="B745" s="8" t="s">
        <v>85</v>
      </c>
      <c r="C745" s="8" t="s">
        <v>28</v>
      </c>
      <c r="D745" s="9" t="n">
        <v>44064</v>
      </c>
      <c r="E745" s="10" t="n">
        <v>5691.6</v>
      </c>
      <c r="F745" s="8" t="s">
        <v>11</v>
      </c>
      <c r="G745" s="8" t="s">
        <v>36</v>
      </c>
      <c r="H745" s="11" t="s">
        <v>37</v>
      </c>
      <c r="I745" s="8" t="s">
        <v>26</v>
      </c>
    </row>
    <row r="746" customFormat="false" ht="14.25" hidden="false" customHeight="false" outlineLevel="0" collapsed="false">
      <c r="A746" s="8" t="n">
        <v>745</v>
      </c>
      <c r="B746" s="8" t="s">
        <v>85</v>
      </c>
      <c r="C746" s="8" t="s">
        <v>10</v>
      </c>
      <c r="D746" s="9" t="n">
        <v>44064</v>
      </c>
      <c r="E746" s="10" t="n">
        <v>5691.6</v>
      </c>
      <c r="F746" s="8" t="s">
        <v>11</v>
      </c>
      <c r="G746" s="8" t="s">
        <v>30</v>
      </c>
      <c r="H746" s="11" t="s">
        <v>31</v>
      </c>
      <c r="I746" s="8" t="s">
        <v>14</v>
      </c>
    </row>
    <row r="747" customFormat="false" ht="14.25" hidden="false" customHeight="false" outlineLevel="0" collapsed="false">
      <c r="A747" s="8" t="n">
        <v>746</v>
      </c>
      <c r="B747" s="8" t="s">
        <v>86</v>
      </c>
      <c r="C747" s="8" t="s">
        <v>21</v>
      </c>
      <c r="D747" s="9" t="n">
        <v>44065</v>
      </c>
      <c r="E747" s="10" t="n">
        <v>-785.02</v>
      </c>
      <c r="F747" s="8" t="s">
        <v>34</v>
      </c>
      <c r="G747" s="8" t="s">
        <v>12</v>
      </c>
      <c r="H747" s="11" t="s">
        <v>13</v>
      </c>
      <c r="I747" s="8" t="s">
        <v>14</v>
      </c>
    </row>
    <row r="748" customFormat="false" ht="14.25" hidden="false" customHeight="false" outlineLevel="0" collapsed="false">
      <c r="A748" s="8" t="n">
        <v>747</v>
      </c>
      <c r="B748" s="8" t="s">
        <v>40</v>
      </c>
      <c r="C748" s="8" t="s">
        <v>16</v>
      </c>
      <c r="D748" s="9" t="n">
        <v>44065</v>
      </c>
      <c r="E748" s="10" t="n">
        <v>-402.85</v>
      </c>
      <c r="F748" s="8" t="s">
        <v>34</v>
      </c>
      <c r="G748" s="8" t="s">
        <v>17</v>
      </c>
      <c r="H748" s="11" t="s">
        <v>18</v>
      </c>
      <c r="I748" s="8" t="s">
        <v>14</v>
      </c>
    </row>
    <row r="749" customFormat="false" ht="14.25" hidden="false" customHeight="false" outlineLevel="0" collapsed="false">
      <c r="A749" s="8" t="n">
        <v>748</v>
      </c>
      <c r="B749" s="8" t="s">
        <v>50</v>
      </c>
      <c r="C749" s="8" t="s">
        <v>21</v>
      </c>
      <c r="D749" s="9" t="n">
        <v>44067</v>
      </c>
      <c r="E749" s="10" t="n">
        <v>-173.6</v>
      </c>
      <c r="F749" s="8" t="s">
        <v>34</v>
      </c>
      <c r="G749" s="8" t="s">
        <v>12</v>
      </c>
      <c r="H749" s="11" t="s">
        <v>13</v>
      </c>
      <c r="I749" s="8" t="s">
        <v>14</v>
      </c>
    </row>
    <row r="750" customFormat="false" ht="14.25" hidden="false" customHeight="false" outlineLevel="0" collapsed="false">
      <c r="A750" s="8" t="n">
        <v>749</v>
      </c>
      <c r="B750" s="8" t="s">
        <v>54</v>
      </c>
      <c r="C750" s="8" t="s">
        <v>10</v>
      </c>
      <c r="D750" s="9" t="n">
        <v>44067</v>
      </c>
      <c r="E750" s="10" t="n">
        <v>-1165.19</v>
      </c>
      <c r="F750" s="8" t="s">
        <v>34</v>
      </c>
      <c r="G750" s="8" t="s">
        <v>17</v>
      </c>
      <c r="H750" s="11" t="s">
        <v>18</v>
      </c>
      <c r="I750" s="8" t="s">
        <v>14</v>
      </c>
    </row>
    <row r="751" customFormat="false" ht="14.25" hidden="false" customHeight="false" outlineLevel="0" collapsed="false">
      <c r="A751" s="8" t="n">
        <v>750</v>
      </c>
      <c r="B751" s="8" t="s">
        <v>44</v>
      </c>
      <c r="C751" s="8" t="s">
        <v>16</v>
      </c>
      <c r="D751" s="9" t="n">
        <v>44067</v>
      </c>
      <c r="E751" s="10" t="n">
        <v>-153.06</v>
      </c>
      <c r="F751" s="8" t="s">
        <v>34</v>
      </c>
      <c r="G751" s="8" t="s">
        <v>30</v>
      </c>
      <c r="H751" s="11" t="s">
        <v>31</v>
      </c>
      <c r="I751" s="8" t="s">
        <v>14</v>
      </c>
    </row>
    <row r="752" customFormat="false" ht="14.25" hidden="false" customHeight="false" outlineLevel="0" collapsed="false">
      <c r="A752" s="8" t="n">
        <v>751</v>
      </c>
      <c r="B752" s="8" t="s">
        <v>44</v>
      </c>
      <c r="C752" s="8" t="s">
        <v>28</v>
      </c>
      <c r="D752" s="9" t="n">
        <v>44067</v>
      </c>
      <c r="E752" s="10" t="n">
        <v>-638780.52</v>
      </c>
      <c r="F752" s="8" t="s">
        <v>34</v>
      </c>
      <c r="G752" s="8" t="s">
        <v>17</v>
      </c>
      <c r="H752" s="11" t="s">
        <v>18</v>
      </c>
      <c r="I752" s="8" t="s">
        <v>26</v>
      </c>
    </row>
    <row r="753" customFormat="false" ht="14.25" hidden="false" customHeight="false" outlineLevel="0" collapsed="false">
      <c r="A753" s="8" t="n">
        <v>752</v>
      </c>
      <c r="B753" s="8" t="s">
        <v>57</v>
      </c>
      <c r="C753" s="8" t="s">
        <v>28</v>
      </c>
      <c r="D753" s="9" t="n">
        <v>44067</v>
      </c>
      <c r="E753" s="10" t="n">
        <v>148913.55</v>
      </c>
      <c r="F753" s="8" t="s">
        <v>11</v>
      </c>
      <c r="G753" s="8" t="s">
        <v>36</v>
      </c>
      <c r="H753" s="11" t="s">
        <v>37</v>
      </c>
      <c r="I753" s="8" t="s">
        <v>19</v>
      </c>
    </row>
    <row r="754" customFormat="false" ht="14.25" hidden="false" customHeight="false" outlineLevel="0" collapsed="false">
      <c r="A754" s="8" t="n">
        <v>753</v>
      </c>
      <c r="B754" s="8" t="s">
        <v>45</v>
      </c>
      <c r="C754" s="8" t="s">
        <v>10</v>
      </c>
      <c r="D754" s="9" t="n">
        <v>44067</v>
      </c>
      <c r="E754" s="10" t="n">
        <v>49777.39</v>
      </c>
      <c r="F754" s="8" t="s">
        <v>11</v>
      </c>
      <c r="G754" s="8" t="s">
        <v>12</v>
      </c>
      <c r="H754" s="11" t="s">
        <v>13</v>
      </c>
      <c r="I754" s="8" t="s">
        <v>26</v>
      </c>
    </row>
    <row r="755" customFormat="false" ht="14.25" hidden="false" customHeight="false" outlineLevel="0" collapsed="false">
      <c r="A755" s="8" t="n">
        <v>754</v>
      </c>
      <c r="B755" s="8" t="s">
        <v>45</v>
      </c>
      <c r="C755" s="8" t="s">
        <v>21</v>
      </c>
      <c r="D755" s="9" t="n">
        <v>44067</v>
      </c>
      <c r="E755" s="10" t="n">
        <v>45437.88</v>
      </c>
      <c r="F755" s="8" t="s">
        <v>11</v>
      </c>
      <c r="G755" s="8" t="s">
        <v>36</v>
      </c>
      <c r="H755" s="11" t="s">
        <v>37</v>
      </c>
      <c r="I755" s="8" t="s">
        <v>26</v>
      </c>
    </row>
    <row r="756" customFormat="false" ht="14.25" hidden="false" customHeight="false" outlineLevel="0" collapsed="false">
      <c r="A756" s="8" t="n">
        <v>755</v>
      </c>
      <c r="B756" s="8" t="s">
        <v>47</v>
      </c>
      <c r="C756" s="8" t="s">
        <v>28</v>
      </c>
      <c r="D756" s="9" t="n">
        <v>44067</v>
      </c>
      <c r="E756" s="10" t="n">
        <v>45088.74</v>
      </c>
      <c r="F756" s="8" t="s">
        <v>11</v>
      </c>
      <c r="G756" s="8" t="s">
        <v>36</v>
      </c>
      <c r="H756" s="11" t="s">
        <v>37</v>
      </c>
      <c r="I756" s="8" t="s">
        <v>19</v>
      </c>
    </row>
    <row r="757" customFormat="false" ht="14.25" hidden="false" customHeight="false" outlineLevel="0" collapsed="false">
      <c r="A757" s="8" t="n">
        <v>756</v>
      </c>
      <c r="B757" s="8" t="s">
        <v>57</v>
      </c>
      <c r="C757" s="8" t="s">
        <v>10</v>
      </c>
      <c r="D757" s="9" t="n">
        <v>44067</v>
      </c>
      <c r="E757" s="10" t="n">
        <v>-1139.15</v>
      </c>
      <c r="F757" s="8" t="s">
        <v>34</v>
      </c>
      <c r="G757" s="8" t="s">
        <v>36</v>
      </c>
      <c r="H757" s="11" t="s">
        <v>37</v>
      </c>
      <c r="I757" s="8" t="s">
        <v>26</v>
      </c>
    </row>
    <row r="758" customFormat="false" ht="14.25" hidden="false" customHeight="false" outlineLevel="0" collapsed="false">
      <c r="A758" s="8" t="n">
        <v>757</v>
      </c>
      <c r="B758" s="8" t="s">
        <v>47</v>
      </c>
      <c r="C758" s="8" t="s">
        <v>10</v>
      </c>
      <c r="D758" s="9" t="n">
        <v>44067</v>
      </c>
      <c r="E758" s="10" t="n">
        <v>-17997.84</v>
      </c>
      <c r="F758" s="8" t="s">
        <v>34</v>
      </c>
      <c r="G758" s="8" t="s">
        <v>17</v>
      </c>
      <c r="H758" s="11" t="s">
        <v>18</v>
      </c>
      <c r="I758" s="8" t="s">
        <v>26</v>
      </c>
    </row>
    <row r="759" customFormat="false" ht="14.25" hidden="false" customHeight="false" outlineLevel="0" collapsed="false">
      <c r="A759" s="8" t="n">
        <v>758</v>
      </c>
      <c r="B759" s="8" t="s">
        <v>85</v>
      </c>
      <c r="C759" s="8" t="s">
        <v>28</v>
      </c>
      <c r="D759" s="9" t="n">
        <v>44071</v>
      </c>
      <c r="E759" s="10" t="n">
        <v>490.63</v>
      </c>
      <c r="F759" s="8" t="s">
        <v>11</v>
      </c>
      <c r="G759" s="8" t="s">
        <v>17</v>
      </c>
      <c r="H759" s="11" t="s">
        <v>18</v>
      </c>
      <c r="I759" s="8" t="s">
        <v>26</v>
      </c>
    </row>
    <row r="760" customFormat="false" ht="14.25" hidden="false" customHeight="false" outlineLevel="0" collapsed="false">
      <c r="A760" s="8" t="n">
        <v>759</v>
      </c>
      <c r="B760" s="8" t="s">
        <v>85</v>
      </c>
      <c r="C760" s="8" t="s">
        <v>10</v>
      </c>
      <c r="D760" s="9" t="n">
        <v>44071</v>
      </c>
      <c r="E760" s="10" t="n">
        <v>8449.95</v>
      </c>
      <c r="F760" s="8" t="s">
        <v>11</v>
      </c>
      <c r="G760" s="8" t="s">
        <v>12</v>
      </c>
      <c r="H760" s="11" t="s">
        <v>13</v>
      </c>
      <c r="I760" s="8" t="s">
        <v>26</v>
      </c>
    </row>
    <row r="761" customFormat="false" ht="14.25" hidden="false" customHeight="false" outlineLevel="0" collapsed="false">
      <c r="A761" s="8" t="n">
        <v>760</v>
      </c>
      <c r="B761" s="8" t="s">
        <v>27</v>
      </c>
      <c r="C761" s="8" t="s">
        <v>10</v>
      </c>
      <c r="D761" s="9" t="n">
        <v>44071</v>
      </c>
      <c r="E761" s="10" t="n">
        <v>2564.45</v>
      </c>
      <c r="F761" s="8" t="s">
        <v>11</v>
      </c>
      <c r="G761" s="8" t="s">
        <v>12</v>
      </c>
      <c r="H761" s="11" t="s">
        <v>13</v>
      </c>
      <c r="I761" s="8" t="s">
        <v>14</v>
      </c>
    </row>
    <row r="762" customFormat="false" ht="14.25" hidden="false" customHeight="false" outlineLevel="0" collapsed="false">
      <c r="A762" s="8" t="n">
        <v>761</v>
      </c>
      <c r="B762" s="8" t="s">
        <v>41</v>
      </c>
      <c r="C762" s="8" t="s">
        <v>16</v>
      </c>
      <c r="D762" s="9" t="n">
        <v>44072</v>
      </c>
      <c r="E762" s="10" t="n">
        <v>2564.45</v>
      </c>
      <c r="F762" s="8" t="s">
        <v>11</v>
      </c>
      <c r="G762" s="8" t="s">
        <v>17</v>
      </c>
      <c r="H762" s="11" t="s">
        <v>18</v>
      </c>
      <c r="I762" s="8" t="s">
        <v>19</v>
      </c>
    </row>
    <row r="763" customFormat="false" ht="14.25" hidden="false" customHeight="false" outlineLevel="0" collapsed="false">
      <c r="A763" s="8" t="n">
        <v>762</v>
      </c>
      <c r="B763" s="8" t="s">
        <v>61</v>
      </c>
      <c r="C763" s="8" t="s">
        <v>10</v>
      </c>
      <c r="D763" s="9" t="n">
        <v>44072</v>
      </c>
      <c r="E763" s="10" t="n">
        <v>4029.85</v>
      </c>
      <c r="F763" s="8" t="s">
        <v>11</v>
      </c>
      <c r="G763" s="8" t="s">
        <v>12</v>
      </c>
      <c r="H763" s="11" t="s">
        <v>13</v>
      </c>
      <c r="I763" s="8" t="s">
        <v>14</v>
      </c>
    </row>
    <row r="764" customFormat="false" ht="14.25" hidden="false" customHeight="false" outlineLevel="0" collapsed="false">
      <c r="A764" s="8" t="n">
        <v>763</v>
      </c>
      <c r="B764" s="8" t="s">
        <v>49</v>
      </c>
      <c r="C764" s="8" t="s">
        <v>28</v>
      </c>
      <c r="D764" s="9" t="n">
        <v>44072</v>
      </c>
      <c r="E764" s="10" t="n">
        <v>4029.85</v>
      </c>
      <c r="F764" s="8" t="s">
        <v>11</v>
      </c>
      <c r="G764" s="8" t="s">
        <v>12</v>
      </c>
      <c r="H764" s="11" t="s">
        <v>13</v>
      </c>
      <c r="I764" s="8" t="s">
        <v>19</v>
      </c>
    </row>
    <row r="765" customFormat="false" ht="14.25" hidden="false" customHeight="false" outlineLevel="0" collapsed="false">
      <c r="A765" s="8" t="n">
        <v>764</v>
      </c>
      <c r="B765" s="8" t="s">
        <v>61</v>
      </c>
      <c r="C765" s="8" t="s">
        <v>21</v>
      </c>
      <c r="D765" s="9" t="n">
        <v>44072</v>
      </c>
      <c r="E765" s="10" t="n">
        <v>2564.45</v>
      </c>
      <c r="F765" s="8" t="s">
        <v>11</v>
      </c>
      <c r="G765" s="8" t="s">
        <v>36</v>
      </c>
      <c r="H765" s="11" t="s">
        <v>37</v>
      </c>
      <c r="I765" s="8" t="s">
        <v>26</v>
      </c>
    </row>
    <row r="766" customFormat="false" ht="14.25" hidden="false" customHeight="false" outlineLevel="0" collapsed="false">
      <c r="A766" s="8" t="n">
        <v>765</v>
      </c>
      <c r="B766" s="8" t="s">
        <v>61</v>
      </c>
      <c r="C766" s="8" t="s">
        <v>10</v>
      </c>
      <c r="D766" s="9" t="n">
        <v>44072</v>
      </c>
      <c r="E766" s="10" t="n">
        <v>7990.16</v>
      </c>
      <c r="F766" s="8" t="s">
        <v>11</v>
      </c>
      <c r="G766" s="8" t="s">
        <v>17</v>
      </c>
      <c r="H766" s="11" t="s">
        <v>18</v>
      </c>
      <c r="I766" s="8" t="s">
        <v>14</v>
      </c>
    </row>
    <row r="767" customFormat="false" ht="14.25" hidden="false" customHeight="false" outlineLevel="0" collapsed="false">
      <c r="A767" s="8" t="n">
        <v>766</v>
      </c>
      <c r="B767" s="8" t="s">
        <v>62</v>
      </c>
      <c r="C767" s="8" t="s">
        <v>21</v>
      </c>
      <c r="D767" s="9" t="n">
        <v>44072</v>
      </c>
      <c r="E767" s="10" t="n">
        <v>2564.45</v>
      </c>
      <c r="F767" s="8" t="s">
        <v>11</v>
      </c>
      <c r="G767" s="8" t="s">
        <v>12</v>
      </c>
      <c r="H767" s="11" t="s">
        <v>13</v>
      </c>
      <c r="I767" s="8" t="s">
        <v>14</v>
      </c>
    </row>
    <row r="768" customFormat="false" ht="14.25" hidden="false" customHeight="false" outlineLevel="0" collapsed="false">
      <c r="A768" s="8" t="n">
        <v>767</v>
      </c>
      <c r="B768" s="8" t="s">
        <v>62</v>
      </c>
      <c r="C768" s="8" t="s">
        <v>28</v>
      </c>
      <c r="D768" s="9" t="n">
        <v>44072</v>
      </c>
      <c r="E768" s="10" t="n">
        <v>2564.45</v>
      </c>
      <c r="F768" s="8" t="s">
        <v>11</v>
      </c>
      <c r="G768" s="8" t="s">
        <v>17</v>
      </c>
      <c r="H768" s="11" t="s">
        <v>18</v>
      </c>
      <c r="I768" s="8" t="s">
        <v>26</v>
      </c>
    </row>
    <row r="769" customFormat="false" ht="14.25" hidden="false" customHeight="false" outlineLevel="0" collapsed="false">
      <c r="A769" s="8" t="n">
        <v>768</v>
      </c>
      <c r="B769" s="8" t="s">
        <v>135</v>
      </c>
      <c r="C769" s="8" t="s">
        <v>21</v>
      </c>
      <c r="D769" s="9" t="n">
        <v>44073</v>
      </c>
      <c r="E769" s="10" t="n">
        <v>2564.45</v>
      </c>
      <c r="F769" s="8" t="s">
        <v>11</v>
      </c>
      <c r="G769" s="8" t="s">
        <v>30</v>
      </c>
      <c r="H769" s="11" t="s">
        <v>31</v>
      </c>
      <c r="I769" s="8" t="s">
        <v>14</v>
      </c>
    </row>
    <row r="770" customFormat="false" ht="14.25" hidden="false" customHeight="false" outlineLevel="0" collapsed="false">
      <c r="A770" s="8" t="n">
        <v>769</v>
      </c>
      <c r="B770" s="8" t="s">
        <v>69</v>
      </c>
      <c r="C770" s="8" t="s">
        <v>10</v>
      </c>
      <c r="D770" s="9" t="n">
        <v>44073</v>
      </c>
      <c r="E770" s="10" t="n">
        <v>9002.42</v>
      </c>
      <c r="F770" s="8" t="s">
        <v>11</v>
      </c>
      <c r="G770" s="8" t="s">
        <v>12</v>
      </c>
      <c r="H770" s="11" t="s">
        <v>13</v>
      </c>
      <c r="I770" s="8" t="s">
        <v>14</v>
      </c>
    </row>
    <row r="771" customFormat="false" ht="14.25" hidden="false" customHeight="false" outlineLevel="0" collapsed="false">
      <c r="A771" s="8" t="n">
        <v>770</v>
      </c>
      <c r="B771" s="8" t="s">
        <v>136</v>
      </c>
      <c r="C771" s="8" t="s">
        <v>10</v>
      </c>
      <c r="D771" s="9" t="n">
        <v>44073</v>
      </c>
      <c r="E771" s="10" t="n">
        <v>9163.85</v>
      </c>
      <c r="F771" s="8" t="s">
        <v>11</v>
      </c>
      <c r="G771" s="8" t="s">
        <v>36</v>
      </c>
      <c r="H771" s="11" t="s">
        <v>37</v>
      </c>
      <c r="I771" s="8" t="s">
        <v>26</v>
      </c>
    </row>
    <row r="772" customFormat="false" ht="14.25" hidden="false" customHeight="false" outlineLevel="0" collapsed="false">
      <c r="A772" s="8" t="n">
        <v>771</v>
      </c>
      <c r="B772" s="8" t="s">
        <v>137</v>
      </c>
      <c r="C772" s="8" t="s">
        <v>16</v>
      </c>
      <c r="D772" s="9" t="n">
        <v>44073</v>
      </c>
      <c r="E772" s="10" t="n">
        <v>9027.05</v>
      </c>
      <c r="F772" s="8" t="s">
        <v>11</v>
      </c>
      <c r="G772" s="8" t="s">
        <v>12</v>
      </c>
      <c r="H772" s="11" t="s">
        <v>13</v>
      </c>
      <c r="I772" s="8" t="s">
        <v>26</v>
      </c>
    </row>
    <row r="773" customFormat="false" ht="14.25" hidden="false" customHeight="false" outlineLevel="0" collapsed="false">
      <c r="A773" s="8" t="n">
        <v>772</v>
      </c>
      <c r="B773" s="8" t="s">
        <v>40</v>
      </c>
      <c r="C773" s="8" t="s">
        <v>21</v>
      </c>
      <c r="D773" s="9" t="n">
        <v>44073</v>
      </c>
      <c r="E773" s="10" t="n">
        <v>8399.87</v>
      </c>
      <c r="F773" s="8" t="s">
        <v>11</v>
      </c>
      <c r="G773" s="8" t="s">
        <v>17</v>
      </c>
      <c r="H773" s="11" t="s">
        <v>18</v>
      </c>
      <c r="I773" s="8" t="s">
        <v>26</v>
      </c>
    </row>
    <row r="774" customFormat="false" ht="14.25" hidden="false" customHeight="false" outlineLevel="0" collapsed="false">
      <c r="A774" s="8" t="n">
        <v>773</v>
      </c>
      <c r="B774" s="8" t="s">
        <v>75</v>
      </c>
      <c r="C774" s="8" t="s">
        <v>28</v>
      </c>
      <c r="D774" s="9" t="n">
        <v>44073</v>
      </c>
      <c r="E774" s="10" t="n">
        <v>8194.89</v>
      </c>
      <c r="F774" s="8" t="s">
        <v>11</v>
      </c>
      <c r="G774" s="8" t="s">
        <v>12</v>
      </c>
      <c r="H774" s="11" t="s">
        <v>13</v>
      </c>
      <c r="I774" s="8" t="s">
        <v>26</v>
      </c>
    </row>
    <row r="775" customFormat="false" ht="14.25" hidden="false" customHeight="false" outlineLevel="0" collapsed="false">
      <c r="A775" s="8" t="n">
        <v>774</v>
      </c>
      <c r="B775" s="8" t="s">
        <v>75</v>
      </c>
      <c r="C775" s="8" t="s">
        <v>10</v>
      </c>
      <c r="D775" s="9" t="n">
        <v>44073</v>
      </c>
      <c r="E775" s="10" t="n">
        <v>7916.23</v>
      </c>
      <c r="F775" s="8" t="s">
        <v>11</v>
      </c>
      <c r="G775" s="8" t="s">
        <v>12</v>
      </c>
      <c r="H775" s="11" t="s">
        <v>13</v>
      </c>
      <c r="I775" s="8" t="s">
        <v>14</v>
      </c>
    </row>
    <row r="776" customFormat="false" ht="14.25" hidden="false" customHeight="false" outlineLevel="0" collapsed="false">
      <c r="A776" s="8" t="n">
        <v>775</v>
      </c>
      <c r="B776" s="8" t="s">
        <v>75</v>
      </c>
      <c r="C776" s="8" t="s">
        <v>21</v>
      </c>
      <c r="D776" s="9" t="n">
        <v>44073</v>
      </c>
      <c r="E776" s="10" t="n">
        <v>8281.87</v>
      </c>
      <c r="F776" s="8" t="s">
        <v>11</v>
      </c>
      <c r="G776" s="8" t="s">
        <v>12</v>
      </c>
      <c r="H776" s="11" t="s">
        <v>13</v>
      </c>
      <c r="I776" s="8" t="s">
        <v>26</v>
      </c>
    </row>
    <row r="777" customFormat="false" ht="14.25" hidden="false" customHeight="false" outlineLevel="0" collapsed="false">
      <c r="A777" s="8" t="n">
        <v>776</v>
      </c>
      <c r="B777" s="8" t="s">
        <v>51</v>
      </c>
      <c r="C777" s="8" t="s">
        <v>10</v>
      </c>
      <c r="D777" s="9" t="n">
        <v>44074</v>
      </c>
      <c r="E777" s="10" t="n">
        <v>8598.76</v>
      </c>
      <c r="F777" s="8" t="s">
        <v>11</v>
      </c>
      <c r="G777" s="8" t="s">
        <v>12</v>
      </c>
      <c r="H777" s="11" t="s">
        <v>13</v>
      </c>
      <c r="I777" s="8" t="s">
        <v>26</v>
      </c>
    </row>
    <row r="778" customFormat="false" ht="14.25" hidden="false" customHeight="false" outlineLevel="0" collapsed="false">
      <c r="A778" s="8" t="n">
        <v>777</v>
      </c>
      <c r="B778" s="8" t="s">
        <v>32</v>
      </c>
      <c r="C778" s="8" t="s">
        <v>28</v>
      </c>
      <c r="D778" s="9" t="n">
        <v>44074</v>
      </c>
      <c r="E778" s="10" t="n">
        <v>-56543.41</v>
      </c>
      <c r="F778" s="8" t="s">
        <v>34</v>
      </c>
      <c r="G778" s="8" t="s">
        <v>22</v>
      </c>
      <c r="H778" s="11" t="s">
        <v>23</v>
      </c>
      <c r="I778" s="8" t="s">
        <v>14</v>
      </c>
    </row>
    <row r="779" customFormat="false" ht="14.25" hidden="false" customHeight="false" outlineLevel="0" collapsed="false">
      <c r="A779" s="8" t="n">
        <v>778</v>
      </c>
      <c r="B779" s="8" t="s">
        <v>73</v>
      </c>
      <c r="C779" s="8" t="s">
        <v>10</v>
      </c>
      <c r="D779" s="9" t="n">
        <v>44074</v>
      </c>
      <c r="E779" s="10" t="n">
        <v>14960</v>
      </c>
      <c r="F779" s="8" t="s">
        <v>11</v>
      </c>
      <c r="G779" s="8" t="s">
        <v>30</v>
      </c>
      <c r="H779" s="11" t="s">
        <v>31</v>
      </c>
      <c r="I779" s="8" t="s">
        <v>26</v>
      </c>
    </row>
    <row r="780" customFormat="false" ht="14.25" hidden="false" customHeight="false" outlineLevel="0" collapsed="false">
      <c r="A780" s="8" t="n">
        <v>779</v>
      </c>
      <c r="B780" s="8" t="s">
        <v>61</v>
      </c>
      <c r="C780" s="8" t="s">
        <v>21</v>
      </c>
      <c r="D780" s="9" t="n">
        <v>44074</v>
      </c>
      <c r="E780" s="10" t="n">
        <v>14960</v>
      </c>
      <c r="F780" s="8" t="s">
        <v>11</v>
      </c>
      <c r="G780" s="8" t="s">
        <v>36</v>
      </c>
      <c r="H780" s="11" t="s">
        <v>37</v>
      </c>
      <c r="I780" s="8" t="s">
        <v>14</v>
      </c>
    </row>
    <row r="781" customFormat="false" ht="14.25" hidden="false" customHeight="false" outlineLevel="0" collapsed="false">
      <c r="A781" s="8" t="n">
        <v>780</v>
      </c>
      <c r="B781" s="8" t="s">
        <v>81</v>
      </c>
      <c r="C781" s="8" t="s">
        <v>16</v>
      </c>
      <c r="D781" s="9" t="n">
        <v>44074</v>
      </c>
      <c r="E781" s="10" t="n">
        <v>14960</v>
      </c>
      <c r="F781" s="8" t="s">
        <v>11</v>
      </c>
      <c r="G781" s="8" t="s">
        <v>36</v>
      </c>
      <c r="H781" s="11" t="s">
        <v>37</v>
      </c>
      <c r="I781" s="8" t="s">
        <v>24</v>
      </c>
    </row>
    <row r="782" customFormat="false" ht="14.25" hidden="false" customHeight="false" outlineLevel="0" collapsed="false">
      <c r="A782" s="8" t="n">
        <v>781</v>
      </c>
      <c r="B782" s="8" t="s">
        <v>73</v>
      </c>
      <c r="C782" s="8" t="s">
        <v>10</v>
      </c>
      <c r="D782" s="9" t="n">
        <v>44074</v>
      </c>
      <c r="E782" s="10" t="n">
        <v>-12252.8</v>
      </c>
      <c r="F782" s="8" t="s">
        <v>34</v>
      </c>
      <c r="G782" s="8" t="s">
        <v>17</v>
      </c>
      <c r="H782" s="11" t="s">
        <v>18</v>
      </c>
      <c r="I782" s="8" t="s">
        <v>26</v>
      </c>
    </row>
    <row r="783" customFormat="false" ht="14.25" hidden="false" customHeight="false" outlineLevel="0" collapsed="false">
      <c r="A783" s="8" t="n">
        <v>782</v>
      </c>
      <c r="B783" s="8" t="s">
        <v>39</v>
      </c>
      <c r="C783" s="8" t="s">
        <v>16</v>
      </c>
      <c r="D783" s="9" t="n">
        <v>44074</v>
      </c>
      <c r="E783" s="10" t="n">
        <v>-12497.28</v>
      </c>
      <c r="F783" s="8" t="s">
        <v>34</v>
      </c>
      <c r="G783" s="8" t="s">
        <v>12</v>
      </c>
      <c r="H783" s="11" t="s">
        <v>13</v>
      </c>
      <c r="I783" s="8" t="s">
        <v>24</v>
      </c>
    </row>
    <row r="784" customFormat="false" ht="14.25" hidden="false" customHeight="false" outlineLevel="0" collapsed="false">
      <c r="A784" s="8" t="n">
        <v>783</v>
      </c>
      <c r="B784" s="8" t="s">
        <v>61</v>
      </c>
      <c r="C784" s="8" t="s">
        <v>10</v>
      </c>
      <c r="D784" s="9" t="n">
        <v>44074</v>
      </c>
      <c r="E784" s="10" t="n">
        <v>4530.5</v>
      </c>
      <c r="F784" s="8" t="s">
        <v>11</v>
      </c>
      <c r="G784" s="8" t="s">
        <v>12</v>
      </c>
      <c r="H784" s="11" t="s">
        <v>13</v>
      </c>
      <c r="I784" s="8" t="s">
        <v>14</v>
      </c>
    </row>
    <row r="785" customFormat="false" ht="14.25" hidden="false" customHeight="false" outlineLevel="0" collapsed="false">
      <c r="A785" s="8" t="n">
        <v>784</v>
      </c>
      <c r="B785" s="8" t="s">
        <v>62</v>
      </c>
      <c r="C785" s="8" t="s">
        <v>28</v>
      </c>
      <c r="D785" s="9" t="n">
        <v>44074</v>
      </c>
      <c r="E785" s="10" t="n">
        <v>8364</v>
      </c>
      <c r="F785" s="8" t="s">
        <v>11</v>
      </c>
      <c r="G785" s="8" t="s">
        <v>12</v>
      </c>
      <c r="H785" s="11" t="s">
        <v>13</v>
      </c>
      <c r="I785" s="8" t="s">
        <v>26</v>
      </c>
    </row>
    <row r="786" customFormat="false" ht="14.25" hidden="false" customHeight="false" outlineLevel="0" collapsed="false">
      <c r="A786" s="8" t="n">
        <v>785</v>
      </c>
      <c r="B786" s="8" t="s">
        <v>62</v>
      </c>
      <c r="C786" s="8" t="s">
        <v>28</v>
      </c>
      <c r="D786" s="9" t="n">
        <v>44074</v>
      </c>
      <c r="E786" s="10" t="n">
        <v>3136.5</v>
      </c>
      <c r="F786" s="8" t="s">
        <v>11</v>
      </c>
      <c r="G786" s="8" t="s">
        <v>17</v>
      </c>
      <c r="H786" s="11" t="s">
        <v>18</v>
      </c>
      <c r="I786" s="8" t="s">
        <v>14</v>
      </c>
    </row>
    <row r="787" customFormat="false" ht="14.25" hidden="false" customHeight="false" outlineLevel="0" collapsed="false">
      <c r="A787" s="8" t="n">
        <v>786</v>
      </c>
      <c r="B787" s="8" t="s">
        <v>81</v>
      </c>
      <c r="C787" s="8" t="s">
        <v>21</v>
      </c>
      <c r="D787" s="9" t="n">
        <v>44074</v>
      </c>
      <c r="E787" s="10" t="n">
        <v>2788</v>
      </c>
      <c r="F787" s="8" t="s">
        <v>11</v>
      </c>
      <c r="G787" s="8" t="s">
        <v>12</v>
      </c>
      <c r="H787" s="11" t="s">
        <v>13</v>
      </c>
      <c r="I787" s="8" t="s">
        <v>24</v>
      </c>
    </row>
    <row r="788" customFormat="false" ht="14.25" hidden="false" customHeight="false" outlineLevel="0" collapsed="false">
      <c r="A788" s="8" t="n">
        <v>787</v>
      </c>
      <c r="B788" s="8" t="s">
        <v>73</v>
      </c>
      <c r="C788" s="8" t="s">
        <v>16</v>
      </c>
      <c r="D788" s="9" t="n">
        <v>44074</v>
      </c>
      <c r="E788" s="10" t="n">
        <v>4530.5</v>
      </c>
      <c r="F788" s="8" t="s">
        <v>11</v>
      </c>
      <c r="G788" s="8" t="s">
        <v>12</v>
      </c>
      <c r="H788" s="11" t="s">
        <v>13</v>
      </c>
      <c r="I788" s="8" t="s">
        <v>24</v>
      </c>
    </row>
    <row r="789" customFormat="false" ht="14.25" hidden="false" customHeight="false" outlineLevel="0" collapsed="false">
      <c r="A789" s="8" t="n">
        <v>788</v>
      </c>
      <c r="B789" s="8" t="s">
        <v>61</v>
      </c>
      <c r="C789" s="8" t="s">
        <v>21</v>
      </c>
      <c r="D789" s="9" t="n">
        <v>44074</v>
      </c>
      <c r="E789" s="10" t="n">
        <v>8364</v>
      </c>
      <c r="F789" s="8" t="s">
        <v>11</v>
      </c>
      <c r="G789" s="8" t="s">
        <v>12</v>
      </c>
      <c r="H789" s="11" t="s">
        <v>13</v>
      </c>
      <c r="I789" s="8" t="s">
        <v>14</v>
      </c>
    </row>
    <row r="790" customFormat="false" ht="14.25" hidden="false" customHeight="false" outlineLevel="0" collapsed="false">
      <c r="A790" s="8" t="n">
        <v>789</v>
      </c>
      <c r="B790" s="8" t="s">
        <v>62</v>
      </c>
      <c r="C790" s="8" t="s">
        <v>10</v>
      </c>
      <c r="D790" s="9" t="n">
        <v>44074</v>
      </c>
      <c r="E790" s="10" t="n">
        <v>3218</v>
      </c>
      <c r="F790" s="8" t="s">
        <v>11</v>
      </c>
      <c r="G790" s="8" t="s">
        <v>12</v>
      </c>
      <c r="H790" s="11" t="s">
        <v>13</v>
      </c>
      <c r="I790" s="8" t="s">
        <v>26</v>
      </c>
    </row>
    <row r="791" customFormat="false" ht="14.25" hidden="false" customHeight="false" outlineLevel="0" collapsed="false">
      <c r="A791" s="8" t="n">
        <v>790</v>
      </c>
      <c r="B791" s="8" t="s">
        <v>81</v>
      </c>
      <c r="C791" s="8" t="s">
        <v>10</v>
      </c>
      <c r="D791" s="9" t="n">
        <v>44074</v>
      </c>
      <c r="E791" s="10" t="n">
        <v>2788</v>
      </c>
      <c r="F791" s="8" t="s">
        <v>11</v>
      </c>
      <c r="G791" s="8" t="s">
        <v>22</v>
      </c>
      <c r="H791" s="11" t="s">
        <v>23</v>
      </c>
      <c r="I791" s="8" t="s">
        <v>26</v>
      </c>
    </row>
    <row r="792" customFormat="false" ht="14.25" hidden="false" customHeight="false" outlineLevel="0" collapsed="false">
      <c r="A792" s="8" t="n">
        <v>791</v>
      </c>
      <c r="B792" s="8" t="s">
        <v>81</v>
      </c>
      <c r="C792" s="8" t="s">
        <v>10</v>
      </c>
      <c r="D792" s="9" t="n">
        <v>44074</v>
      </c>
      <c r="E792" s="10" t="n">
        <v>3218</v>
      </c>
      <c r="F792" s="8" t="s">
        <v>11</v>
      </c>
      <c r="G792" s="8" t="s">
        <v>36</v>
      </c>
      <c r="H792" s="11" t="s">
        <v>37</v>
      </c>
      <c r="I792" s="8" t="s">
        <v>14</v>
      </c>
    </row>
    <row r="793" customFormat="false" ht="14.25" hidden="false" customHeight="false" outlineLevel="0" collapsed="false">
      <c r="A793" s="8" t="n">
        <v>792</v>
      </c>
      <c r="B793" s="8" t="s">
        <v>29</v>
      </c>
      <c r="C793" s="8" t="s">
        <v>28</v>
      </c>
      <c r="D793" s="9" t="n">
        <v>44075</v>
      </c>
      <c r="E793" s="10" t="n">
        <v>3224.25</v>
      </c>
      <c r="F793" s="8" t="s">
        <v>11</v>
      </c>
      <c r="G793" s="8" t="s">
        <v>12</v>
      </c>
      <c r="H793" s="11" t="s">
        <v>13</v>
      </c>
      <c r="I793" s="8" t="s">
        <v>14</v>
      </c>
    </row>
    <row r="794" customFormat="false" ht="14.25" hidden="false" customHeight="false" outlineLevel="0" collapsed="false">
      <c r="A794" s="8" t="n">
        <v>793</v>
      </c>
      <c r="B794" s="8" t="s">
        <v>138</v>
      </c>
      <c r="C794" s="8" t="s">
        <v>21</v>
      </c>
      <c r="D794" s="9" t="n">
        <v>44075</v>
      </c>
      <c r="E794" s="10" t="n">
        <v>4710.36</v>
      </c>
      <c r="F794" s="8" t="s">
        <v>11</v>
      </c>
      <c r="G794" s="8" t="s">
        <v>12</v>
      </c>
      <c r="H794" s="11" t="s">
        <v>13</v>
      </c>
      <c r="I794" s="8" t="s">
        <v>26</v>
      </c>
    </row>
    <row r="795" customFormat="false" ht="14.25" hidden="false" customHeight="false" outlineLevel="0" collapsed="false">
      <c r="A795" s="8" t="n">
        <v>794</v>
      </c>
      <c r="B795" s="8" t="s">
        <v>15</v>
      </c>
      <c r="C795" s="8" t="s">
        <v>16</v>
      </c>
      <c r="D795" s="9" t="n">
        <v>44075</v>
      </c>
      <c r="E795" s="10" t="n">
        <v>4701.45</v>
      </c>
      <c r="F795" s="8" t="s">
        <v>11</v>
      </c>
      <c r="G795" s="8" t="s">
        <v>30</v>
      </c>
      <c r="H795" s="11" t="s">
        <v>31</v>
      </c>
      <c r="I795" s="8" t="s">
        <v>14</v>
      </c>
    </row>
    <row r="796" customFormat="false" ht="14.25" hidden="false" customHeight="false" outlineLevel="0" collapsed="false">
      <c r="A796" s="8" t="n">
        <v>795</v>
      </c>
      <c r="B796" s="8" t="s">
        <v>77</v>
      </c>
      <c r="C796" s="8" t="s">
        <v>21</v>
      </c>
      <c r="D796" s="9" t="n">
        <v>44078</v>
      </c>
      <c r="E796" s="10" t="n">
        <v>3485</v>
      </c>
      <c r="F796" s="8" t="s">
        <v>11</v>
      </c>
      <c r="G796" s="8" t="s">
        <v>17</v>
      </c>
      <c r="H796" s="11" t="s">
        <v>18</v>
      </c>
      <c r="I796" s="8" t="s">
        <v>14</v>
      </c>
    </row>
    <row r="797" customFormat="false" ht="14.25" hidden="false" customHeight="false" outlineLevel="0" collapsed="false">
      <c r="A797" s="8" t="n">
        <v>796</v>
      </c>
      <c r="B797" s="8" t="s">
        <v>85</v>
      </c>
      <c r="C797" s="8" t="s">
        <v>28</v>
      </c>
      <c r="D797" s="9" t="n">
        <v>44078</v>
      </c>
      <c r="E797" s="10" t="n">
        <v>3485</v>
      </c>
      <c r="F797" s="8" t="s">
        <v>11</v>
      </c>
      <c r="G797" s="8" t="s">
        <v>30</v>
      </c>
      <c r="H797" s="11" t="s">
        <v>31</v>
      </c>
      <c r="I797" s="8" t="s">
        <v>24</v>
      </c>
    </row>
    <row r="798" customFormat="false" ht="14.25" hidden="false" customHeight="false" outlineLevel="0" collapsed="false">
      <c r="A798" s="8" t="n">
        <v>797</v>
      </c>
      <c r="B798" s="8" t="s">
        <v>85</v>
      </c>
      <c r="C798" s="8" t="s">
        <v>10</v>
      </c>
      <c r="D798" s="9" t="n">
        <v>44078</v>
      </c>
      <c r="E798" s="10" t="n">
        <v>-3556.46</v>
      </c>
      <c r="F798" s="8" t="s">
        <v>34</v>
      </c>
      <c r="G798" s="8" t="s">
        <v>17</v>
      </c>
      <c r="H798" s="11" t="s">
        <v>18</v>
      </c>
      <c r="I798" s="8" t="s">
        <v>26</v>
      </c>
    </row>
    <row r="799" customFormat="false" ht="14.25" hidden="false" customHeight="false" outlineLevel="0" collapsed="false">
      <c r="A799" s="8" t="n">
        <v>798</v>
      </c>
      <c r="B799" s="8" t="s">
        <v>85</v>
      </c>
      <c r="C799" s="8" t="s">
        <v>21</v>
      </c>
      <c r="D799" s="9" t="n">
        <v>44078</v>
      </c>
      <c r="E799" s="10" t="n">
        <v>-1690.05</v>
      </c>
      <c r="F799" s="8" t="s">
        <v>34</v>
      </c>
      <c r="G799" s="8" t="s">
        <v>12</v>
      </c>
      <c r="H799" s="11" t="s">
        <v>13</v>
      </c>
      <c r="I799" s="8" t="s">
        <v>19</v>
      </c>
    </row>
    <row r="800" customFormat="false" ht="14.25" hidden="false" customHeight="false" outlineLevel="0" collapsed="false">
      <c r="A800" s="8" t="n">
        <v>799</v>
      </c>
      <c r="B800" s="8" t="s">
        <v>35</v>
      </c>
      <c r="C800" s="8" t="s">
        <v>21</v>
      </c>
      <c r="D800" s="9" t="n">
        <v>44079</v>
      </c>
      <c r="E800" s="10" t="n">
        <v>-493.99</v>
      </c>
      <c r="F800" s="8" t="s">
        <v>34</v>
      </c>
      <c r="G800" s="8" t="s">
        <v>36</v>
      </c>
      <c r="H800" s="11" t="s">
        <v>37</v>
      </c>
      <c r="I800" s="8" t="s">
        <v>14</v>
      </c>
    </row>
    <row r="801" customFormat="false" ht="14.25" hidden="false" customHeight="false" outlineLevel="0" collapsed="false">
      <c r="A801" s="8" t="n">
        <v>800</v>
      </c>
      <c r="B801" s="8" t="s">
        <v>85</v>
      </c>
      <c r="C801" s="8" t="s">
        <v>16</v>
      </c>
      <c r="D801" s="9" t="n">
        <v>44080</v>
      </c>
      <c r="E801" s="10" t="n">
        <v>-2302.83</v>
      </c>
      <c r="F801" s="8" t="s">
        <v>34</v>
      </c>
      <c r="G801" s="8" t="s">
        <v>22</v>
      </c>
      <c r="H801" s="11" t="s">
        <v>23</v>
      </c>
      <c r="I801" s="8" t="s">
        <v>14</v>
      </c>
    </row>
    <row r="802" customFormat="false" ht="14.25" hidden="false" customHeight="false" outlineLevel="0" collapsed="false">
      <c r="A802" s="8" t="n">
        <v>801</v>
      </c>
      <c r="B802" s="8" t="s">
        <v>85</v>
      </c>
      <c r="C802" s="8" t="s">
        <v>16</v>
      </c>
      <c r="D802" s="9" t="n">
        <v>44080</v>
      </c>
      <c r="E802" s="10" t="n">
        <v>-24038.91</v>
      </c>
      <c r="F802" s="8" t="s">
        <v>34</v>
      </c>
      <c r="G802" s="8" t="s">
        <v>22</v>
      </c>
      <c r="H802" s="11" t="s">
        <v>23</v>
      </c>
      <c r="I802" s="8" t="s">
        <v>14</v>
      </c>
    </row>
    <row r="803" customFormat="false" ht="14.25" hidden="false" customHeight="false" outlineLevel="0" collapsed="false">
      <c r="A803" s="8" t="n">
        <v>802</v>
      </c>
      <c r="B803" s="8" t="s">
        <v>85</v>
      </c>
      <c r="C803" s="8" t="s">
        <v>10</v>
      </c>
      <c r="D803" s="9" t="n">
        <v>44080</v>
      </c>
      <c r="E803" s="10" t="n">
        <v>-6437.1</v>
      </c>
      <c r="F803" s="8" t="s">
        <v>34</v>
      </c>
      <c r="G803" s="8" t="s">
        <v>17</v>
      </c>
      <c r="H803" s="11" t="s">
        <v>18</v>
      </c>
      <c r="I803" s="8" t="s">
        <v>14</v>
      </c>
    </row>
    <row r="804" customFormat="false" ht="14.25" hidden="false" customHeight="false" outlineLevel="0" collapsed="false">
      <c r="A804" s="8" t="n">
        <v>803</v>
      </c>
      <c r="B804" s="8" t="s">
        <v>49</v>
      </c>
      <c r="C804" s="8" t="s">
        <v>21</v>
      </c>
      <c r="D804" s="9" t="n">
        <v>44080</v>
      </c>
      <c r="E804" s="10" t="n">
        <v>158313.86</v>
      </c>
      <c r="F804" s="8" t="s">
        <v>11</v>
      </c>
      <c r="G804" s="8" t="s">
        <v>22</v>
      </c>
      <c r="H804" s="11" t="s">
        <v>23</v>
      </c>
      <c r="I804" s="8" t="s">
        <v>14</v>
      </c>
    </row>
    <row r="805" customFormat="false" ht="14.25" hidden="false" customHeight="false" outlineLevel="0" collapsed="false">
      <c r="A805" s="8" t="n">
        <v>804</v>
      </c>
      <c r="B805" s="8" t="s">
        <v>45</v>
      </c>
      <c r="C805" s="8" t="s">
        <v>10</v>
      </c>
      <c r="D805" s="9" t="n">
        <v>44082</v>
      </c>
      <c r="E805" s="10" t="n">
        <v>-1242.82</v>
      </c>
      <c r="F805" s="8" t="s">
        <v>34</v>
      </c>
      <c r="G805" s="8" t="s">
        <v>22</v>
      </c>
      <c r="H805" s="11" t="s">
        <v>23</v>
      </c>
      <c r="I805" s="8" t="s">
        <v>24</v>
      </c>
    </row>
    <row r="806" customFormat="false" ht="14.25" hidden="false" customHeight="false" outlineLevel="0" collapsed="false">
      <c r="A806" s="8" t="n">
        <v>805</v>
      </c>
      <c r="B806" s="8" t="s">
        <v>72</v>
      </c>
      <c r="C806" s="8" t="s">
        <v>16</v>
      </c>
      <c r="D806" s="9" t="n">
        <v>44082</v>
      </c>
      <c r="E806" s="10" t="n">
        <v>-709.14</v>
      </c>
      <c r="F806" s="8" t="s">
        <v>34</v>
      </c>
      <c r="G806" s="8" t="s">
        <v>12</v>
      </c>
      <c r="H806" s="11" t="s">
        <v>13</v>
      </c>
      <c r="I806" s="8" t="s">
        <v>26</v>
      </c>
    </row>
    <row r="807" customFormat="false" ht="14.25" hidden="false" customHeight="false" outlineLevel="0" collapsed="false">
      <c r="A807" s="8" t="n">
        <v>806</v>
      </c>
      <c r="B807" s="8" t="s">
        <v>79</v>
      </c>
      <c r="C807" s="8" t="s">
        <v>10</v>
      </c>
      <c r="D807" s="9" t="n">
        <v>44082</v>
      </c>
      <c r="E807" s="10" t="n">
        <v>-13096.27</v>
      </c>
      <c r="F807" s="8" t="s">
        <v>34</v>
      </c>
      <c r="G807" s="8" t="s">
        <v>12</v>
      </c>
      <c r="H807" s="11" t="s">
        <v>13</v>
      </c>
      <c r="I807" s="8" t="s">
        <v>26</v>
      </c>
    </row>
    <row r="808" customFormat="false" ht="14.25" hidden="false" customHeight="false" outlineLevel="0" collapsed="false">
      <c r="A808" s="8" t="n">
        <v>807</v>
      </c>
      <c r="B808" s="8" t="s">
        <v>45</v>
      </c>
      <c r="C808" s="8" t="s">
        <v>10</v>
      </c>
      <c r="D808" s="9" t="n">
        <v>44082</v>
      </c>
      <c r="E808" s="10" t="n">
        <v>-314443.15</v>
      </c>
      <c r="F808" s="8" t="s">
        <v>34</v>
      </c>
      <c r="G808" s="8" t="s">
        <v>17</v>
      </c>
      <c r="H808" s="11" t="s">
        <v>18</v>
      </c>
      <c r="I808" s="8" t="s">
        <v>14</v>
      </c>
    </row>
    <row r="809" customFormat="false" ht="14.25" hidden="false" customHeight="false" outlineLevel="0" collapsed="false">
      <c r="A809" s="8" t="n">
        <v>808</v>
      </c>
      <c r="B809" s="8" t="s">
        <v>72</v>
      </c>
      <c r="C809" s="8" t="s">
        <v>28</v>
      </c>
      <c r="D809" s="9" t="n">
        <v>44082</v>
      </c>
      <c r="E809" s="10" t="n">
        <v>-1903.9</v>
      </c>
      <c r="F809" s="8" t="s">
        <v>34</v>
      </c>
      <c r="G809" s="8" t="s">
        <v>12</v>
      </c>
      <c r="H809" s="11" t="s">
        <v>13</v>
      </c>
      <c r="I809" s="8" t="s">
        <v>14</v>
      </c>
    </row>
    <row r="810" customFormat="false" ht="14.25" hidden="false" customHeight="false" outlineLevel="0" collapsed="false">
      <c r="A810" s="8" t="n">
        <v>809</v>
      </c>
      <c r="B810" s="8" t="s">
        <v>47</v>
      </c>
      <c r="C810" s="8" t="s">
        <v>28</v>
      </c>
      <c r="D810" s="9" t="n">
        <v>44082</v>
      </c>
      <c r="E810" s="10" t="n">
        <v>-7858.55</v>
      </c>
      <c r="F810" s="8" t="s">
        <v>34</v>
      </c>
      <c r="G810" s="8" t="s">
        <v>12</v>
      </c>
      <c r="H810" s="11" t="s">
        <v>13</v>
      </c>
      <c r="I810" s="8" t="s">
        <v>14</v>
      </c>
    </row>
    <row r="811" customFormat="false" ht="14.25" hidden="false" customHeight="false" outlineLevel="0" collapsed="false">
      <c r="A811" s="8" t="n">
        <v>810</v>
      </c>
      <c r="B811" s="8" t="s">
        <v>79</v>
      </c>
      <c r="C811" s="8" t="s">
        <v>16</v>
      </c>
      <c r="D811" s="9" t="n">
        <v>44082</v>
      </c>
      <c r="E811" s="10" t="n">
        <v>-1139.88</v>
      </c>
      <c r="F811" s="8" t="s">
        <v>34</v>
      </c>
      <c r="G811" s="8" t="s">
        <v>12</v>
      </c>
      <c r="H811" s="11" t="s">
        <v>13</v>
      </c>
      <c r="I811" s="8" t="s">
        <v>26</v>
      </c>
    </row>
    <row r="812" customFormat="false" ht="14.25" hidden="false" customHeight="false" outlineLevel="0" collapsed="false">
      <c r="A812" s="8" t="n">
        <v>811</v>
      </c>
      <c r="B812" s="8" t="s">
        <v>47</v>
      </c>
      <c r="C812" s="8" t="s">
        <v>28</v>
      </c>
      <c r="D812" s="9" t="n">
        <v>44082</v>
      </c>
      <c r="E812" s="10" t="n">
        <v>-11567.19</v>
      </c>
      <c r="F812" s="8" t="s">
        <v>34</v>
      </c>
      <c r="G812" s="8" t="s">
        <v>12</v>
      </c>
      <c r="H812" s="11" t="s">
        <v>13</v>
      </c>
      <c r="I812" s="8" t="s">
        <v>24</v>
      </c>
    </row>
    <row r="813" customFormat="false" ht="14.25" hidden="false" customHeight="false" outlineLevel="0" collapsed="false">
      <c r="A813" s="8" t="n">
        <v>812</v>
      </c>
      <c r="B813" s="8" t="s">
        <v>39</v>
      </c>
      <c r="C813" s="8" t="s">
        <v>16</v>
      </c>
      <c r="D813" s="9" t="n">
        <v>44083</v>
      </c>
      <c r="E813" s="10" t="n">
        <v>-6212.05</v>
      </c>
      <c r="F813" s="8" t="s">
        <v>34</v>
      </c>
      <c r="G813" s="8" t="s">
        <v>12</v>
      </c>
      <c r="H813" s="11" t="s">
        <v>13</v>
      </c>
      <c r="I813" s="8" t="s">
        <v>14</v>
      </c>
    </row>
    <row r="814" customFormat="false" ht="14.25" hidden="false" customHeight="false" outlineLevel="0" collapsed="false">
      <c r="A814" s="8" t="n">
        <v>813</v>
      </c>
      <c r="B814" s="8" t="s">
        <v>85</v>
      </c>
      <c r="C814" s="8" t="s">
        <v>10</v>
      </c>
      <c r="D814" s="9" t="n">
        <v>44085</v>
      </c>
      <c r="E814" s="10" t="n">
        <v>28176.22</v>
      </c>
      <c r="F814" s="8" t="s">
        <v>11</v>
      </c>
      <c r="G814" s="8" t="s">
        <v>36</v>
      </c>
      <c r="H814" s="11" t="s">
        <v>37</v>
      </c>
      <c r="I814" s="8" t="s">
        <v>19</v>
      </c>
    </row>
    <row r="815" customFormat="false" ht="14.25" hidden="false" customHeight="false" outlineLevel="0" collapsed="false">
      <c r="A815" s="8" t="n">
        <v>814</v>
      </c>
      <c r="B815" s="8" t="s">
        <v>85</v>
      </c>
      <c r="C815" s="8" t="s">
        <v>28</v>
      </c>
      <c r="D815" s="9" t="n">
        <v>44085</v>
      </c>
      <c r="E815" s="10" t="n">
        <v>120597.88</v>
      </c>
      <c r="F815" s="8" t="s">
        <v>11</v>
      </c>
      <c r="G815" s="8" t="s">
        <v>12</v>
      </c>
      <c r="H815" s="11" t="s">
        <v>13</v>
      </c>
      <c r="I815" s="8" t="s">
        <v>26</v>
      </c>
    </row>
    <row r="816" customFormat="false" ht="14.25" hidden="false" customHeight="false" outlineLevel="0" collapsed="false">
      <c r="A816" s="8" t="n">
        <v>815</v>
      </c>
      <c r="B816" s="8" t="s">
        <v>9</v>
      </c>
      <c r="C816" s="8" t="s">
        <v>10</v>
      </c>
      <c r="D816" s="9" t="n">
        <v>44085</v>
      </c>
      <c r="E816" s="10" t="n">
        <v>153192.1</v>
      </c>
      <c r="F816" s="8" t="s">
        <v>11</v>
      </c>
      <c r="G816" s="8" t="s">
        <v>17</v>
      </c>
      <c r="H816" s="11" t="s">
        <v>18</v>
      </c>
      <c r="I816" s="8" t="s">
        <v>26</v>
      </c>
    </row>
    <row r="817" customFormat="false" ht="14.25" hidden="false" customHeight="false" outlineLevel="0" collapsed="false">
      <c r="A817" s="8" t="n">
        <v>816</v>
      </c>
      <c r="B817" s="8" t="s">
        <v>9</v>
      </c>
      <c r="C817" s="8" t="s">
        <v>21</v>
      </c>
      <c r="D817" s="9" t="n">
        <v>44089</v>
      </c>
      <c r="E817" s="10" t="n">
        <v>-902585.45</v>
      </c>
      <c r="F817" s="8" t="s">
        <v>34</v>
      </c>
      <c r="G817" s="8" t="s">
        <v>12</v>
      </c>
      <c r="H817" s="11" t="s">
        <v>13</v>
      </c>
      <c r="I817" s="8" t="s">
        <v>26</v>
      </c>
    </row>
    <row r="818" customFormat="false" ht="14.25" hidden="false" customHeight="false" outlineLevel="0" collapsed="false">
      <c r="A818" s="8" t="n">
        <v>817</v>
      </c>
      <c r="B818" s="8" t="s">
        <v>33</v>
      </c>
      <c r="C818" s="8" t="s">
        <v>10</v>
      </c>
      <c r="D818" s="9" t="n">
        <v>44090</v>
      </c>
      <c r="E818" s="10" t="n">
        <v>11028.96</v>
      </c>
      <c r="F818" s="8" t="s">
        <v>11</v>
      </c>
      <c r="G818" s="8" t="s">
        <v>36</v>
      </c>
      <c r="H818" s="11" t="s">
        <v>37</v>
      </c>
      <c r="I818" s="8" t="s">
        <v>14</v>
      </c>
    </row>
    <row r="819" customFormat="false" ht="14.25" hidden="false" customHeight="false" outlineLevel="0" collapsed="false">
      <c r="A819" s="8" t="n">
        <v>818</v>
      </c>
      <c r="B819" s="8" t="s">
        <v>39</v>
      </c>
      <c r="C819" s="8" t="s">
        <v>10</v>
      </c>
      <c r="D819" s="9" t="n">
        <v>44090</v>
      </c>
      <c r="E819" s="10" t="n">
        <v>19194.43</v>
      </c>
      <c r="F819" s="8" t="s">
        <v>11</v>
      </c>
      <c r="G819" s="8" t="s">
        <v>12</v>
      </c>
      <c r="H819" s="11" t="s">
        <v>13</v>
      </c>
      <c r="I819" s="8" t="s">
        <v>24</v>
      </c>
    </row>
    <row r="820" customFormat="false" ht="14.25" hidden="false" customHeight="false" outlineLevel="0" collapsed="false">
      <c r="A820" s="8" t="n">
        <v>819</v>
      </c>
      <c r="B820" s="8" t="s">
        <v>33</v>
      </c>
      <c r="C820" s="8" t="s">
        <v>28</v>
      </c>
      <c r="D820" s="9" t="n">
        <v>44090</v>
      </c>
      <c r="E820" s="10" t="n">
        <v>20369.6</v>
      </c>
      <c r="F820" s="8" t="s">
        <v>11</v>
      </c>
      <c r="G820" s="8" t="s">
        <v>36</v>
      </c>
      <c r="H820" s="11" t="s">
        <v>37</v>
      </c>
      <c r="I820" s="8" t="s">
        <v>19</v>
      </c>
    </row>
    <row r="821" customFormat="false" ht="14.25" hidden="false" customHeight="false" outlineLevel="0" collapsed="false">
      <c r="A821" s="8" t="n">
        <v>820</v>
      </c>
      <c r="B821" s="8" t="s">
        <v>33</v>
      </c>
      <c r="C821" s="8" t="s">
        <v>28</v>
      </c>
      <c r="D821" s="9" t="n">
        <v>44090</v>
      </c>
      <c r="E821" s="10" t="n">
        <v>11477.74</v>
      </c>
      <c r="F821" s="8" t="s">
        <v>11</v>
      </c>
      <c r="G821" s="8" t="s">
        <v>12</v>
      </c>
      <c r="H821" s="11" t="s">
        <v>13</v>
      </c>
      <c r="I821" s="8" t="s">
        <v>14</v>
      </c>
    </row>
    <row r="822" customFormat="false" ht="14.25" hidden="false" customHeight="false" outlineLevel="0" collapsed="false">
      <c r="A822" s="8" t="n">
        <v>821</v>
      </c>
      <c r="B822" s="8" t="s">
        <v>33</v>
      </c>
      <c r="C822" s="8" t="s">
        <v>16</v>
      </c>
      <c r="D822" s="9" t="n">
        <v>44090</v>
      </c>
      <c r="E822" s="10" t="n">
        <v>10914.08</v>
      </c>
      <c r="F822" s="8" t="s">
        <v>11</v>
      </c>
      <c r="G822" s="8" t="s">
        <v>17</v>
      </c>
      <c r="H822" s="11" t="s">
        <v>18</v>
      </c>
      <c r="I822" s="8" t="s">
        <v>14</v>
      </c>
    </row>
    <row r="823" customFormat="false" ht="14.25" hidden="false" customHeight="false" outlineLevel="0" collapsed="false">
      <c r="A823" s="8" t="n">
        <v>822</v>
      </c>
      <c r="B823" s="8" t="s">
        <v>33</v>
      </c>
      <c r="C823" s="8" t="s">
        <v>21</v>
      </c>
      <c r="D823" s="9" t="n">
        <v>44090</v>
      </c>
      <c r="E823" s="10" t="n">
        <v>-2299.96</v>
      </c>
      <c r="F823" s="8" t="s">
        <v>34</v>
      </c>
      <c r="G823" s="8" t="s">
        <v>17</v>
      </c>
      <c r="H823" s="11" t="s">
        <v>18</v>
      </c>
      <c r="I823" s="8" t="s">
        <v>14</v>
      </c>
    </row>
    <row r="824" customFormat="false" ht="14.25" hidden="false" customHeight="false" outlineLevel="0" collapsed="false">
      <c r="A824" s="8" t="n">
        <v>823</v>
      </c>
      <c r="B824" s="8" t="s">
        <v>138</v>
      </c>
      <c r="C824" s="8" t="s">
        <v>10</v>
      </c>
      <c r="D824" s="9" t="n">
        <v>44092</v>
      </c>
      <c r="E824" s="10" t="n">
        <v>-1812.51</v>
      </c>
      <c r="F824" s="8" t="s">
        <v>34</v>
      </c>
      <c r="G824" s="8" t="s">
        <v>36</v>
      </c>
      <c r="H824" s="11" t="s">
        <v>37</v>
      </c>
      <c r="I824" s="8" t="s">
        <v>14</v>
      </c>
    </row>
    <row r="825" customFormat="false" ht="14.25" hidden="false" customHeight="false" outlineLevel="0" collapsed="false">
      <c r="A825" s="8" t="n">
        <v>824</v>
      </c>
      <c r="B825" s="8" t="s">
        <v>85</v>
      </c>
      <c r="C825" s="8" t="s">
        <v>16</v>
      </c>
      <c r="D825" s="9" t="n">
        <v>44092</v>
      </c>
      <c r="E825" s="10" t="n">
        <v>-335.55</v>
      </c>
      <c r="F825" s="8" t="s">
        <v>34</v>
      </c>
      <c r="G825" s="8" t="s">
        <v>12</v>
      </c>
      <c r="H825" s="11" t="s">
        <v>13</v>
      </c>
      <c r="I825" s="8" t="s">
        <v>24</v>
      </c>
    </row>
    <row r="826" customFormat="false" ht="14.25" hidden="false" customHeight="false" outlineLevel="0" collapsed="false">
      <c r="A826" s="8" t="n">
        <v>825</v>
      </c>
      <c r="B826" s="8" t="s">
        <v>50</v>
      </c>
      <c r="C826" s="8" t="s">
        <v>28</v>
      </c>
      <c r="D826" s="9" t="n">
        <v>44093</v>
      </c>
      <c r="E826" s="10" t="n">
        <v>83.23</v>
      </c>
      <c r="F826" s="8" t="s">
        <v>11</v>
      </c>
      <c r="G826" s="8" t="s">
        <v>17</v>
      </c>
      <c r="H826" s="11" t="s">
        <v>18</v>
      </c>
      <c r="I826" s="8" t="s">
        <v>14</v>
      </c>
    </row>
    <row r="827" customFormat="false" ht="14.25" hidden="false" customHeight="false" outlineLevel="0" collapsed="false">
      <c r="A827" s="8" t="n">
        <v>826</v>
      </c>
      <c r="B827" s="8" t="s">
        <v>81</v>
      </c>
      <c r="C827" s="8" t="s">
        <v>10</v>
      </c>
      <c r="D827" s="9" t="n">
        <v>44093</v>
      </c>
      <c r="E827" s="10" t="n">
        <v>127153.8</v>
      </c>
      <c r="F827" s="8" t="s">
        <v>11</v>
      </c>
      <c r="G827" s="8" t="s">
        <v>12</v>
      </c>
      <c r="H827" s="11" t="s">
        <v>13</v>
      </c>
      <c r="I827" s="8" t="s">
        <v>14</v>
      </c>
    </row>
    <row r="828" customFormat="false" ht="14.25" hidden="false" customHeight="false" outlineLevel="0" collapsed="false">
      <c r="A828" s="8" t="n">
        <v>827</v>
      </c>
      <c r="B828" s="8" t="s">
        <v>81</v>
      </c>
      <c r="C828" s="8" t="s">
        <v>16</v>
      </c>
      <c r="D828" s="9" t="n">
        <v>44093</v>
      </c>
      <c r="E828" s="10" t="n">
        <v>-7122.15</v>
      </c>
      <c r="F828" s="8" t="s">
        <v>34</v>
      </c>
      <c r="G828" s="8" t="s">
        <v>30</v>
      </c>
      <c r="H828" s="11" t="s">
        <v>31</v>
      </c>
      <c r="I828" s="8" t="s">
        <v>26</v>
      </c>
    </row>
    <row r="829" customFormat="false" ht="14.25" hidden="false" customHeight="false" outlineLevel="0" collapsed="false">
      <c r="A829" s="8" t="n">
        <v>828</v>
      </c>
      <c r="B829" s="8" t="s">
        <v>81</v>
      </c>
      <c r="C829" s="8" t="s">
        <v>16</v>
      </c>
      <c r="D829" s="9" t="n">
        <v>44093</v>
      </c>
      <c r="E829" s="10" t="n">
        <v>-665839.55</v>
      </c>
      <c r="F829" s="8" t="s">
        <v>34</v>
      </c>
      <c r="G829" s="8" t="s">
        <v>36</v>
      </c>
      <c r="H829" s="11" t="s">
        <v>37</v>
      </c>
      <c r="I829" s="8" t="s">
        <v>14</v>
      </c>
    </row>
    <row r="830" customFormat="false" ht="14.25" hidden="false" customHeight="false" outlineLevel="0" collapsed="false">
      <c r="A830" s="8" t="n">
        <v>829</v>
      </c>
      <c r="B830" s="8" t="s">
        <v>81</v>
      </c>
      <c r="C830" s="8" t="s">
        <v>16</v>
      </c>
      <c r="D830" s="9" t="n">
        <v>44093</v>
      </c>
      <c r="E830" s="10" t="n">
        <v>3781.48</v>
      </c>
      <c r="F830" s="8" t="s">
        <v>11</v>
      </c>
      <c r="G830" s="8" t="s">
        <v>17</v>
      </c>
      <c r="H830" s="11" t="s">
        <v>18</v>
      </c>
      <c r="I830" s="8" t="s">
        <v>26</v>
      </c>
    </row>
    <row r="831" customFormat="false" ht="14.25" hidden="false" customHeight="false" outlineLevel="0" collapsed="false">
      <c r="A831" s="8" t="n">
        <v>830</v>
      </c>
      <c r="B831" s="8" t="s">
        <v>81</v>
      </c>
      <c r="C831" s="8" t="s">
        <v>16</v>
      </c>
      <c r="D831" s="9" t="n">
        <v>44093</v>
      </c>
      <c r="E831" s="10" t="n">
        <v>12178.7</v>
      </c>
      <c r="F831" s="8" t="s">
        <v>11</v>
      </c>
      <c r="G831" s="8" t="s">
        <v>36</v>
      </c>
      <c r="H831" s="11" t="s">
        <v>37</v>
      </c>
      <c r="I831" s="8" t="s">
        <v>26</v>
      </c>
    </row>
    <row r="832" customFormat="false" ht="14.25" hidden="false" customHeight="false" outlineLevel="0" collapsed="false">
      <c r="A832" s="8" t="n">
        <v>831</v>
      </c>
      <c r="B832" s="8" t="s">
        <v>81</v>
      </c>
      <c r="C832" s="8" t="s">
        <v>28</v>
      </c>
      <c r="D832" s="9" t="n">
        <v>44093</v>
      </c>
      <c r="E832" s="10" t="n">
        <v>898.15</v>
      </c>
      <c r="F832" s="8" t="s">
        <v>11</v>
      </c>
      <c r="G832" s="8" t="s">
        <v>12</v>
      </c>
      <c r="H832" s="11" t="s">
        <v>13</v>
      </c>
      <c r="I832" s="8" t="s">
        <v>14</v>
      </c>
    </row>
    <row r="833" customFormat="false" ht="14.25" hidden="false" customHeight="false" outlineLevel="0" collapsed="false">
      <c r="A833" s="8" t="n">
        <v>832</v>
      </c>
      <c r="B833" s="8" t="s">
        <v>81</v>
      </c>
      <c r="C833" s="8" t="s">
        <v>10</v>
      </c>
      <c r="D833" s="9" t="n">
        <v>44093</v>
      </c>
      <c r="E833" s="10" t="n">
        <v>144188.92</v>
      </c>
      <c r="F833" s="8" t="s">
        <v>11</v>
      </c>
      <c r="G833" s="8" t="s">
        <v>17</v>
      </c>
      <c r="H833" s="11" t="s">
        <v>18</v>
      </c>
      <c r="I833" s="8" t="s">
        <v>14</v>
      </c>
    </row>
    <row r="834" customFormat="false" ht="14.25" hidden="false" customHeight="false" outlineLevel="0" collapsed="false">
      <c r="A834" s="8" t="n">
        <v>833</v>
      </c>
      <c r="B834" s="8" t="s">
        <v>81</v>
      </c>
      <c r="C834" s="8" t="s">
        <v>16</v>
      </c>
      <c r="D834" s="9" t="n">
        <v>44093</v>
      </c>
      <c r="E834" s="10" t="n">
        <v>131307.27</v>
      </c>
      <c r="F834" s="8" t="s">
        <v>11</v>
      </c>
      <c r="G834" s="8" t="s">
        <v>12</v>
      </c>
      <c r="H834" s="11" t="s">
        <v>13</v>
      </c>
      <c r="I834" s="8" t="s">
        <v>14</v>
      </c>
    </row>
    <row r="835" customFormat="false" ht="14.25" hidden="false" customHeight="false" outlineLevel="0" collapsed="false">
      <c r="A835" s="8" t="n">
        <v>834</v>
      </c>
      <c r="B835" s="8" t="s">
        <v>41</v>
      </c>
      <c r="C835" s="8" t="s">
        <v>28</v>
      </c>
      <c r="D835" s="9" t="n">
        <v>44094</v>
      </c>
      <c r="E835" s="10" t="n">
        <v>308.9</v>
      </c>
      <c r="F835" s="8" t="s">
        <v>11</v>
      </c>
      <c r="G835" s="8" t="s">
        <v>17</v>
      </c>
      <c r="H835" s="11" t="s">
        <v>18</v>
      </c>
      <c r="I835" s="8" t="s">
        <v>19</v>
      </c>
    </row>
    <row r="836" customFormat="false" ht="14.25" hidden="false" customHeight="false" outlineLevel="0" collapsed="false">
      <c r="A836" s="8" t="n">
        <v>835</v>
      </c>
      <c r="B836" s="8" t="s">
        <v>139</v>
      </c>
      <c r="C836" s="8" t="s">
        <v>10</v>
      </c>
      <c r="D836" s="9" t="n">
        <v>44094</v>
      </c>
      <c r="E836" s="10" t="n">
        <v>10460.91</v>
      </c>
      <c r="F836" s="8" t="s">
        <v>11</v>
      </c>
      <c r="G836" s="8" t="s">
        <v>12</v>
      </c>
      <c r="H836" s="11" t="s">
        <v>13</v>
      </c>
      <c r="I836" s="8" t="s">
        <v>19</v>
      </c>
    </row>
    <row r="837" customFormat="false" ht="14.25" hidden="false" customHeight="false" outlineLevel="0" collapsed="false">
      <c r="A837" s="8" t="n">
        <v>836</v>
      </c>
      <c r="B837" s="8" t="s">
        <v>9</v>
      </c>
      <c r="C837" s="8" t="s">
        <v>21</v>
      </c>
      <c r="D837" s="9" t="n">
        <v>44094</v>
      </c>
      <c r="E837" s="10" t="n">
        <v>28835.76</v>
      </c>
      <c r="F837" s="8" t="s">
        <v>11</v>
      </c>
      <c r="G837" s="8" t="s">
        <v>36</v>
      </c>
      <c r="H837" s="11" t="s">
        <v>37</v>
      </c>
      <c r="I837" s="8" t="s">
        <v>26</v>
      </c>
    </row>
    <row r="838" customFormat="false" ht="14.25" hidden="false" customHeight="false" outlineLevel="0" collapsed="false">
      <c r="A838" s="8" t="n">
        <v>837</v>
      </c>
      <c r="B838" s="8" t="s">
        <v>58</v>
      </c>
      <c r="C838" s="8" t="s">
        <v>28</v>
      </c>
      <c r="D838" s="9" t="n">
        <v>44095</v>
      </c>
      <c r="E838" s="10" t="n">
        <v>145049.7</v>
      </c>
      <c r="F838" s="8" t="s">
        <v>11</v>
      </c>
      <c r="G838" s="8" t="s">
        <v>12</v>
      </c>
      <c r="H838" s="11" t="s">
        <v>13</v>
      </c>
      <c r="I838" s="8" t="s">
        <v>14</v>
      </c>
    </row>
    <row r="839" customFormat="false" ht="14.25" hidden="false" customHeight="false" outlineLevel="0" collapsed="false">
      <c r="A839" s="8" t="n">
        <v>838</v>
      </c>
      <c r="B839" s="8" t="s">
        <v>58</v>
      </c>
      <c r="C839" s="8" t="s">
        <v>21</v>
      </c>
      <c r="D839" s="9" t="n">
        <v>44095</v>
      </c>
      <c r="E839" s="10" t="n">
        <v>7904.52</v>
      </c>
      <c r="F839" s="8" t="s">
        <v>11</v>
      </c>
      <c r="G839" s="8" t="s">
        <v>36</v>
      </c>
      <c r="H839" s="11" t="s">
        <v>37</v>
      </c>
      <c r="I839" s="8" t="s">
        <v>19</v>
      </c>
    </row>
    <row r="840" customFormat="false" ht="14.25" hidden="false" customHeight="false" outlineLevel="0" collapsed="false">
      <c r="A840" s="8" t="n">
        <v>839</v>
      </c>
      <c r="B840" s="8" t="s">
        <v>58</v>
      </c>
      <c r="C840" s="8" t="s">
        <v>21</v>
      </c>
      <c r="D840" s="9" t="n">
        <v>44095</v>
      </c>
      <c r="E840" s="10" t="n">
        <v>22579.01</v>
      </c>
      <c r="F840" s="8" t="s">
        <v>11</v>
      </c>
      <c r="G840" s="8" t="s">
        <v>36</v>
      </c>
      <c r="H840" s="11" t="s">
        <v>37</v>
      </c>
      <c r="I840" s="8" t="s">
        <v>24</v>
      </c>
    </row>
    <row r="841" customFormat="false" ht="14.25" hidden="false" customHeight="false" outlineLevel="0" collapsed="false">
      <c r="A841" s="8" t="n">
        <v>840</v>
      </c>
      <c r="B841" s="8" t="s">
        <v>58</v>
      </c>
      <c r="C841" s="8" t="s">
        <v>10</v>
      </c>
      <c r="D841" s="9" t="n">
        <v>44095</v>
      </c>
      <c r="E841" s="10" t="n">
        <v>22270</v>
      </c>
      <c r="F841" s="8" t="s">
        <v>11</v>
      </c>
      <c r="G841" s="8" t="s">
        <v>12</v>
      </c>
      <c r="H841" s="11" t="s">
        <v>13</v>
      </c>
      <c r="I841" s="8" t="s">
        <v>19</v>
      </c>
    </row>
    <row r="842" customFormat="false" ht="14.25" hidden="false" customHeight="false" outlineLevel="0" collapsed="false">
      <c r="A842" s="8" t="n">
        <v>841</v>
      </c>
      <c r="B842" s="8" t="s">
        <v>58</v>
      </c>
      <c r="C842" s="8" t="s">
        <v>10</v>
      </c>
      <c r="D842" s="9" t="n">
        <v>44095</v>
      </c>
      <c r="E842" s="10" t="n">
        <v>28844.42</v>
      </c>
      <c r="F842" s="8" t="s">
        <v>11</v>
      </c>
      <c r="G842" s="8" t="s">
        <v>17</v>
      </c>
      <c r="H842" s="11" t="s">
        <v>18</v>
      </c>
      <c r="I842" s="8" t="s">
        <v>24</v>
      </c>
    </row>
    <row r="843" customFormat="false" ht="14.25" hidden="false" customHeight="false" outlineLevel="0" collapsed="false">
      <c r="A843" s="8" t="n">
        <v>842</v>
      </c>
      <c r="B843" s="8" t="s">
        <v>58</v>
      </c>
      <c r="C843" s="8" t="s">
        <v>28</v>
      </c>
      <c r="D843" s="9" t="n">
        <v>44095</v>
      </c>
      <c r="E843" s="10" t="n">
        <v>171262.08</v>
      </c>
      <c r="F843" s="8" t="s">
        <v>11</v>
      </c>
      <c r="G843" s="8" t="s">
        <v>17</v>
      </c>
      <c r="H843" s="11" t="s">
        <v>18</v>
      </c>
      <c r="I843" s="8" t="s">
        <v>19</v>
      </c>
    </row>
    <row r="844" customFormat="false" ht="14.25" hidden="false" customHeight="false" outlineLevel="0" collapsed="false">
      <c r="A844" s="8" t="n">
        <v>843</v>
      </c>
      <c r="B844" s="8" t="s">
        <v>58</v>
      </c>
      <c r="C844" s="8" t="s">
        <v>16</v>
      </c>
      <c r="D844" s="9" t="n">
        <v>44095</v>
      </c>
      <c r="E844" s="10" t="n">
        <v>9679.04</v>
      </c>
      <c r="F844" s="8" t="s">
        <v>11</v>
      </c>
      <c r="G844" s="8" t="s">
        <v>22</v>
      </c>
      <c r="H844" s="11" t="s">
        <v>23</v>
      </c>
      <c r="I844" s="8" t="s">
        <v>24</v>
      </c>
    </row>
    <row r="845" customFormat="false" ht="14.25" hidden="false" customHeight="false" outlineLevel="0" collapsed="false">
      <c r="A845" s="8" t="n">
        <v>844</v>
      </c>
      <c r="B845" s="8" t="s">
        <v>58</v>
      </c>
      <c r="C845" s="8" t="s">
        <v>28</v>
      </c>
      <c r="D845" s="9" t="n">
        <v>44095</v>
      </c>
      <c r="E845" s="10" t="n">
        <v>23480.29</v>
      </c>
      <c r="F845" s="8" t="s">
        <v>11</v>
      </c>
      <c r="G845" s="8" t="s">
        <v>17</v>
      </c>
      <c r="H845" s="11" t="s">
        <v>18</v>
      </c>
      <c r="I845" s="8" t="s">
        <v>14</v>
      </c>
    </row>
    <row r="846" customFormat="false" ht="14.25" hidden="false" customHeight="false" outlineLevel="0" collapsed="false">
      <c r="A846" s="8" t="n">
        <v>845</v>
      </c>
      <c r="B846" s="8" t="s">
        <v>58</v>
      </c>
      <c r="C846" s="8" t="s">
        <v>21</v>
      </c>
      <c r="D846" s="9" t="n">
        <v>44095</v>
      </c>
      <c r="E846" s="10" t="n">
        <v>26646.75</v>
      </c>
      <c r="F846" s="8" t="s">
        <v>11</v>
      </c>
      <c r="G846" s="8" t="s">
        <v>36</v>
      </c>
      <c r="H846" s="11" t="s">
        <v>37</v>
      </c>
      <c r="I846" s="8" t="s">
        <v>14</v>
      </c>
    </row>
    <row r="847" customFormat="false" ht="14.25" hidden="false" customHeight="false" outlineLevel="0" collapsed="false">
      <c r="A847" s="8" t="n">
        <v>846</v>
      </c>
      <c r="B847" s="8" t="s">
        <v>9</v>
      </c>
      <c r="C847" s="8" t="s">
        <v>16</v>
      </c>
      <c r="D847" s="9" t="n">
        <v>44096</v>
      </c>
      <c r="E847" s="10" t="n">
        <v>27689.42</v>
      </c>
      <c r="F847" s="8" t="s">
        <v>11</v>
      </c>
      <c r="G847" s="8" t="s">
        <v>17</v>
      </c>
      <c r="H847" s="11" t="s">
        <v>18</v>
      </c>
      <c r="I847" s="8" t="s">
        <v>14</v>
      </c>
    </row>
    <row r="848" customFormat="false" ht="14.25" hidden="false" customHeight="false" outlineLevel="0" collapsed="false">
      <c r="A848" s="8" t="n">
        <v>847</v>
      </c>
      <c r="B848" s="8" t="s">
        <v>15</v>
      </c>
      <c r="C848" s="8" t="s">
        <v>16</v>
      </c>
      <c r="D848" s="9" t="n">
        <v>44096</v>
      </c>
      <c r="E848" s="10" t="n">
        <v>28023.1</v>
      </c>
      <c r="F848" s="8" t="s">
        <v>11</v>
      </c>
      <c r="G848" s="8" t="s">
        <v>12</v>
      </c>
      <c r="H848" s="11" t="s">
        <v>13</v>
      </c>
      <c r="I848" s="8" t="s">
        <v>14</v>
      </c>
    </row>
    <row r="849" customFormat="false" ht="14.25" hidden="false" customHeight="false" outlineLevel="0" collapsed="false">
      <c r="A849" s="8" t="n">
        <v>848</v>
      </c>
      <c r="B849" s="8" t="s">
        <v>44</v>
      </c>
      <c r="C849" s="8" t="s">
        <v>21</v>
      </c>
      <c r="D849" s="9" t="n">
        <v>44097</v>
      </c>
      <c r="E849" s="10" t="n">
        <v>142330.24</v>
      </c>
      <c r="F849" s="8" t="s">
        <v>11</v>
      </c>
      <c r="G849" s="8" t="s">
        <v>36</v>
      </c>
      <c r="H849" s="11" t="s">
        <v>37</v>
      </c>
      <c r="I849" s="8" t="s">
        <v>14</v>
      </c>
    </row>
    <row r="850" customFormat="false" ht="14.25" hidden="false" customHeight="false" outlineLevel="0" collapsed="false">
      <c r="A850" s="8" t="n">
        <v>849</v>
      </c>
      <c r="B850" s="8" t="s">
        <v>44</v>
      </c>
      <c r="C850" s="8" t="s">
        <v>10</v>
      </c>
      <c r="D850" s="9" t="n">
        <v>44097</v>
      </c>
      <c r="E850" s="10" t="n">
        <v>-54723.38</v>
      </c>
      <c r="F850" s="8" t="s">
        <v>34</v>
      </c>
      <c r="G850" s="8" t="s">
        <v>17</v>
      </c>
      <c r="H850" s="11" t="s">
        <v>18</v>
      </c>
      <c r="I850" s="8" t="s">
        <v>14</v>
      </c>
    </row>
    <row r="851" customFormat="false" ht="14.25" hidden="false" customHeight="false" outlineLevel="0" collapsed="false">
      <c r="A851" s="8" t="n">
        <v>850</v>
      </c>
      <c r="B851" s="8" t="s">
        <v>57</v>
      </c>
      <c r="C851" s="8" t="s">
        <v>16</v>
      </c>
      <c r="D851" s="9" t="n">
        <v>44097</v>
      </c>
      <c r="E851" s="10" t="n">
        <v>840.03</v>
      </c>
      <c r="F851" s="8" t="s">
        <v>11</v>
      </c>
      <c r="G851" s="8" t="s">
        <v>12</v>
      </c>
      <c r="H851" s="11" t="s">
        <v>13</v>
      </c>
      <c r="I851" s="8" t="s">
        <v>26</v>
      </c>
    </row>
    <row r="852" customFormat="false" ht="14.25" hidden="false" customHeight="false" outlineLevel="0" collapsed="false">
      <c r="A852" s="8" t="n">
        <v>851</v>
      </c>
      <c r="B852" s="8" t="s">
        <v>72</v>
      </c>
      <c r="C852" s="8" t="s">
        <v>10</v>
      </c>
      <c r="D852" s="9" t="n">
        <v>44097</v>
      </c>
      <c r="E852" s="10" t="n">
        <v>4136.98</v>
      </c>
      <c r="F852" s="8" t="s">
        <v>11</v>
      </c>
      <c r="G852" s="8" t="s">
        <v>17</v>
      </c>
      <c r="H852" s="11" t="s">
        <v>18</v>
      </c>
      <c r="I852" s="8" t="s">
        <v>14</v>
      </c>
    </row>
    <row r="853" customFormat="false" ht="14.25" hidden="false" customHeight="false" outlineLevel="0" collapsed="false">
      <c r="A853" s="8" t="n">
        <v>852</v>
      </c>
      <c r="B853" s="8" t="s">
        <v>79</v>
      </c>
      <c r="C853" s="8" t="s">
        <v>10</v>
      </c>
      <c r="D853" s="9" t="n">
        <v>44097</v>
      </c>
      <c r="E853" s="10" t="n">
        <v>1652040.74</v>
      </c>
      <c r="F853" s="8" t="s">
        <v>11</v>
      </c>
      <c r="G853" s="8" t="s">
        <v>12</v>
      </c>
      <c r="H853" s="11" t="s">
        <v>13</v>
      </c>
      <c r="I853" s="8" t="s">
        <v>14</v>
      </c>
    </row>
    <row r="854" customFormat="false" ht="14.25" hidden="false" customHeight="false" outlineLevel="0" collapsed="false">
      <c r="A854" s="8" t="n">
        <v>853</v>
      </c>
      <c r="B854" s="8" t="s">
        <v>45</v>
      </c>
      <c r="C854" s="8" t="s">
        <v>10</v>
      </c>
      <c r="D854" s="9" t="n">
        <v>44097</v>
      </c>
      <c r="E854" s="10" t="n">
        <v>10391.57</v>
      </c>
      <c r="F854" s="8" t="s">
        <v>11</v>
      </c>
      <c r="G854" s="8" t="s">
        <v>12</v>
      </c>
      <c r="H854" s="11" t="s">
        <v>13</v>
      </c>
      <c r="I854" s="8" t="s">
        <v>26</v>
      </c>
    </row>
    <row r="855" customFormat="false" ht="14.25" hidden="false" customHeight="false" outlineLevel="0" collapsed="false">
      <c r="A855" s="8" t="n">
        <v>854</v>
      </c>
      <c r="B855" s="8" t="s">
        <v>45</v>
      </c>
      <c r="C855" s="8" t="s">
        <v>21</v>
      </c>
      <c r="D855" s="9" t="n">
        <v>44097</v>
      </c>
      <c r="E855" s="10" t="n">
        <v>22291.73</v>
      </c>
      <c r="F855" s="8" t="s">
        <v>11</v>
      </c>
      <c r="G855" s="8" t="s">
        <v>17</v>
      </c>
      <c r="H855" s="11" t="s">
        <v>18</v>
      </c>
      <c r="I855" s="8" t="s">
        <v>19</v>
      </c>
    </row>
    <row r="856" customFormat="false" ht="14.25" hidden="false" customHeight="false" outlineLevel="0" collapsed="false">
      <c r="A856" s="8" t="n">
        <v>855</v>
      </c>
      <c r="B856" s="8" t="s">
        <v>39</v>
      </c>
      <c r="C856" s="8" t="s">
        <v>28</v>
      </c>
      <c r="D856" s="9" t="n">
        <v>44097</v>
      </c>
      <c r="E856" s="10" t="n">
        <v>9492.3</v>
      </c>
      <c r="F856" s="8" t="s">
        <v>11</v>
      </c>
      <c r="G856" s="8" t="s">
        <v>12</v>
      </c>
      <c r="H856" s="11" t="s">
        <v>13</v>
      </c>
      <c r="I856" s="8" t="s">
        <v>14</v>
      </c>
    </row>
    <row r="857" customFormat="false" ht="14.25" hidden="false" customHeight="false" outlineLevel="0" collapsed="false">
      <c r="A857" s="8" t="n">
        <v>856</v>
      </c>
      <c r="B857" s="8" t="s">
        <v>57</v>
      </c>
      <c r="C857" s="8" t="s">
        <v>16</v>
      </c>
      <c r="D857" s="9" t="n">
        <v>44097</v>
      </c>
      <c r="E857" s="10" t="n">
        <v>24381.58</v>
      </c>
      <c r="F857" s="8" t="s">
        <v>11</v>
      </c>
      <c r="G857" s="8" t="s">
        <v>36</v>
      </c>
      <c r="H857" s="11" t="s">
        <v>37</v>
      </c>
      <c r="I857" s="8" t="s">
        <v>14</v>
      </c>
    </row>
    <row r="858" customFormat="false" ht="14.25" hidden="false" customHeight="false" outlineLevel="0" collapsed="false">
      <c r="A858" s="8" t="n">
        <v>857</v>
      </c>
      <c r="B858" s="8" t="s">
        <v>72</v>
      </c>
      <c r="C858" s="8" t="s">
        <v>10</v>
      </c>
      <c r="D858" s="9" t="n">
        <v>44097</v>
      </c>
      <c r="E858" s="10" t="n">
        <v>8961.75</v>
      </c>
      <c r="F858" s="8" t="s">
        <v>11</v>
      </c>
      <c r="G858" s="8" t="s">
        <v>17</v>
      </c>
      <c r="H858" s="11" t="s">
        <v>18</v>
      </c>
      <c r="I858" s="8" t="s">
        <v>14</v>
      </c>
    </row>
    <row r="859" customFormat="false" ht="14.25" hidden="false" customHeight="false" outlineLevel="0" collapsed="false">
      <c r="A859" s="8" t="n">
        <v>858</v>
      </c>
      <c r="B859" s="8" t="s">
        <v>79</v>
      </c>
      <c r="C859" s="8" t="s">
        <v>28</v>
      </c>
      <c r="D859" s="9" t="n">
        <v>44097</v>
      </c>
      <c r="E859" s="10" t="n">
        <v>25150.01</v>
      </c>
      <c r="F859" s="8" t="s">
        <v>11</v>
      </c>
      <c r="G859" s="8" t="s">
        <v>12</v>
      </c>
      <c r="H859" s="11" t="s">
        <v>13</v>
      </c>
      <c r="I859" s="8" t="s">
        <v>26</v>
      </c>
    </row>
    <row r="860" customFormat="false" ht="14.25" hidden="false" customHeight="false" outlineLevel="0" collapsed="false">
      <c r="A860" s="8" t="n">
        <v>859</v>
      </c>
      <c r="B860" s="8" t="s">
        <v>47</v>
      </c>
      <c r="C860" s="8" t="s">
        <v>10</v>
      </c>
      <c r="D860" s="9" t="n">
        <v>44097</v>
      </c>
      <c r="E860" s="10" t="n">
        <v>-7707.18</v>
      </c>
      <c r="F860" s="8" t="s">
        <v>34</v>
      </c>
      <c r="G860" s="8" t="s">
        <v>30</v>
      </c>
      <c r="H860" s="11" t="s">
        <v>31</v>
      </c>
      <c r="I860" s="8" t="s">
        <v>26</v>
      </c>
    </row>
    <row r="861" customFormat="false" ht="14.25" hidden="false" customHeight="false" outlineLevel="0" collapsed="false">
      <c r="A861" s="8" t="n">
        <v>860</v>
      </c>
      <c r="B861" s="8" t="s">
        <v>47</v>
      </c>
      <c r="C861" s="8" t="s">
        <v>28</v>
      </c>
      <c r="D861" s="9" t="n">
        <v>44097</v>
      </c>
      <c r="E861" s="10" t="n">
        <v>-2891.49</v>
      </c>
      <c r="F861" s="8" t="s">
        <v>34</v>
      </c>
      <c r="G861" s="8" t="s">
        <v>17</v>
      </c>
      <c r="H861" s="11" t="s">
        <v>18</v>
      </c>
      <c r="I861" s="8" t="s">
        <v>24</v>
      </c>
    </row>
    <row r="862" customFormat="false" ht="14.25" hidden="false" customHeight="false" outlineLevel="0" collapsed="false">
      <c r="A862" s="8" t="n">
        <v>861</v>
      </c>
      <c r="B862" s="8" t="s">
        <v>101</v>
      </c>
      <c r="C862" s="8" t="s">
        <v>21</v>
      </c>
      <c r="D862" s="9" t="n">
        <v>44099</v>
      </c>
      <c r="E862" s="10" t="n">
        <v>4998.68</v>
      </c>
      <c r="F862" s="8" t="s">
        <v>11</v>
      </c>
      <c r="G862" s="8" t="s">
        <v>17</v>
      </c>
      <c r="H862" s="11" t="s">
        <v>18</v>
      </c>
      <c r="I862" s="8" t="s">
        <v>14</v>
      </c>
    </row>
    <row r="863" customFormat="false" ht="14.25" hidden="false" customHeight="false" outlineLevel="0" collapsed="false">
      <c r="A863" s="8" t="n">
        <v>862</v>
      </c>
      <c r="B863" s="8" t="s">
        <v>85</v>
      </c>
      <c r="C863" s="8" t="s">
        <v>28</v>
      </c>
      <c r="D863" s="9" t="n">
        <v>44099</v>
      </c>
      <c r="E863" s="10" t="n">
        <v>-31745.07</v>
      </c>
      <c r="F863" s="8" t="s">
        <v>34</v>
      </c>
      <c r="G863" s="8" t="s">
        <v>17</v>
      </c>
      <c r="H863" s="11" t="s">
        <v>18</v>
      </c>
      <c r="I863" s="8" t="s">
        <v>14</v>
      </c>
    </row>
    <row r="864" customFormat="false" ht="14.25" hidden="false" customHeight="false" outlineLevel="0" collapsed="false">
      <c r="A864" s="8" t="n">
        <v>863</v>
      </c>
      <c r="B864" s="8" t="s">
        <v>40</v>
      </c>
      <c r="C864" s="8" t="s">
        <v>28</v>
      </c>
      <c r="D864" s="9" t="n">
        <v>44099</v>
      </c>
      <c r="E864" s="10" t="n">
        <v>-1695.75</v>
      </c>
      <c r="F864" s="8" t="s">
        <v>34</v>
      </c>
      <c r="G864" s="8" t="s">
        <v>36</v>
      </c>
      <c r="H864" s="11" t="s">
        <v>37</v>
      </c>
      <c r="I864" s="8" t="s">
        <v>14</v>
      </c>
    </row>
    <row r="865" customFormat="false" ht="14.25" hidden="false" customHeight="false" outlineLevel="0" collapsed="false">
      <c r="A865" s="8" t="n">
        <v>864</v>
      </c>
      <c r="B865" s="8" t="s">
        <v>85</v>
      </c>
      <c r="C865" s="8" t="s">
        <v>21</v>
      </c>
      <c r="D865" s="9" t="n">
        <v>44099</v>
      </c>
      <c r="E865" s="10" t="n">
        <v>2634.98</v>
      </c>
      <c r="F865" s="8" t="s">
        <v>11</v>
      </c>
      <c r="G865" s="8" t="s">
        <v>17</v>
      </c>
      <c r="H865" s="11" t="s">
        <v>18</v>
      </c>
      <c r="I865" s="8" t="s">
        <v>14</v>
      </c>
    </row>
    <row r="866" customFormat="false" ht="14.25" hidden="false" customHeight="false" outlineLevel="0" collapsed="false">
      <c r="A866" s="8" t="n">
        <v>865</v>
      </c>
      <c r="B866" s="8" t="s">
        <v>86</v>
      </c>
      <c r="C866" s="8" t="s">
        <v>10</v>
      </c>
      <c r="D866" s="9" t="n">
        <v>44100</v>
      </c>
      <c r="E866" s="10" t="n">
        <v>137204.02</v>
      </c>
      <c r="F866" s="8" t="s">
        <v>11</v>
      </c>
      <c r="G866" s="8" t="s">
        <v>30</v>
      </c>
      <c r="H866" s="11" t="s">
        <v>31</v>
      </c>
      <c r="I866" s="8" t="s">
        <v>19</v>
      </c>
    </row>
    <row r="867" customFormat="false" ht="14.25" hidden="false" customHeight="false" outlineLevel="0" collapsed="false">
      <c r="A867" s="8" t="n">
        <v>866</v>
      </c>
      <c r="B867" s="8" t="s">
        <v>86</v>
      </c>
      <c r="C867" s="8" t="s">
        <v>10</v>
      </c>
      <c r="D867" s="9" t="n">
        <v>44100</v>
      </c>
      <c r="E867" s="10" t="n">
        <v>-13512.1</v>
      </c>
      <c r="F867" s="8" t="s">
        <v>34</v>
      </c>
      <c r="G867" s="8" t="s">
        <v>17</v>
      </c>
      <c r="H867" s="11" t="s">
        <v>18</v>
      </c>
      <c r="I867" s="8" t="s">
        <v>26</v>
      </c>
    </row>
    <row r="868" customFormat="false" ht="14.25" hidden="false" customHeight="false" outlineLevel="0" collapsed="false">
      <c r="A868" s="8" t="n">
        <v>867</v>
      </c>
      <c r="B868" s="8" t="s">
        <v>52</v>
      </c>
      <c r="C868" s="8" t="s">
        <v>16</v>
      </c>
      <c r="D868" s="9" t="n">
        <v>44100</v>
      </c>
      <c r="E868" s="10" t="n">
        <v>141523.61</v>
      </c>
      <c r="F868" s="8" t="s">
        <v>11</v>
      </c>
      <c r="G868" s="8" t="s">
        <v>17</v>
      </c>
      <c r="H868" s="11" t="s">
        <v>18</v>
      </c>
      <c r="I868" s="8" t="s">
        <v>26</v>
      </c>
    </row>
    <row r="869" customFormat="false" ht="14.25" hidden="false" customHeight="false" outlineLevel="0" collapsed="false">
      <c r="A869" s="8" t="n">
        <v>868</v>
      </c>
      <c r="B869" s="8" t="s">
        <v>52</v>
      </c>
      <c r="C869" s="8" t="s">
        <v>16</v>
      </c>
      <c r="D869" s="9" t="n">
        <v>44100</v>
      </c>
      <c r="E869" s="10" t="n">
        <v>-8955.38</v>
      </c>
      <c r="F869" s="8" t="s">
        <v>34</v>
      </c>
      <c r="G869" s="8" t="s">
        <v>17</v>
      </c>
      <c r="H869" s="11" t="s">
        <v>18</v>
      </c>
      <c r="I869" s="8" t="s">
        <v>14</v>
      </c>
    </row>
    <row r="870" customFormat="false" ht="14.25" hidden="false" customHeight="false" outlineLevel="0" collapsed="false">
      <c r="A870" s="8" t="n">
        <v>869</v>
      </c>
      <c r="B870" s="8" t="s">
        <v>52</v>
      </c>
      <c r="C870" s="8" t="s">
        <v>28</v>
      </c>
      <c r="D870" s="9" t="n">
        <v>44100</v>
      </c>
      <c r="E870" s="10" t="n">
        <v>-6872.39</v>
      </c>
      <c r="F870" s="8" t="s">
        <v>34</v>
      </c>
      <c r="G870" s="8" t="s">
        <v>22</v>
      </c>
      <c r="H870" s="11" t="s">
        <v>23</v>
      </c>
      <c r="I870" s="8" t="s">
        <v>26</v>
      </c>
    </row>
    <row r="871" customFormat="false" ht="14.25" hidden="false" customHeight="false" outlineLevel="0" collapsed="false">
      <c r="A871" s="8" t="n">
        <v>870</v>
      </c>
      <c r="B871" s="8" t="s">
        <v>140</v>
      </c>
      <c r="C871" s="8" t="s">
        <v>10</v>
      </c>
      <c r="D871" s="9" t="n">
        <v>44101</v>
      </c>
      <c r="E871" s="10" t="n">
        <v>-16125.94</v>
      </c>
      <c r="F871" s="8" t="s">
        <v>34</v>
      </c>
      <c r="G871" s="8" t="s">
        <v>36</v>
      </c>
      <c r="H871" s="11" t="s">
        <v>37</v>
      </c>
      <c r="I871" s="8" t="s">
        <v>26</v>
      </c>
    </row>
    <row r="872" customFormat="false" ht="14.25" hidden="false" customHeight="false" outlineLevel="0" collapsed="false">
      <c r="A872" s="8" t="n">
        <v>871</v>
      </c>
      <c r="B872" s="8" t="s">
        <v>83</v>
      </c>
      <c r="C872" s="8" t="s">
        <v>10</v>
      </c>
      <c r="D872" s="9" t="n">
        <v>44101</v>
      </c>
      <c r="E872" s="10" t="n">
        <v>146677.28</v>
      </c>
      <c r="F872" s="8" t="s">
        <v>11</v>
      </c>
      <c r="G872" s="8" t="s">
        <v>12</v>
      </c>
      <c r="H872" s="11" t="s">
        <v>13</v>
      </c>
      <c r="I872" s="8" t="s">
        <v>26</v>
      </c>
    </row>
    <row r="873" customFormat="false" ht="14.25" hidden="false" customHeight="false" outlineLevel="0" collapsed="false">
      <c r="A873" s="8" t="n">
        <v>872</v>
      </c>
      <c r="B873" s="8" t="s">
        <v>27</v>
      </c>
      <c r="C873" s="8" t="s">
        <v>10</v>
      </c>
      <c r="D873" s="9" t="n">
        <v>44102</v>
      </c>
      <c r="E873" s="10" t="n">
        <v>3833.5</v>
      </c>
      <c r="F873" s="8" t="s">
        <v>11</v>
      </c>
      <c r="G873" s="8" t="s">
        <v>17</v>
      </c>
      <c r="H873" s="11" t="s">
        <v>18</v>
      </c>
      <c r="I873" s="8" t="s">
        <v>26</v>
      </c>
    </row>
    <row r="874" customFormat="false" ht="14.25" hidden="false" customHeight="false" outlineLevel="0" collapsed="false">
      <c r="A874" s="8" t="n">
        <v>873</v>
      </c>
      <c r="B874" s="8" t="s">
        <v>27</v>
      </c>
      <c r="C874" s="8" t="s">
        <v>21</v>
      </c>
      <c r="D874" s="9" t="n">
        <v>44102</v>
      </c>
      <c r="E874" s="10" t="n">
        <v>3833.5</v>
      </c>
      <c r="F874" s="8" t="s">
        <v>11</v>
      </c>
      <c r="G874" s="8" t="s">
        <v>36</v>
      </c>
      <c r="H874" s="11" t="s">
        <v>37</v>
      </c>
      <c r="I874" s="8" t="s">
        <v>14</v>
      </c>
    </row>
    <row r="875" customFormat="false" ht="14.25" hidden="false" customHeight="false" outlineLevel="0" collapsed="false">
      <c r="A875" s="8" t="n">
        <v>874</v>
      </c>
      <c r="B875" s="8" t="s">
        <v>27</v>
      </c>
      <c r="C875" s="8" t="s">
        <v>16</v>
      </c>
      <c r="D875" s="9" t="n">
        <v>44102</v>
      </c>
      <c r="E875" s="10" t="n">
        <v>2439.5</v>
      </c>
      <c r="F875" s="8" t="s">
        <v>11</v>
      </c>
      <c r="G875" s="8" t="s">
        <v>17</v>
      </c>
      <c r="H875" s="11" t="s">
        <v>18</v>
      </c>
      <c r="I875" s="8" t="s">
        <v>14</v>
      </c>
    </row>
    <row r="876" customFormat="false" ht="14.25" hidden="false" customHeight="false" outlineLevel="0" collapsed="false">
      <c r="A876" s="8" t="n">
        <v>875</v>
      </c>
      <c r="B876" s="8" t="s">
        <v>27</v>
      </c>
      <c r="C876" s="8" t="s">
        <v>21</v>
      </c>
      <c r="D876" s="9" t="n">
        <v>44102</v>
      </c>
      <c r="E876" s="10" t="n">
        <v>3833.5</v>
      </c>
      <c r="F876" s="8" t="s">
        <v>11</v>
      </c>
      <c r="G876" s="8" t="s">
        <v>12</v>
      </c>
      <c r="H876" s="11" t="s">
        <v>13</v>
      </c>
      <c r="I876" s="8" t="s">
        <v>14</v>
      </c>
    </row>
    <row r="877" customFormat="false" ht="14.25" hidden="false" customHeight="false" outlineLevel="0" collapsed="false">
      <c r="A877" s="8" t="n">
        <v>876</v>
      </c>
      <c r="B877" s="8" t="s">
        <v>27</v>
      </c>
      <c r="C877" s="8" t="s">
        <v>10</v>
      </c>
      <c r="D877" s="9" t="n">
        <v>44102</v>
      </c>
      <c r="E877" s="10" t="n">
        <v>2718.3</v>
      </c>
      <c r="F877" s="8" t="s">
        <v>11</v>
      </c>
      <c r="G877" s="8" t="s">
        <v>12</v>
      </c>
      <c r="H877" s="11" t="s">
        <v>13</v>
      </c>
      <c r="I877" s="8" t="s">
        <v>26</v>
      </c>
    </row>
    <row r="878" customFormat="false" ht="14.25" hidden="false" customHeight="false" outlineLevel="0" collapsed="false">
      <c r="A878" s="8" t="n">
        <v>877</v>
      </c>
      <c r="B878" s="8" t="s">
        <v>27</v>
      </c>
      <c r="C878" s="8" t="s">
        <v>28</v>
      </c>
      <c r="D878" s="9" t="n">
        <v>44102</v>
      </c>
      <c r="E878" s="10" t="n">
        <v>3972.9</v>
      </c>
      <c r="F878" s="8" t="s">
        <v>11</v>
      </c>
      <c r="G878" s="8" t="s">
        <v>12</v>
      </c>
      <c r="H878" s="11" t="s">
        <v>13</v>
      </c>
      <c r="I878" s="8" t="s">
        <v>19</v>
      </c>
    </row>
    <row r="879" customFormat="false" ht="14.25" hidden="false" customHeight="false" outlineLevel="0" collapsed="false">
      <c r="A879" s="8" t="n">
        <v>878</v>
      </c>
      <c r="B879" s="8" t="s">
        <v>27</v>
      </c>
      <c r="C879" s="8" t="s">
        <v>21</v>
      </c>
      <c r="D879" s="9" t="n">
        <v>44102</v>
      </c>
      <c r="E879" s="10" t="n">
        <v>186446.2</v>
      </c>
      <c r="F879" s="8" t="s">
        <v>11</v>
      </c>
      <c r="G879" s="8" t="s">
        <v>22</v>
      </c>
      <c r="H879" s="11" t="s">
        <v>23</v>
      </c>
      <c r="I879" s="8" t="s">
        <v>19</v>
      </c>
    </row>
    <row r="880" customFormat="false" ht="14.25" hidden="false" customHeight="false" outlineLevel="0" collapsed="false">
      <c r="A880" s="8" t="n">
        <v>879</v>
      </c>
      <c r="B880" s="8" t="s">
        <v>27</v>
      </c>
      <c r="C880" s="8" t="s">
        <v>28</v>
      </c>
      <c r="D880" s="9" t="n">
        <v>44102</v>
      </c>
      <c r="E880" s="10" t="n">
        <v>2439.5</v>
      </c>
      <c r="F880" s="8" t="s">
        <v>11</v>
      </c>
      <c r="G880" s="8" t="s">
        <v>17</v>
      </c>
      <c r="H880" s="11" t="s">
        <v>18</v>
      </c>
      <c r="I880" s="8" t="s">
        <v>26</v>
      </c>
    </row>
    <row r="881" customFormat="false" ht="14.25" hidden="false" customHeight="false" outlineLevel="0" collapsed="false">
      <c r="A881" s="8" t="n">
        <v>880</v>
      </c>
      <c r="B881" s="8" t="s">
        <v>27</v>
      </c>
      <c r="C881" s="8" t="s">
        <v>10</v>
      </c>
      <c r="D881" s="9" t="n">
        <v>44102</v>
      </c>
      <c r="E881" s="10" t="n">
        <v>3833.5</v>
      </c>
      <c r="F881" s="8" t="s">
        <v>11</v>
      </c>
      <c r="G881" s="8" t="s">
        <v>12</v>
      </c>
      <c r="H881" s="11" t="s">
        <v>13</v>
      </c>
      <c r="I881" s="8" t="s">
        <v>26</v>
      </c>
    </row>
    <row r="882" customFormat="false" ht="14.25" hidden="false" customHeight="false" outlineLevel="0" collapsed="false">
      <c r="A882" s="8" t="n">
        <v>881</v>
      </c>
      <c r="B882" s="8" t="s">
        <v>27</v>
      </c>
      <c r="C882" s="8" t="s">
        <v>28</v>
      </c>
      <c r="D882" s="9" t="n">
        <v>44102</v>
      </c>
      <c r="E882" s="10" t="n">
        <v>2718.3</v>
      </c>
      <c r="F882" s="8" t="s">
        <v>11</v>
      </c>
      <c r="G882" s="8" t="s">
        <v>30</v>
      </c>
      <c r="H882" s="11" t="s">
        <v>31</v>
      </c>
      <c r="I882" s="8" t="s">
        <v>19</v>
      </c>
    </row>
    <row r="883" customFormat="false" ht="14.25" hidden="false" customHeight="false" outlineLevel="0" collapsed="false">
      <c r="A883" s="8" t="n">
        <v>882</v>
      </c>
      <c r="B883" s="8" t="s">
        <v>27</v>
      </c>
      <c r="C883" s="8" t="s">
        <v>16</v>
      </c>
      <c r="D883" s="9" t="n">
        <v>44102</v>
      </c>
      <c r="E883" s="10" t="n">
        <v>3972.9</v>
      </c>
      <c r="F883" s="8" t="s">
        <v>11</v>
      </c>
      <c r="G883" s="8" t="s">
        <v>12</v>
      </c>
      <c r="H883" s="11" t="s">
        <v>13</v>
      </c>
      <c r="I883" s="8" t="s">
        <v>14</v>
      </c>
    </row>
    <row r="884" customFormat="false" ht="14.25" hidden="false" customHeight="false" outlineLevel="0" collapsed="false">
      <c r="A884" s="8" t="n">
        <v>883</v>
      </c>
      <c r="B884" s="8" t="s">
        <v>73</v>
      </c>
      <c r="C884" s="8" t="s">
        <v>16</v>
      </c>
      <c r="D884" s="9" t="n">
        <v>44103</v>
      </c>
      <c r="E884" s="10" t="n">
        <v>-818.3</v>
      </c>
      <c r="F884" s="8" t="s">
        <v>34</v>
      </c>
      <c r="G884" s="8" t="s">
        <v>17</v>
      </c>
      <c r="H884" s="11" t="s">
        <v>18</v>
      </c>
      <c r="I884" s="8" t="s">
        <v>14</v>
      </c>
    </row>
    <row r="885" customFormat="false" ht="14.25" hidden="false" customHeight="false" outlineLevel="0" collapsed="false">
      <c r="A885" s="8" t="n">
        <v>884</v>
      </c>
      <c r="B885" s="8" t="s">
        <v>73</v>
      </c>
      <c r="C885" s="8" t="s">
        <v>16</v>
      </c>
      <c r="D885" s="9" t="n">
        <v>44103</v>
      </c>
      <c r="E885" s="10" t="n">
        <v>-232.3</v>
      </c>
      <c r="F885" s="8" t="s">
        <v>34</v>
      </c>
      <c r="G885" s="8" t="s">
        <v>17</v>
      </c>
      <c r="H885" s="11" t="s">
        <v>18</v>
      </c>
      <c r="I885" s="8" t="s">
        <v>14</v>
      </c>
    </row>
    <row r="886" customFormat="false" ht="14.25" hidden="false" customHeight="false" outlineLevel="0" collapsed="false">
      <c r="A886" s="8" t="n">
        <v>885</v>
      </c>
      <c r="B886" s="8" t="s">
        <v>39</v>
      </c>
      <c r="C886" s="8" t="s">
        <v>16</v>
      </c>
      <c r="D886" s="9" t="n">
        <v>44103</v>
      </c>
      <c r="E886" s="10" t="n">
        <v>-282.8</v>
      </c>
      <c r="F886" s="8" t="s">
        <v>34</v>
      </c>
      <c r="G886" s="8" t="s">
        <v>22</v>
      </c>
      <c r="H886" s="11" t="s">
        <v>23</v>
      </c>
      <c r="I886" s="8" t="s">
        <v>14</v>
      </c>
    </row>
    <row r="887" customFormat="false" ht="14.25" hidden="false" customHeight="false" outlineLevel="0" collapsed="false">
      <c r="A887" s="8" t="n">
        <v>886</v>
      </c>
      <c r="B887" s="8" t="s">
        <v>73</v>
      </c>
      <c r="C887" s="8" t="s">
        <v>21</v>
      </c>
      <c r="D887" s="9" t="n">
        <v>44103</v>
      </c>
      <c r="E887" s="10" t="n">
        <v>2564.45</v>
      </c>
      <c r="F887" s="8" t="s">
        <v>11</v>
      </c>
      <c r="G887" s="8" t="s">
        <v>12</v>
      </c>
      <c r="H887" s="11" t="s">
        <v>13</v>
      </c>
      <c r="I887" s="8" t="s">
        <v>14</v>
      </c>
    </row>
    <row r="888" customFormat="false" ht="14.25" hidden="false" customHeight="false" outlineLevel="0" collapsed="false">
      <c r="A888" s="8" t="n">
        <v>887</v>
      </c>
      <c r="B888" s="8" t="s">
        <v>75</v>
      </c>
      <c r="C888" s="8" t="s">
        <v>21</v>
      </c>
      <c r="D888" s="9" t="n">
        <v>44104</v>
      </c>
      <c r="E888" s="10" t="n">
        <v>5128.9</v>
      </c>
      <c r="F888" s="8" t="s">
        <v>11</v>
      </c>
      <c r="G888" s="8" t="s">
        <v>36</v>
      </c>
      <c r="H888" s="11" t="s">
        <v>37</v>
      </c>
      <c r="I888" s="8" t="s">
        <v>19</v>
      </c>
    </row>
    <row r="889" customFormat="false" ht="14.25" hidden="false" customHeight="false" outlineLevel="0" collapsed="false">
      <c r="A889" s="8" t="n">
        <v>888</v>
      </c>
      <c r="B889" s="8" t="s">
        <v>20</v>
      </c>
      <c r="C889" s="8" t="s">
        <v>28</v>
      </c>
      <c r="D889" s="9" t="n">
        <v>44104</v>
      </c>
      <c r="E889" s="10" t="n">
        <v>3663.5</v>
      </c>
      <c r="F889" s="8" t="s">
        <v>11</v>
      </c>
      <c r="G889" s="8" t="s">
        <v>17</v>
      </c>
      <c r="H889" s="11" t="s">
        <v>18</v>
      </c>
      <c r="I889" s="8" t="s">
        <v>24</v>
      </c>
    </row>
    <row r="890" customFormat="false" ht="14.25" hidden="false" customHeight="false" outlineLevel="0" collapsed="false">
      <c r="A890" s="8" t="n">
        <v>889</v>
      </c>
      <c r="B890" s="8" t="s">
        <v>81</v>
      </c>
      <c r="C890" s="8" t="s">
        <v>21</v>
      </c>
      <c r="D890" s="9" t="n">
        <v>44104</v>
      </c>
      <c r="E890" s="10" t="n">
        <v>51878.81</v>
      </c>
      <c r="F890" s="8" t="s">
        <v>11</v>
      </c>
      <c r="G890" s="8" t="s">
        <v>12</v>
      </c>
      <c r="H890" s="11" t="s">
        <v>13</v>
      </c>
      <c r="I890" s="8" t="s">
        <v>19</v>
      </c>
    </row>
    <row r="891" customFormat="false" ht="14.25" hidden="false" customHeight="false" outlineLevel="0" collapsed="false">
      <c r="A891" s="8" t="n">
        <v>890</v>
      </c>
      <c r="B891" s="8" t="s">
        <v>81</v>
      </c>
      <c r="C891" s="8" t="s">
        <v>21</v>
      </c>
      <c r="D891" s="9" t="n">
        <v>44104</v>
      </c>
      <c r="E891" s="10" t="n">
        <v>2564.45</v>
      </c>
      <c r="F891" s="8" t="s">
        <v>11</v>
      </c>
      <c r="G891" s="8" t="s">
        <v>12</v>
      </c>
      <c r="H891" s="11" t="s">
        <v>13</v>
      </c>
      <c r="I891" s="8" t="s">
        <v>19</v>
      </c>
    </row>
    <row r="892" customFormat="false" ht="14.25" hidden="false" customHeight="false" outlineLevel="0" collapsed="false">
      <c r="A892" s="8" t="n">
        <v>891</v>
      </c>
      <c r="B892" s="8" t="s">
        <v>32</v>
      </c>
      <c r="C892" s="8" t="s">
        <v>28</v>
      </c>
      <c r="D892" s="9" t="n">
        <v>44104</v>
      </c>
      <c r="E892" s="10" t="n">
        <v>5128.9</v>
      </c>
      <c r="F892" s="8" t="s">
        <v>11</v>
      </c>
      <c r="G892" s="8" t="s">
        <v>22</v>
      </c>
      <c r="H892" s="11" t="s">
        <v>23</v>
      </c>
      <c r="I892" s="8" t="s">
        <v>14</v>
      </c>
    </row>
    <row r="893" customFormat="false" ht="14.25" hidden="false" customHeight="false" outlineLevel="0" collapsed="false">
      <c r="A893" s="8" t="n">
        <v>892</v>
      </c>
      <c r="B893" s="8" t="s">
        <v>20</v>
      </c>
      <c r="C893" s="8" t="s">
        <v>28</v>
      </c>
      <c r="D893" s="9" t="n">
        <v>44104</v>
      </c>
      <c r="E893" s="10" t="n">
        <v>3663.5</v>
      </c>
      <c r="F893" s="8" t="s">
        <v>11</v>
      </c>
      <c r="G893" s="8" t="s">
        <v>12</v>
      </c>
      <c r="H893" s="11" t="s">
        <v>13</v>
      </c>
      <c r="I893" s="8" t="s">
        <v>14</v>
      </c>
    </row>
    <row r="894" customFormat="false" ht="14.25" hidden="false" customHeight="false" outlineLevel="0" collapsed="false">
      <c r="A894" s="8" t="n">
        <v>893</v>
      </c>
      <c r="B894" s="8" t="s">
        <v>81</v>
      </c>
      <c r="C894" s="8" t="s">
        <v>28</v>
      </c>
      <c r="D894" s="9" t="n">
        <v>44104</v>
      </c>
      <c r="E894" s="10" t="n">
        <v>47841.3</v>
      </c>
      <c r="F894" s="8" t="s">
        <v>11</v>
      </c>
      <c r="G894" s="8" t="s">
        <v>12</v>
      </c>
      <c r="H894" s="11" t="s">
        <v>13</v>
      </c>
      <c r="I894" s="8" t="s">
        <v>26</v>
      </c>
    </row>
    <row r="895" customFormat="false" ht="14.25" hidden="false" customHeight="false" outlineLevel="0" collapsed="false">
      <c r="A895" s="8" t="n">
        <v>894</v>
      </c>
      <c r="B895" s="8" t="s">
        <v>81</v>
      </c>
      <c r="C895" s="8" t="s">
        <v>28</v>
      </c>
      <c r="D895" s="9" t="n">
        <v>44104</v>
      </c>
      <c r="E895" s="10" t="n">
        <v>54509.33</v>
      </c>
      <c r="F895" s="8" t="s">
        <v>11</v>
      </c>
      <c r="G895" s="8" t="s">
        <v>12</v>
      </c>
      <c r="H895" s="11" t="s">
        <v>13</v>
      </c>
      <c r="I895" s="8" t="s">
        <v>14</v>
      </c>
    </row>
    <row r="896" customFormat="false" ht="14.25" hidden="false" customHeight="false" outlineLevel="0" collapsed="false">
      <c r="A896" s="8" t="n">
        <v>895</v>
      </c>
      <c r="B896" s="8" t="s">
        <v>75</v>
      </c>
      <c r="C896" s="8" t="s">
        <v>10</v>
      </c>
      <c r="D896" s="9" t="n">
        <v>44104</v>
      </c>
      <c r="E896" s="10" t="n">
        <v>12454.02</v>
      </c>
      <c r="F896" s="8" t="s">
        <v>11</v>
      </c>
      <c r="G896" s="8" t="s">
        <v>12</v>
      </c>
      <c r="H896" s="11" t="s">
        <v>13</v>
      </c>
      <c r="I896" s="8" t="s">
        <v>26</v>
      </c>
    </row>
    <row r="897" customFormat="false" ht="14.25" hidden="false" customHeight="false" outlineLevel="0" collapsed="false">
      <c r="A897" s="8" t="n">
        <v>896</v>
      </c>
      <c r="B897" s="8" t="s">
        <v>66</v>
      </c>
      <c r="C897" s="8" t="s">
        <v>16</v>
      </c>
      <c r="D897" s="9" t="n">
        <v>44104</v>
      </c>
      <c r="E897" s="10" t="n">
        <v>13064.16</v>
      </c>
      <c r="F897" s="8" t="s">
        <v>11</v>
      </c>
      <c r="G897" s="8" t="s">
        <v>12</v>
      </c>
      <c r="H897" s="11" t="s">
        <v>13</v>
      </c>
      <c r="I897" s="8" t="s">
        <v>26</v>
      </c>
    </row>
    <row r="898" customFormat="false" ht="14.25" hidden="false" customHeight="false" outlineLevel="0" collapsed="false">
      <c r="A898" s="8" t="n">
        <v>897</v>
      </c>
      <c r="B898" s="8" t="s">
        <v>20</v>
      </c>
      <c r="C898" s="8" t="s">
        <v>10</v>
      </c>
      <c r="D898" s="9" t="n">
        <v>44104</v>
      </c>
      <c r="E898" s="10" t="n">
        <v>13465.48</v>
      </c>
      <c r="F898" s="8" t="s">
        <v>11</v>
      </c>
      <c r="G898" s="8" t="s">
        <v>12</v>
      </c>
      <c r="H898" s="11" t="s">
        <v>13</v>
      </c>
      <c r="I898" s="8" t="s">
        <v>19</v>
      </c>
    </row>
    <row r="899" customFormat="false" ht="14.25" hidden="false" customHeight="false" outlineLevel="0" collapsed="false">
      <c r="A899" s="8" t="n">
        <v>898</v>
      </c>
      <c r="B899" s="8" t="s">
        <v>81</v>
      </c>
      <c r="C899" s="8" t="s">
        <v>10</v>
      </c>
      <c r="D899" s="9" t="n">
        <v>44104</v>
      </c>
      <c r="E899" s="10" t="n">
        <v>14870.56</v>
      </c>
      <c r="F899" s="8" t="s">
        <v>11</v>
      </c>
      <c r="G899" s="8" t="s">
        <v>12</v>
      </c>
      <c r="H899" s="11" t="s">
        <v>13</v>
      </c>
      <c r="I899" s="8" t="s">
        <v>14</v>
      </c>
    </row>
    <row r="900" customFormat="false" ht="14.25" hidden="false" customHeight="false" outlineLevel="0" collapsed="false">
      <c r="A900" s="8" t="n">
        <v>899</v>
      </c>
      <c r="B900" s="8" t="s">
        <v>81</v>
      </c>
      <c r="C900" s="8" t="s">
        <v>21</v>
      </c>
      <c r="D900" s="9" t="n">
        <v>44104</v>
      </c>
      <c r="E900" s="10" t="n">
        <v>-10901.1</v>
      </c>
      <c r="F900" s="8" t="s">
        <v>34</v>
      </c>
      <c r="G900" s="8" t="s">
        <v>12</v>
      </c>
      <c r="H900" s="11" t="s">
        <v>13</v>
      </c>
      <c r="I900" s="8" t="s">
        <v>26</v>
      </c>
    </row>
    <row r="901" customFormat="false" ht="14.25" hidden="false" customHeight="false" outlineLevel="0" collapsed="false">
      <c r="A901" s="8" t="n">
        <v>900</v>
      </c>
      <c r="B901" s="8" t="s">
        <v>75</v>
      </c>
      <c r="C901" s="8" t="s">
        <v>16</v>
      </c>
      <c r="D901" s="9" t="n">
        <v>44104</v>
      </c>
      <c r="E901" s="10" t="n">
        <v>-1767.15</v>
      </c>
      <c r="F901" s="8" t="s">
        <v>34</v>
      </c>
      <c r="G901" s="8" t="s">
        <v>36</v>
      </c>
      <c r="H901" s="11" t="s">
        <v>37</v>
      </c>
      <c r="I901" s="8" t="s">
        <v>19</v>
      </c>
    </row>
    <row r="902" customFormat="false" ht="14.25" hidden="false" customHeight="false" outlineLevel="0" collapsed="false">
      <c r="A902" s="8" t="n">
        <v>901</v>
      </c>
      <c r="B902" s="8" t="s">
        <v>73</v>
      </c>
      <c r="C902" s="8" t="s">
        <v>21</v>
      </c>
      <c r="D902" s="9" t="n">
        <v>44104</v>
      </c>
      <c r="E902" s="10" t="n">
        <v>621303.05</v>
      </c>
      <c r="F902" s="8" t="s">
        <v>11</v>
      </c>
      <c r="G902" s="8" t="s">
        <v>12</v>
      </c>
      <c r="H902" s="11" t="s">
        <v>13</v>
      </c>
      <c r="I902" s="8" t="s">
        <v>26</v>
      </c>
    </row>
    <row r="903" customFormat="false" ht="14.25" hidden="false" customHeight="false" outlineLevel="0" collapsed="false">
      <c r="A903" s="8" t="n">
        <v>902</v>
      </c>
      <c r="B903" s="8" t="s">
        <v>49</v>
      </c>
      <c r="C903" s="8" t="s">
        <v>21</v>
      </c>
      <c r="D903" s="9" t="n">
        <v>44104</v>
      </c>
      <c r="E903" s="10" t="n">
        <v>6320.38</v>
      </c>
      <c r="F903" s="8" t="s">
        <v>11</v>
      </c>
      <c r="G903" s="8" t="s">
        <v>12</v>
      </c>
      <c r="H903" s="11" t="s">
        <v>13</v>
      </c>
      <c r="I903" s="8" t="s">
        <v>14</v>
      </c>
    </row>
    <row r="904" customFormat="false" ht="14.25" hidden="false" customHeight="false" outlineLevel="0" collapsed="false">
      <c r="A904" s="8" t="n">
        <v>903</v>
      </c>
      <c r="B904" s="8" t="s">
        <v>100</v>
      </c>
      <c r="C904" s="8" t="s">
        <v>21</v>
      </c>
      <c r="D904" s="9" t="n">
        <v>44104</v>
      </c>
      <c r="E904" s="10" t="n">
        <v>5845.44</v>
      </c>
      <c r="F904" s="8" t="s">
        <v>11</v>
      </c>
      <c r="G904" s="8" t="s">
        <v>12</v>
      </c>
      <c r="H904" s="11" t="s">
        <v>13</v>
      </c>
      <c r="I904" s="8" t="s">
        <v>26</v>
      </c>
    </row>
    <row r="905" customFormat="false" ht="14.25" hidden="false" customHeight="false" outlineLevel="0" collapsed="false">
      <c r="A905" s="8" t="n">
        <v>904</v>
      </c>
      <c r="B905" s="8" t="s">
        <v>66</v>
      </c>
      <c r="C905" s="8" t="s">
        <v>10</v>
      </c>
      <c r="D905" s="9" t="n">
        <v>44104</v>
      </c>
      <c r="E905" s="10" t="n">
        <v>6081.9</v>
      </c>
      <c r="F905" s="8" t="s">
        <v>11</v>
      </c>
      <c r="G905" s="8" t="s">
        <v>17</v>
      </c>
      <c r="H905" s="11" t="s">
        <v>18</v>
      </c>
      <c r="I905" s="8" t="s">
        <v>14</v>
      </c>
    </row>
    <row r="906" customFormat="false" ht="14.25" hidden="false" customHeight="false" outlineLevel="0" collapsed="false">
      <c r="A906" s="8" t="n">
        <v>905</v>
      </c>
      <c r="B906" s="8" t="s">
        <v>20</v>
      </c>
      <c r="C906" s="8" t="s">
        <v>28</v>
      </c>
      <c r="D906" s="9" t="n">
        <v>44104</v>
      </c>
      <c r="E906" s="10" t="n">
        <v>6720.16</v>
      </c>
      <c r="F906" s="8" t="s">
        <v>11</v>
      </c>
      <c r="G906" s="8" t="s">
        <v>22</v>
      </c>
      <c r="H906" s="11" t="s">
        <v>23</v>
      </c>
      <c r="I906" s="8" t="s">
        <v>26</v>
      </c>
    </row>
    <row r="907" customFormat="false" ht="14.25" hidden="false" customHeight="false" outlineLevel="0" collapsed="false">
      <c r="A907" s="8" t="n">
        <v>906</v>
      </c>
      <c r="B907" s="8" t="s">
        <v>66</v>
      </c>
      <c r="C907" s="8" t="s">
        <v>10</v>
      </c>
      <c r="D907" s="9" t="n">
        <v>44104</v>
      </c>
      <c r="E907" s="10" t="n">
        <v>6451.93</v>
      </c>
      <c r="F907" s="8" t="s">
        <v>11</v>
      </c>
      <c r="G907" s="8" t="s">
        <v>17</v>
      </c>
      <c r="H907" s="11" t="s">
        <v>18</v>
      </c>
      <c r="I907" s="8" t="s">
        <v>24</v>
      </c>
    </row>
    <row r="908" customFormat="false" ht="14.25" hidden="false" customHeight="false" outlineLevel="0" collapsed="false">
      <c r="A908" s="8" t="n">
        <v>907</v>
      </c>
      <c r="B908" s="8" t="s">
        <v>100</v>
      </c>
      <c r="C908" s="8" t="s">
        <v>21</v>
      </c>
      <c r="D908" s="9" t="n">
        <v>44104</v>
      </c>
      <c r="E908" s="10" t="n">
        <v>5601.94</v>
      </c>
      <c r="F908" s="8" t="s">
        <v>11</v>
      </c>
      <c r="G908" s="8" t="s">
        <v>12</v>
      </c>
      <c r="H908" s="11" t="s">
        <v>13</v>
      </c>
      <c r="I908" s="8" t="s">
        <v>14</v>
      </c>
    </row>
    <row r="909" customFormat="false" ht="14.25" hidden="false" customHeight="false" outlineLevel="0" collapsed="false">
      <c r="A909" s="8" t="n">
        <v>908</v>
      </c>
      <c r="B909" s="8" t="s">
        <v>81</v>
      </c>
      <c r="C909" s="8" t="s">
        <v>28</v>
      </c>
      <c r="D909" s="9" t="n">
        <v>44104</v>
      </c>
      <c r="E909" s="10" t="n">
        <v>6118.25</v>
      </c>
      <c r="F909" s="8" t="s">
        <v>11</v>
      </c>
      <c r="G909" s="8" t="s">
        <v>12</v>
      </c>
      <c r="H909" s="11" t="s">
        <v>13</v>
      </c>
      <c r="I909" s="8" t="s">
        <v>24</v>
      </c>
    </row>
    <row r="910" customFormat="false" ht="14.25" hidden="false" customHeight="false" outlineLevel="0" collapsed="false">
      <c r="A910" s="8" t="n">
        <v>909</v>
      </c>
      <c r="B910" s="8" t="s">
        <v>81</v>
      </c>
      <c r="C910" s="8" t="s">
        <v>10</v>
      </c>
      <c r="D910" s="9" t="n">
        <v>44104</v>
      </c>
      <c r="E910" s="10" t="n">
        <v>-6071.03</v>
      </c>
      <c r="F910" s="8" t="s">
        <v>34</v>
      </c>
      <c r="G910" s="8" t="s">
        <v>36</v>
      </c>
      <c r="H910" s="11" t="s">
        <v>37</v>
      </c>
      <c r="I910" s="8" t="s">
        <v>24</v>
      </c>
    </row>
    <row r="911" customFormat="false" ht="14.25" hidden="false" customHeight="false" outlineLevel="0" collapsed="false">
      <c r="A911" s="8" t="n">
        <v>910</v>
      </c>
      <c r="B911" s="8" t="s">
        <v>73</v>
      </c>
      <c r="C911" s="8" t="s">
        <v>28</v>
      </c>
      <c r="D911" s="9" t="n">
        <v>44104</v>
      </c>
      <c r="E911" s="10" t="n">
        <v>-6711.34</v>
      </c>
      <c r="F911" s="8" t="s">
        <v>34</v>
      </c>
      <c r="G911" s="8" t="s">
        <v>17</v>
      </c>
      <c r="H911" s="11" t="s">
        <v>18</v>
      </c>
      <c r="I911" s="8" t="s">
        <v>19</v>
      </c>
    </row>
    <row r="912" customFormat="false" ht="14.25" hidden="false" customHeight="false" outlineLevel="0" collapsed="false">
      <c r="A912" s="8" t="n">
        <v>911</v>
      </c>
      <c r="B912" s="8" t="s">
        <v>39</v>
      </c>
      <c r="C912" s="8" t="s">
        <v>16</v>
      </c>
      <c r="D912" s="9" t="n">
        <v>44104</v>
      </c>
      <c r="E912" s="10" t="n">
        <v>-1771.04</v>
      </c>
      <c r="F912" s="8" t="s">
        <v>34</v>
      </c>
      <c r="G912" s="8" t="s">
        <v>17</v>
      </c>
      <c r="H912" s="11" t="s">
        <v>18</v>
      </c>
      <c r="I912" s="8" t="s">
        <v>26</v>
      </c>
    </row>
    <row r="913" customFormat="false" ht="14.25" hidden="false" customHeight="false" outlineLevel="0" collapsed="false">
      <c r="A913" s="8" t="n">
        <v>912</v>
      </c>
      <c r="B913" s="8" t="s">
        <v>66</v>
      </c>
      <c r="C913" s="8" t="s">
        <v>21</v>
      </c>
      <c r="D913" s="9" t="n">
        <v>44104</v>
      </c>
      <c r="E913" s="10" t="n">
        <v>-401.21</v>
      </c>
      <c r="F913" s="8" t="s">
        <v>34</v>
      </c>
      <c r="G913" s="8" t="s">
        <v>12</v>
      </c>
      <c r="H913" s="11" t="s">
        <v>13</v>
      </c>
      <c r="I913" s="8" t="s">
        <v>14</v>
      </c>
    </row>
    <row r="914" customFormat="false" ht="14.25" hidden="false" customHeight="false" outlineLevel="0" collapsed="false">
      <c r="A914" s="8" t="n">
        <v>913</v>
      </c>
      <c r="B914" s="8" t="s">
        <v>100</v>
      </c>
      <c r="C914" s="8" t="s">
        <v>28</v>
      </c>
      <c r="D914" s="9" t="n">
        <v>44104</v>
      </c>
      <c r="E914" s="10" t="n">
        <v>-38441.87</v>
      </c>
      <c r="F914" s="8" t="s">
        <v>34</v>
      </c>
      <c r="G914" s="8" t="s">
        <v>22</v>
      </c>
      <c r="H914" s="11" t="s">
        <v>23</v>
      </c>
      <c r="I914" s="8" t="s">
        <v>26</v>
      </c>
    </row>
    <row r="915" customFormat="false" ht="14.25" hidden="false" customHeight="false" outlineLevel="0" collapsed="false">
      <c r="A915" s="8" t="n">
        <v>914</v>
      </c>
      <c r="B915" s="8" t="s">
        <v>73</v>
      </c>
      <c r="C915" s="8" t="s">
        <v>16</v>
      </c>
      <c r="D915" s="9" t="n">
        <v>44104</v>
      </c>
      <c r="E915" s="10" t="n">
        <v>-25991.07</v>
      </c>
      <c r="F915" s="8" t="s">
        <v>34</v>
      </c>
      <c r="G915" s="8" t="s">
        <v>12</v>
      </c>
      <c r="H915" s="11" t="s">
        <v>13</v>
      </c>
      <c r="I915" s="8" t="s">
        <v>19</v>
      </c>
    </row>
    <row r="916" customFormat="false" ht="14.25" hidden="false" customHeight="false" outlineLevel="0" collapsed="false">
      <c r="A916" s="8" t="n">
        <v>915</v>
      </c>
      <c r="B916" s="8" t="s">
        <v>81</v>
      </c>
      <c r="C916" s="8" t="s">
        <v>28</v>
      </c>
      <c r="D916" s="9" t="n">
        <v>44104</v>
      </c>
      <c r="E916" s="10" t="n">
        <v>11656.12</v>
      </c>
      <c r="F916" s="8" t="s">
        <v>11</v>
      </c>
      <c r="G916" s="8" t="s">
        <v>12</v>
      </c>
      <c r="H916" s="11" t="s">
        <v>13</v>
      </c>
      <c r="I916" s="8" t="s">
        <v>14</v>
      </c>
    </row>
    <row r="917" customFormat="false" ht="14.25" hidden="false" customHeight="false" outlineLevel="0" collapsed="false">
      <c r="A917" s="8" t="n">
        <v>916</v>
      </c>
      <c r="B917" s="8" t="s">
        <v>81</v>
      </c>
      <c r="C917" s="8" t="s">
        <v>28</v>
      </c>
      <c r="D917" s="9" t="n">
        <v>44104</v>
      </c>
      <c r="E917" s="10" t="n">
        <v>160361.7</v>
      </c>
      <c r="F917" s="8" t="s">
        <v>11</v>
      </c>
      <c r="G917" s="8" t="s">
        <v>30</v>
      </c>
      <c r="H917" s="11" t="s">
        <v>31</v>
      </c>
      <c r="I917" s="8" t="s">
        <v>26</v>
      </c>
    </row>
    <row r="918" customFormat="false" ht="14.25" hidden="false" customHeight="false" outlineLevel="0" collapsed="false">
      <c r="A918" s="8" t="n">
        <v>917</v>
      </c>
      <c r="B918" s="8" t="s">
        <v>100</v>
      </c>
      <c r="C918" s="8" t="s">
        <v>16</v>
      </c>
      <c r="D918" s="9" t="n">
        <v>44104</v>
      </c>
      <c r="E918" s="10" t="n">
        <v>26690.35</v>
      </c>
      <c r="F918" s="8" t="s">
        <v>11</v>
      </c>
      <c r="G918" s="8" t="s">
        <v>12</v>
      </c>
      <c r="H918" s="11" t="s">
        <v>13</v>
      </c>
      <c r="I918" s="8" t="s">
        <v>26</v>
      </c>
    </row>
    <row r="919" customFormat="false" ht="14.25" hidden="false" customHeight="false" outlineLevel="0" collapsed="false">
      <c r="A919" s="8" t="n">
        <v>918</v>
      </c>
      <c r="B919" s="8" t="s">
        <v>100</v>
      </c>
      <c r="C919" s="8" t="s">
        <v>10</v>
      </c>
      <c r="D919" s="9" t="n">
        <v>44104</v>
      </c>
      <c r="E919" s="10" t="n">
        <v>-38140.48</v>
      </c>
      <c r="F919" s="8" t="s">
        <v>34</v>
      </c>
      <c r="G919" s="8" t="s">
        <v>17</v>
      </c>
      <c r="H919" s="11" t="s">
        <v>18</v>
      </c>
      <c r="I919" s="8" t="s">
        <v>24</v>
      </c>
    </row>
    <row r="920" customFormat="false" ht="14.25" hidden="false" customHeight="false" outlineLevel="0" collapsed="false">
      <c r="A920" s="8" t="n">
        <v>919</v>
      </c>
      <c r="B920" s="8" t="s">
        <v>100</v>
      </c>
      <c r="C920" s="8" t="s">
        <v>16</v>
      </c>
      <c r="D920" s="9" t="n">
        <v>44104</v>
      </c>
      <c r="E920" s="10" t="n">
        <v>70176.95</v>
      </c>
      <c r="F920" s="8" t="s">
        <v>11</v>
      </c>
      <c r="G920" s="8" t="s">
        <v>36</v>
      </c>
      <c r="H920" s="11" t="s">
        <v>37</v>
      </c>
      <c r="I920" s="8" t="s">
        <v>26</v>
      </c>
    </row>
    <row r="921" customFormat="false" ht="14.25" hidden="false" customHeight="false" outlineLevel="0" collapsed="false">
      <c r="A921" s="8" t="n">
        <v>920</v>
      </c>
      <c r="B921" s="8" t="s">
        <v>66</v>
      </c>
      <c r="C921" s="8" t="s">
        <v>28</v>
      </c>
      <c r="D921" s="9" t="n">
        <v>44104</v>
      </c>
      <c r="E921" s="10" t="n">
        <v>11976.84</v>
      </c>
      <c r="F921" s="8" t="s">
        <v>11</v>
      </c>
      <c r="G921" s="8" t="s">
        <v>17</v>
      </c>
      <c r="H921" s="11" t="s">
        <v>18</v>
      </c>
      <c r="I921" s="8" t="s">
        <v>14</v>
      </c>
    </row>
    <row r="922" customFormat="false" ht="14.25" hidden="false" customHeight="false" outlineLevel="0" collapsed="false">
      <c r="A922" s="8" t="n">
        <v>921</v>
      </c>
      <c r="B922" s="8" t="s">
        <v>66</v>
      </c>
      <c r="C922" s="8" t="s">
        <v>21</v>
      </c>
      <c r="D922" s="9" t="n">
        <v>44104</v>
      </c>
      <c r="E922" s="10" t="n">
        <v>12464.82</v>
      </c>
      <c r="F922" s="8" t="s">
        <v>11</v>
      </c>
      <c r="G922" s="8" t="s">
        <v>17</v>
      </c>
      <c r="H922" s="11" t="s">
        <v>18</v>
      </c>
      <c r="I922" s="8" t="s">
        <v>14</v>
      </c>
    </row>
    <row r="923" customFormat="false" ht="14.25" hidden="false" customHeight="false" outlineLevel="0" collapsed="false">
      <c r="A923" s="8" t="n">
        <v>922</v>
      </c>
      <c r="B923" s="8" t="s">
        <v>141</v>
      </c>
      <c r="C923" s="8" t="s">
        <v>21</v>
      </c>
      <c r="D923" s="9" t="n">
        <v>44104</v>
      </c>
      <c r="E923" s="10" t="n">
        <v>12100.75</v>
      </c>
      <c r="F923" s="8" t="s">
        <v>11</v>
      </c>
      <c r="G923" s="8" t="s">
        <v>36</v>
      </c>
      <c r="H923" s="11" t="s">
        <v>37</v>
      </c>
      <c r="I923" s="8" t="s">
        <v>19</v>
      </c>
    </row>
    <row r="924" customFormat="false" ht="14.25" hidden="false" customHeight="false" outlineLevel="0" collapsed="false">
      <c r="A924" s="8" t="n">
        <v>923</v>
      </c>
      <c r="B924" s="8" t="s">
        <v>85</v>
      </c>
      <c r="C924" s="8" t="s">
        <v>28</v>
      </c>
      <c r="D924" s="9" t="n">
        <v>44106</v>
      </c>
      <c r="E924" s="10" t="n">
        <v>-12216.37</v>
      </c>
      <c r="F924" s="8" t="s">
        <v>34</v>
      </c>
      <c r="G924" s="8" t="s">
        <v>17</v>
      </c>
      <c r="H924" s="11" t="s">
        <v>18</v>
      </c>
      <c r="I924" s="8" t="s">
        <v>14</v>
      </c>
    </row>
    <row r="925" customFormat="false" ht="14.25" hidden="false" customHeight="false" outlineLevel="0" collapsed="false">
      <c r="A925" s="8" t="n">
        <v>924</v>
      </c>
      <c r="B925" s="8" t="s">
        <v>85</v>
      </c>
      <c r="C925" s="8" t="s">
        <v>21</v>
      </c>
      <c r="D925" s="9" t="n">
        <v>44106</v>
      </c>
      <c r="E925" s="10" t="n">
        <v>-11749.22</v>
      </c>
      <c r="F925" s="8" t="s">
        <v>34</v>
      </c>
      <c r="G925" s="8" t="s">
        <v>17</v>
      </c>
      <c r="H925" s="11" t="s">
        <v>18</v>
      </c>
      <c r="I925" s="8" t="s">
        <v>26</v>
      </c>
    </row>
    <row r="926" customFormat="false" ht="14.25" hidden="false" customHeight="false" outlineLevel="0" collapsed="false">
      <c r="A926" s="8" t="n">
        <v>925</v>
      </c>
      <c r="B926" s="8" t="s">
        <v>85</v>
      </c>
      <c r="C926" s="8" t="s">
        <v>16</v>
      </c>
      <c r="D926" s="9" t="n">
        <v>44106</v>
      </c>
      <c r="E926" s="10" t="n">
        <v>0</v>
      </c>
      <c r="F926" s="8" t="s">
        <v>34</v>
      </c>
      <c r="G926" s="8" t="s">
        <v>30</v>
      </c>
      <c r="H926" s="11" t="s">
        <v>31</v>
      </c>
      <c r="I926" s="8" t="s">
        <v>26</v>
      </c>
    </row>
    <row r="927" customFormat="false" ht="14.25" hidden="false" customHeight="false" outlineLevel="0" collapsed="false">
      <c r="A927" s="8" t="n">
        <v>926</v>
      </c>
      <c r="B927" s="8" t="s">
        <v>93</v>
      </c>
      <c r="C927" s="8" t="s">
        <v>21</v>
      </c>
      <c r="D927" s="9" t="n">
        <v>44107</v>
      </c>
      <c r="E927" s="10" t="n">
        <v>-6940.36</v>
      </c>
      <c r="F927" s="8" t="s">
        <v>34</v>
      </c>
      <c r="G927" s="8" t="s">
        <v>17</v>
      </c>
      <c r="H927" s="11" t="s">
        <v>18</v>
      </c>
      <c r="I927" s="8" t="s">
        <v>14</v>
      </c>
    </row>
    <row r="928" customFormat="false" ht="14.25" hidden="false" customHeight="false" outlineLevel="0" collapsed="false">
      <c r="A928" s="8" t="n">
        <v>927</v>
      </c>
      <c r="B928" s="8" t="s">
        <v>93</v>
      </c>
      <c r="C928" s="8" t="s">
        <v>21</v>
      </c>
      <c r="D928" s="9" t="n">
        <v>44107</v>
      </c>
      <c r="E928" s="10" t="n">
        <v>-1090.25</v>
      </c>
      <c r="F928" s="8" t="s">
        <v>34</v>
      </c>
      <c r="G928" s="8" t="s">
        <v>17</v>
      </c>
      <c r="H928" s="11" t="s">
        <v>18</v>
      </c>
      <c r="I928" s="8" t="s">
        <v>26</v>
      </c>
    </row>
    <row r="929" customFormat="false" ht="14.25" hidden="false" customHeight="false" outlineLevel="0" collapsed="false">
      <c r="A929" s="8" t="n">
        <v>928</v>
      </c>
      <c r="B929" s="8" t="s">
        <v>39</v>
      </c>
      <c r="C929" s="8" t="s">
        <v>28</v>
      </c>
      <c r="D929" s="9" t="n">
        <v>44107</v>
      </c>
      <c r="E929" s="10" t="n">
        <v>-8699.53</v>
      </c>
      <c r="F929" s="8" t="s">
        <v>34</v>
      </c>
      <c r="G929" s="8" t="s">
        <v>12</v>
      </c>
      <c r="H929" s="11" t="s">
        <v>13</v>
      </c>
      <c r="I929" s="8" t="s">
        <v>14</v>
      </c>
    </row>
    <row r="930" customFormat="false" ht="14.25" hidden="false" customHeight="false" outlineLevel="0" collapsed="false">
      <c r="A930" s="8" t="n">
        <v>929</v>
      </c>
      <c r="B930" s="8" t="s">
        <v>101</v>
      </c>
      <c r="C930" s="8" t="s">
        <v>16</v>
      </c>
      <c r="D930" s="9" t="n">
        <v>44109</v>
      </c>
      <c r="E930" s="10" t="n">
        <v>-1178.35</v>
      </c>
      <c r="F930" s="8" t="s">
        <v>34</v>
      </c>
      <c r="G930" s="8" t="s">
        <v>12</v>
      </c>
      <c r="H930" s="11" t="s">
        <v>13</v>
      </c>
      <c r="I930" s="8" t="s">
        <v>19</v>
      </c>
    </row>
    <row r="931" customFormat="false" ht="14.25" hidden="false" customHeight="false" outlineLevel="0" collapsed="false">
      <c r="A931" s="8" t="n">
        <v>930</v>
      </c>
      <c r="B931" s="8" t="s">
        <v>33</v>
      </c>
      <c r="C931" s="8" t="s">
        <v>10</v>
      </c>
      <c r="D931" s="9" t="n">
        <v>44110</v>
      </c>
      <c r="E931" s="10" t="n">
        <v>-1163.26</v>
      </c>
      <c r="F931" s="8" t="s">
        <v>34</v>
      </c>
      <c r="G931" s="8" t="s">
        <v>36</v>
      </c>
      <c r="H931" s="11" t="s">
        <v>37</v>
      </c>
      <c r="I931" s="8" t="s">
        <v>14</v>
      </c>
    </row>
    <row r="932" customFormat="false" ht="14.25" hidden="false" customHeight="false" outlineLevel="0" collapsed="false">
      <c r="A932" s="8" t="n">
        <v>931</v>
      </c>
      <c r="B932" s="8" t="s">
        <v>142</v>
      </c>
      <c r="C932" s="8" t="s">
        <v>21</v>
      </c>
      <c r="D932" s="9" t="n">
        <v>44110</v>
      </c>
      <c r="E932" s="10" t="n">
        <v>-1725.33</v>
      </c>
      <c r="F932" s="8" t="s">
        <v>34</v>
      </c>
      <c r="G932" s="8" t="s">
        <v>30</v>
      </c>
      <c r="H932" s="11" t="s">
        <v>31</v>
      </c>
      <c r="I932" s="8" t="s">
        <v>14</v>
      </c>
    </row>
    <row r="933" customFormat="false" ht="14.25" hidden="false" customHeight="false" outlineLevel="0" collapsed="false">
      <c r="A933" s="8" t="n">
        <v>932</v>
      </c>
      <c r="B933" s="8" t="s">
        <v>85</v>
      </c>
      <c r="C933" s="8" t="s">
        <v>21</v>
      </c>
      <c r="D933" s="9" t="n">
        <v>44110</v>
      </c>
      <c r="E933" s="10" t="n">
        <v>-764.51</v>
      </c>
      <c r="F933" s="8" t="s">
        <v>34</v>
      </c>
      <c r="G933" s="8" t="s">
        <v>12</v>
      </c>
      <c r="H933" s="11" t="s">
        <v>13</v>
      </c>
      <c r="I933" s="8" t="s">
        <v>24</v>
      </c>
    </row>
    <row r="934" customFormat="false" ht="14.25" hidden="false" customHeight="false" outlineLevel="0" collapsed="false">
      <c r="A934" s="8" t="n">
        <v>933</v>
      </c>
      <c r="B934" s="8" t="s">
        <v>130</v>
      </c>
      <c r="C934" s="8" t="s">
        <v>16</v>
      </c>
      <c r="D934" s="9" t="n">
        <v>44110</v>
      </c>
      <c r="E934" s="10" t="n">
        <v>-1351.32</v>
      </c>
      <c r="F934" s="8" t="s">
        <v>34</v>
      </c>
      <c r="G934" s="8" t="s">
        <v>22</v>
      </c>
      <c r="H934" s="11" t="s">
        <v>23</v>
      </c>
      <c r="I934" s="8" t="s">
        <v>26</v>
      </c>
    </row>
    <row r="935" customFormat="false" ht="14.25" hidden="false" customHeight="false" outlineLevel="0" collapsed="false">
      <c r="A935" s="8" t="n">
        <v>934</v>
      </c>
      <c r="B935" s="8" t="s">
        <v>86</v>
      </c>
      <c r="C935" s="8" t="s">
        <v>16</v>
      </c>
      <c r="D935" s="9" t="n">
        <v>44110</v>
      </c>
      <c r="E935" s="10" t="n">
        <v>-1364.44</v>
      </c>
      <c r="F935" s="8" t="s">
        <v>34</v>
      </c>
      <c r="G935" s="8" t="s">
        <v>36</v>
      </c>
      <c r="H935" s="11" t="s">
        <v>37</v>
      </c>
      <c r="I935" s="8" t="s">
        <v>14</v>
      </c>
    </row>
    <row r="936" customFormat="false" ht="14.25" hidden="false" customHeight="false" outlineLevel="0" collapsed="false">
      <c r="A936" s="8" t="n">
        <v>935</v>
      </c>
      <c r="B936" s="8" t="s">
        <v>130</v>
      </c>
      <c r="C936" s="8" t="s">
        <v>10</v>
      </c>
      <c r="D936" s="9" t="n">
        <v>44110</v>
      </c>
      <c r="E936" s="10" t="n">
        <v>190063.39</v>
      </c>
      <c r="F936" s="8" t="s">
        <v>11</v>
      </c>
      <c r="G936" s="8" t="s">
        <v>12</v>
      </c>
      <c r="H936" s="11" t="s">
        <v>13</v>
      </c>
      <c r="I936" s="8" t="s">
        <v>14</v>
      </c>
    </row>
    <row r="937" customFormat="false" ht="14.25" hidden="false" customHeight="false" outlineLevel="0" collapsed="false">
      <c r="A937" s="8" t="n">
        <v>936</v>
      </c>
      <c r="B937" s="8" t="s">
        <v>85</v>
      </c>
      <c r="C937" s="8" t="s">
        <v>28</v>
      </c>
      <c r="D937" s="9" t="n">
        <v>44113</v>
      </c>
      <c r="E937" s="10" t="n">
        <v>64248.76</v>
      </c>
      <c r="F937" s="8" t="s">
        <v>11</v>
      </c>
      <c r="G937" s="8" t="s">
        <v>12</v>
      </c>
      <c r="H937" s="11" t="s">
        <v>13</v>
      </c>
      <c r="I937" s="8" t="s">
        <v>26</v>
      </c>
    </row>
    <row r="938" customFormat="false" ht="14.25" hidden="false" customHeight="false" outlineLevel="0" collapsed="false">
      <c r="A938" s="8" t="n">
        <v>937</v>
      </c>
      <c r="B938" s="8" t="s">
        <v>85</v>
      </c>
      <c r="C938" s="8" t="s">
        <v>28</v>
      </c>
      <c r="D938" s="9" t="n">
        <v>44113</v>
      </c>
      <c r="E938" s="10" t="n">
        <v>87480.99</v>
      </c>
      <c r="F938" s="8" t="s">
        <v>11</v>
      </c>
      <c r="G938" s="8" t="s">
        <v>12</v>
      </c>
      <c r="H938" s="11" t="s">
        <v>13</v>
      </c>
      <c r="I938" s="8" t="s">
        <v>26</v>
      </c>
    </row>
    <row r="939" customFormat="false" ht="14.25" hidden="false" customHeight="false" outlineLevel="0" collapsed="false">
      <c r="A939" s="8" t="n">
        <v>938</v>
      </c>
      <c r="B939" s="8" t="s">
        <v>54</v>
      </c>
      <c r="C939" s="8" t="s">
        <v>16</v>
      </c>
      <c r="D939" s="9" t="n">
        <v>44114</v>
      </c>
      <c r="E939" s="10" t="n">
        <v>6324</v>
      </c>
      <c r="F939" s="8" t="s">
        <v>11</v>
      </c>
      <c r="G939" s="8" t="s">
        <v>17</v>
      </c>
      <c r="H939" s="11" t="s">
        <v>18</v>
      </c>
      <c r="I939" s="8" t="s">
        <v>26</v>
      </c>
    </row>
    <row r="940" customFormat="false" ht="14.25" hidden="false" customHeight="false" outlineLevel="0" collapsed="false">
      <c r="A940" s="8" t="n">
        <v>939</v>
      </c>
      <c r="B940" s="8" t="s">
        <v>143</v>
      </c>
      <c r="C940" s="8" t="s">
        <v>28</v>
      </c>
      <c r="D940" s="9" t="n">
        <v>44116</v>
      </c>
      <c r="E940" s="10" t="n">
        <v>6324</v>
      </c>
      <c r="F940" s="8" t="s">
        <v>11</v>
      </c>
      <c r="G940" s="8" t="s">
        <v>17</v>
      </c>
      <c r="H940" s="11" t="s">
        <v>18</v>
      </c>
      <c r="I940" s="8" t="s">
        <v>14</v>
      </c>
    </row>
    <row r="941" customFormat="false" ht="14.25" hidden="false" customHeight="false" outlineLevel="0" collapsed="false">
      <c r="A941" s="8" t="n">
        <v>940</v>
      </c>
      <c r="B941" s="8" t="s">
        <v>45</v>
      </c>
      <c r="C941" s="8" t="s">
        <v>16</v>
      </c>
      <c r="D941" s="9" t="n">
        <v>44117</v>
      </c>
      <c r="E941" s="10" t="n">
        <v>6324</v>
      </c>
      <c r="F941" s="8" t="s">
        <v>11</v>
      </c>
      <c r="G941" s="8" t="s">
        <v>12</v>
      </c>
      <c r="H941" s="11" t="s">
        <v>13</v>
      </c>
      <c r="I941" s="8" t="s">
        <v>24</v>
      </c>
    </row>
    <row r="942" customFormat="false" ht="14.25" hidden="false" customHeight="false" outlineLevel="0" collapsed="false">
      <c r="A942" s="8" t="n">
        <v>941</v>
      </c>
      <c r="B942" s="8" t="s">
        <v>45</v>
      </c>
      <c r="C942" s="8" t="s">
        <v>21</v>
      </c>
      <c r="D942" s="9" t="n">
        <v>44117</v>
      </c>
      <c r="E942" s="10" t="n">
        <v>6324</v>
      </c>
      <c r="F942" s="8" t="s">
        <v>11</v>
      </c>
      <c r="G942" s="8" t="s">
        <v>17</v>
      </c>
      <c r="H942" s="11" t="s">
        <v>18</v>
      </c>
      <c r="I942" s="8" t="s">
        <v>26</v>
      </c>
    </row>
    <row r="943" customFormat="false" ht="14.25" hidden="false" customHeight="false" outlineLevel="0" collapsed="false">
      <c r="A943" s="8" t="n">
        <v>942</v>
      </c>
      <c r="B943" s="8" t="s">
        <v>39</v>
      </c>
      <c r="C943" s="8" t="s">
        <v>10</v>
      </c>
      <c r="D943" s="9" t="n">
        <v>44117</v>
      </c>
      <c r="E943" s="10" t="n">
        <v>6324</v>
      </c>
      <c r="F943" s="8" t="s">
        <v>11</v>
      </c>
      <c r="G943" s="8" t="s">
        <v>12</v>
      </c>
      <c r="H943" s="11" t="s">
        <v>13</v>
      </c>
      <c r="I943" s="8" t="s">
        <v>19</v>
      </c>
    </row>
    <row r="944" customFormat="false" ht="14.25" hidden="false" customHeight="false" outlineLevel="0" collapsed="false">
      <c r="A944" s="8" t="n">
        <v>943</v>
      </c>
      <c r="B944" s="8" t="s">
        <v>85</v>
      </c>
      <c r="C944" s="8" t="s">
        <v>21</v>
      </c>
      <c r="D944" s="9" t="n">
        <v>44120</v>
      </c>
      <c r="E944" s="10" t="n">
        <v>-121.31</v>
      </c>
      <c r="F944" s="8" t="s">
        <v>34</v>
      </c>
      <c r="G944" s="8" t="s">
        <v>36</v>
      </c>
      <c r="H944" s="11" t="s">
        <v>37</v>
      </c>
      <c r="I944" s="8" t="s">
        <v>14</v>
      </c>
    </row>
    <row r="945" customFormat="false" ht="14.25" hidden="false" customHeight="false" outlineLevel="0" collapsed="false">
      <c r="A945" s="8" t="n">
        <v>944</v>
      </c>
      <c r="B945" s="8" t="s">
        <v>39</v>
      </c>
      <c r="C945" s="8" t="s">
        <v>21</v>
      </c>
      <c r="D945" s="9" t="n">
        <v>44120</v>
      </c>
      <c r="E945" s="10" t="n">
        <v>57804.8</v>
      </c>
      <c r="F945" s="8" t="s">
        <v>11</v>
      </c>
      <c r="G945" s="8" t="s">
        <v>12</v>
      </c>
      <c r="H945" s="11" t="s">
        <v>13</v>
      </c>
      <c r="I945" s="8" t="s">
        <v>14</v>
      </c>
    </row>
    <row r="946" customFormat="false" ht="14.25" hidden="false" customHeight="false" outlineLevel="0" collapsed="false">
      <c r="A946" s="8" t="n">
        <v>945</v>
      </c>
      <c r="B946" s="8" t="s">
        <v>15</v>
      </c>
      <c r="C946" s="8" t="s">
        <v>16</v>
      </c>
      <c r="D946" s="9" t="n">
        <v>44121</v>
      </c>
      <c r="E946" s="10" t="n">
        <v>6732</v>
      </c>
      <c r="F946" s="8" t="s">
        <v>11</v>
      </c>
      <c r="G946" s="8" t="s">
        <v>17</v>
      </c>
      <c r="H946" s="11" t="s">
        <v>18</v>
      </c>
      <c r="I946" s="8" t="s">
        <v>14</v>
      </c>
    </row>
    <row r="947" customFormat="false" ht="14.25" hidden="false" customHeight="false" outlineLevel="0" collapsed="false">
      <c r="A947" s="8" t="n">
        <v>946</v>
      </c>
      <c r="B947" s="8" t="s">
        <v>51</v>
      </c>
      <c r="C947" s="8" t="s">
        <v>16</v>
      </c>
      <c r="D947" s="9" t="n">
        <v>44121</v>
      </c>
      <c r="E947" s="10" t="n">
        <v>6732</v>
      </c>
      <c r="F947" s="8" t="s">
        <v>11</v>
      </c>
      <c r="G947" s="8" t="s">
        <v>17</v>
      </c>
      <c r="H947" s="11" t="s">
        <v>18</v>
      </c>
      <c r="I947" s="8" t="s">
        <v>14</v>
      </c>
    </row>
    <row r="948" customFormat="false" ht="14.25" hidden="false" customHeight="false" outlineLevel="0" collapsed="false">
      <c r="A948" s="8" t="n">
        <v>947</v>
      </c>
      <c r="B948" s="8" t="s">
        <v>29</v>
      </c>
      <c r="C948" s="8" t="s">
        <v>16</v>
      </c>
      <c r="D948" s="9" t="n">
        <v>44122</v>
      </c>
      <c r="E948" s="10" t="n">
        <v>6732</v>
      </c>
      <c r="F948" s="8" t="s">
        <v>11</v>
      </c>
      <c r="G948" s="8" t="s">
        <v>17</v>
      </c>
      <c r="H948" s="11" t="s">
        <v>18</v>
      </c>
      <c r="I948" s="8" t="s">
        <v>26</v>
      </c>
    </row>
    <row r="949" customFormat="false" ht="14.25" hidden="false" customHeight="false" outlineLevel="0" collapsed="false">
      <c r="A949" s="8" t="n">
        <v>948</v>
      </c>
      <c r="B949" s="8" t="s">
        <v>50</v>
      </c>
      <c r="C949" s="8" t="s">
        <v>16</v>
      </c>
      <c r="D949" s="9" t="n">
        <v>44122</v>
      </c>
      <c r="E949" s="10" t="n">
        <v>-1344.77</v>
      </c>
      <c r="F949" s="8" t="s">
        <v>34</v>
      </c>
      <c r="G949" s="8" t="s">
        <v>12</v>
      </c>
      <c r="H949" s="11" t="s">
        <v>13</v>
      </c>
      <c r="I949" s="8" t="s">
        <v>24</v>
      </c>
    </row>
    <row r="950" customFormat="false" ht="14.25" hidden="false" customHeight="false" outlineLevel="0" collapsed="false">
      <c r="A950" s="8" t="n">
        <v>949</v>
      </c>
      <c r="B950" s="8" t="s">
        <v>144</v>
      </c>
      <c r="C950" s="8" t="s">
        <v>16</v>
      </c>
      <c r="D950" s="9" t="n">
        <v>44122</v>
      </c>
      <c r="E950" s="10" t="n">
        <v>77544.48</v>
      </c>
      <c r="F950" s="8" t="s">
        <v>11</v>
      </c>
      <c r="G950" s="8" t="s">
        <v>30</v>
      </c>
      <c r="H950" s="11" t="s">
        <v>31</v>
      </c>
      <c r="I950" s="8" t="s">
        <v>26</v>
      </c>
    </row>
    <row r="951" customFormat="false" ht="14.25" hidden="false" customHeight="false" outlineLevel="0" collapsed="false">
      <c r="A951" s="8" t="n">
        <v>950</v>
      </c>
      <c r="B951" s="8" t="s">
        <v>144</v>
      </c>
      <c r="C951" s="8" t="s">
        <v>21</v>
      </c>
      <c r="D951" s="9" t="n">
        <v>44122</v>
      </c>
      <c r="E951" s="10" t="n">
        <v>-18793.32</v>
      </c>
      <c r="F951" s="8" t="s">
        <v>34</v>
      </c>
      <c r="G951" s="8" t="s">
        <v>17</v>
      </c>
      <c r="H951" s="11" t="s">
        <v>18</v>
      </c>
      <c r="I951" s="8" t="s">
        <v>26</v>
      </c>
    </row>
    <row r="952" customFormat="false" ht="14.25" hidden="false" customHeight="false" outlineLevel="0" collapsed="false">
      <c r="A952" s="8" t="n">
        <v>951</v>
      </c>
      <c r="B952" s="8" t="s">
        <v>32</v>
      </c>
      <c r="C952" s="8" t="s">
        <v>21</v>
      </c>
      <c r="D952" s="9" t="n">
        <v>44122</v>
      </c>
      <c r="E952" s="10" t="n">
        <v>15569.66</v>
      </c>
      <c r="F952" s="8" t="s">
        <v>11</v>
      </c>
      <c r="G952" s="8" t="s">
        <v>17</v>
      </c>
      <c r="H952" s="11" t="s">
        <v>18</v>
      </c>
      <c r="I952" s="8" t="s">
        <v>26</v>
      </c>
    </row>
    <row r="953" customFormat="false" ht="14.25" hidden="false" customHeight="false" outlineLevel="0" collapsed="false">
      <c r="A953" s="8" t="n">
        <v>952</v>
      </c>
      <c r="B953" s="8" t="s">
        <v>57</v>
      </c>
      <c r="C953" s="8" t="s">
        <v>28</v>
      </c>
      <c r="D953" s="9" t="n">
        <v>44122</v>
      </c>
      <c r="E953" s="10" t="n">
        <v>15079.72</v>
      </c>
      <c r="F953" s="8" t="s">
        <v>11</v>
      </c>
      <c r="G953" s="8" t="s">
        <v>12</v>
      </c>
      <c r="H953" s="11" t="s">
        <v>13</v>
      </c>
      <c r="I953" s="8" t="s">
        <v>14</v>
      </c>
    </row>
    <row r="954" customFormat="false" ht="14.25" hidden="false" customHeight="false" outlineLevel="0" collapsed="false">
      <c r="A954" s="8" t="n">
        <v>953</v>
      </c>
      <c r="B954" s="8" t="s">
        <v>44</v>
      </c>
      <c r="C954" s="8" t="s">
        <v>10</v>
      </c>
      <c r="D954" s="9" t="n">
        <v>44122</v>
      </c>
      <c r="E954" s="10" t="n">
        <v>16187.82</v>
      </c>
      <c r="F954" s="8" t="s">
        <v>11</v>
      </c>
      <c r="G954" s="8" t="s">
        <v>12</v>
      </c>
      <c r="H954" s="11" t="s">
        <v>13</v>
      </c>
      <c r="I954" s="8" t="s">
        <v>14</v>
      </c>
    </row>
    <row r="955" customFormat="false" ht="14.25" hidden="false" customHeight="false" outlineLevel="0" collapsed="false">
      <c r="A955" s="8" t="n">
        <v>954</v>
      </c>
      <c r="B955" s="8" t="s">
        <v>57</v>
      </c>
      <c r="C955" s="8" t="s">
        <v>16</v>
      </c>
      <c r="D955" s="9" t="n">
        <v>44122</v>
      </c>
      <c r="E955" s="10" t="n">
        <v>48298.19</v>
      </c>
      <c r="F955" s="8" t="s">
        <v>11</v>
      </c>
      <c r="G955" s="8" t="s">
        <v>17</v>
      </c>
      <c r="H955" s="11" t="s">
        <v>18</v>
      </c>
      <c r="I955" s="8" t="s">
        <v>19</v>
      </c>
    </row>
    <row r="956" customFormat="false" ht="14.25" hidden="false" customHeight="false" outlineLevel="0" collapsed="false">
      <c r="A956" s="8" t="n">
        <v>955</v>
      </c>
      <c r="B956" s="8" t="s">
        <v>44</v>
      </c>
      <c r="C956" s="8" t="s">
        <v>10</v>
      </c>
      <c r="D956" s="9" t="n">
        <v>44122</v>
      </c>
      <c r="E956" s="10" t="n">
        <v>73907.5</v>
      </c>
      <c r="F956" s="8" t="s">
        <v>11</v>
      </c>
      <c r="G956" s="8" t="s">
        <v>36</v>
      </c>
      <c r="H956" s="11" t="s">
        <v>37</v>
      </c>
      <c r="I956" s="8" t="s">
        <v>14</v>
      </c>
    </row>
    <row r="957" customFormat="false" ht="14.25" hidden="false" customHeight="false" outlineLevel="0" collapsed="false">
      <c r="A957" s="8" t="n">
        <v>956</v>
      </c>
      <c r="B957" s="8" t="s">
        <v>47</v>
      </c>
      <c r="C957" s="8" t="s">
        <v>28</v>
      </c>
      <c r="D957" s="9" t="n">
        <v>44122</v>
      </c>
      <c r="E957" s="10" t="n">
        <v>69633.97</v>
      </c>
      <c r="F957" s="8" t="s">
        <v>11</v>
      </c>
      <c r="G957" s="8" t="s">
        <v>12</v>
      </c>
      <c r="H957" s="11" t="s">
        <v>13</v>
      </c>
      <c r="I957" s="8" t="s">
        <v>19</v>
      </c>
    </row>
    <row r="958" customFormat="false" ht="14.25" hidden="false" customHeight="false" outlineLevel="0" collapsed="false">
      <c r="A958" s="8" t="n">
        <v>957</v>
      </c>
      <c r="B958" s="8" t="s">
        <v>143</v>
      </c>
      <c r="C958" s="8" t="s">
        <v>10</v>
      </c>
      <c r="D958" s="9" t="n">
        <v>44122</v>
      </c>
      <c r="E958" s="10" t="n">
        <v>-4257.19</v>
      </c>
      <c r="F958" s="8" t="s">
        <v>34</v>
      </c>
      <c r="G958" s="8" t="s">
        <v>30</v>
      </c>
      <c r="H958" s="11" t="s">
        <v>31</v>
      </c>
      <c r="I958" s="8" t="s">
        <v>14</v>
      </c>
    </row>
    <row r="959" customFormat="false" ht="14.25" hidden="false" customHeight="false" outlineLevel="0" collapsed="false">
      <c r="A959" s="8" t="n">
        <v>958</v>
      </c>
      <c r="B959" s="8" t="s">
        <v>143</v>
      </c>
      <c r="C959" s="8" t="s">
        <v>10</v>
      </c>
      <c r="D959" s="9" t="n">
        <v>44122</v>
      </c>
      <c r="E959" s="10" t="n">
        <v>-31334.03</v>
      </c>
      <c r="F959" s="8" t="s">
        <v>34</v>
      </c>
      <c r="G959" s="8" t="s">
        <v>17</v>
      </c>
      <c r="H959" s="11" t="s">
        <v>18</v>
      </c>
      <c r="I959" s="8" t="s">
        <v>24</v>
      </c>
    </row>
    <row r="960" customFormat="false" ht="14.25" hidden="false" customHeight="false" outlineLevel="0" collapsed="false">
      <c r="A960" s="8" t="n">
        <v>959</v>
      </c>
      <c r="B960" s="8" t="s">
        <v>47</v>
      </c>
      <c r="C960" s="8" t="s">
        <v>10</v>
      </c>
      <c r="D960" s="9" t="n">
        <v>44122</v>
      </c>
      <c r="E960" s="10" t="n">
        <v>-23201.05</v>
      </c>
      <c r="F960" s="8" t="s">
        <v>34</v>
      </c>
      <c r="G960" s="8" t="s">
        <v>22</v>
      </c>
      <c r="H960" s="11" t="s">
        <v>23</v>
      </c>
      <c r="I960" s="8" t="s">
        <v>14</v>
      </c>
    </row>
    <row r="961" customFormat="false" ht="14.25" hidden="false" customHeight="false" outlineLevel="0" collapsed="false">
      <c r="A961" s="8" t="n">
        <v>960</v>
      </c>
      <c r="B961" s="8" t="s">
        <v>15</v>
      </c>
      <c r="C961" s="8" t="s">
        <v>10</v>
      </c>
      <c r="D961" s="9" t="n">
        <v>44123</v>
      </c>
      <c r="E961" s="10" t="n">
        <v>-3382.33</v>
      </c>
      <c r="F961" s="8" t="s">
        <v>34</v>
      </c>
      <c r="G961" s="8" t="s">
        <v>12</v>
      </c>
      <c r="H961" s="11" t="s">
        <v>13</v>
      </c>
      <c r="I961" s="8" t="s">
        <v>26</v>
      </c>
    </row>
    <row r="962" customFormat="false" ht="14.25" hidden="false" customHeight="false" outlineLevel="0" collapsed="false">
      <c r="A962" s="8" t="n">
        <v>961</v>
      </c>
      <c r="B962" s="8" t="s">
        <v>41</v>
      </c>
      <c r="C962" s="8" t="s">
        <v>28</v>
      </c>
      <c r="D962" s="9" t="n">
        <v>44124</v>
      </c>
      <c r="E962" s="10" t="n">
        <v>-2522.98</v>
      </c>
      <c r="F962" s="8" t="s">
        <v>34</v>
      </c>
      <c r="G962" s="8" t="s">
        <v>12</v>
      </c>
      <c r="H962" s="11" t="s">
        <v>13</v>
      </c>
      <c r="I962" s="8" t="s">
        <v>14</v>
      </c>
    </row>
    <row r="963" customFormat="false" ht="14.25" hidden="false" customHeight="false" outlineLevel="0" collapsed="false">
      <c r="A963" s="8" t="n">
        <v>962</v>
      </c>
      <c r="B963" s="8" t="s">
        <v>41</v>
      </c>
      <c r="C963" s="8" t="s">
        <v>28</v>
      </c>
      <c r="D963" s="9" t="n">
        <v>44124</v>
      </c>
      <c r="E963" s="10" t="n">
        <v>-121</v>
      </c>
      <c r="F963" s="8" t="s">
        <v>34</v>
      </c>
      <c r="G963" s="8" t="s">
        <v>12</v>
      </c>
      <c r="H963" s="11" t="s">
        <v>13</v>
      </c>
      <c r="I963" s="8" t="s">
        <v>26</v>
      </c>
    </row>
    <row r="964" customFormat="false" ht="14.25" hidden="false" customHeight="false" outlineLevel="0" collapsed="false">
      <c r="A964" s="8" t="n">
        <v>963</v>
      </c>
      <c r="B964" s="8" t="s">
        <v>41</v>
      </c>
      <c r="C964" s="8" t="s">
        <v>16</v>
      </c>
      <c r="D964" s="9" t="n">
        <v>44124</v>
      </c>
      <c r="E964" s="10" t="n">
        <v>-20126.82</v>
      </c>
      <c r="F964" s="8" t="s">
        <v>34</v>
      </c>
      <c r="G964" s="8" t="s">
        <v>30</v>
      </c>
      <c r="H964" s="11" t="s">
        <v>31</v>
      </c>
      <c r="I964" s="8" t="s">
        <v>14</v>
      </c>
    </row>
    <row r="965" customFormat="false" ht="14.25" hidden="false" customHeight="false" outlineLevel="0" collapsed="false">
      <c r="A965" s="8" t="n">
        <v>964</v>
      </c>
      <c r="B965" s="8" t="s">
        <v>15</v>
      </c>
      <c r="C965" s="8" t="s">
        <v>10</v>
      </c>
      <c r="D965" s="9" t="n">
        <v>44124</v>
      </c>
      <c r="E965" s="10" t="n">
        <v>-13318.62</v>
      </c>
      <c r="F965" s="8" t="s">
        <v>34</v>
      </c>
      <c r="G965" s="8" t="s">
        <v>36</v>
      </c>
      <c r="H965" s="11" t="s">
        <v>37</v>
      </c>
      <c r="I965" s="8" t="s">
        <v>14</v>
      </c>
    </row>
    <row r="966" customFormat="false" ht="14.25" hidden="false" customHeight="false" outlineLevel="0" collapsed="false">
      <c r="A966" s="8" t="n">
        <v>965</v>
      </c>
      <c r="B966" s="8" t="s">
        <v>15</v>
      </c>
      <c r="C966" s="8" t="s">
        <v>10</v>
      </c>
      <c r="D966" s="9" t="n">
        <v>44124</v>
      </c>
      <c r="E966" s="10" t="n">
        <v>-433.23</v>
      </c>
      <c r="F966" s="8" t="s">
        <v>34</v>
      </c>
      <c r="G966" s="8" t="s">
        <v>12</v>
      </c>
      <c r="H966" s="11" t="s">
        <v>13</v>
      </c>
      <c r="I966" s="8" t="s">
        <v>14</v>
      </c>
    </row>
    <row r="967" customFormat="false" ht="14.25" hidden="false" customHeight="false" outlineLevel="0" collapsed="false">
      <c r="A967" s="8" t="n">
        <v>966</v>
      </c>
      <c r="B967" s="8" t="s">
        <v>39</v>
      </c>
      <c r="C967" s="8" t="s">
        <v>16</v>
      </c>
      <c r="D967" s="9" t="n">
        <v>44124</v>
      </c>
      <c r="E967" s="10" t="n">
        <v>-11322.82</v>
      </c>
      <c r="F967" s="8" t="s">
        <v>34</v>
      </c>
      <c r="G967" s="8" t="s">
        <v>30</v>
      </c>
      <c r="H967" s="11" t="s">
        <v>31</v>
      </c>
      <c r="I967" s="8" t="s">
        <v>14</v>
      </c>
    </row>
    <row r="968" customFormat="false" ht="14.25" hidden="false" customHeight="false" outlineLevel="0" collapsed="false">
      <c r="A968" s="8" t="n">
        <v>967</v>
      </c>
      <c r="B968" s="8" t="s">
        <v>49</v>
      </c>
      <c r="C968" s="8" t="s">
        <v>21</v>
      </c>
      <c r="D968" s="9" t="n">
        <v>44125</v>
      </c>
      <c r="E968" s="10" t="n">
        <v>-2758.25</v>
      </c>
      <c r="F968" s="8" t="s">
        <v>34</v>
      </c>
      <c r="G968" s="8" t="s">
        <v>22</v>
      </c>
      <c r="H968" s="11" t="s">
        <v>23</v>
      </c>
      <c r="I968" s="8" t="s">
        <v>26</v>
      </c>
    </row>
    <row r="969" customFormat="false" ht="14.25" hidden="false" customHeight="false" outlineLevel="0" collapsed="false">
      <c r="A969" s="8" t="n">
        <v>968</v>
      </c>
      <c r="B969" s="8" t="s">
        <v>77</v>
      </c>
      <c r="C969" s="8" t="s">
        <v>28</v>
      </c>
      <c r="D969" s="9" t="n">
        <v>44127</v>
      </c>
      <c r="E969" s="10" t="n">
        <v>-2681.21</v>
      </c>
      <c r="F969" s="8" t="s">
        <v>34</v>
      </c>
      <c r="G969" s="8" t="s">
        <v>17</v>
      </c>
      <c r="H969" s="11" t="s">
        <v>18</v>
      </c>
      <c r="I969" s="8" t="s">
        <v>26</v>
      </c>
    </row>
    <row r="970" customFormat="false" ht="14.25" hidden="false" customHeight="false" outlineLevel="0" collapsed="false">
      <c r="A970" s="8" t="n">
        <v>969</v>
      </c>
      <c r="B970" s="8" t="s">
        <v>79</v>
      </c>
      <c r="C970" s="8" t="s">
        <v>28</v>
      </c>
      <c r="D970" s="9" t="n">
        <v>44128</v>
      </c>
      <c r="E970" s="10" t="n">
        <v>12103.48</v>
      </c>
      <c r="F970" s="8" t="s">
        <v>11</v>
      </c>
      <c r="G970" s="8" t="s">
        <v>12</v>
      </c>
      <c r="H970" s="11" t="s">
        <v>13</v>
      </c>
      <c r="I970" s="8" t="s">
        <v>14</v>
      </c>
    </row>
    <row r="971" customFormat="false" ht="14.25" hidden="false" customHeight="false" outlineLevel="0" collapsed="false">
      <c r="A971" s="8" t="n">
        <v>970</v>
      </c>
      <c r="B971" s="8" t="s">
        <v>45</v>
      </c>
      <c r="C971" s="8" t="s">
        <v>28</v>
      </c>
      <c r="D971" s="9" t="n">
        <v>44128</v>
      </c>
      <c r="E971" s="10" t="n">
        <v>10955.76</v>
      </c>
      <c r="F971" s="8" t="s">
        <v>11</v>
      </c>
      <c r="G971" s="8" t="s">
        <v>30</v>
      </c>
      <c r="H971" s="11" t="s">
        <v>31</v>
      </c>
      <c r="I971" s="8" t="s">
        <v>26</v>
      </c>
    </row>
    <row r="972" customFormat="false" ht="14.25" hidden="false" customHeight="false" outlineLevel="0" collapsed="false">
      <c r="A972" s="8" t="n">
        <v>971</v>
      </c>
      <c r="B972" s="8" t="s">
        <v>57</v>
      </c>
      <c r="C972" s="8" t="s">
        <v>28</v>
      </c>
      <c r="D972" s="9" t="n">
        <v>44128</v>
      </c>
      <c r="E972" s="10" t="n">
        <v>11868.47</v>
      </c>
      <c r="F972" s="8" t="s">
        <v>11</v>
      </c>
      <c r="G972" s="8" t="s">
        <v>12</v>
      </c>
      <c r="H972" s="11" t="s">
        <v>13</v>
      </c>
      <c r="I972" s="8" t="s">
        <v>14</v>
      </c>
    </row>
    <row r="973" customFormat="false" ht="14.25" hidden="false" customHeight="false" outlineLevel="0" collapsed="false">
      <c r="A973" s="8" t="n">
        <v>972</v>
      </c>
      <c r="B973" s="8" t="s">
        <v>72</v>
      </c>
      <c r="C973" s="8" t="s">
        <v>28</v>
      </c>
      <c r="D973" s="9" t="n">
        <v>44128</v>
      </c>
      <c r="E973" s="10" t="n">
        <v>11979.13</v>
      </c>
      <c r="F973" s="8" t="s">
        <v>11</v>
      </c>
      <c r="G973" s="8" t="s">
        <v>12</v>
      </c>
      <c r="H973" s="11" t="s">
        <v>13</v>
      </c>
      <c r="I973" s="8" t="s">
        <v>26</v>
      </c>
    </row>
    <row r="974" customFormat="false" ht="14.25" hidden="false" customHeight="false" outlineLevel="0" collapsed="false">
      <c r="A974" s="8" t="n">
        <v>973</v>
      </c>
      <c r="B974" s="8" t="s">
        <v>44</v>
      </c>
      <c r="C974" s="8" t="s">
        <v>28</v>
      </c>
      <c r="D974" s="9" t="n">
        <v>44128</v>
      </c>
      <c r="E974" s="10" t="n">
        <v>10729.87</v>
      </c>
      <c r="F974" s="8" t="s">
        <v>11</v>
      </c>
      <c r="G974" s="8" t="s">
        <v>12</v>
      </c>
      <c r="H974" s="11" t="s">
        <v>13</v>
      </c>
      <c r="I974" s="8" t="s">
        <v>14</v>
      </c>
    </row>
    <row r="975" customFormat="false" ht="14.25" hidden="false" customHeight="false" outlineLevel="0" collapsed="false">
      <c r="A975" s="8" t="n">
        <v>974</v>
      </c>
      <c r="B975" s="8" t="s">
        <v>44</v>
      </c>
      <c r="C975" s="8" t="s">
        <v>10</v>
      </c>
      <c r="D975" s="9" t="n">
        <v>44128</v>
      </c>
      <c r="E975" s="10" t="n">
        <v>3485</v>
      </c>
      <c r="F975" s="8" t="s">
        <v>11</v>
      </c>
      <c r="G975" s="8" t="s">
        <v>17</v>
      </c>
      <c r="H975" s="11" t="s">
        <v>18</v>
      </c>
      <c r="I975" s="8" t="s">
        <v>24</v>
      </c>
    </row>
    <row r="976" customFormat="false" ht="14.25" hidden="false" customHeight="false" outlineLevel="0" collapsed="false">
      <c r="A976" s="8" t="n">
        <v>975</v>
      </c>
      <c r="B976" s="8" t="s">
        <v>45</v>
      </c>
      <c r="C976" s="8" t="s">
        <v>28</v>
      </c>
      <c r="D976" s="9" t="n">
        <v>44128</v>
      </c>
      <c r="E976" s="10" t="n">
        <v>3833.5</v>
      </c>
      <c r="F976" s="8" t="s">
        <v>11</v>
      </c>
      <c r="G976" s="8" t="s">
        <v>12</v>
      </c>
      <c r="H976" s="11" t="s">
        <v>13</v>
      </c>
      <c r="I976" s="8" t="s">
        <v>19</v>
      </c>
    </row>
    <row r="977" customFormat="false" ht="14.25" hidden="false" customHeight="false" outlineLevel="0" collapsed="false">
      <c r="A977" s="8" t="n">
        <v>976</v>
      </c>
      <c r="B977" s="8" t="s">
        <v>39</v>
      </c>
      <c r="C977" s="8" t="s">
        <v>10</v>
      </c>
      <c r="D977" s="9" t="n">
        <v>44128</v>
      </c>
      <c r="E977" s="10" t="n">
        <v>0</v>
      </c>
      <c r="F977" s="8" t="s">
        <v>34</v>
      </c>
      <c r="G977" s="8" t="s">
        <v>17</v>
      </c>
      <c r="H977" s="11" t="s">
        <v>18</v>
      </c>
      <c r="I977" s="8" t="s">
        <v>14</v>
      </c>
    </row>
    <row r="978" customFormat="false" ht="14.25" hidden="false" customHeight="false" outlineLevel="0" collapsed="false">
      <c r="A978" s="8" t="n">
        <v>977</v>
      </c>
      <c r="B978" s="8" t="s">
        <v>57</v>
      </c>
      <c r="C978" s="8" t="s">
        <v>28</v>
      </c>
      <c r="D978" s="9" t="n">
        <v>44128</v>
      </c>
      <c r="E978" s="10" t="n">
        <v>0</v>
      </c>
      <c r="F978" s="8" t="s">
        <v>34</v>
      </c>
      <c r="G978" s="8" t="s">
        <v>12</v>
      </c>
      <c r="H978" s="11" t="s">
        <v>13</v>
      </c>
      <c r="I978" s="8" t="s">
        <v>26</v>
      </c>
    </row>
    <row r="979" customFormat="false" ht="14.25" hidden="false" customHeight="false" outlineLevel="0" collapsed="false">
      <c r="A979" s="8" t="n">
        <v>978</v>
      </c>
      <c r="B979" s="8" t="s">
        <v>72</v>
      </c>
      <c r="C979" s="8" t="s">
        <v>21</v>
      </c>
      <c r="D979" s="9" t="n">
        <v>44128</v>
      </c>
      <c r="E979" s="10" t="n">
        <v>3485</v>
      </c>
      <c r="F979" s="8" t="s">
        <v>11</v>
      </c>
      <c r="G979" s="8" t="s">
        <v>22</v>
      </c>
      <c r="H979" s="11" t="s">
        <v>23</v>
      </c>
      <c r="I979" s="8" t="s">
        <v>19</v>
      </c>
    </row>
    <row r="980" customFormat="false" ht="14.25" hidden="false" customHeight="false" outlineLevel="0" collapsed="false">
      <c r="A980" s="8" t="n">
        <v>979</v>
      </c>
      <c r="B980" s="8" t="s">
        <v>79</v>
      </c>
      <c r="C980" s="8" t="s">
        <v>21</v>
      </c>
      <c r="D980" s="9" t="n">
        <v>44128</v>
      </c>
      <c r="E980" s="10" t="n">
        <v>3833.5</v>
      </c>
      <c r="F980" s="8" t="s">
        <v>11</v>
      </c>
      <c r="G980" s="8" t="s">
        <v>12</v>
      </c>
      <c r="H980" s="11" t="s">
        <v>13</v>
      </c>
      <c r="I980" s="8" t="s">
        <v>26</v>
      </c>
    </row>
    <row r="981" customFormat="false" ht="14.25" hidden="false" customHeight="false" outlineLevel="0" collapsed="false">
      <c r="A981" s="8" t="n">
        <v>980</v>
      </c>
      <c r="B981" s="8" t="s">
        <v>47</v>
      </c>
      <c r="C981" s="8" t="s">
        <v>21</v>
      </c>
      <c r="D981" s="9" t="n">
        <v>44128</v>
      </c>
      <c r="E981" s="10" t="n">
        <v>3632.9</v>
      </c>
      <c r="F981" s="8" t="s">
        <v>11</v>
      </c>
      <c r="G981" s="8" t="s">
        <v>12</v>
      </c>
      <c r="H981" s="11" t="s">
        <v>13</v>
      </c>
      <c r="I981" s="8" t="s">
        <v>14</v>
      </c>
    </row>
    <row r="982" customFormat="false" ht="14.25" hidden="false" customHeight="false" outlineLevel="0" collapsed="false">
      <c r="A982" s="8" t="n">
        <v>981</v>
      </c>
      <c r="B982" s="8" t="s">
        <v>47</v>
      </c>
      <c r="C982" s="8" t="s">
        <v>10</v>
      </c>
      <c r="D982" s="9" t="n">
        <v>44128</v>
      </c>
      <c r="E982" s="10" t="n">
        <v>3554.7</v>
      </c>
      <c r="F982" s="8" t="s">
        <v>11</v>
      </c>
      <c r="G982" s="8" t="s">
        <v>22</v>
      </c>
      <c r="H982" s="11" t="s">
        <v>23</v>
      </c>
      <c r="I982" s="8" t="s">
        <v>24</v>
      </c>
    </row>
    <row r="983" customFormat="false" ht="14.25" hidden="false" customHeight="false" outlineLevel="0" collapsed="false">
      <c r="A983" s="8" t="n">
        <v>982</v>
      </c>
      <c r="B983" s="8" t="s">
        <v>40</v>
      </c>
      <c r="C983" s="8" t="s">
        <v>28</v>
      </c>
      <c r="D983" s="9" t="n">
        <v>44129</v>
      </c>
      <c r="E983" s="10" t="n">
        <v>-10322.2</v>
      </c>
      <c r="F983" s="8" t="s">
        <v>34</v>
      </c>
      <c r="G983" s="8" t="s">
        <v>12</v>
      </c>
      <c r="H983" s="11" t="s">
        <v>13</v>
      </c>
      <c r="I983" s="8" t="s">
        <v>14</v>
      </c>
    </row>
    <row r="984" customFormat="false" ht="14.25" hidden="false" customHeight="false" outlineLevel="0" collapsed="false">
      <c r="A984" s="8" t="n">
        <v>983</v>
      </c>
      <c r="B984" s="8" t="s">
        <v>145</v>
      </c>
      <c r="C984" s="8" t="s">
        <v>16</v>
      </c>
      <c r="D984" s="9" t="n">
        <v>44130</v>
      </c>
      <c r="E984" s="10" t="n">
        <v>-261.7</v>
      </c>
      <c r="F984" s="8" t="s">
        <v>34</v>
      </c>
      <c r="G984" s="8" t="s">
        <v>36</v>
      </c>
      <c r="H984" s="11" t="s">
        <v>37</v>
      </c>
      <c r="I984" s="8" t="s">
        <v>14</v>
      </c>
    </row>
    <row r="985" customFormat="false" ht="14.25" hidden="false" customHeight="false" outlineLevel="0" collapsed="false">
      <c r="A985" s="8" t="n">
        <v>984</v>
      </c>
      <c r="B985" s="8" t="s">
        <v>146</v>
      </c>
      <c r="C985" s="8" t="s">
        <v>21</v>
      </c>
      <c r="D985" s="9" t="n">
        <v>44131</v>
      </c>
      <c r="E985" s="10" t="n">
        <v>-7500.26</v>
      </c>
      <c r="F985" s="8" t="s">
        <v>34</v>
      </c>
      <c r="G985" s="8" t="s">
        <v>36</v>
      </c>
      <c r="H985" s="11" t="s">
        <v>37</v>
      </c>
      <c r="I985" s="8" t="s">
        <v>14</v>
      </c>
    </row>
    <row r="986" customFormat="false" ht="14.25" hidden="false" customHeight="false" outlineLevel="0" collapsed="false">
      <c r="A986" s="8" t="n">
        <v>985</v>
      </c>
      <c r="B986" s="8" t="s">
        <v>41</v>
      </c>
      <c r="C986" s="8" t="s">
        <v>28</v>
      </c>
      <c r="D986" s="9" t="n">
        <v>44131</v>
      </c>
      <c r="E986" s="10" t="n">
        <v>71550.96</v>
      </c>
      <c r="F986" s="8" t="s">
        <v>11</v>
      </c>
      <c r="G986" s="8" t="s">
        <v>17</v>
      </c>
      <c r="H986" s="11" t="s">
        <v>18</v>
      </c>
      <c r="I986" s="8" t="s">
        <v>26</v>
      </c>
    </row>
    <row r="987" customFormat="false" ht="14.25" hidden="false" customHeight="false" outlineLevel="0" collapsed="false">
      <c r="A987" s="8" t="n">
        <v>986</v>
      </c>
      <c r="B987" s="8" t="s">
        <v>66</v>
      </c>
      <c r="C987" s="8" t="s">
        <v>16</v>
      </c>
      <c r="D987" s="9" t="n">
        <v>44132</v>
      </c>
      <c r="E987" s="10" t="n">
        <v>-2565.22</v>
      </c>
      <c r="F987" s="8" t="s">
        <v>34</v>
      </c>
      <c r="G987" s="8" t="s">
        <v>12</v>
      </c>
      <c r="H987" s="11" t="s">
        <v>13</v>
      </c>
      <c r="I987" s="8" t="s">
        <v>14</v>
      </c>
    </row>
    <row r="988" customFormat="false" ht="14.25" hidden="false" customHeight="false" outlineLevel="0" collapsed="false">
      <c r="A988" s="8" t="n">
        <v>987</v>
      </c>
      <c r="B988" s="8" t="s">
        <v>66</v>
      </c>
      <c r="C988" s="8" t="s">
        <v>28</v>
      </c>
      <c r="D988" s="9" t="n">
        <v>44132</v>
      </c>
      <c r="E988" s="10" t="n">
        <v>-415.45</v>
      </c>
      <c r="F988" s="8" t="s">
        <v>34</v>
      </c>
      <c r="G988" s="8" t="s">
        <v>12</v>
      </c>
      <c r="H988" s="11" t="s">
        <v>13</v>
      </c>
      <c r="I988" s="8" t="s">
        <v>24</v>
      </c>
    </row>
    <row r="989" customFormat="false" ht="14.25" hidden="false" customHeight="false" outlineLevel="0" collapsed="false">
      <c r="A989" s="8" t="n">
        <v>988</v>
      </c>
      <c r="B989" s="8" t="s">
        <v>66</v>
      </c>
      <c r="C989" s="8" t="s">
        <v>21</v>
      </c>
      <c r="D989" s="9" t="n">
        <v>44132</v>
      </c>
      <c r="E989" s="10" t="n">
        <v>-401.98</v>
      </c>
      <c r="F989" s="8" t="s">
        <v>34</v>
      </c>
      <c r="G989" s="8" t="s">
        <v>12</v>
      </c>
      <c r="H989" s="11" t="s">
        <v>13</v>
      </c>
      <c r="I989" s="8" t="s">
        <v>26</v>
      </c>
    </row>
    <row r="990" customFormat="false" ht="14.25" hidden="false" customHeight="false" outlineLevel="0" collapsed="false">
      <c r="A990" s="8" t="n">
        <v>989</v>
      </c>
      <c r="B990" s="8" t="s">
        <v>66</v>
      </c>
      <c r="C990" s="8" t="s">
        <v>21</v>
      </c>
      <c r="D990" s="9" t="n">
        <v>44132</v>
      </c>
      <c r="E990" s="10" t="n">
        <v>140374.66</v>
      </c>
      <c r="F990" s="8" t="s">
        <v>11</v>
      </c>
      <c r="G990" s="8" t="s">
        <v>36</v>
      </c>
      <c r="H990" s="11" t="s">
        <v>37</v>
      </c>
      <c r="I990" s="8" t="s">
        <v>19</v>
      </c>
    </row>
    <row r="991" customFormat="false" ht="14.25" hidden="false" customHeight="false" outlineLevel="0" collapsed="false">
      <c r="A991" s="8" t="n">
        <v>990</v>
      </c>
      <c r="B991" s="8" t="s">
        <v>39</v>
      </c>
      <c r="C991" s="8" t="s">
        <v>16</v>
      </c>
      <c r="D991" s="9" t="n">
        <v>44132</v>
      </c>
      <c r="E991" s="10" t="n">
        <v>2784.26</v>
      </c>
      <c r="F991" s="8" t="s">
        <v>11</v>
      </c>
      <c r="G991" s="8" t="s">
        <v>36</v>
      </c>
      <c r="H991" s="11" t="s">
        <v>37</v>
      </c>
      <c r="I991" s="8" t="s">
        <v>14</v>
      </c>
    </row>
    <row r="992" customFormat="false" ht="14.25" hidden="false" customHeight="false" outlineLevel="0" collapsed="false">
      <c r="A992" s="8" t="n">
        <v>991</v>
      </c>
      <c r="B992" s="8" t="s">
        <v>66</v>
      </c>
      <c r="C992" s="8" t="s">
        <v>16</v>
      </c>
      <c r="D992" s="9" t="n">
        <v>44132</v>
      </c>
      <c r="E992" s="10" t="n">
        <v>2564.45</v>
      </c>
      <c r="F992" s="8" t="s">
        <v>11</v>
      </c>
      <c r="G992" s="8" t="s">
        <v>17</v>
      </c>
      <c r="H992" s="11" t="s">
        <v>18</v>
      </c>
      <c r="I992" s="8" t="s">
        <v>26</v>
      </c>
    </row>
    <row r="993" customFormat="false" ht="14.25" hidden="false" customHeight="false" outlineLevel="0" collapsed="false">
      <c r="A993" s="8" t="n">
        <v>992</v>
      </c>
      <c r="B993" s="8" t="s">
        <v>66</v>
      </c>
      <c r="C993" s="8" t="s">
        <v>21</v>
      </c>
      <c r="D993" s="9" t="n">
        <v>44132</v>
      </c>
      <c r="E993" s="10" t="n">
        <v>3736.77</v>
      </c>
      <c r="F993" s="8" t="s">
        <v>11</v>
      </c>
      <c r="G993" s="8" t="s">
        <v>22</v>
      </c>
      <c r="H993" s="11" t="s">
        <v>23</v>
      </c>
      <c r="I993" s="8" t="s">
        <v>19</v>
      </c>
    </row>
    <row r="994" customFormat="false" ht="14.25" hidden="false" customHeight="false" outlineLevel="0" collapsed="false">
      <c r="A994" s="8" t="n">
        <v>993</v>
      </c>
      <c r="B994" s="8" t="s">
        <v>66</v>
      </c>
      <c r="C994" s="8" t="s">
        <v>28</v>
      </c>
      <c r="D994" s="9" t="n">
        <v>44132</v>
      </c>
      <c r="E994" s="10" t="n">
        <v>2784.26</v>
      </c>
      <c r="F994" s="8" t="s">
        <v>11</v>
      </c>
      <c r="G994" s="8" t="s">
        <v>17</v>
      </c>
      <c r="H994" s="11" t="s">
        <v>18</v>
      </c>
      <c r="I994" s="8" t="s">
        <v>26</v>
      </c>
    </row>
    <row r="995" customFormat="false" ht="14.25" hidden="false" customHeight="false" outlineLevel="0" collapsed="false">
      <c r="A995" s="8" t="n">
        <v>994</v>
      </c>
      <c r="B995" s="8" t="s">
        <v>66</v>
      </c>
      <c r="C995" s="8" t="s">
        <v>21</v>
      </c>
      <c r="D995" s="9" t="n">
        <v>44132</v>
      </c>
      <c r="E995" s="10" t="n">
        <v>2564.45</v>
      </c>
      <c r="F995" s="8" t="s">
        <v>11</v>
      </c>
      <c r="G995" s="8" t="s">
        <v>36</v>
      </c>
      <c r="H995" s="11" t="s">
        <v>37</v>
      </c>
      <c r="I995" s="8" t="s">
        <v>24</v>
      </c>
    </row>
    <row r="996" customFormat="false" ht="14.25" hidden="false" customHeight="false" outlineLevel="0" collapsed="false">
      <c r="A996" s="8" t="n">
        <v>995</v>
      </c>
      <c r="B996" s="8" t="s">
        <v>66</v>
      </c>
      <c r="C996" s="8" t="s">
        <v>16</v>
      </c>
      <c r="D996" s="9" t="n">
        <v>44132</v>
      </c>
      <c r="E996" s="10" t="n">
        <v>3736.77</v>
      </c>
      <c r="F996" s="8" t="s">
        <v>11</v>
      </c>
      <c r="G996" s="8" t="s">
        <v>36</v>
      </c>
      <c r="H996" s="11" t="s">
        <v>37</v>
      </c>
      <c r="I996" s="8" t="s">
        <v>14</v>
      </c>
    </row>
    <row r="997" customFormat="false" ht="14.25" hidden="false" customHeight="false" outlineLevel="0" collapsed="false">
      <c r="A997" s="8" t="n">
        <v>996</v>
      </c>
      <c r="B997" s="8" t="s">
        <v>66</v>
      </c>
      <c r="C997" s="8" t="s">
        <v>10</v>
      </c>
      <c r="D997" s="9" t="n">
        <v>44132</v>
      </c>
      <c r="E997" s="10" t="n">
        <v>-5294.98</v>
      </c>
      <c r="F997" s="8" t="s">
        <v>34</v>
      </c>
      <c r="G997" s="8" t="s">
        <v>12</v>
      </c>
      <c r="H997" s="11" t="s">
        <v>13</v>
      </c>
      <c r="I997" s="8" t="s">
        <v>14</v>
      </c>
    </row>
    <row r="998" customFormat="false" ht="14.25" hidden="false" customHeight="false" outlineLevel="0" collapsed="false">
      <c r="A998" s="8" t="n">
        <v>997</v>
      </c>
      <c r="B998" s="8" t="s">
        <v>40</v>
      </c>
      <c r="C998" s="8" t="s">
        <v>21</v>
      </c>
      <c r="D998" s="9" t="n">
        <v>44134</v>
      </c>
      <c r="E998" s="10" t="n">
        <v>-2022.06</v>
      </c>
      <c r="F998" s="8" t="s">
        <v>34</v>
      </c>
      <c r="G998" s="8" t="s">
        <v>17</v>
      </c>
      <c r="H998" s="11" t="s">
        <v>18</v>
      </c>
      <c r="I998" s="8" t="s">
        <v>14</v>
      </c>
    </row>
    <row r="999" customFormat="false" ht="14.25" hidden="false" customHeight="false" outlineLevel="0" collapsed="false">
      <c r="A999" s="8" t="n">
        <v>998</v>
      </c>
      <c r="B999" s="8" t="s">
        <v>85</v>
      </c>
      <c r="C999" s="8" t="s">
        <v>16</v>
      </c>
      <c r="D999" s="9" t="n">
        <v>44134</v>
      </c>
      <c r="E999" s="10" t="n">
        <v>-4807.92</v>
      </c>
      <c r="F999" s="8" t="s">
        <v>34</v>
      </c>
      <c r="G999" s="8" t="s">
        <v>17</v>
      </c>
      <c r="H999" s="11" t="s">
        <v>18</v>
      </c>
      <c r="I999" s="8" t="s">
        <v>24</v>
      </c>
    </row>
    <row r="1000" customFormat="false" ht="14.25" hidden="false" customHeight="false" outlineLevel="0" collapsed="false">
      <c r="A1000" s="8" t="n">
        <v>999</v>
      </c>
      <c r="B1000" s="8" t="s">
        <v>85</v>
      </c>
      <c r="C1000" s="8" t="s">
        <v>16</v>
      </c>
      <c r="D1000" s="9" t="n">
        <v>44134</v>
      </c>
      <c r="E1000" s="10" t="n">
        <v>-1035.69</v>
      </c>
      <c r="F1000" s="8" t="s">
        <v>34</v>
      </c>
      <c r="G1000" s="8" t="s">
        <v>22</v>
      </c>
      <c r="H1000" s="11" t="s">
        <v>23</v>
      </c>
      <c r="I1000" s="8" t="s">
        <v>26</v>
      </c>
    </row>
    <row r="1001" customFormat="false" ht="14.25" hidden="false" customHeight="false" outlineLevel="0" collapsed="false">
      <c r="A1001" s="8" t="n">
        <v>1000</v>
      </c>
      <c r="B1001" s="8" t="s">
        <v>85</v>
      </c>
      <c r="C1001" s="8" t="s">
        <v>16</v>
      </c>
      <c r="D1001" s="9" t="n">
        <v>44134</v>
      </c>
      <c r="E1001" s="10" t="n">
        <v>-6997.2</v>
      </c>
      <c r="F1001" s="8" t="s">
        <v>34</v>
      </c>
      <c r="G1001" s="8" t="s">
        <v>17</v>
      </c>
      <c r="H1001" s="11" t="s">
        <v>18</v>
      </c>
      <c r="I1001" s="8" t="s">
        <v>26</v>
      </c>
    </row>
    <row r="1002" customFormat="false" ht="14.25" hidden="false" customHeight="false" outlineLevel="0" collapsed="false">
      <c r="A1002" s="8" t="n">
        <v>1001</v>
      </c>
      <c r="B1002" s="8" t="s">
        <v>32</v>
      </c>
      <c r="C1002" s="8" t="s">
        <v>21</v>
      </c>
      <c r="D1002" s="9" t="n">
        <v>44134</v>
      </c>
      <c r="E1002" s="10" t="n">
        <v>-7646.94</v>
      </c>
      <c r="F1002" s="8" t="s">
        <v>34</v>
      </c>
      <c r="G1002" s="8" t="s">
        <v>17</v>
      </c>
      <c r="H1002" s="11" t="s">
        <v>18</v>
      </c>
      <c r="I1002" s="8" t="s">
        <v>14</v>
      </c>
    </row>
    <row r="1003" customFormat="false" ht="14.25" hidden="false" customHeight="false" outlineLevel="0" collapsed="false">
      <c r="A1003" s="8" t="n">
        <v>1002</v>
      </c>
      <c r="B1003" s="8" t="s">
        <v>62</v>
      </c>
      <c r="C1003" s="8" t="s">
        <v>16</v>
      </c>
      <c r="D1003" s="9" t="n">
        <v>44134</v>
      </c>
      <c r="E1003" s="10" t="n">
        <v>-3845.31</v>
      </c>
      <c r="F1003" s="8" t="s">
        <v>34</v>
      </c>
      <c r="G1003" s="8" t="s">
        <v>36</v>
      </c>
      <c r="H1003" s="11" t="s">
        <v>37</v>
      </c>
      <c r="I1003" s="8" t="s">
        <v>26</v>
      </c>
    </row>
    <row r="1004" customFormat="false" ht="14.25" hidden="false" customHeight="false" outlineLevel="0" collapsed="false">
      <c r="A1004" s="8" t="n">
        <v>1003</v>
      </c>
      <c r="B1004" s="8" t="s">
        <v>52</v>
      </c>
      <c r="C1004" s="8" t="s">
        <v>21</v>
      </c>
      <c r="D1004" s="9" t="n">
        <v>44134</v>
      </c>
      <c r="E1004" s="10" t="n">
        <v>154888.02</v>
      </c>
      <c r="F1004" s="8" t="s">
        <v>11</v>
      </c>
      <c r="G1004" s="8" t="s">
        <v>30</v>
      </c>
      <c r="H1004" s="11" t="s">
        <v>31</v>
      </c>
      <c r="I1004" s="8" t="s">
        <v>14</v>
      </c>
    </row>
    <row r="1005" customFormat="false" ht="14.25" hidden="false" customHeight="false" outlineLevel="0" collapsed="false">
      <c r="A1005" s="8" t="n">
        <v>1004</v>
      </c>
      <c r="B1005" s="8" t="s">
        <v>49</v>
      </c>
      <c r="C1005" s="8" t="s">
        <v>10</v>
      </c>
      <c r="D1005" s="9" t="n">
        <v>44134</v>
      </c>
      <c r="E1005" s="10" t="n">
        <v>148973.76</v>
      </c>
      <c r="F1005" s="8" t="s">
        <v>11</v>
      </c>
      <c r="G1005" s="8" t="s">
        <v>17</v>
      </c>
      <c r="H1005" s="11" t="s">
        <v>18</v>
      </c>
      <c r="I1005" s="8" t="s">
        <v>14</v>
      </c>
    </row>
    <row r="1006" customFormat="false" ht="14.25" hidden="false" customHeight="false" outlineLevel="0" collapsed="false">
      <c r="A1006" s="8" t="n">
        <v>1005</v>
      </c>
      <c r="B1006" s="8" t="s">
        <v>62</v>
      </c>
      <c r="C1006" s="8" t="s">
        <v>16</v>
      </c>
      <c r="D1006" s="9" t="n">
        <v>44134</v>
      </c>
      <c r="E1006" s="10" t="n">
        <v>129240.42</v>
      </c>
      <c r="F1006" s="8" t="s">
        <v>11</v>
      </c>
      <c r="G1006" s="8" t="s">
        <v>22</v>
      </c>
      <c r="H1006" s="11" t="s">
        <v>23</v>
      </c>
      <c r="I1006" s="8" t="s">
        <v>14</v>
      </c>
    </row>
    <row r="1007" customFormat="false" ht="14.25" hidden="false" customHeight="false" outlineLevel="0" collapsed="false">
      <c r="A1007" s="8" t="n">
        <v>1006</v>
      </c>
      <c r="B1007" s="8" t="s">
        <v>52</v>
      </c>
      <c r="C1007" s="8" t="s">
        <v>28</v>
      </c>
      <c r="D1007" s="9" t="n">
        <v>44134</v>
      </c>
      <c r="E1007" s="10" t="n">
        <v>-14987.63</v>
      </c>
      <c r="F1007" s="8" t="s">
        <v>34</v>
      </c>
      <c r="G1007" s="8" t="s">
        <v>12</v>
      </c>
      <c r="H1007" s="11" t="s">
        <v>13</v>
      </c>
      <c r="I1007" s="8" t="s">
        <v>26</v>
      </c>
    </row>
    <row r="1008" customFormat="false" ht="14.25" hidden="false" customHeight="false" outlineLevel="0" collapsed="false">
      <c r="A1008" s="8" t="n">
        <v>1007</v>
      </c>
      <c r="B1008" s="8" t="s">
        <v>52</v>
      </c>
      <c r="C1008" s="8" t="s">
        <v>28</v>
      </c>
      <c r="D1008" s="9" t="n">
        <v>44134</v>
      </c>
      <c r="E1008" s="10" t="n">
        <v>-6443.85</v>
      </c>
      <c r="F1008" s="8" t="s">
        <v>34</v>
      </c>
      <c r="G1008" s="8" t="s">
        <v>12</v>
      </c>
      <c r="H1008" s="11" t="s">
        <v>13</v>
      </c>
      <c r="I1008" s="8" t="s">
        <v>14</v>
      </c>
    </row>
    <row r="1009" customFormat="false" ht="14.25" hidden="false" customHeight="false" outlineLevel="0" collapsed="false">
      <c r="A1009" s="8" t="n">
        <v>1008</v>
      </c>
      <c r="B1009" s="8" t="s">
        <v>62</v>
      </c>
      <c r="C1009" s="8" t="s">
        <v>28</v>
      </c>
      <c r="D1009" s="9" t="n">
        <v>44134</v>
      </c>
      <c r="E1009" s="10" t="n">
        <v>-1476.55</v>
      </c>
      <c r="F1009" s="8" t="s">
        <v>34</v>
      </c>
      <c r="G1009" s="8" t="s">
        <v>12</v>
      </c>
      <c r="H1009" s="11" t="s">
        <v>13</v>
      </c>
      <c r="I1009" s="8" t="s">
        <v>26</v>
      </c>
    </row>
    <row r="1010" customFormat="false" ht="14.25" hidden="false" customHeight="false" outlineLevel="0" collapsed="false">
      <c r="A1010" s="8" t="n">
        <v>1009</v>
      </c>
      <c r="B1010" s="8" t="s">
        <v>86</v>
      </c>
      <c r="C1010" s="8" t="s">
        <v>28</v>
      </c>
      <c r="D1010" s="9" t="n">
        <v>44135</v>
      </c>
      <c r="E1010" s="10" t="n">
        <v>-761.46</v>
      </c>
      <c r="F1010" s="8" t="s">
        <v>34</v>
      </c>
      <c r="G1010" s="8" t="s">
        <v>36</v>
      </c>
      <c r="H1010" s="11" t="s">
        <v>37</v>
      </c>
      <c r="I1010" s="8" t="s">
        <v>26</v>
      </c>
    </row>
    <row r="1011" customFormat="false" ht="14.25" hidden="false" customHeight="false" outlineLevel="0" collapsed="false">
      <c r="A1011" s="8" t="n">
        <v>1010</v>
      </c>
      <c r="B1011" s="8" t="s">
        <v>15</v>
      </c>
      <c r="C1011" s="8" t="s">
        <v>10</v>
      </c>
      <c r="D1011" s="9" t="n">
        <v>44135</v>
      </c>
      <c r="E1011" s="10" t="n">
        <v>4921.42</v>
      </c>
      <c r="F1011" s="8" t="s">
        <v>11</v>
      </c>
      <c r="G1011" s="8" t="s">
        <v>12</v>
      </c>
      <c r="H1011" s="11" t="s">
        <v>13</v>
      </c>
      <c r="I1011" s="8" t="s">
        <v>14</v>
      </c>
    </row>
    <row r="1012" customFormat="false" ht="14.25" hidden="false" customHeight="false" outlineLevel="0" collapsed="false">
      <c r="A1012" s="8" t="n">
        <v>1011</v>
      </c>
      <c r="B1012" s="8" t="s">
        <v>73</v>
      </c>
      <c r="C1012" s="8" t="s">
        <v>21</v>
      </c>
      <c r="D1012" s="9" t="n">
        <v>44135</v>
      </c>
      <c r="E1012" s="10" t="n">
        <v>144576.27</v>
      </c>
      <c r="F1012" s="8" t="s">
        <v>11</v>
      </c>
      <c r="G1012" s="8" t="s">
        <v>36</v>
      </c>
      <c r="H1012" s="11" t="s">
        <v>37</v>
      </c>
      <c r="I1012" s="8" t="s">
        <v>24</v>
      </c>
    </row>
    <row r="1013" customFormat="false" ht="14.25" hidden="false" customHeight="false" outlineLevel="0" collapsed="false">
      <c r="A1013" s="8" t="n">
        <v>1012</v>
      </c>
      <c r="B1013" s="8" t="s">
        <v>73</v>
      </c>
      <c r="C1013" s="8" t="s">
        <v>10</v>
      </c>
      <c r="D1013" s="9" t="n">
        <v>44135</v>
      </c>
      <c r="E1013" s="10" t="n">
        <v>-1398.99</v>
      </c>
      <c r="F1013" s="8" t="s">
        <v>34</v>
      </c>
      <c r="G1013" s="8" t="s">
        <v>12</v>
      </c>
      <c r="H1013" s="11" t="s">
        <v>13</v>
      </c>
      <c r="I1013" s="8" t="s">
        <v>26</v>
      </c>
    </row>
    <row r="1014" customFormat="false" ht="14.25" hidden="false" customHeight="false" outlineLevel="0" collapsed="false">
      <c r="A1014" s="8" t="n">
        <v>1013</v>
      </c>
      <c r="B1014" s="8" t="s">
        <v>73</v>
      </c>
      <c r="C1014" s="8" t="s">
        <v>16</v>
      </c>
      <c r="D1014" s="9" t="n">
        <v>44135</v>
      </c>
      <c r="E1014" s="10" t="n">
        <v>-2997.86</v>
      </c>
      <c r="F1014" s="8" t="s">
        <v>34</v>
      </c>
      <c r="G1014" s="8" t="s">
        <v>17</v>
      </c>
      <c r="H1014" s="11" t="s">
        <v>18</v>
      </c>
      <c r="I1014" s="8" t="s">
        <v>14</v>
      </c>
    </row>
    <row r="1015" customFormat="false" ht="14.25" hidden="false" customHeight="false" outlineLevel="0" collapsed="false">
      <c r="A1015" s="8" t="n">
        <v>1014</v>
      </c>
      <c r="B1015" s="8" t="s">
        <v>73</v>
      </c>
      <c r="C1015" s="8" t="s">
        <v>21</v>
      </c>
      <c r="D1015" s="9" t="n">
        <v>44135</v>
      </c>
      <c r="E1015" s="10" t="n">
        <v>138511.1</v>
      </c>
      <c r="F1015" s="8" t="s">
        <v>11</v>
      </c>
      <c r="G1015" s="8" t="s">
        <v>17</v>
      </c>
      <c r="H1015" s="11" t="s">
        <v>18</v>
      </c>
      <c r="I1015" s="8" t="s">
        <v>26</v>
      </c>
    </row>
    <row r="1016" customFormat="false" ht="14.25" hidden="false" customHeight="false" outlineLevel="0" collapsed="false">
      <c r="A1016" s="8" t="n">
        <v>1015</v>
      </c>
      <c r="B1016" s="8" t="s">
        <v>39</v>
      </c>
      <c r="C1016" s="8" t="s">
        <v>28</v>
      </c>
      <c r="D1016" s="9" t="n">
        <v>44135</v>
      </c>
      <c r="E1016" s="10" t="n">
        <v>0</v>
      </c>
      <c r="F1016" s="8" t="s">
        <v>34</v>
      </c>
      <c r="G1016" s="8" t="s">
        <v>36</v>
      </c>
      <c r="H1016" s="11" t="s">
        <v>37</v>
      </c>
      <c r="I1016" s="8" t="s">
        <v>26</v>
      </c>
    </row>
    <row r="1017" customFormat="false" ht="14.25" hidden="false" customHeight="false" outlineLevel="0" collapsed="false">
      <c r="A1017" s="8" t="n">
        <v>1016</v>
      </c>
      <c r="B1017" s="8" t="s">
        <v>73</v>
      </c>
      <c r="C1017" s="8" t="s">
        <v>21</v>
      </c>
      <c r="D1017" s="9" t="n">
        <v>44135</v>
      </c>
      <c r="E1017" s="10" t="n">
        <v>0</v>
      </c>
      <c r="F1017" s="8" t="s">
        <v>34</v>
      </c>
      <c r="G1017" s="8" t="s">
        <v>22</v>
      </c>
      <c r="H1017" s="11" t="s">
        <v>23</v>
      </c>
      <c r="I1017" s="8" t="s">
        <v>14</v>
      </c>
    </row>
    <row r="1018" customFormat="false" ht="14.25" hidden="false" customHeight="false" outlineLevel="0" collapsed="false">
      <c r="A1018" s="8" t="n">
        <v>1017</v>
      </c>
      <c r="B1018" s="8" t="s">
        <v>73</v>
      </c>
      <c r="C1018" s="8" t="s">
        <v>21</v>
      </c>
      <c r="D1018" s="9" t="n">
        <v>44135</v>
      </c>
      <c r="E1018" s="10" t="n">
        <v>0</v>
      </c>
      <c r="F1018" s="8" t="s">
        <v>34</v>
      </c>
      <c r="G1018" s="8" t="s">
        <v>12</v>
      </c>
      <c r="H1018" s="11" t="s">
        <v>13</v>
      </c>
      <c r="I1018" s="8" t="s">
        <v>24</v>
      </c>
    </row>
    <row r="1019" customFormat="false" ht="14.25" hidden="false" customHeight="false" outlineLevel="0" collapsed="false">
      <c r="A1019" s="8" t="n">
        <v>1018</v>
      </c>
      <c r="B1019" s="8" t="s">
        <v>85</v>
      </c>
      <c r="C1019" s="8" t="s">
        <v>16</v>
      </c>
      <c r="D1019" s="9" t="n">
        <v>44141</v>
      </c>
      <c r="E1019" s="10" t="n">
        <v>144106.09</v>
      </c>
      <c r="F1019" s="8" t="s">
        <v>11</v>
      </c>
      <c r="G1019" s="8" t="s">
        <v>12</v>
      </c>
      <c r="H1019" s="11" t="s">
        <v>13</v>
      </c>
      <c r="I1019" s="8" t="s">
        <v>26</v>
      </c>
    </row>
    <row r="1020" customFormat="false" ht="14.25" hidden="false" customHeight="false" outlineLevel="0" collapsed="false">
      <c r="A1020" s="8" t="n">
        <v>1019</v>
      </c>
      <c r="B1020" s="8" t="s">
        <v>85</v>
      </c>
      <c r="C1020" s="8" t="s">
        <v>21</v>
      </c>
      <c r="D1020" s="9" t="n">
        <v>44142</v>
      </c>
      <c r="E1020" s="10" t="n">
        <v>58483.34</v>
      </c>
      <c r="F1020" s="8" t="s">
        <v>11</v>
      </c>
      <c r="G1020" s="8" t="s">
        <v>12</v>
      </c>
      <c r="H1020" s="11" t="s">
        <v>13</v>
      </c>
      <c r="I1020" s="8" t="s">
        <v>24</v>
      </c>
    </row>
    <row r="1021" customFormat="false" ht="14.25" hidden="false" customHeight="false" outlineLevel="0" collapsed="false">
      <c r="A1021" s="8" t="n">
        <v>1020</v>
      </c>
      <c r="B1021" s="8" t="s">
        <v>29</v>
      </c>
      <c r="C1021" s="8" t="s">
        <v>21</v>
      </c>
      <c r="D1021" s="9" t="n">
        <v>44143</v>
      </c>
      <c r="E1021" s="10" t="n">
        <v>9443.32</v>
      </c>
      <c r="F1021" s="8" t="s">
        <v>11</v>
      </c>
      <c r="G1021" s="8" t="s">
        <v>36</v>
      </c>
      <c r="H1021" s="11" t="s">
        <v>37</v>
      </c>
      <c r="I1021" s="8" t="s">
        <v>14</v>
      </c>
    </row>
    <row r="1022" customFormat="false" ht="14.25" hidden="false" customHeight="false" outlineLevel="0" collapsed="false">
      <c r="A1022" s="8" t="n">
        <v>1021</v>
      </c>
      <c r="B1022" s="8" t="s">
        <v>101</v>
      </c>
      <c r="C1022" s="8" t="s">
        <v>10</v>
      </c>
      <c r="D1022" s="9" t="n">
        <v>44143</v>
      </c>
      <c r="E1022" s="10" t="n">
        <v>127663.49</v>
      </c>
      <c r="F1022" s="8" t="s">
        <v>11</v>
      </c>
      <c r="G1022" s="8" t="s">
        <v>12</v>
      </c>
      <c r="H1022" s="11" t="s">
        <v>13</v>
      </c>
      <c r="I1022" s="8" t="s">
        <v>14</v>
      </c>
    </row>
    <row r="1023" customFormat="false" ht="14.25" hidden="false" customHeight="false" outlineLevel="0" collapsed="false">
      <c r="A1023" s="8" t="n">
        <v>1022</v>
      </c>
      <c r="B1023" s="8" t="s">
        <v>147</v>
      </c>
      <c r="C1023" s="8" t="s">
        <v>28</v>
      </c>
      <c r="D1023" s="9" t="n">
        <v>44144</v>
      </c>
      <c r="E1023" s="10" t="n">
        <v>138142.4</v>
      </c>
      <c r="F1023" s="8" t="s">
        <v>11</v>
      </c>
      <c r="G1023" s="8" t="s">
        <v>12</v>
      </c>
      <c r="H1023" s="11" t="s">
        <v>13</v>
      </c>
      <c r="I1023" s="8" t="s">
        <v>19</v>
      </c>
    </row>
    <row r="1024" customFormat="false" ht="14.25" hidden="false" customHeight="false" outlineLevel="0" collapsed="false">
      <c r="A1024" s="8" t="n">
        <v>1023</v>
      </c>
      <c r="B1024" s="8" t="s">
        <v>44</v>
      </c>
      <c r="C1024" s="8" t="s">
        <v>10</v>
      </c>
      <c r="D1024" s="9" t="n">
        <v>44144</v>
      </c>
      <c r="E1024" s="10" t="n">
        <v>9065.47</v>
      </c>
      <c r="F1024" s="8" t="s">
        <v>11</v>
      </c>
      <c r="G1024" s="8" t="s">
        <v>12</v>
      </c>
      <c r="H1024" s="11" t="s">
        <v>13</v>
      </c>
      <c r="I1024" s="8" t="s">
        <v>14</v>
      </c>
    </row>
    <row r="1025" customFormat="false" ht="14.25" hidden="false" customHeight="false" outlineLevel="0" collapsed="false">
      <c r="A1025" s="8" t="n">
        <v>1024</v>
      </c>
      <c r="B1025" s="8" t="s">
        <v>79</v>
      </c>
      <c r="C1025" s="8" t="s">
        <v>21</v>
      </c>
      <c r="D1025" s="9" t="n">
        <v>44144</v>
      </c>
      <c r="E1025" s="10" t="n">
        <v>32545.27</v>
      </c>
      <c r="F1025" s="8" t="s">
        <v>11</v>
      </c>
      <c r="G1025" s="8" t="s">
        <v>12</v>
      </c>
      <c r="H1025" s="11" t="s">
        <v>13</v>
      </c>
      <c r="I1025" s="8" t="s">
        <v>14</v>
      </c>
    </row>
    <row r="1026" customFormat="false" ht="14.25" hidden="false" customHeight="false" outlineLevel="0" collapsed="false">
      <c r="A1026" s="8" t="n">
        <v>1025</v>
      </c>
      <c r="B1026" s="8" t="s">
        <v>44</v>
      </c>
      <c r="C1026" s="8" t="s">
        <v>28</v>
      </c>
      <c r="D1026" s="9" t="n">
        <v>44144</v>
      </c>
      <c r="E1026" s="10" t="n">
        <v>36046.82</v>
      </c>
      <c r="F1026" s="8" t="s">
        <v>11</v>
      </c>
      <c r="G1026" s="8" t="s">
        <v>36</v>
      </c>
      <c r="H1026" s="11" t="s">
        <v>37</v>
      </c>
      <c r="I1026" s="8" t="s">
        <v>14</v>
      </c>
    </row>
    <row r="1027" customFormat="false" ht="14.25" hidden="false" customHeight="false" outlineLevel="0" collapsed="false">
      <c r="A1027" s="8" t="n">
        <v>1026</v>
      </c>
      <c r="B1027" s="8" t="s">
        <v>79</v>
      </c>
      <c r="C1027" s="8" t="s">
        <v>16</v>
      </c>
      <c r="D1027" s="9" t="n">
        <v>44144</v>
      </c>
      <c r="E1027" s="10" t="n">
        <v>37443.87</v>
      </c>
      <c r="F1027" s="8" t="s">
        <v>11</v>
      </c>
      <c r="G1027" s="8" t="s">
        <v>22</v>
      </c>
      <c r="H1027" s="11" t="s">
        <v>23</v>
      </c>
      <c r="I1027" s="8" t="s">
        <v>19</v>
      </c>
    </row>
    <row r="1028" customFormat="false" ht="14.25" hidden="false" customHeight="false" outlineLevel="0" collapsed="false">
      <c r="A1028" s="8" t="n">
        <v>1027</v>
      </c>
      <c r="B1028" s="8" t="s">
        <v>86</v>
      </c>
      <c r="C1028" s="8" t="s">
        <v>28</v>
      </c>
      <c r="D1028" s="9" t="n">
        <v>44145</v>
      </c>
      <c r="E1028" s="10" t="n">
        <v>3242.95</v>
      </c>
      <c r="F1028" s="8" t="s">
        <v>11</v>
      </c>
      <c r="G1028" s="8" t="s">
        <v>12</v>
      </c>
      <c r="H1028" s="11" t="s">
        <v>13</v>
      </c>
      <c r="I1028" s="8" t="s">
        <v>14</v>
      </c>
    </row>
    <row r="1029" customFormat="false" ht="14.25" hidden="false" customHeight="false" outlineLevel="0" collapsed="false">
      <c r="A1029" s="8" t="n">
        <v>1028</v>
      </c>
      <c r="B1029" s="8" t="s">
        <v>15</v>
      </c>
      <c r="C1029" s="8" t="s">
        <v>28</v>
      </c>
      <c r="D1029" s="9" t="n">
        <v>44145</v>
      </c>
      <c r="E1029" s="10" t="n">
        <v>40552.67</v>
      </c>
      <c r="F1029" s="8" t="s">
        <v>11</v>
      </c>
      <c r="G1029" s="8" t="s">
        <v>17</v>
      </c>
      <c r="H1029" s="11" t="s">
        <v>18</v>
      </c>
      <c r="I1029" s="8" t="s">
        <v>14</v>
      </c>
    </row>
    <row r="1030" customFormat="false" ht="14.25" hidden="false" customHeight="false" outlineLevel="0" collapsed="false">
      <c r="A1030" s="8" t="n">
        <v>1029</v>
      </c>
      <c r="B1030" s="8" t="s">
        <v>45</v>
      </c>
      <c r="C1030" s="8" t="s">
        <v>21</v>
      </c>
      <c r="D1030" s="9" t="n">
        <v>44145</v>
      </c>
      <c r="E1030" s="10" t="n">
        <v>3619.65</v>
      </c>
      <c r="F1030" s="8" t="s">
        <v>11</v>
      </c>
      <c r="G1030" s="8" t="s">
        <v>17</v>
      </c>
      <c r="H1030" s="11" t="s">
        <v>18</v>
      </c>
      <c r="I1030" s="8" t="s">
        <v>19</v>
      </c>
    </row>
    <row r="1031" customFormat="false" ht="14.25" hidden="false" customHeight="false" outlineLevel="0" collapsed="false">
      <c r="A1031" s="8" t="n">
        <v>1030</v>
      </c>
      <c r="B1031" s="8" t="s">
        <v>33</v>
      </c>
      <c r="C1031" s="8" t="s">
        <v>10</v>
      </c>
      <c r="D1031" s="9" t="n">
        <v>44145</v>
      </c>
      <c r="E1031" s="10" t="n">
        <v>43144.62</v>
      </c>
      <c r="F1031" s="8" t="s">
        <v>11</v>
      </c>
      <c r="G1031" s="8" t="s">
        <v>12</v>
      </c>
      <c r="H1031" s="11" t="s">
        <v>13</v>
      </c>
      <c r="I1031" s="8" t="s">
        <v>26</v>
      </c>
    </row>
    <row r="1032" customFormat="false" ht="14.25" hidden="false" customHeight="false" outlineLevel="0" collapsed="false">
      <c r="A1032" s="8" t="n">
        <v>1031</v>
      </c>
      <c r="B1032" s="8" t="s">
        <v>57</v>
      </c>
      <c r="C1032" s="8" t="s">
        <v>21</v>
      </c>
      <c r="D1032" s="9" t="n">
        <v>44145</v>
      </c>
      <c r="E1032" s="10" t="n">
        <v>31901.22</v>
      </c>
      <c r="F1032" s="8" t="s">
        <v>11</v>
      </c>
      <c r="G1032" s="8" t="s">
        <v>17</v>
      </c>
      <c r="H1032" s="11" t="s">
        <v>18</v>
      </c>
      <c r="I1032" s="8" t="s">
        <v>14</v>
      </c>
    </row>
    <row r="1033" customFormat="false" ht="14.25" hidden="false" customHeight="false" outlineLevel="0" collapsed="false">
      <c r="A1033" s="8" t="n">
        <v>1032</v>
      </c>
      <c r="B1033" s="8" t="s">
        <v>72</v>
      </c>
      <c r="C1033" s="8" t="s">
        <v>16</v>
      </c>
      <c r="D1033" s="9" t="n">
        <v>44145</v>
      </c>
      <c r="E1033" s="10" t="n">
        <v>3182.12</v>
      </c>
      <c r="F1033" s="8" t="s">
        <v>11</v>
      </c>
      <c r="G1033" s="8" t="s">
        <v>36</v>
      </c>
      <c r="H1033" s="11" t="s">
        <v>37</v>
      </c>
      <c r="I1033" s="8" t="s">
        <v>14</v>
      </c>
    </row>
    <row r="1034" customFormat="false" ht="14.25" hidden="false" customHeight="false" outlineLevel="0" collapsed="false">
      <c r="A1034" s="8" t="n">
        <v>1033</v>
      </c>
      <c r="B1034" s="8" t="s">
        <v>45</v>
      </c>
      <c r="C1034" s="8" t="s">
        <v>28</v>
      </c>
      <c r="D1034" s="9" t="n">
        <v>44145</v>
      </c>
      <c r="E1034" s="10" t="n">
        <v>41016.7</v>
      </c>
      <c r="F1034" s="8" t="s">
        <v>11</v>
      </c>
      <c r="G1034" s="8" t="s">
        <v>17</v>
      </c>
      <c r="H1034" s="11" t="s">
        <v>18</v>
      </c>
      <c r="I1034" s="8" t="s">
        <v>14</v>
      </c>
    </row>
    <row r="1035" customFormat="false" ht="14.25" hidden="false" customHeight="false" outlineLevel="0" collapsed="false">
      <c r="A1035" s="8" t="n">
        <v>1034</v>
      </c>
      <c r="B1035" s="8" t="s">
        <v>33</v>
      </c>
      <c r="C1035" s="8" t="s">
        <v>28</v>
      </c>
      <c r="D1035" s="9" t="n">
        <v>44145</v>
      </c>
      <c r="E1035" s="10" t="n">
        <v>-29448.34</v>
      </c>
      <c r="F1035" s="8" t="s">
        <v>34</v>
      </c>
      <c r="G1035" s="8" t="s">
        <v>12</v>
      </c>
      <c r="H1035" s="11" t="s">
        <v>13</v>
      </c>
      <c r="I1035" s="8" t="s">
        <v>14</v>
      </c>
    </row>
    <row r="1036" customFormat="false" ht="14.25" hidden="false" customHeight="false" outlineLevel="0" collapsed="false">
      <c r="A1036" s="8" t="n">
        <v>1035</v>
      </c>
      <c r="B1036" s="8" t="s">
        <v>57</v>
      </c>
      <c r="C1036" s="8" t="s">
        <v>28</v>
      </c>
      <c r="D1036" s="9" t="n">
        <v>44145</v>
      </c>
      <c r="E1036" s="10" t="n">
        <v>-18974.69</v>
      </c>
      <c r="F1036" s="8" t="s">
        <v>34</v>
      </c>
      <c r="G1036" s="8" t="s">
        <v>22</v>
      </c>
      <c r="H1036" s="11" t="s">
        <v>23</v>
      </c>
      <c r="I1036" s="8" t="s">
        <v>14</v>
      </c>
    </row>
    <row r="1037" customFormat="false" ht="14.25" hidden="false" customHeight="false" outlineLevel="0" collapsed="false">
      <c r="A1037" s="8" t="n">
        <v>1036</v>
      </c>
      <c r="B1037" s="8" t="s">
        <v>72</v>
      </c>
      <c r="C1037" s="8" t="s">
        <v>16</v>
      </c>
      <c r="D1037" s="9" t="n">
        <v>44145</v>
      </c>
      <c r="E1037" s="10" t="n">
        <v>-25809.56</v>
      </c>
      <c r="F1037" s="8" t="s">
        <v>34</v>
      </c>
      <c r="G1037" s="8" t="s">
        <v>30</v>
      </c>
      <c r="H1037" s="11" t="s">
        <v>31</v>
      </c>
      <c r="I1037" s="8" t="s">
        <v>14</v>
      </c>
    </row>
    <row r="1038" customFormat="false" ht="14.25" hidden="false" customHeight="false" outlineLevel="0" collapsed="false">
      <c r="A1038" s="8" t="n">
        <v>1037</v>
      </c>
      <c r="B1038" s="8" t="s">
        <v>47</v>
      </c>
      <c r="C1038" s="8" t="s">
        <v>21</v>
      </c>
      <c r="D1038" s="9" t="n">
        <v>44145</v>
      </c>
      <c r="E1038" s="10" t="n">
        <v>-21533.93</v>
      </c>
      <c r="F1038" s="8" t="s">
        <v>34</v>
      </c>
      <c r="G1038" s="8" t="s">
        <v>22</v>
      </c>
      <c r="H1038" s="11" t="s">
        <v>23</v>
      </c>
      <c r="I1038" s="8" t="s">
        <v>14</v>
      </c>
    </row>
    <row r="1039" customFormat="false" ht="14.25" hidden="false" customHeight="false" outlineLevel="0" collapsed="false">
      <c r="A1039" s="8" t="n">
        <v>1038</v>
      </c>
      <c r="B1039" s="8" t="s">
        <v>47</v>
      </c>
      <c r="C1039" s="8" t="s">
        <v>28</v>
      </c>
      <c r="D1039" s="9" t="n">
        <v>44145</v>
      </c>
      <c r="E1039" s="10" t="n">
        <v>-16096.68</v>
      </c>
      <c r="F1039" s="8" t="s">
        <v>34</v>
      </c>
      <c r="G1039" s="8" t="s">
        <v>17</v>
      </c>
      <c r="H1039" s="11" t="s">
        <v>18</v>
      </c>
      <c r="I1039" s="8" t="s">
        <v>26</v>
      </c>
    </row>
    <row r="1040" customFormat="false" ht="14.25" hidden="false" customHeight="false" outlineLevel="0" collapsed="false">
      <c r="A1040" s="8" t="n">
        <v>1039</v>
      </c>
      <c r="B1040" s="8" t="s">
        <v>33</v>
      </c>
      <c r="C1040" s="8" t="s">
        <v>16</v>
      </c>
      <c r="D1040" s="9" t="n">
        <v>44145</v>
      </c>
      <c r="E1040" s="10" t="n">
        <v>-42054.04</v>
      </c>
      <c r="F1040" s="8" t="s">
        <v>34</v>
      </c>
      <c r="G1040" s="8" t="s">
        <v>22</v>
      </c>
      <c r="H1040" s="11" t="s">
        <v>23</v>
      </c>
      <c r="I1040" s="8" t="s">
        <v>14</v>
      </c>
    </row>
    <row r="1041" customFormat="false" ht="14.25" hidden="false" customHeight="false" outlineLevel="0" collapsed="false">
      <c r="A1041" s="8" t="n">
        <v>1040</v>
      </c>
      <c r="B1041" s="8" t="s">
        <v>15</v>
      </c>
      <c r="C1041" s="8" t="s">
        <v>28</v>
      </c>
      <c r="D1041" s="9" t="n">
        <v>44145</v>
      </c>
      <c r="E1041" s="10" t="n">
        <v>-13968.54</v>
      </c>
      <c r="F1041" s="8" t="s">
        <v>34</v>
      </c>
      <c r="G1041" s="8" t="s">
        <v>17</v>
      </c>
      <c r="H1041" s="11" t="s">
        <v>18</v>
      </c>
      <c r="I1041" s="8" t="s">
        <v>14</v>
      </c>
    </row>
    <row r="1042" customFormat="false" ht="14.25" hidden="false" customHeight="false" outlineLevel="0" collapsed="false">
      <c r="A1042" s="8" t="n">
        <v>1041</v>
      </c>
      <c r="B1042" s="8" t="s">
        <v>15</v>
      </c>
      <c r="C1042" s="8" t="s">
        <v>10</v>
      </c>
      <c r="D1042" s="9" t="n">
        <v>44145</v>
      </c>
      <c r="E1042" s="10" t="n">
        <v>-35008.09</v>
      </c>
      <c r="F1042" s="8" t="s">
        <v>34</v>
      </c>
      <c r="G1042" s="8" t="s">
        <v>17</v>
      </c>
      <c r="H1042" s="11" t="s">
        <v>18</v>
      </c>
      <c r="I1042" s="8" t="s">
        <v>24</v>
      </c>
    </row>
    <row r="1043" customFormat="false" ht="14.25" hidden="false" customHeight="false" outlineLevel="0" collapsed="false">
      <c r="A1043" s="8" t="n">
        <v>1042</v>
      </c>
      <c r="B1043" s="8" t="s">
        <v>33</v>
      </c>
      <c r="C1043" s="8" t="s">
        <v>21</v>
      </c>
      <c r="D1043" s="9" t="n">
        <v>44145</v>
      </c>
      <c r="E1043" s="10" t="n">
        <v>2828.48</v>
      </c>
      <c r="F1043" s="8" t="s">
        <v>11</v>
      </c>
      <c r="G1043" s="8" t="s">
        <v>12</v>
      </c>
      <c r="H1043" s="11" t="s">
        <v>13</v>
      </c>
      <c r="I1043" s="8" t="s">
        <v>26</v>
      </c>
    </row>
    <row r="1044" customFormat="false" ht="14.25" hidden="false" customHeight="false" outlineLevel="0" collapsed="false">
      <c r="A1044" s="8" t="n">
        <v>1043</v>
      </c>
      <c r="B1044" s="8" t="s">
        <v>33</v>
      </c>
      <c r="C1044" s="8" t="s">
        <v>10</v>
      </c>
      <c r="D1044" s="9" t="n">
        <v>44145</v>
      </c>
      <c r="E1044" s="10" t="n">
        <v>68377.58</v>
      </c>
      <c r="F1044" s="8" t="s">
        <v>11</v>
      </c>
      <c r="G1044" s="8" t="s">
        <v>12</v>
      </c>
      <c r="H1044" s="11" t="s">
        <v>13</v>
      </c>
      <c r="I1044" s="8" t="s">
        <v>26</v>
      </c>
    </row>
    <row r="1045" customFormat="false" ht="14.25" hidden="false" customHeight="false" outlineLevel="0" collapsed="false">
      <c r="A1045" s="8" t="n">
        <v>1044</v>
      </c>
      <c r="B1045" s="8" t="s">
        <v>85</v>
      </c>
      <c r="C1045" s="8" t="s">
        <v>21</v>
      </c>
      <c r="D1045" s="9" t="n">
        <v>44146</v>
      </c>
      <c r="E1045" s="10" t="n">
        <v>26464.83</v>
      </c>
      <c r="F1045" s="8" t="s">
        <v>11</v>
      </c>
      <c r="G1045" s="8" t="s">
        <v>17</v>
      </c>
      <c r="H1045" s="11" t="s">
        <v>18</v>
      </c>
      <c r="I1045" s="8" t="s">
        <v>14</v>
      </c>
    </row>
    <row r="1046" customFormat="false" ht="14.25" hidden="false" customHeight="false" outlineLevel="0" collapsed="false">
      <c r="A1046" s="8" t="n">
        <v>1045</v>
      </c>
      <c r="B1046" s="8" t="s">
        <v>145</v>
      </c>
      <c r="C1046" s="8" t="s">
        <v>16</v>
      </c>
      <c r="D1046" s="9" t="n">
        <v>44148</v>
      </c>
      <c r="E1046" s="10" t="n">
        <v>25174.05</v>
      </c>
      <c r="F1046" s="8" t="s">
        <v>11</v>
      </c>
      <c r="G1046" s="8" t="s">
        <v>12</v>
      </c>
      <c r="H1046" s="11" t="s">
        <v>13</v>
      </c>
      <c r="I1046" s="8" t="s">
        <v>19</v>
      </c>
    </row>
    <row r="1047" customFormat="false" ht="14.25" hidden="false" customHeight="false" outlineLevel="0" collapsed="false">
      <c r="A1047" s="8" t="n">
        <v>1046</v>
      </c>
      <c r="B1047" s="8" t="s">
        <v>145</v>
      </c>
      <c r="C1047" s="8" t="s">
        <v>10</v>
      </c>
      <c r="D1047" s="9" t="n">
        <v>44148</v>
      </c>
      <c r="E1047" s="10" t="n">
        <v>25456.65</v>
      </c>
      <c r="F1047" s="8" t="s">
        <v>11</v>
      </c>
      <c r="G1047" s="8" t="s">
        <v>17</v>
      </c>
      <c r="H1047" s="11" t="s">
        <v>18</v>
      </c>
      <c r="I1047" s="8" t="s">
        <v>26</v>
      </c>
    </row>
    <row r="1048" customFormat="false" ht="14.25" hidden="false" customHeight="false" outlineLevel="0" collapsed="false">
      <c r="A1048" s="8" t="n">
        <v>1047</v>
      </c>
      <c r="B1048" s="8" t="s">
        <v>145</v>
      </c>
      <c r="C1048" s="8" t="s">
        <v>21</v>
      </c>
      <c r="D1048" s="9" t="n">
        <v>44148</v>
      </c>
      <c r="E1048" s="10" t="n">
        <v>24922.59</v>
      </c>
      <c r="F1048" s="8" t="s">
        <v>11</v>
      </c>
      <c r="G1048" s="8" t="s">
        <v>12</v>
      </c>
      <c r="H1048" s="11" t="s">
        <v>13</v>
      </c>
      <c r="I1048" s="8" t="s">
        <v>26</v>
      </c>
    </row>
    <row r="1049" customFormat="false" ht="14.25" hidden="false" customHeight="false" outlineLevel="0" collapsed="false">
      <c r="A1049" s="8" t="n">
        <v>1048</v>
      </c>
      <c r="B1049" s="8" t="s">
        <v>85</v>
      </c>
      <c r="C1049" s="8" t="s">
        <v>16</v>
      </c>
      <c r="D1049" s="9" t="n">
        <v>44148</v>
      </c>
      <c r="E1049" s="10" t="n">
        <v>22795.77</v>
      </c>
      <c r="F1049" s="8" t="s">
        <v>11</v>
      </c>
      <c r="G1049" s="8" t="s">
        <v>36</v>
      </c>
      <c r="H1049" s="11" t="s">
        <v>37</v>
      </c>
      <c r="I1049" s="8" t="s">
        <v>24</v>
      </c>
    </row>
    <row r="1050" customFormat="false" ht="14.25" hidden="false" customHeight="false" outlineLevel="0" collapsed="false">
      <c r="A1050" s="8" t="n">
        <v>1049</v>
      </c>
      <c r="B1050" s="8" t="s">
        <v>39</v>
      </c>
      <c r="C1050" s="8" t="s">
        <v>16</v>
      </c>
      <c r="D1050" s="9" t="n">
        <v>44148</v>
      </c>
      <c r="E1050" s="10" t="n">
        <v>-695.98</v>
      </c>
      <c r="F1050" s="8" t="s">
        <v>34</v>
      </c>
      <c r="G1050" s="8" t="s">
        <v>36</v>
      </c>
      <c r="H1050" s="11" t="s">
        <v>37</v>
      </c>
      <c r="I1050" s="8" t="s">
        <v>26</v>
      </c>
    </row>
    <row r="1051" customFormat="false" ht="14.25" hidden="false" customHeight="false" outlineLevel="0" collapsed="false">
      <c r="A1051" s="8" t="n">
        <v>1050</v>
      </c>
      <c r="B1051" s="8" t="s">
        <v>122</v>
      </c>
      <c r="C1051" s="8" t="s">
        <v>21</v>
      </c>
      <c r="D1051" s="9" t="n">
        <v>44149</v>
      </c>
      <c r="E1051" s="10" t="n">
        <v>-2004</v>
      </c>
      <c r="F1051" s="8" t="s">
        <v>34</v>
      </c>
      <c r="G1051" s="8" t="s">
        <v>22</v>
      </c>
      <c r="H1051" s="11" t="s">
        <v>23</v>
      </c>
      <c r="I1051" s="8" t="s">
        <v>26</v>
      </c>
    </row>
    <row r="1052" customFormat="false" ht="14.25" hidden="false" customHeight="false" outlineLevel="0" collapsed="false">
      <c r="A1052" s="8" t="n">
        <v>1051</v>
      </c>
      <c r="B1052" s="8" t="s">
        <v>49</v>
      </c>
      <c r="C1052" s="8" t="s">
        <v>10</v>
      </c>
      <c r="D1052" s="9" t="n">
        <v>44149</v>
      </c>
      <c r="E1052" s="10" t="n">
        <v>-1080.45</v>
      </c>
      <c r="F1052" s="8" t="s">
        <v>34</v>
      </c>
      <c r="G1052" s="8" t="s">
        <v>22</v>
      </c>
      <c r="H1052" s="11" t="s">
        <v>23</v>
      </c>
      <c r="I1052" s="8" t="s">
        <v>26</v>
      </c>
    </row>
    <row r="1053" customFormat="false" ht="14.25" hidden="false" customHeight="false" outlineLevel="0" collapsed="false">
      <c r="A1053" s="8" t="n">
        <v>1052</v>
      </c>
      <c r="B1053" s="8" t="s">
        <v>148</v>
      </c>
      <c r="C1053" s="8" t="s">
        <v>28</v>
      </c>
      <c r="D1053" s="9" t="n">
        <v>44151</v>
      </c>
      <c r="E1053" s="10" t="n">
        <v>15131.57</v>
      </c>
      <c r="F1053" s="8" t="s">
        <v>11</v>
      </c>
      <c r="G1053" s="8" t="s">
        <v>12</v>
      </c>
      <c r="H1053" s="11" t="s">
        <v>13</v>
      </c>
      <c r="I1053" s="8" t="s">
        <v>26</v>
      </c>
    </row>
    <row r="1054" customFormat="false" ht="14.25" hidden="false" customHeight="false" outlineLevel="0" collapsed="false">
      <c r="A1054" s="8" t="n">
        <v>1053</v>
      </c>
      <c r="B1054" s="8" t="s">
        <v>41</v>
      </c>
      <c r="C1054" s="8" t="s">
        <v>21</v>
      </c>
      <c r="D1054" s="9" t="n">
        <v>44152</v>
      </c>
      <c r="E1054" s="10" t="n">
        <v>15736.84</v>
      </c>
      <c r="F1054" s="8" t="s">
        <v>11</v>
      </c>
      <c r="G1054" s="8" t="s">
        <v>12</v>
      </c>
      <c r="H1054" s="11" t="s">
        <v>13</v>
      </c>
      <c r="I1054" s="8" t="s">
        <v>14</v>
      </c>
    </row>
    <row r="1055" customFormat="false" ht="14.25" hidden="false" customHeight="false" outlineLevel="0" collapsed="false">
      <c r="A1055" s="8" t="n">
        <v>1054</v>
      </c>
      <c r="B1055" s="8" t="s">
        <v>50</v>
      </c>
      <c r="C1055" s="8" t="s">
        <v>21</v>
      </c>
      <c r="D1055" s="9" t="n">
        <v>44152</v>
      </c>
      <c r="E1055" s="10" t="n">
        <v>16361.62</v>
      </c>
      <c r="F1055" s="8" t="s">
        <v>11</v>
      </c>
      <c r="G1055" s="8" t="s">
        <v>17</v>
      </c>
      <c r="H1055" s="11" t="s">
        <v>18</v>
      </c>
      <c r="I1055" s="8" t="s">
        <v>14</v>
      </c>
    </row>
    <row r="1056" customFormat="false" ht="14.25" hidden="false" customHeight="false" outlineLevel="0" collapsed="false">
      <c r="A1056" s="8" t="n">
        <v>1055</v>
      </c>
      <c r="B1056" s="8" t="s">
        <v>15</v>
      </c>
      <c r="C1056" s="8" t="s">
        <v>28</v>
      </c>
      <c r="D1056" s="9" t="n">
        <v>44152</v>
      </c>
      <c r="E1056" s="10" t="n">
        <v>14515.93</v>
      </c>
      <c r="F1056" s="8" t="s">
        <v>11</v>
      </c>
      <c r="G1056" s="8" t="s">
        <v>36</v>
      </c>
      <c r="H1056" s="11" t="s">
        <v>37</v>
      </c>
      <c r="I1056" s="8" t="s">
        <v>19</v>
      </c>
    </row>
    <row r="1057" customFormat="false" ht="14.25" hidden="false" customHeight="false" outlineLevel="0" collapsed="false">
      <c r="A1057" s="8" t="n">
        <v>1056</v>
      </c>
      <c r="B1057" s="8" t="s">
        <v>51</v>
      </c>
      <c r="C1057" s="8" t="s">
        <v>10</v>
      </c>
      <c r="D1057" s="9" t="n">
        <v>44152</v>
      </c>
      <c r="E1057" s="10" t="n">
        <v>-1993.99</v>
      </c>
      <c r="F1057" s="8" t="s">
        <v>34</v>
      </c>
      <c r="G1057" s="8" t="s">
        <v>17</v>
      </c>
      <c r="H1057" s="11" t="s">
        <v>18</v>
      </c>
      <c r="I1057" s="8" t="s">
        <v>14</v>
      </c>
    </row>
    <row r="1058" customFormat="false" ht="14.25" hidden="false" customHeight="false" outlineLevel="0" collapsed="false">
      <c r="A1058" s="8" t="n">
        <v>1057</v>
      </c>
      <c r="B1058" s="8" t="s">
        <v>81</v>
      </c>
      <c r="C1058" s="8" t="s">
        <v>10</v>
      </c>
      <c r="D1058" s="9" t="n">
        <v>44153</v>
      </c>
      <c r="E1058" s="10" t="n">
        <v>-2422</v>
      </c>
      <c r="F1058" s="8" t="s">
        <v>34</v>
      </c>
      <c r="G1058" s="8" t="s">
        <v>12</v>
      </c>
      <c r="H1058" s="11" t="s">
        <v>13</v>
      </c>
      <c r="I1058" s="8" t="s">
        <v>26</v>
      </c>
    </row>
    <row r="1059" customFormat="false" ht="14.25" hidden="false" customHeight="false" outlineLevel="0" collapsed="false">
      <c r="A1059" s="8" t="n">
        <v>1058</v>
      </c>
      <c r="B1059" s="8" t="s">
        <v>81</v>
      </c>
      <c r="C1059" s="8" t="s">
        <v>21</v>
      </c>
      <c r="D1059" s="9" t="n">
        <v>44153</v>
      </c>
      <c r="E1059" s="10" t="n">
        <v>-2033.12</v>
      </c>
      <c r="F1059" s="8" t="s">
        <v>34</v>
      </c>
      <c r="G1059" s="8" t="s">
        <v>17</v>
      </c>
      <c r="H1059" s="11" t="s">
        <v>18</v>
      </c>
      <c r="I1059" s="8" t="s">
        <v>14</v>
      </c>
    </row>
    <row r="1060" customFormat="false" ht="14.25" hidden="false" customHeight="false" outlineLevel="0" collapsed="false">
      <c r="A1060" s="8" t="n">
        <v>1059</v>
      </c>
      <c r="B1060" s="8" t="s">
        <v>81</v>
      </c>
      <c r="C1060" s="8" t="s">
        <v>16</v>
      </c>
      <c r="D1060" s="9" t="n">
        <v>44153</v>
      </c>
      <c r="E1060" s="10" t="n">
        <v>-8699.53</v>
      </c>
      <c r="F1060" s="8" t="s">
        <v>34</v>
      </c>
      <c r="G1060" s="8" t="s">
        <v>12</v>
      </c>
      <c r="H1060" s="11" t="s">
        <v>13</v>
      </c>
      <c r="I1060" s="8" t="s">
        <v>14</v>
      </c>
    </row>
    <row r="1061" customFormat="false" ht="14.25" hidden="false" customHeight="false" outlineLevel="0" collapsed="false">
      <c r="A1061" s="8" t="n">
        <v>1060</v>
      </c>
      <c r="B1061" s="8" t="s">
        <v>81</v>
      </c>
      <c r="C1061" s="8" t="s">
        <v>28</v>
      </c>
      <c r="D1061" s="9" t="n">
        <v>44153</v>
      </c>
      <c r="E1061" s="10" t="n">
        <v>13228.75</v>
      </c>
      <c r="F1061" s="8" t="s">
        <v>11</v>
      </c>
      <c r="G1061" s="8" t="s">
        <v>12</v>
      </c>
      <c r="H1061" s="11" t="s">
        <v>13</v>
      </c>
      <c r="I1061" s="8" t="s">
        <v>14</v>
      </c>
    </row>
    <row r="1062" customFormat="false" ht="14.25" hidden="false" customHeight="false" outlineLevel="0" collapsed="false">
      <c r="A1062" s="8" t="n">
        <v>1061</v>
      </c>
      <c r="B1062" s="8" t="s">
        <v>81</v>
      </c>
      <c r="C1062" s="8" t="s">
        <v>21</v>
      </c>
      <c r="D1062" s="9" t="n">
        <v>44153</v>
      </c>
      <c r="E1062" s="10" t="n">
        <v>13901.04</v>
      </c>
      <c r="F1062" s="8" t="s">
        <v>11</v>
      </c>
      <c r="G1062" s="8" t="s">
        <v>36</v>
      </c>
      <c r="H1062" s="11" t="s">
        <v>37</v>
      </c>
      <c r="I1062" s="8" t="s">
        <v>14</v>
      </c>
    </row>
    <row r="1063" customFormat="false" ht="14.25" hidden="false" customHeight="false" outlineLevel="0" collapsed="false">
      <c r="A1063" s="8" t="n">
        <v>1062</v>
      </c>
      <c r="B1063" s="8" t="s">
        <v>81</v>
      </c>
      <c r="C1063" s="8" t="s">
        <v>16</v>
      </c>
      <c r="D1063" s="9" t="n">
        <v>44153</v>
      </c>
      <c r="E1063" s="10" t="n">
        <v>161996.88</v>
      </c>
      <c r="F1063" s="8" t="s">
        <v>11</v>
      </c>
      <c r="G1063" s="8" t="s">
        <v>12</v>
      </c>
      <c r="H1063" s="11" t="s">
        <v>13</v>
      </c>
      <c r="I1063" s="8" t="s">
        <v>19</v>
      </c>
    </row>
    <row r="1064" customFormat="false" ht="14.25" hidden="false" customHeight="false" outlineLevel="0" collapsed="false">
      <c r="A1064" s="8" t="n">
        <v>1063</v>
      </c>
      <c r="B1064" s="8" t="s">
        <v>39</v>
      </c>
      <c r="C1064" s="8" t="s">
        <v>21</v>
      </c>
      <c r="D1064" s="9" t="n">
        <v>44153</v>
      </c>
      <c r="E1064" s="10" t="n">
        <v>102514.26</v>
      </c>
      <c r="F1064" s="8" t="s">
        <v>11</v>
      </c>
      <c r="G1064" s="8" t="s">
        <v>22</v>
      </c>
      <c r="H1064" s="11" t="s">
        <v>23</v>
      </c>
      <c r="I1064" s="8" t="s">
        <v>14</v>
      </c>
    </row>
    <row r="1065" customFormat="false" ht="14.25" hidden="false" customHeight="false" outlineLevel="0" collapsed="false">
      <c r="A1065" s="8" t="n">
        <v>1064</v>
      </c>
      <c r="B1065" s="8" t="s">
        <v>81</v>
      </c>
      <c r="C1065" s="8" t="s">
        <v>21</v>
      </c>
      <c r="D1065" s="9" t="n">
        <v>44153</v>
      </c>
      <c r="E1065" s="10" t="n">
        <v>13636.41</v>
      </c>
      <c r="F1065" s="8" t="s">
        <v>11</v>
      </c>
      <c r="G1065" s="8" t="s">
        <v>17</v>
      </c>
      <c r="H1065" s="11" t="s">
        <v>18</v>
      </c>
      <c r="I1065" s="8" t="s">
        <v>14</v>
      </c>
    </row>
    <row r="1066" customFormat="false" ht="14.25" hidden="false" customHeight="false" outlineLevel="0" collapsed="false">
      <c r="A1066" s="8" t="n">
        <v>1065</v>
      </c>
      <c r="B1066" s="8" t="s">
        <v>81</v>
      </c>
      <c r="C1066" s="8" t="s">
        <v>10</v>
      </c>
      <c r="D1066" s="9" t="n">
        <v>44153</v>
      </c>
      <c r="E1066" s="10" t="n">
        <v>13780.12</v>
      </c>
      <c r="F1066" s="8" t="s">
        <v>11</v>
      </c>
      <c r="G1066" s="8" t="s">
        <v>36</v>
      </c>
      <c r="H1066" s="11" t="s">
        <v>37</v>
      </c>
      <c r="I1066" s="8" t="s">
        <v>19</v>
      </c>
    </row>
    <row r="1067" customFormat="false" ht="14.25" hidden="false" customHeight="false" outlineLevel="0" collapsed="false">
      <c r="A1067" s="8" t="n">
        <v>1066</v>
      </c>
      <c r="B1067" s="8" t="s">
        <v>81</v>
      </c>
      <c r="C1067" s="8" t="s">
        <v>10</v>
      </c>
      <c r="D1067" s="9" t="n">
        <v>44153</v>
      </c>
      <c r="E1067" s="10" t="n">
        <v>14931.12</v>
      </c>
      <c r="F1067" s="8" t="s">
        <v>11</v>
      </c>
      <c r="G1067" s="8" t="s">
        <v>17</v>
      </c>
      <c r="H1067" s="11" t="s">
        <v>18</v>
      </c>
      <c r="I1067" s="8" t="s">
        <v>26</v>
      </c>
    </row>
    <row r="1068" customFormat="false" ht="14.25" hidden="false" customHeight="false" outlineLevel="0" collapsed="false">
      <c r="A1068" s="8" t="n">
        <v>1067</v>
      </c>
      <c r="B1068" s="8" t="s">
        <v>81</v>
      </c>
      <c r="C1068" s="8" t="s">
        <v>10</v>
      </c>
      <c r="D1068" s="9" t="n">
        <v>44153</v>
      </c>
      <c r="E1068" s="10" t="n">
        <v>21907.49</v>
      </c>
      <c r="F1068" s="8" t="s">
        <v>11</v>
      </c>
      <c r="G1068" s="8" t="s">
        <v>12</v>
      </c>
      <c r="H1068" s="11" t="s">
        <v>13</v>
      </c>
      <c r="I1068" s="8" t="s">
        <v>26</v>
      </c>
    </row>
    <row r="1069" customFormat="false" ht="14.25" hidden="false" customHeight="false" outlineLevel="0" collapsed="false">
      <c r="A1069" s="8" t="n">
        <v>1068</v>
      </c>
      <c r="B1069" s="8" t="s">
        <v>41</v>
      </c>
      <c r="C1069" s="8" t="s">
        <v>16</v>
      </c>
      <c r="D1069" s="9" t="n">
        <v>44155</v>
      </c>
      <c r="E1069" s="10" t="n">
        <v>21052.64</v>
      </c>
      <c r="F1069" s="8" t="s">
        <v>11</v>
      </c>
      <c r="G1069" s="8" t="s">
        <v>12</v>
      </c>
      <c r="H1069" s="11" t="s">
        <v>13</v>
      </c>
      <c r="I1069" s="8" t="s">
        <v>14</v>
      </c>
    </row>
    <row r="1070" customFormat="false" ht="14.25" hidden="false" customHeight="false" outlineLevel="0" collapsed="false">
      <c r="A1070" s="8" t="n">
        <v>1069</v>
      </c>
      <c r="B1070" s="8" t="s">
        <v>63</v>
      </c>
      <c r="C1070" s="8" t="s">
        <v>16</v>
      </c>
      <c r="D1070" s="9" t="n">
        <v>44155</v>
      </c>
      <c r="E1070" s="10" t="n">
        <v>19825.57</v>
      </c>
      <c r="F1070" s="8" t="s">
        <v>11</v>
      </c>
      <c r="G1070" s="8" t="s">
        <v>12</v>
      </c>
      <c r="H1070" s="11" t="s">
        <v>13</v>
      </c>
      <c r="I1070" s="8" t="s">
        <v>26</v>
      </c>
    </row>
    <row r="1071" customFormat="false" ht="14.25" hidden="false" customHeight="false" outlineLevel="0" collapsed="false">
      <c r="A1071" s="8" t="n">
        <v>1070</v>
      </c>
      <c r="B1071" s="8" t="s">
        <v>85</v>
      </c>
      <c r="C1071" s="8" t="s">
        <v>10</v>
      </c>
      <c r="D1071" s="9" t="n">
        <v>44155</v>
      </c>
      <c r="E1071" s="10" t="n">
        <v>11787.39</v>
      </c>
      <c r="F1071" s="8" t="s">
        <v>11</v>
      </c>
      <c r="G1071" s="8" t="s">
        <v>22</v>
      </c>
      <c r="H1071" s="11" t="s">
        <v>23</v>
      </c>
      <c r="I1071" s="8" t="s">
        <v>26</v>
      </c>
    </row>
    <row r="1072" customFormat="false" ht="14.25" hidden="false" customHeight="false" outlineLevel="0" collapsed="false">
      <c r="A1072" s="8" t="n">
        <v>1071</v>
      </c>
      <c r="B1072" s="8" t="s">
        <v>85</v>
      </c>
      <c r="C1072" s="8" t="s">
        <v>28</v>
      </c>
      <c r="D1072" s="9" t="n">
        <v>44155</v>
      </c>
      <c r="E1072" s="10" t="n">
        <v>11787.39</v>
      </c>
      <c r="F1072" s="8" t="s">
        <v>11</v>
      </c>
      <c r="G1072" s="8" t="s">
        <v>22</v>
      </c>
      <c r="H1072" s="11" t="s">
        <v>23</v>
      </c>
      <c r="I1072" s="8" t="s">
        <v>14</v>
      </c>
    </row>
    <row r="1073" customFormat="false" ht="14.25" hidden="false" customHeight="false" outlineLevel="0" collapsed="false">
      <c r="A1073" s="8" t="n">
        <v>1072</v>
      </c>
      <c r="B1073" s="8" t="s">
        <v>66</v>
      </c>
      <c r="C1073" s="8" t="s">
        <v>10</v>
      </c>
      <c r="D1073" s="9" t="n">
        <v>44155</v>
      </c>
      <c r="E1073" s="10" t="n">
        <v>11787.39</v>
      </c>
      <c r="F1073" s="8" t="s">
        <v>11</v>
      </c>
      <c r="G1073" s="8" t="s">
        <v>30</v>
      </c>
      <c r="H1073" s="11" t="s">
        <v>31</v>
      </c>
      <c r="I1073" s="8" t="s">
        <v>14</v>
      </c>
    </row>
    <row r="1074" customFormat="false" ht="14.25" hidden="false" customHeight="false" outlineLevel="0" collapsed="false">
      <c r="A1074" s="8" t="n">
        <v>1073</v>
      </c>
      <c r="B1074" s="8" t="s">
        <v>66</v>
      </c>
      <c r="C1074" s="8" t="s">
        <v>21</v>
      </c>
      <c r="D1074" s="9" t="n">
        <v>44155</v>
      </c>
      <c r="E1074" s="10" t="n">
        <v>177358.2</v>
      </c>
      <c r="F1074" s="8" t="s">
        <v>11</v>
      </c>
      <c r="G1074" s="8" t="s">
        <v>22</v>
      </c>
      <c r="H1074" s="11" t="s">
        <v>23</v>
      </c>
      <c r="I1074" s="8" t="s">
        <v>14</v>
      </c>
    </row>
    <row r="1075" customFormat="false" ht="14.25" hidden="false" customHeight="false" outlineLevel="0" collapsed="false">
      <c r="A1075" s="8" t="n">
        <v>1074</v>
      </c>
      <c r="B1075" s="8" t="s">
        <v>66</v>
      </c>
      <c r="C1075" s="8" t="s">
        <v>21</v>
      </c>
      <c r="D1075" s="9" t="n">
        <v>44155</v>
      </c>
      <c r="E1075" s="10" t="n">
        <v>11787.39</v>
      </c>
      <c r="F1075" s="8" t="s">
        <v>11</v>
      </c>
      <c r="G1075" s="8" t="s">
        <v>36</v>
      </c>
      <c r="H1075" s="11" t="s">
        <v>37</v>
      </c>
      <c r="I1075" s="8" t="s">
        <v>26</v>
      </c>
    </row>
    <row r="1076" customFormat="false" ht="14.25" hidden="false" customHeight="false" outlineLevel="0" collapsed="false">
      <c r="A1076" s="8" t="n">
        <v>1075</v>
      </c>
      <c r="B1076" s="8" t="s">
        <v>66</v>
      </c>
      <c r="C1076" s="8" t="s">
        <v>10</v>
      </c>
      <c r="D1076" s="9" t="n">
        <v>44155</v>
      </c>
      <c r="E1076" s="10" t="n">
        <v>11787.39</v>
      </c>
      <c r="F1076" s="8" t="s">
        <v>11</v>
      </c>
      <c r="G1076" s="8" t="s">
        <v>17</v>
      </c>
      <c r="H1076" s="11" t="s">
        <v>18</v>
      </c>
      <c r="I1076" s="8" t="s">
        <v>26</v>
      </c>
    </row>
    <row r="1077" customFormat="false" ht="14.25" hidden="false" customHeight="false" outlineLevel="0" collapsed="false">
      <c r="A1077" s="8" t="n">
        <v>1076</v>
      </c>
      <c r="B1077" s="8" t="s">
        <v>66</v>
      </c>
      <c r="C1077" s="8" t="s">
        <v>21</v>
      </c>
      <c r="D1077" s="9" t="n">
        <v>44155</v>
      </c>
      <c r="E1077" s="10" t="n">
        <v>11787.36</v>
      </c>
      <c r="F1077" s="8" t="s">
        <v>11</v>
      </c>
      <c r="G1077" s="8" t="s">
        <v>12</v>
      </c>
      <c r="H1077" s="11" t="s">
        <v>13</v>
      </c>
      <c r="I1077" s="8" t="s">
        <v>26</v>
      </c>
    </row>
    <row r="1078" customFormat="false" ht="14.25" hidden="false" customHeight="false" outlineLevel="0" collapsed="false">
      <c r="A1078" s="8" t="n">
        <v>1077</v>
      </c>
      <c r="B1078" s="8" t="s">
        <v>66</v>
      </c>
      <c r="C1078" s="8" t="s">
        <v>28</v>
      </c>
      <c r="D1078" s="9" t="n">
        <v>44155</v>
      </c>
      <c r="E1078" s="10" t="n">
        <v>83109.6</v>
      </c>
      <c r="F1078" s="8" t="s">
        <v>11</v>
      </c>
      <c r="G1078" s="8" t="s">
        <v>12</v>
      </c>
      <c r="H1078" s="11" t="s">
        <v>13</v>
      </c>
      <c r="I1078" s="8" t="s">
        <v>14</v>
      </c>
    </row>
    <row r="1079" customFormat="false" ht="14.25" hidden="false" customHeight="false" outlineLevel="0" collapsed="false">
      <c r="A1079" s="8" t="n">
        <v>1078</v>
      </c>
      <c r="B1079" s="8" t="s">
        <v>66</v>
      </c>
      <c r="C1079" s="8" t="s">
        <v>16</v>
      </c>
      <c r="D1079" s="9" t="n">
        <v>44155</v>
      </c>
      <c r="E1079" s="10" t="n">
        <v>2788</v>
      </c>
      <c r="F1079" s="8" t="s">
        <v>11</v>
      </c>
      <c r="G1079" s="8" t="s">
        <v>17</v>
      </c>
      <c r="H1079" s="11" t="s">
        <v>18</v>
      </c>
      <c r="I1079" s="8" t="s">
        <v>24</v>
      </c>
    </row>
    <row r="1080" customFormat="false" ht="14.25" hidden="false" customHeight="false" outlineLevel="0" collapsed="false">
      <c r="A1080" s="8" t="n">
        <v>1079</v>
      </c>
      <c r="B1080" s="8" t="s">
        <v>66</v>
      </c>
      <c r="C1080" s="8" t="s">
        <v>28</v>
      </c>
      <c r="D1080" s="9" t="n">
        <v>44155</v>
      </c>
      <c r="E1080" s="10" t="n">
        <v>2788</v>
      </c>
      <c r="F1080" s="8" t="s">
        <v>11</v>
      </c>
      <c r="G1080" s="8" t="s">
        <v>36</v>
      </c>
      <c r="H1080" s="11" t="s">
        <v>37</v>
      </c>
      <c r="I1080" s="8" t="s">
        <v>26</v>
      </c>
    </row>
    <row r="1081" customFormat="false" ht="14.25" hidden="false" customHeight="false" outlineLevel="0" collapsed="false">
      <c r="A1081" s="8" t="n">
        <v>1080</v>
      </c>
      <c r="B1081" s="8" t="s">
        <v>77</v>
      </c>
      <c r="C1081" s="8" t="s">
        <v>10</v>
      </c>
      <c r="D1081" s="9" t="n">
        <v>44156</v>
      </c>
      <c r="E1081" s="10" t="n">
        <v>3214.87</v>
      </c>
      <c r="F1081" s="8" t="s">
        <v>11</v>
      </c>
      <c r="G1081" s="8" t="s">
        <v>22</v>
      </c>
      <c r="H1081" s="11" t="s">
        <v>23</v>
      </c>
      <c r="I1081" s="8" t="s">
        <v>19</v>
      </c>
    </row>
    <row r="1082" customFormat="false" ht="14.25" hidden="false" customHeight="false" outlineLevel="0" collapsed="false">
      <c r="A1082" s="8" t="n">
        <v>1081</v>
      </c>
      <c r="B1082" s="8" t="s">
        <v>32</v>
      </c>
      <c r="C1082" s="8" t="s">
        <v>10</v>
      </c>
      <c r="D1082" s="9" t="n">
        <v>44156</v>
      </c>
      <c r="E1082" s="10" t="n">
        <v>172297.12</v>
      </c>
      <c r="F1082" s="8" t="s">
        <v>11</v>
      </c>
      <c r="G1082" s="8" t="s">
        <v>12</v>
      </c>
      <c r="H1082" s="11" t="s">
        <v>13</v>
      </c>
      <c r="I1082" s="8" t="s">
        <v>14</v>
      </c>
    </row>
    <row r="1083" customFormat="false" ht="14.25" hidden="false" customHeight="false" outlineLevel="0" collapsed="false">
      <c r="A1083" s="8" t="n">
        <v>1082</v>
      </c>
      <c r="B1083" s="8" t="s">
        <v>15</v>
      </c>
      <c r="C1083" s="8" t="s">
        <v>16</v>
      </c>
      <c r="D1083" s="9" t="n">
        <v>44158</v>
      </c>
      <c r="E1083" s="10" t="n">
        <v>2788</v>
      </c>
      <c r="F1083" s="8" t="s">
        <v>11</v>
      </c>
      <c r="G1083" s="8" t="s">
        <v>12</v>
      </c>
      <c r="H1083" s="11" t="s">
        <v>13</v>
      </c>
      <c r="I1083" s="8" t="s">
        <v>14</v>
      </c>
    </row>
    <row r="1084" customFormat="false" ht="14.25" hidden="false" customHeight="false" outlineLevel="0" collapsed="false">
      <c r="A1084" s="8" t="n">
        <v>1083</v>
      </c>
      <c r="B1084" s="8" t="s">
        <v>15</v>
      </c>
      <c r="C1084" s="8" t="s">
        <v>21</v>
      </c>
      <c r="D1084" s="9" t="n">
        <v>44158</v>
      </c>
      <c r="E1084" s="10" t="n">
        <v>2877.22</v>
      </c>
      <c r="F1084" s="8" t="s">
        <v>11</v>
      </c>
      <c r="G1084" s="8" t="s">
        <v>22</v>
      </c>
      <c r="H1084" s="11" t="s">
        <v>23</v>
      </c>
      <c r="I1084" s="8" t="s">
        <v>14</v>
      </c>
    </row>
    <row r="1085" customFormat="false" ht="14.25" hidden="false" customHeight="false" outlineLevel="0" collapsed="false">
      <c r="A1085" s="8" t="n">
        <v>1084</v>
      </c>
      <c r="B1085" s="8" t="s">
        <v>45</v>
      </c>
      <c r="C1085" s="8" t="s">
        <v>21</v>
      </c>
      <c r="D1085" s="9" t="n">
        <v>44158</v>
      </c>
      <c r="E1085" s="10" t="n">
        <v>2864.5</v>
      </c>
      <c r="F1085" s="8" t="s">
        <v>11</v>
      </c>
      <c r="G1085" s="8" t="s">
        <v>22</v>
      </c>
      <c r="H1085" s="11" t="s">
        <v>23</v>
      </c>
      <c r="I1085" s="8" t="s">
        <v>14</v>
      </c>
    </row>
    <row r="1086" customFormat="false" ht="14.25" hidden="false" customHeight="false" outlineLevel="0" collapsed="false">
      <c r="A1086" s="8" t="n">
        <v>1085</v>
      </c>
      <c r="B1086" s="8" t="s">
        <v>72</v>
      </c>
      <c r="C1086" s="8" t="s">
        <v>16</v>
      </c>
      <c r="D1086" s="9" t="n">
        <v>44158</v>
      </c>
      <c r="E1086" s="10" t="n">
        <v>3258.66</v>
      </c>
      <c r="F1086" s="8" t="s">
        <v>11</v>
      </c>
      <c r="G1086" s="8" t="s">
        <v>36</v>
      </c>
      <c r="H1086" s="11" t="s">
        <v>37</v>
      </c>
      <c r="I1086" s="8" t="s">
        <v>19</v>
      </c>
    </row>
    <row r="1087" customFormat="false" ht="14.25" hidden="false" customHeight="false" outlineLevel="0" collapsed="false">
      <c r="A1087" s="8" t="n">
        <v>1086</v>
      </c>
      <c r="B1087" s="8" t="s">
        <v>44</v>
      </c>
      <c r="C1087" s="8" t="s">
        <v>10</v>
      </c>
      <c r="D1087" s="9" t="n">
        <v>44158</v>
      </c>
      <c r="E1087" s="10" t="n">
        <v>3239.89</v>
      </c>
      <c r="F1087" s="8" t="s">
        <v>11</v>
      </c>
      <c r="G1087" s="8" t="s">
        <v>22</v>
      </c>
      <c r="H1087" s="11" t="s">
        <v>23</v>
      </c>
      <c r="I1087" s="8" t="s">
        <v>24</v>
      </c>
    </row>
    <row r="1088" customFormat="false" ht="14.25" hidden="false" customHeight="false" outlineLevel="0" collapsed="false">
      <c r="A1088" s="8" t="n">
        <v>1087</v>
      </c>
      <c r="B1088" s="8" t="s">
        <v>44</v>
      </c>
      <c r="C1088" s="8" t="s">
        <v>16</v>
      </c>
      <c r="D1088" s="9" t="n">
        <v>44158</v>
      </c>
      <c r="E1088" s="10" t="n">
        <v>2902.31</v>
      </c>
      <c r="F1088" s="8" t="s">
        <v>11</v>
      </c>
      <c r="G1088" s="8" t="s">
        <v>12</v>
      </c>
      <c r="H1088" s="11" t="s">
        <v>13</v>
      </c>
      <c r="I1088" s="8" t="s">
        <v>19</v>
      </c>
    </row>
    <row r="1089" customFormat="false" ht="14.25" hidden="false" customHeight="false" outlineLevel="0" collapsed="false">
      <c r="A1089" s="8" t="n">
        <v>1088</v>
      </c>
      <c r="B1089" s="8" t="s">
        <v>47</v>
      </c>
      <c r="C1089" s="8" t="s">
        <v>10</v>
      </c>
      <c r="D1089" s="9" t="n">
        <v>44158</v>
      </c>
      <c r="E1089" s="10" t="n">
        <v>3252.41</v>
      </c>
      <c r="F1089" s="8" t="s">
        <v>11</v>
      </c>
      <c r="G1089" s="8" t="s">
        <v>12</v>
      </c>
      <c r="H1089" s="11" t="s">
        <v>13</v>
      </c>
      <c r="I1089" s="8" t="s">
        <v>26</v>
      </c>
    </row>
    <row r="1090" customFormat="false" ht="14.25" hidden="false" customHeight="false" outlineLevel="0" collapsed="false">
      <c r="A1090" s="8" t="n">
        <v>1089</v>
      </c>
      <c r="B1090" s="8" t="s">
        <v>45</v>
      </c>
      <c r="C1090" s="8" t="s">
        <v>21</v>
      </c>
      <c r="D1090" s="9" t="n">
        <v>44158</v>
      </c>
      <c r="E1090" s="10" t="n">
        <v>-39599.21</v>
      </c>
      <c r="F1090" s="8" t="s">
        <v>34</v>
      </c>
      <c r="G1090" s="8" t="s">
        <v>12</v>
      </c>
      <c r="H1090" s="11" t="s">
        <v>13</v>
      </c>
      <c r="I1090" s="8" t="s">
        <v>24</v>
      </c>
    </row>
    <row r="1091" customFormat="false" ht="14.25" hidden="false" customHeight="false" outlineLevel="0" collapsed="false">
      <c r="A1091" s="8" t="n">
        <v>1090</v>
      </c>
      <c r="B1091" s="8" t="s">
        <v>72</v>
      </c>
      <c r="C1091" s="8" t="s">
        <v>28</v>
      </c>
      <c r="D1091" s="9" t="n">
        <v>44158</v>
      </c>
      <c r="E1091" s="10" t="n">
        <v>-11416.34</v>
      </c>
      <c r="F1091" s="8" t="s">
        <v>34</v>
      </c>
      <c r="G1091" s="8" t="s">
        <v>17</v>
      </c>
      <c r="H1091" s="11" t="s">
        <v>18</v>
      </c>
      <c r="I1091" s="8" t="s">
        <v>14</v>
      </c>
    </row>
    <row r="1092" customFormat="false" ht="14.25" hidden="false" customHeight="false" outlineLevel="0" collapsed="false">
      <c r="A1092" s="8" t="n">
        <v>1091</v>
      </c>
      <c r="B1092" s="8" t="s">
        <v>47</v>
      </c>
      <c r="C1092" s="8" t="s">
        <v>10</v>
      </c>
      <c r="D1092" s="9" t="n">
        <v>44158</v>
      </c>
      <c r="E1092" s="10" t="n">
        <v>146710.54</v>
      </c>
      <c r="F1092" s="8" t="s">
        <v>11</v>
      </c>
      <c r="G1092" s="8" t="s">
        <v>22</v>
      </c>
      <c r="H1092" s="11" t="s">
        <v>23</v>
      </c>
      <c r="I1092" s="8" t="s">
        <v>14</v>
      </c>
    </row>
    <row r="1093" customFormat="false" ht="14.25" hidden="false" customHeight="false" outlineLevel="0" collapsed="false">
      <c r="A1093" s="8" t="n">
        <v>1092</v>
      </c>
      <c r="B1093" s="8" t="s">
        <v>63</v>
      </c>
      <c r="C1093" s="8" t="s">
        <v>10</v>
      </c>
      <c r="D1093" s="9" t="n">
        <v>44159</v>
      </c>
      <c r="E1093" s="10" t="n">
        <v>2564.45</v>
      </c>
      <c r="F1093" s="8" t="s">
        <v>11</v>
      </c>
      <c r="G1093" s="8" t="s">
        <v>22</v>
      </c>
      <c r="H1093" s="11" t="s">
        <v>23</v>
      </c>
      <c r="I1093" s="8" t="s">
        <v>14</v>
      </c>
    </row>
    <row r="1094" customFormat="false" ht="14.25" hidden="false" customHeight="false" outlineLevel="0" collapsed="false">
      <c r="A1094" s="8" t="n">
        <v>1093</v>
      </c>
      <c r="B1094" s="8" t="s">
        <v>39</v>
      </c>
      <c r="C1094" s="8" t="s">
        <v>28</v>
      </c>
      <c r="D1094" s="9" t="n">
        <v>44159</v>
      </c>
      <c r="E1094" s="10" t="n">
        <v>2564.45</v>
      </c>
      <c r="F1094" s="8" t="s">
        <v>11</v>
      </c>
      <c r="G1094" s="8" t="s">
        <v>17</v>
      </c>
      <c r="H1094" s="11" t="s">
        <v>18</v>
      </c>
      <c r="I1094" s="8" t="s">
        <v>14</v>
      </c>
    </row>
    <row r="1095" customFormat="false" ht="14.25" hidden="false" customHeight="false" outlineLevel="0" collapsed="false">
      <c r="A1095" s="8" t="n">
        <v>1094</v>
      </c>
      <c r="B1095" s="8" t="s">
        <v>85</v>
      </c>
      <c r="C1095" s="8" t="s">
        <v>16</v>
      </c>
      <c r="D1095" s="9" t="n">
        <v>44162</v>
      </c>
      <c r="E1095" s="10" t="n">
        <v>2564.45</v>
      </c>
      <c r="F1095" s="8" t="s">
        <v>11</v>
      </c>
      <c r="G1095" s="8" t="s">
        <v>22</v>
      </c>
      <c r="H1095" s="11" t="s">
        <v>23</v>
      </c>
      <c r="I1095" s="8" t="s">
        <v>24</v>
      </c>
    </row>
    <row r="1096" customFormat="false" ht="14.25" hidden="false" customHeight="false" outlineLevel="0" collapsed="false">
      <c r="A1096" s="8" t="n">
        <v>1095</v>
      </c>
      <c r="B1096" s="8" t="s">
        <v>85</v>
      </c>
      <c r="C1096" s="8" t="s">
        <v>16</v>
      </c>
      <c r="D1096" s="9" t="n">
        <v>44162</v>
      </c>
      <c r="E1096" s="10" t="n">
        <v>2564.45</v>
      </c>
      <c r="F1096" s="8" t="s">
        <v>11</v>
      </c>
      <c r="G1096" s="8" t="s">
        <v>17</v>
      </c>
      <c r="H1096" s="11" t="s">
        <v>18</v>
      </c>
      <c r="I1096" s="8" t="s">
        <v>26</v>
      </c>
    </row>
    <row r="1097" customFormat="false" ht="14.25" hidden="false" customHeight="false" outlineLevel="0" collapsed="false">
      <c r="A1097" s="8" t="n">
        <v>1096</v>
      </c>
      <c r="B1097" s="8" t="s">
        <v>39</v>
      </c>
      <c r="C1097" s="8" t="s">
        <v>10</v>
      </c>
      <c r="D1097" s="9" t="n">
        <v>44162</v>
      </c>
      <c r="E1097" s="10" t="n">
        <v>2564.45</v>
      </c>
      <c r="F1097" s="8" t="s">
        <v>11</v>
      </c>
      <c r="G1097" s="8" t="s">
        <v>22</v>
      </c>
      <c r="H1097" s="11" t="s">
        <v>23</v>
      </c>
      <c r="I1097" s="8" t="s">
        <v>19</v>
      </c>
    </row>
    <row r="1098" customFormat="false" ht="14.25" hidden="false" customHeight="false" outlineLevel="0" collapsed="false">
      <c r="A1098" s="8" t="n">
        <v>1097</v>
      </c>
      <c r="B1098" s="8" t="s">
        <v>50</v>
      </c>
      <c r="C1098" s="8" t="s">
        <v>10</v>
      </c>
      <c r="D1098" s="9" t="n">
        <v>44163</v>
      </c>
      <c r="E1098" s="10" t="n">
        <v>2564.45</v>
      </c>
      <c r="F1098" s="8" t="s">
        <v>11</v>
      </c>
      <c r="G1098" s="8" t="s">
        <v>12</v>
      </c>
      <c r="H1098" s="11" t="s">
        <v>13</v>
      </c>
      <c r="I1098" s="8" t="s">
        <v>14</v>
      </c>
    </row>
    <row r="1099" customFormat="false" ht="14.25" hidden="false" customHeight="false" outlineLevel="0" collapsed="false">
      <c r="A1099" s="8" t="n">
        <v>1098</v>
      </c>
      <c r="B1099" s="8" t="s">
        <v>9</v>
      </c>
      <c r="C1099" s="8" t="s">
        <v>10</v>
      </c>
      <c r="D1099" s="9" t="n">
        <v>44164</v>
      </c>
      <c r="E1099" s="10" t="n">
        <v>-107.21</v>
      </c>
      <c r="F1099" s="8" t="s">
        <v>34</v>
      </c>
      <c r="G1099" s="8" t="s">
        <v>30</v>
      </c>
      <c r="H1099" s="11" t="s">
        <v>31</v>
      </c>
      <c r="I1099" s="8" t="s">
        <v>26</v>
      </c>
    </row>
    <row r="1100" customFormat="false" ht="14.25" hidden="false" customHeight="false" outlineLevel="0" collapsed="false">
      <c r="A1100" s="8" t="n">
        <v>1099</v>
      </c>
      <c r="B1100" s="8" t="s">
        <v>39</v>
      </c>
      <c r="C1100" s="8" t="s">
        <v>10</v>
      </c>
      <c r="D1100" s="9" t="n">
        <v>44164</v>
      </c>
      <c r="E1100" s="10" t="n">
        <v>-459.17</v>
      </c>
      <c r="F1100" s="8" t="s">
        <v>34</v>
      </c>
      <c r="G1100" s="8" t="s">
        <v>22</v>
      </c>
      <c r="H1100" s="11" t="s">
        <v>23</v>
      </c>
      <c r="I1100" s="8" t="s">
        <v>19</v>
      </c>
    </row>
    <row r="1101" customFormat="false" ht="14.25" hidden="false" customHeight="false" outlineLevel="0" collapsed="false">
      <c r="A1101" s="8" t="n">
        <v>1100</v>
      </c>
      <c r="B1101" s="8" t="s">
        <v>32</v>
      </c>
      <c r="C1101" s="8" t="s">
        <v>28</v>
      </c>
      <c r="D1101" s="9" t="n">
        <v>44165</v>
      </c>
      <c r="E1101" s="10" t="n">
        <v>100399.54</v>
      </c>
      <c r="F1101" s="8" t="s">
        <v>11</v>
      </c>
      <c r="G1101" s="8" t="s">
        <v>12</v>
      </c>
      <c r="H1101" s="11" t="s">
        <v>13</v>
      </c>
      <c r="I1101" s="8" t="s">
        <v>26</v>
      </c>
    </row>
    <row r="1102" customFormat="false" ht="14.25" hidden="false" customHeight="false" outlineLevel="0" collapsed="false">
      <c r="A1102" s="8" t="n">
        <v>1101</v>
      </c>
      <c r="B1102" s="8" t="s">
        <v>51</v>
      </c>
      <c r="C1102" s="8" t="s">
        <v>28</v>
      </c>
      <c r="D1102" s="9" t="n">
        <v>44165</v>
      </c>
      <c r="E1102" s="10" t="n">
        <v>152527.76</v>
      </c>
      <c r="F1102" s="8" t="s">
        <v>11</v>
      </c>
      <c r="G1102" s="8" t="s">
        <v>22</v>
      </c>
      <c r="H1102" s="11" t="s">
        <v>23</v>
      </c>
      <c r="I1102" s="8" t="s">
        <v>14</v>
      </c>
    </row>
    <row r="1103" customFormat="false" ht="14.25" hidden="false" customHeight="false" outlineLevel="0" collapsed="false">
      <c r="A1103" s="8" t="n">
        <v>1102</v>
      </c>
      <c r="B1103" s="8" t="s">
        <v>15</v>
      </c>
      <c r="C1103" s="8" t="s">
        <v>28</v>
      </c>
      <c r="D1103" s="9" t="n">
        <v>44165</v>
      </c>
      <c r="E1103" s="10" t="n">
        <v>-4853.77</v>
      </c>
      <c r="F1103" s="8" t="s">
        <v>34</v>
      </c>
      <c r="G1103" s="8" t="s">
        <v>17</v>
      </c>
      <c r="H1103" s="11" t="s">
        <v>18</v>
      </c>
      <c r="I1103" s="8" t="s">
        <v>19</v>
      </c>
    </row>
    <row r="1104" customFormat="false" ht="14.25" hidden="false" customHeight="false" outlineLevel="0" collapsed="false">
      <c r="A1104" s="8" t="n">
        <v>1103</v>
      </c>
      <c r="B1104" s="8" t="s">
        <v>73</v>
      </c>
      <c r="C1104" s="8" t="s">
        <v>21</v>
      </c>
      <c r="D1104" s="9" t="n">
        <v>44165</v>
      </c>
      <c r="E1104" s="10" t="n">
        <v>5449.39</v>
      </c>
      <c r="F1104" s="8" t="s">
        <v>11</v>
      </c>
      <c r="G1104" s="8" t="s">
        <v>12</v>
      </c>
      <c r="H1104" s="11" t="s">
        <v>13</v>
      </c>
      <c r="I1104" s="8" t="s">
        <v>19</v>
      </c>
    </row>
    <row r="1105" customFormat="false" ht="14.25" hidden="false" customHeight="false" outlineLevel="0" collapsed="false">
      <c r="A1105" s="8" t="n">
        <v>1104</v>
      </c>
      <c r="B1105" s="8" t="s">
        <v>49</v>
      </c>
      <c r="C1105" s="8" t="s">
        <v>10</v>
      </c>
      <c r="D1105" s="9" t="n">
        <v>44165</v>
      </c>
      <c r="E1105" s="10" t="n">
        <v>61392.81</v>
      </c>
      <c r="F1105" s="8" t="s">
        <v>11</v>
      </c>
      <c r="G1105" s="8" t="s">
        <v>12</v>
      </c>
      <c r="H1105" s="11" t="s">
        <v>13</v>
      </c>
      <c r="I1105" s="8" t="s">
        <v>26</v>
      </c>
    </row>
    <row r="1106" customFormat="false" ht="14.25" hidden="false" customHeight="false" outlineLevel="0" collapsed="false">
      <c r="A1106" s="8" t="n">
        <v>1105</v>
      </c>
      <c r="B1106" s="8" t="s">
        <v>66</v>
      </c>
      <c r="C1106" s="8" t="s">
        <v>28</v>
      </c>
      <c r="D1106" s="9" t="n">
        <v>44165</v>
      </c>
      <c r="E1106" s="10" t="n">
        <v>57697.6</v>
      </c>
      <c r="F1106" s="8" t="s">
        <v>11</v>
      </c>
      <c r="G1106" s="8" t="s">
        <v>12</v>
      </c>
      <c r="H1106" s="11" t="s">
        <v>13</v>
      </c>
      <c r="I1106" s="8" t="s">
        <v>26</v>
      </c>
    </row>
    <row r="1107" customFormat="false" ht="14.25" hidden="false" customHeight="false" outlineLevel="0" collapsed="false">
      <c r="A1107" s="8" t="n">
        <v>1106</v>
      </c>
      <c r="B1107" s="8" t="s">
        <v>62</v>
      </c>
      <c r="C1107" s="8" t="s">
        <v>21</v>
      </c>
      <c r="D1107" s="9" t="n">
        <v>44165</v>
      </c>
      <c r="E1107" s="10" t="n">
        <v>60753.3</v>
      </c>
      <c r="F1107" s="8" t="s">
        <v>11</v>
      </c>
      <c r="G1107" s="8" t="s">
        <v>12</v>
      </c>
      <c r="H1107" s="11" t="s">
        <v>13</v>
      </c>
      <c r="I1107" s="8" t="s">
        <v>14</v>
      </c>
    </row>
    <row r="1108" customFormat="false" ht="14.25" hidden="false" customHeight="false" outlineLevel="0" collapsed="false">
      <c r="A1108" s="8" t="n">
        <v>1107</v>
      </c>
      <c r="B1108" s="8" t="s">
        <v>66</v>
      </c>
      <c r="C1108" s="8" t="s">
        <v>10</v>
      </c>
      <c r="D1108" s="9" t="n">
        <v>44165</v>
      </c>
      <c r="E1108" s="10" t="n">
        <v>74903</v>
      </c>
      <c r="F1108" s="8" t="s">
        <v>11</v>
      </c>
      <c r="G1108" s="8" t="s">
        <v>17</v>
      </c>
      <c r="H1108" s="11" t="s">
        <v>18</v>
      </c>
      <c r="I1108" s="8" t="s">
        <v>19</v>
      </c>
    </row>
    <row r="1109" customFormat="false" ht="14.25" hidden="false" customHeight="false" outlineLevel="0" collapsed="false">
      <c r="A1109" s="8" t="n">
        <v>1108</v>
      </c>
      <c r="B1109" s="8" t="s">
        <v>73</v>
      </c>
      <c r="C1109" s="8" t="s">
        <v>16</v>
      </c>
      <c r="D1109" s="9" t="n">
        <v>44165</v>
      </c>
      <c r="E1109" s="10" t="n">
        <v>6077.58</v>
      </c>
      <c r="F1109" s="8" t="s">
        <v>11</v>
      </c>
      <c r="G1109" s="8" t="s">
        <v>12</v>
      </c>
      <c r="H1109" s="11" t="s">
        <v>13</v>
      </c>
      <c r="I1109" s="8" t="s">
        <v>24</v>
      </c>
    </row>
    <row r="1110" customFormat="false" ht="14.25" hidden="false" customHeight="false" outlineLevel="0" collapsed="false">
      <c r="A1110" s="8" t="n">
        <v>1109</v>
      </c>
      <c r="B1110" s="8" t="s">
        <v>66</v>
      </c>
      <c r="C1110" s="8" t="s">
        <v>10</v>
      </c>
      <c r="D1110" s="9" t="n">
        <v>44165</v>
      </c>
      <c r="E1110" s="10" t="n">
        <v>5611.12</v>
      </c>
      <c r="F1110" s="8" t="s">
        <v>11</v>
      </c>
      <c r="G1110" s="8" t="s">
        <v>12</v>
      </c>
      <c r="H1110" s="11" t="s">
        <v>13</v>
      </c>
      <c r="I1110" s="8" t="s">
        <v>26</v>
      </c>
    </row>
    <row r="1111" customFormat="false" ht="14.25" hidden="false" customHeight="false" outlineLevel="0" collapsed="false">
      <c r="A1111" s="8" t="n">
        <v>1110</v>
      </c>
      <c r="B1111" s="8" t="s">
        <v>73</v>
      </c>
      <c r="C1111" s="8" t="s">
        <v>21</v>
      </c>
      <c r="D1111" s="9" t="n">
        <v>44165</v>
      </c>
      <c r="E1111" s="10" t="n">
        <v>72686.4</v>
      </c>
      <c r="F1111" s="8" t="s">
        <v>11</v>
      </c>
      <c r="G1111" s="8" t="s">
        <v>17</v>
      </c>
      <c r="H1111" s="11" t="s">
        <v>18</v>
      </c>
      <c r="I1111" s="8" t="s">
        <v>26</v>
      </c>
    </row>
    <row r="1112" customFormat="false" ht="14.25" hidden="false" customHeight="false" outlineLevel="0" collapsed="false">
      <c r="A1112" s="8" t="n">
        <v>1111</v>
      </c>
      <c r="B1112" s="8" t="s">
        <v>62</v>
      </c>
      <c r="C1112" s="8" t="s">
        <v>10</v>
      </c>
      <c r="D1112" s="9" t="n">
        <v>44165</v>
      </c>
      <c r="E1112" s="10" t="n">
        <v>69749.57</v>
      </c>
      <c r="F1112" s="8" t="s">
        <v>11</v>
      </c>
      <c r="G1112" s="8" t="s">
        <v>12</v>
      </c>
      <c r="H1112" s="11" t="s">
        <v>13</v>
      </c>
      <c r="I1112" s="8" t="s">
        <v>26</v>
      </c>
    </row>
    <row r="1113" customFormat="false" ht="14.25" hidden="false" customHeight="false" outlineLevel="0" collapsed="false">
      <c r="A1113" s="8" t="n">
        <v>1112</v>
      </c>
      <c r="B1113" s="8" t="s">
        <v>66</v>
      </c>
      <c r="C1113" s="8" t="s">
        <v>28</v>
      </c>
      <c r="D1113" s="9" t="n">
        <v>44165</v>
      </c>
      <c r="E1113" s="10" t="n">
        <v>67220.64</v>
      </c>
      <c r="F1113" s="8" t="s">
        <v>11</v>
      </c>
      <c r="G1113" s="8" t="s">
        <v>12</v>
      </c>
      <c r="H1113" s="11" t="s">
        <v>13</v>
      </c>
      <c r="I1113" s="8" t="s">
        <v>26</v>
      </c>
    </row>
    <row r="1114" customFormat="false" ht="14.25" hidden="false" customHeight="false" outlineLevel="0" collapsed="false">
      <c r="A1114" s="8" t="n">
        <v>1113</v>
      </c>
      <c r="B1114" s="8" t="s">
        <v>66</v>
      </c>
      <c r="C1114" s="8" t="s">
        <v>21</v>
      </c>
      <c r="D1114" s="9" t="n">
        <v>44165</v>
      </c>
      <c r="E1114" s="10" t="n">
        <v>64435.32</v>
      </c>
      <c r="F1114" s="8" t="s">
        <v>11</v>
      </c>
      <c r="G1114" s="8" t="s">
        <v>36</v>
      </c>
      <c r="H1114" s="11" t="s">
        <v>37</v>
      </c>
      <c r="I1114" s="8" t="s">
        <v>14</v>
      </c>
    </row>
    <row r="1115" customFormat="false" ht="14.25" hidden="false" customHeight="false" outlineLevel="0" collapsed="false">
      <c r="A1115" s="8" t="n">
        <v>1114</v>
      </c>
      <c r="B1115" s="8" t="s">
        <v>66</v>
      </c>
      <c r="C1115" s="8" t="s">
        <v>21</v>
      </c>
      <c r="D1115" s="9" t="n">
        <v>44165</v>
      </c>
      <c r="E1115" s="10" t="n">
        <v>62652.25</v>
      </c>
      <c r="F1115" s="8" t="s">
        <v>11</v>
      </c>
      <c r="G1115" s="8" t="s">
        <v>12</v>
      </c>
      <c r="H1115" s="11" t="s">
        <v>13</v>
      </c>
      <c r="I1115" s="8" t="s">
        <v>26</v>
      </c>
    </row>
    <row r="1116" customFormat="false" ht="14.25" hidden="false" customHeight="false" outlineLevel="0" collapsed="false">
      <c r="A1116" s="8" t="n">
        <v>1115</v>
      </c>
      <c r="B1116" s="8" t="s">
        <v>66</v>
      </c>
      <c r="C1116" s="8" t="s">
        <v>10</v>
      </c>
      <c r="D1116" s="9" t="n">
        <v>44165</v>
      </c>
      <c r="E1116" s="10" t="n">
        <v>64570.97</v>
      </c>
      <c r="F1116" s="8" t="s">
        <v>11</v>
      </c>
      <c r="G1116" s="8" t="s">
        <v>12</v>
      </c>
      <c r="H1116" s="11" t="s">
        <v>13</v>
      </c>
      <c r="I1116" s="8" t="s">
        <v>14</v>
      </c>
    </row>
    <row r="1117" customFormat="false" ht="14.25" hidden="false" customHeight="false" outlineLevel="0" collapsed="false">
      <c r="A1117" s="8" t="n">
        <v>1116</v>
      </c>
      <c r="B1117" s="8" t="s">
        <v>66</v>
      </c>
      <c r="C1117" s="8" t="s">
        <v>21</v>
      </c>
      <c r="D1117" s="9" t="n">
        <v>44165</v>
      </c>
      <c r="E1117" s="10" t="n">
        <v>66547.64</v>
      </c>
      <c r="F1117" s="8" t="s">
        <v>11</v>
      </c>
      <c r="G1117" s="8" t="s">
        <v>30</v>
      </c>
      <c r="H1117" s="11" t="s">
        <v>31</v>
      </c>
      <c r="I1117" s="8" t="s">
        <v>24</v>
      </c>
    </row>
    <row r="1118" customFormat="false" ht="14.25" hidden="false" customHeight="false" outlineLevel="0" collapsed="false">
      <c r="A1118" s="8" t="n">
        <v>1117</v>
      </c>
      <c r="B1118" s="8" t="s">
        <v>66</v>
      </c>
      <c r="C1118" s="8" t="s">
        <v>21</v>
      </c>
      <c r="D1118" s="9" t="n">
        <v>44165</v>
      </c>
      <c r="E1118" s="10" t="n">
        <v>64557.4</v>
      </c>
      <c r="F1118" s="8" t="s">
        <v>11</v>
      </c>
      <c r="G1118" s="8" t="s">
        <v>12</v>
      </c>
      <c r="H1118" s="11" t="s">
        <v>13</v>
      </c>
      <c r="I1118" s="8" t="s">
        <v>19</v>
      </c>
    </row>
    <row r="1119" customFormat="false" ht="14.25" hidden="false" customHeight="false" outlineLevel="0" collapsed="false">
      <c r="A1119" s="8" t="n">
        <v>1118</v>
      </c>
      <c r="B1119" s="8" t="s">
        <v>66</v>
      </c>
      <c r="C1119" s="8" t="s">
        <v>21</v>
      </c>
      <c r="D1119" s="9" t="n">
        <v>44165</v>
      </c>
      <c r="E1119" s="10" t="n">
        <v>60772.69</v>
      </c>
      <c r="F1119" s="8" t="s">
        <v>11</v>
      </c>
      <c r="G1119" s="8" t="s">
        <v>17</v>
      </c>
      <c r="H1119" s="11" t="s">
        <v>18</v>
      </c>
      <c r="I1119" s="8" t="s">
        <v>26</v>
      </c>
    </row>
    <row r="1120" customFormat="false" ht="14.25" hidden="false" customHeight="false" outlineLevel="0" collapsed="false">
      <c r="A1120" s="8" t="n">
        <v>1119</v>
      </c>
      <c r="B1120" s="8" t="s">
        <v>101</v>
      </c>
      <c r="C1120" s="8" t="s">
        <v>28</v>
      </c>
      <c r="D1120" s="9" t="n">
        <v>44166</v>
      </c>
      <c r="E1120" s="10" t="n">
        <v>74189.65</v>
      </c>
      <c r="F1120" s="8" t="s">
        <v>11</v>
      </c>
      <c r="G1120" s="8" t="s">
        <v>12</v>
      </c>
      <c r="H1120" s="11" t="s">
        <v>13</v>
      </c>
      <c r="I1120" s="8" t="s">
        <v>14</v>
      </c>
    </row>
    <row r="1121" customFormat="false" ht="14.25" hidden="false" customHeight="false" outlineLevel="0" collapsed="false">
      <c r="A1121" s="8" t="n">
        <v>1120</v>
      </c>
      <c r="B1121" s="8" t="s">
        <v>15</v>
      </c>
      <c r="C1121" s="8" t="s">
        <v>28</v>
      </c>
      <c r="D1121" s="9" t="n">
        <v>44166</v>
      </c>
      <c r="E1121" s="10" t="n">
        <v>72056.49</v>
      </c>
      <c r="F1121" s="8" t="s">
        <v>11</v>
      </c>
      <c r="G1121" s="8" t="s">
        <v>36</v>
      </c>
      <c r="H1121" s="11" t="s">
        <v>37</v>
      </c>
      <c r="I1121" s="8" t="s">
        <v>14</v>
      </c>
    </row>
    <row r="1122" customFormat="false" ht="14.25" hidden="false" customHeight="false" outlineLevel="0" collapsed="false">
      <c r="A1122" s="8" t="n">
        <v>1121</v>
      </c>
      <c r="B1122" s="8" t="s">
        <v>39</v>
      </c>
      <c r="C1122" s="8" t="s">
        <v>21</v>
      </c>
      <c r="D1122" s="9" t="n">
        <v>44170</v>
      </c>
      <c r="E1122" s="10" t="n">
        <v>17258.54</v>
      </c>
      <c r="F1122" s="8" t="s">
        <v>11</v>
      </c>
      <c r="G1122" s="8" t="s">
        <v>17</v>
      </c>
      <c r="H1122" s="11" t="s">
        <v>18</v>
      </c>
      <c r="I1122" s="8" t="s">
        <v>14</v>
      </c>
    </row>
    <row r="1123" customFormat="false" ht="14.25" hidden="false" customHeight="false" outlineLevel="0" collapsed="false">
      <c r="A1123" s="8" t="n">
        <v>1122</v>
      </c>
      <c r="B1123" s="8" t="s">
        <v>50</v>
      </c>
      <c r="C1123" s="8" t="s">
        <v>10</v>
      </c>
      <c r="D1123" s="9" t="n">
        <v>44171</v>
      </c>
      <c r="E1123" s="10" t="n">
        <v>14790</v>
      </c>
      <c r="F1123" s="8" t="s">
        <v>11</v>
      </c>
      <c r="G1123" s="8" t="s">
        <v>36</v>
      </c>
      <c r="H1123" s="11" t="s">
        <v>37</v>
      </c>
      <c r="I1123" s="8" t="s">
        <v>26</v>
      </c>
    </row>
    <row r="1124" customFormat="false" ht="14.25" hidden="false" customHeight="false" outlineLevel="0" collapsed="false">
      <c r="A1124" s="8" t="n">
        <v>1123</v>
      </c>
      <c r="B1124" s="8" t="s">
        <v>85</v>
      </c>
      <c r="C1124" s="8" t="s">
        <v>21</v>
      </c>
      <c r="D1124" s="9" t="n">
        <v>44171</v>
      </c>
      <c r="E1124" s="10" t="n">
        <v>15794.69</v>
      </c>
      <c r="F1124" s="8" t="s">
        <v>11</v>
      </c>
      <c r="G1124" s="8" t="s">
        <v>17</v>
      </c>
      <c r="H1124" s="11" t="s">
        <v>18</v>
      </c>
      <c r="I1124" s="8" t="s">
        <v>14</v>
      </c>
    </row>
    <row r="1125" customFormat="false" ht="14.25" hidden="false" customHeight="false" outlineLevel="0" collapsed="false">
      <c r="A1125" s="8" t="n">
        <v>1124</v>
      </c>
      <c r="B1125" s="8" t="s">
        <v>144</v>
      </c>
      <c r="C1125" s="8" t="s">
        <v>16</v>
      </c>
      <c r="D1125" s="9" t="n">
        <v>44172</v>
      </c>
      <c r="E1125" s="10" t="n">
        <v>16482.1</v>
      </c>
      <c r="F1125" s="8" t="s">
        <v>11</v>
      </c>
      <c r="G1125" s="8" t="s">
        <v>12</v>
      </c>
      <c r="H1125" s="11" t="s">
        <v>13</v>
      </c>
      <c r="I1125" s="8" t="s">
        <v>14</v>
      </c>
    </row>
    <row r="1126" customFormat="false" ht="14.25" hidden="false" customHeight="false" outlineLevel="0" collapsed="false">
      <c r="A1126" s="8" t="n">
        <v>1125</v>
      </c>
      <c r="B1126" s="8" t="s">
        <v>144</v>
      </c>
      <c r="C1126" s="8" t="s">
        <v>10</v>
      </c>
      <c r="D1126" s="9" t="n">
        <v>44172</v>
      </c>
      <c r="E1126" s="10" t="n">
        <v>14790</v>
      </c>
      <c r="F1126" s="8" t="s">
        <v>11</v>
      </c>
      <c r="G1126" s="8" t="s">
        <v>36</v>
      </c>
      <c r="H1126" s="11" t="s">
        <v>37</v>
      </c>
      <c r="I1126" s="8" t="s">
        <v>19</v>
      </c>
    </row>
    <row r="1127" customFormat="false" ht="14.25" hidden="false" customHeight="false" outlineLevel="0" collapsed="false">
      <c r="A1127" s="8" t="n">
        <v>1126</v>
      </c>
      <c r="B1127" s="8" t="s">
        <v>144</v>
      </c>
      <c r="C1127" s="8" t="s">
        <v>16</v>
      </c>
      <c r="D1127" s="9" t="n">
        <v>44172</v>
      </c>
      <c r="E1127" s="10" t="n">
        <v>16481.62</v>
      </c>
      <c r="F1127" s="8" t="s">
        <v>11</v>
      </c>
      <c r="G1127" s="8" t="s">
        <v>17</v>
      </c>
      <c r="H1127" s="11" t="s">
        <v>18</v>
      </c>
      <c r="I1127" s="8" t="s">
        <v>24</v>
      </c>
    </row>
    <row r="1128" customFormat="false" ht="14.25" hidden="false" customHeight="false" outlineLevel="0" collapsed="false">
      <c r="A1128" s="8" t="n">
        <v>1127</v>
      </c>
      <c r="B1128" s="8" t="s">
        <v>15</v>
      </c>
      <c r="C1128" s="8" t="s">
        <v>10</v>
      </c>
      <c r="D1128" s="9" t="n">
        <v>44173</v>
      </c>
      <c r="E1128" s="10" t="n">
        <v>14790</v>
      </c>
      <c r="F1128" s="8" t="s">
        <v>11</v>
      </c>
      <c r="G1128" s="8" t="s">
        <v>36</v>
      </c>
      <c r="H1128" s="11" t="s">
        <v>37</v>
      </c>
      <c r="I1128" s="8" t="s">
        <v>14</v>
      </c>
    </row>
    <row r="1129" customFormat="false" ht="14.25" hidden="false" customHeight="false" outlineLevel="0" collapsed="false">
      <c r="A1129" s="8" t="n">
        <v>1128</v>
      </c>
      <c r="B1129" s="8" t="s">
        <v>39</v>
      </c>
      <c r="C1129" s="8" t="s">
        <v>16</v>
      </c>
      <c r="D1129" s="9" t="n">
        <v>44174</v>
      </c>
      <c r="E1129" s="10" t="n">
        <v>15527.92</v>
      </c>
      <c r="F1129" s="8" t="s">
        <v>11</v>
      </c>
      <c r="G1129" s="8" t="s">
        <v>36</v>
      </c>
      <c r="H1129" s="11" t="s">
        <v>37</v>
      </c>
      <c r="I1129" s="8" t="s">
        <v>26</v>
      </c>
    </row>
    <row r="1130" customFormat="false" ht="14.25" hidden="false" customHeight="false" outlineLevel="0" collapsed="false">
      <c r="A1130" s="8" t="n">
        <v>1129</v>
      </c>
      <c r="B1130" s="8" t="s">
        <v>85</v>
      </c>
      <c r="C1130" s="8" t="s">
        <v>21</v>
      </c>
      <c r="D1130" s="9" t="n">
        <v>44176</v>
      </c>
      <c r="E1130" s="10" t="n">
        <v>16863.98</v>
      </c>
      <c r="F1130" s="8" t="s">
        <v>11</v>
      </c>
      <c r="G1130" s="8" t="s">
        <v>30</v>
      </c>
      <c r="H1130" s="11" t="s">
        <v>31</v>
      </c>
      <c r="I1130" s="8" t="s">
        <v>19</v>
      </c>
    </row>
    <row r="1131" customFormat="false" ht="14.25" hidden="false" customHeight="false" outlineLevel="0" collapsed="false">
      <c r="A1131" s="8" t="n">
        <v>1130</v>
      </c>
      <c r="B1131" s="8" t="s">
        <v>85</v>
      </c>
      <c r="C1131" s="8" t="s">
        <v>16</v>
      </c>
      <c r="D1131" s="9" t="n">
        <v>44176</v>
      </c>
      <c r="E1131" s="10" t="n">
        <v>17159.86</v>
      </c>
      <c r="F1131" s="8" t="s">
        <v>11</v>
      </c>
      <c r="G1131" s="8" t="s">
        <v>12</v>
      </c>
      <c r="H1131" s="11" t="s">
        <v>13</v>
      </c>
      <c r="I1131" s="8" t="s">
        <v>14</v>
      </c>
    </row>
    <row r="1132" customFormat="false" ht="14.25" hidden="false" customHeight="false" outlineLevel="0" collapsed="false">
      <c r="A1132" s="8" t="n">
        <v>1131</v>
      </c>
      <c r="B1132" s="8" t="s">
        <v>49</v>
      </c>
      <c r="C1132" s="8" t="s">
        <v>21</v>
      </c>
      <c r="D1132" s="9" t="n">
        <v>44176</v>
      </c>
      <c r="E1132" s="10" t="n">
        <v>15810.16</v>
      </c>
      <c r="F1132" s="8" t="s">
        <v>11</v>
      </c>
      <c r="G1132" s="8" t="s">
        <v>36</v>
      </c>
      <c r="H1132" s="11" t="s">
        <v>37</v>
      </c>
      <c r="I1132" s="8" t="s">
        <v>14</v>
      </c>
    </row>
    <row r="1133" customFormat="false" ht="14.25" hidden="false" customHeight="false" outlineLevel="0" collapsed="false">
      <c r="A1133" s="8" t="n">
        <v>1132</v>
      </c>
      <c r="B1133" s="8" t="s">
        <v>101</v>
      </c>
      <c r="C1133" s="8" t="s">
        <v>21</v>
      </c>
      <c r="D1133" s="9" t="n">
        <v>44177</v>
      </c>
      <c r="E1133" s="10" t="n">
        <v>17134.86</v>
      </c>
      <c r="F1133" s="8" t="s">
        <v>11</v>
      </c>
      <c r="G1133" s="8" t="s">
        <v>17</v>
      </c>
      <c r="H1133" s="11" t="s">
        <v>18</v>
      </c>
      <c r="I1133" s="8" t="s">
        <v>14</v>
      </c>
    </row>
    <row r="1134" customFormat="false" ht="14.25" hidden="false" customHeight="false" outlineLevel="0" collapsed="false">
      <c r="A1134" s="8" t="n">
        <v>1133</v>
      </c>
      <c r="B1134" s="8" t="s">
        <v>41</v>
      </c>
      <c r="C1134" s="8" t="s">
        <v>16</v>
      </c>
      <c r="D1134" s="9" t="n">
        <v>44177</v>
      </c>
      <c r="E1134" s="10" t="n">
        <v>16513.81</v>
      </c>
      <c r="F1134" s="8" t="s">
        <v>11</v>
      </c>
      <c r="G1134" s="8" t="s">
        <v>30</v>
      </c>
      <c r="H1134" s="11" t="s">
        <v>31</v>
      </c>
      <c r="I1134" s="8" t="s">
        <v>14</v>
      </c>
    </row>
    <row r="1135" customFormat="false" ht="14.25" hidden="false" customHeight="false" outlineLevel="0" collapsed="false">
      <c r="A1135" s="8" t="n">
        <v>1134</v>
      </c>
      <c r="B1135" s="8" t="s">
        <v>29</v>
      </c>
      <c r="C1135" s="8" t="s">
        <v>28</v>
      </c>
      <c r="D1135" s="9" t="n">
        <v>44177</v>
      </c>
      <c r="E1135" s="10" t="n">
        <v>-344551.62</v>
      </c>
      <c r="F1135" s="8" t="s">
        <v>34</v>
      </c>
      <c r="G1135" s="8" t="s">
        <v>12</v>
      </c>
      <c r="H1135" s="11" t="s">
        <v>13</v>
      </c>
      <c r="I1135" s="8" t="s">
        <v>14</v>
      </c>
    </row>
    <row r="1136" customFormat="false" ht="14.25" hidden="false" customHeight="false" outlineLevel="0" collapsed="false">
      <c r="A1136" s="8" t="n">
        <v>1135</v>
      </c>
      <c r="B1136" s="8" t="s">
        <v>15</v>
      </c>
      <c r="C1136" s="8" t="s">
        <v>16</v>
      </c>
      <c r="D1136" s="9" t="n">
        <v>44179</v>
      </c>
      <c r="E1136" s="10" t="n">
        <v>-9150.37</v>
      </c>
      <c r="F1136" s="8" t="s">
        <v>34</v>
      </c>
      <c r="G1136" s="8" t="s">
        <v>30</v>
      </c>
      <c r="H1136" s="11" t="s">
        <v>31</v>
      </c>
      <c r="I1136" s="8" t="s">
        <v>14</v>
      </c>
    </row>
    <row r="1137" customFormat="false" ht="14.25" hidden="false" customHeight="false" outlineLevel="0" collapsed="false">
      <c r="A1137" s="8" t="n">
        <v>1136</v>
      </c>
      <c r="B1137" s="8" t="s">
        <v>145</v>
      </c>
      <c r="C1137" s="8" t="s">
        <v>10</v>
      </c>
      <c r="D1137" s="9" t="n">
        <v>44180</v>
      </c>
      <c r="E1137" s="10" t="n">
        <v>130600.8</v>
      </c>
      <c r="F1137" s="8" t="s">
        <v>11</v>
      </c>
      <c r="G1137" s="8" t="s">
        <v>17</v>
      </c>
      <c r="H1137" s="11" t="s">
        <v>18</v>
      </c>
      <c r="I1137" s="8" t="s">
        <v>26</v>
      </c>
    </row>
    <row r="1138" customFormat="false" ht="14.25" hidden="false" customHeight="false" outlineLevel="0" collapsed="false">
      <c r="A1138" s="8" t="n">
        <v>1137</v>
      </c>
      <c r="B1138" s="8" t="s">
        <v>84</v>
      </c>
      <c r="C1138" s="8" t="s">
        <v>10</v>
      </c>
      <c r="D1138" s="9" t="n">
        <v>44180</v>
      </c>
      <c r="E1138" s="10" t="n">
        <v>9064.4</v>
      </c>
      <c r="F1138" s="8" t="s">
        <v>11</v>
      </c>
      <c r="G1138" s="8" t="s">
        <v>12</v>
      </c>
      <c r="H1138" s="11" t="s">
        <v>13</v>
      </c>
      <c r="I1138" s="8" t="s">
        <v>14</v>
      </c>
    </row>
    <row r="1139" customFormat="false" ht="14.25" hidden="false" customHeight="false" outlineLevel="0" collapsed="false">
      <c r="A1139" s="8" t="n">
        <v>1138</v>
      </c>
      <c r="B1139" s="8" t="s">
        <v>15</v>
      </c>
      <c r="C1139" s="8" t="s">
        <v>10</v>
      </c>
      <c r="D1139" s="9" t="n">
        <v>44180</v>
      </c>
      <c r="E1139" s="10" t="n">
        <v>9064.4</v>
      </c>
      <c r="F1139" s="8" t="s">
        <v>11</v>
      </c>
      <c r="G1139" s="8" t="s">
        <v>12</v>
      </c>
      <c r="H1139" s="11" t="s">
        <v>13</v>
      </c>
      <c r="I1139" s="8" t="s">
        <v>26</v>
      </c>
    </row>
    <row r="1140" customFormat="false" ht="14.25" hidden="false" customHeight="false" outlineLevel="0" collapsed="false">
      <c r="A1140" s="8" t="n">
        <v>1139</v>
      </c>
      <c r="B1140" s="8" t="s">
        <v>15</v>
      </c>
      <c r="C1140" s="8" t="s">
        <v>16</v>
      </c>
      <c r="D1140" s="9" t="n">
        <v>44180</v>
      </c>
      <c r="E1140" s="10" t="n">
        <v>9064.4</v>
      </c>
      <c r="F1140" s="8" t="s">
        <v>11</v>
      </c>
      <c r="G1140" s="8" t="s">
        <v>12</v>
      </c>
      <c r="H1140" s="11" t="s">
        <v>13</v>
      </c>
      <c r="I1140" s="8" t="s">
        <v>14</v>
      </c>
    </row>
    <row r="1141" customFormat="false" ht="14.25" hidden="false" customHeight="false" outlineLevel="0" collapsed="false">
      <c r="A1141" s="8" t="n">
        <v>1140</v>
      </c>
      <c r="B1141" s="8" t="s">
        <v>15</v>
      </c>
      <c r="C1141" s="8" t="s">
        <v>10</v>
      </c>
      <c r="D1141" s="9" t="n">
        <v>44180</v>
      </c>
      <c r="E1141" s="10" t="n">
        <v>179293.43</v>
      </c>
      <c r="F1141" s="8" t="s">
        <v>11</v>
      </c>
      <c r="G1141" s="8" t="s">
        <v>12</v>
      </c>
      <c r="H1141" s="11" t="s">
        <v>13</v>
      </c>
      <c r="I1141" s="8" t="s">
        <v>14</v>
      </c>
    </row>
    <row r="1142" customFormat="false" ht="14.25" hidden="false" customHeight="false" outlineLevel="0" collapsed="false">
      <c r="A1142" s="8" t="n">
        <v>1141</v>
      </c>
      <c r="B1142" s="8" t="s">
        <v>32</v>
      </c>
      <c r="C1142" s="8" t="s">
        <v>28</v>
      </c>
      <c r="D1142" s="9" t="n">
        <v>44180</v>
      </c>
      <c r="E1142" s="10" t="n">
        <v>9064.4</v>
      </c>
      <c r="F1142" s="8" t="s">
        <v>11</v>
      </c>
      <c r="G1142" s="8" t="s">
        <v>12</v>
      </c>
      <c r="H1142" s="11" t="s">
        <v>13</v>
      </c>
      <c r="I1142" s="8" t="s">
        <v>14</v>
      </c>
    </row>
    <row r="1143" customFormat="false" ht="14.25" hidden="false" customHeight="false" outlineLevel="0" collapsed="false">
      <c r="A1143" s="8" t="n">
        <v>1142</v>
      </c>
      <c r="B1143" s="8" t="s">
        <v>39</v>
      </c>
      <c r="C1143" s="8" t="s">
        <v>10</v>
      </c>
      <c r="D1143" s="9" t="n">
        <v>44180</v>
      </c>
      <c r="E1143" s="10" t="n">
        <v>9064.4</v>
      </c>
      <c r="F1143" s="8" t="s">
        <v>11</v>
      </c>
      <c r="G1143" s="8" t="s">
        <v>12</v>
      </c>
      <c r="H1143" s="11" t="s">
        <v>13</v>
      </c>
      <c r="I1143" s="8" t="s">
        <v>26</v>
      </c>
    </row>
    <row r="1144" customFormat="false" ht="14.25" hidden="false" customHeight="false" outlineLevel="0" collapsed="false">
      <c r="A1144" s="8" t="n">
        <v>1143</v>
      </c>
      <c r="B1144" s="8" t="s">
        <v>39</v>
      </c>
      <c r="C1144" s="8" t="s">
        <v>28</v>
      </c>
      <c r="D1144" s="9" t="n">
        <v>44181</v>
      </c>
      <c r="E1144" s="10" t="n">
        <v>-4747.61</v>
      </c>
      <c r="F1144" s="8" t="s">
        <v>34</v>
      </c>
      <c r="G1144" s="8" t="s">
        <v>22</v>
      </c>
      <c r="H1144" s="11" t="s">
        <v>23</v>
      </c>
      <c r="I1144" s="8" t="s">
        <v>14</v>
      </c>
    </row>
    <row r="1145" customFormat="false" ht="14.25" hidden="false" customHeight="false" outlineLevel="0" collapsed="false">
      <c r="A1145" s="8" t="n">
        <v>1144</v>
      </c>
      <c r="B1145" s="8" t="s">
        <v>57</v>
      </c>
      <c r="C1145" s="8" t="s">
        <v>16</v>
      </c>
      <c r="D1145" s="9" t="n">
        <v>44182</v>
      </c>
      <c r="E1145" s="10" t="n">
        <v>-2981.06</v>
      </c>
      <c r="F1145" s="8" t="s">
        <v>34</v>
      </c>
      <c r="G1145" s="8" t="s">
        <v>22</v>
      </c>
      <c r="H1145" s="11" t="s">
        <v>23</v>
      </c>
      <c r="I1145" s="8" t="s">
        <v>14</v>
      </c>
    </row>
    <row r="1146" customFormat="false" ht="14.25" hidden="false" customHeight="false" outlineLevel="0" collapsed="false">
      <c r="A1146" s="8" t="n">
        <v>1145</v>
      </c>
      <c r="B1146" s="8" t="s">
        <v>72</v>
      </c>
      <c r="C1146" s="8" t="s">
        <v>10</v>
      </c>
      <c r="D1146" s="9" t="n">
        <v>44182</v>
      </c>
      <c r="E1146" s="10" t="n">
        <v>-1269.91</v>
      </c>
      <c r="F1146" s="8" t="s">
        <v>34</v>
      </c>
      <c r="G1146" s="8" t="s">
        <v>22</v>
      </c>
      <c r="H1146" s="11" t="s">
        <v>23</v>
      </c>
      <c r="I1146" s="8" t="s">
        <v>14</v>
      </c>
    </row>
    <row r="1147" customFormat="false" ht="14.25" hidden="false" customHeight="false" outlineLevel="0" collapsed="false">
      <c r="A1147" s="8" t="n">
        <v>1146</v>
      </c>
      <c r="B1147" s="8" t="s">
        <v>45</v>
      </c>
      <c r="C1147" s="8" t="s">
        <v>28</v>
      </c>
      <c r="D1147" s="9" t="n">
        <v>44182</v>
      </c>
      <c r="E1147" s="10" t="n">
        <v>-428.09</v>
      </c>
      <c r="F1147" s="8" t="s">
        <v>34</v>
      </c>
      <c r="G1147" s="8" t="s">
        <v>17</v>
      </c>
      <c r="H1147" s="11" t="s">
        <v>18</v>
      </c>
      <c r="I1147" s="8" t="s">
        <v>26</v>
      </c>
    </row>
    <row r="1148" customFormat="false" ht="14.25" hidden="false" customHeight="false" outlineLevel="0" collapsed="false">
      <c r="A1148" s="8" t="n">
        <v>1147</v>
      </c>
      <c r="B1148" s="8" t="s">
        <v>47</v>
      </c>
      <c r="C1148" s="8" t="s">
        <v>28</v>
      </c>
      <c r="D1148" s="9" t="n">
        <v>44182</v>
      </c>
      <c r="E1148" s="10" t="n">
        <v>-7028.42</v>
      </c>
      <c r="F1148" s="8" t="s">
        <v>34</v>
      </c>
      <c r="G1148" s="8" t="s">
        <v>12</v>
      </c>
      <c r="H1148" s="11" t="s">
        <v>13</v>
      </c>
      <c r="I1148" s="8" t="s">
        <v>14</v>
      </c>
    </row>
    <row r="1149" customFormat="false" ht="14.25" hidden="false" customHeight="false" outlineLevel="0" collapsed="false">
      <c r="A1149" s="8" t="n">
        <v>1148</v>
      </c>
      <c r="B1149" s="8" t="s">
        <v>72</v>
      </c>
      <c r="C1149" s="8" t="s">
        <v>28</v>
      </c>
      <c r="D1149" s="9" t="n">
        <v>44182</v>
      </c>
      <c r="E1149" s="10" t="n">
        <v>-12209.12</v>
      </c>
      <c r="F1149" s="8" t="s">
        <v>34</v>
      </c>
      <c r="G1149" s="8" t="s">
        <v>12</v>
      </c>
      <c r="H1149" s="11" t="s">
        <v>13</v>
      </c>
      <c r="I1149" s="8" t="s">
        <v>26</v>
      </c>
    </row>
    <row r="1150" customFormat="false" ht="14.25" hidden="false" customHeight="false" outlineLevel="0" collapsed="false">
      <c r="A1150" s="8" t="n">
        <v>1149</v>
      </c>
      <c r="B1150" s="8" t="s">
        <v>45</v>
      </c>
      <c r="C1150" s="8" t="s">
        <v>21</v>
      </c>
      <c r="D1150" s="9" t="n">
        <v>44182</v>
      </c>
      <c r="E1150" s="10" t="n">
        <v>-613.34</v>
      </c>
      <c r="F1150" s="8" t="s">
        <v>34</v>
      </c>
      <c r="G1150" s="8" t="s">
        <v>22</v>
      </c>
      <c r="H1150" s="11" t="s">
        <v>23</v>
      </c>
      <c r="I1150" s="8" t="s">
        <v>14</v>
      </c>
    </row>
    <row r="1151" customFormat="false" ht="14.25" hidden="false" customHeight="false" outlineLevel="0" collapsed="false">
      <c r="A1151" s="8" t="n">
        <v>1150</v>
      </c>
      <c r="B1151" s="8" t="s">
        <v>57</v>
      </c>
      <c r="C1151" s="8" t="s">
        <v>28</v>
      </c>
      <c r="D1151" s="9" t="n">
        <v>44182</v>
      </c>
      <c r="E1151" s="10" t="n">
        <v>-4485.57</v>
      </c>
      <c r="F1151" s="8" t="s">
        <v>34</v>
      </c>
      <c r="G1151" s="8" t="s">
        <v>12</v>
      </c>
      <c r="H1151" s="11" t="s">
        <v>13</v>
      </c>
      <c r="I1151" s="8" t="s">
        <v>26</v>
      </c>
    </row>
    <row r="1152" customFormat="false" ht="14.25" hidden="false" customHeight="false" outlineLevel="0" collapsed="false">
      <c r="A1152" s="8" t="n">
        <v>1151</v>
      </c>
      <c r="B1152" s="8" t="s">
        <v>47</v>
      </c>
      <c r="C1152" s="8" t="s">
        <v>16</v>
      </c>
      <c r="D1152" s="9" t="n">
        <v>44182</v>
      </c>
      <c r="E1152" s="10" t="n">
        <v>-1644.86</v>
      </c>
      <c r="F1152" s="8" t="s">
        <v>34</v>
      </c>
      <c r="G1152" s="8" t="s">
        <v>36</v>
      </c>
      <c r="H1152" s="11" t="s">
        <v>37</v>
      </c>
      <c r="I1152" s="8" t="s">
        <v>26</v>
      </c>
    </row>
    <row r="1153" customFormat="false" ht="14.25" hidden="false" customHeight="false" outlineLevel="0" collapsed="false">
      <c r="A1153" s="8" t="n">
        <v>1152</v>
      </c>
      <c r="B1153" s="8" t="s">
        <v>145</v>
      </c>
      <c r="C1153" s="8" t="s">
        <v>28</v>
      </c>
      <c r="D1153" s="9" t="n">
        <v>44183</v>
      </c>
      <c r="E1153" s="10" t="n">
        <v>-784.49</v>
      </c>
      <c r="F1153" s="8" t="s">
        <v>34</v>
      </c>
      <c r="G1153" s="8" t="s">
        <v>17</v>
      </c>
      <c r="H1153" s="11" t="s">
        <v>18</v>
      </c>
      <c r="I1153" s="8" t="s">
        <v>14</v>
      </c>
    </row>
    <row r="1154" customFormat="false" ht="14.25" hidden="false" customHeight="false" outlineLevel="0" collapsed="false">
      <c r="A1154" s="8" t="n">
        <v>1153</v>
      </c>
      <c r="B1154" s="8" t="s">
        <v>122</v>
      </c>
      <c r="C1154" s="8" t="s">
        <v>16</v>
      </c>
      <c r="D1154" s="9" t="n">
        <v>44183</v>
      </c>
      <c r="E1154" s="10" t="n">
        <v>-10058.79</v>
      </c>
      <c r="F1154" s="8" t="s">
        <v>34</v>
      </c>
      <c r="G1154" s="8" t="s">
        <v>12</v>
      </c>
      <c r="H1154" s="11" t="s">
        <v>13</v>
      </c>
      <c r="I1154" s="8" t="s">
        <v>24</v>
      </c>
    </row>
    <row r="1155" customFormat="false" ht="14.25" hidden="false" customHeight="false" outlineLevel="0" collapsed="false">
      <c r="A1155" s="8" t="n">
        <v>1154</v>
      </c>
      <c r="B1155" s="8" t="s">
        <v>77</v>
      </c>
      <c r="C1155" s="8" t="s">
        <v>28</v>
      </c>
      <c r="D1155" s="9" t="n">
        <v>44184</v>
      </c>
      <c r="E1155" s="10" t="n">
        <v>155713.93</v>
      </c>
      <c r="F1155" s="8" t="s">
        <v>11</v>
      </c>
      <c r="G1155" s="8" t="s">
        <v>17</v>
      </c>
      <c r="H1155" s="11" t="s">
        <v>18</v>
      </c>
      <c r="I1155" s="8" t="s">
        <v>26</v>
      </c>
    </row>
    <row r="1156" customFormat="false" ht="14.25" hidden="false" customHeight="false" outlineLevel="0" collapsed="false">
      <c r="A1156" s="8" t="n">
        <v>1155</v>
      </c>
      <c r="B1156" s="8" t="s">
        <v>149</v>
      </c>
      <c r="C1156" s="8" t="s">
        <v>28</v>
      </c>
      <c r="D1156" s="9" t="n">
        <v>44185</v>
      </c>
      <c r="E1156" s="10" t="n">
        <v>168414.75</v>
      </c>
      <c r="F1156" s="8" t="s">
        <v>11</v>
      </c>
      <c r="G1156" s="8" t="s">
        <v>12</v>
      </c>
      <c r="H1156" s="11" t="s">
        <v>13</v>
      </c>
      <c r="I1156" s="8" t="s">
        <v>14</v>
      </c>
    </row>
    <row r="1157" customFormat="false" ht="14.25" hidden="false" customHeight="false" outlineLevel="0" collapsed="false">
      <c r="A1157" s="8" t="n">
        <v>1156</v>
      </c>
      <c r="B1157" s="8" t="s">
        <v>50</v>
      </c>
      <c r="C1157" s="8" t="s">
        <v>16</v>
      </c>
      <c r="D1157" s="9" t="n">
        <v>44185</v>
      </c>
      <c r="E1157" s="10" t="n">
        <v>180570.43</v>
      </c>
      <c r="F1157" s="8" t="s">
        <v>11</v>
      </c>
      <c r="G1157" s="8" t="s">
        <v>22</v>
      </c>
      <c r="H1157" s="11" t="s">
        <v>23</v>
      </c>
      <c r="I1157" s="8" t="s">
        <v>26</v>
      </c>
    </row>
    <row r="1158" customFormat="false" ht="14.25" hidden="false" customHeight="false" outlineLevel="0" collapsed="false">
      <c r="A1158" s="8" t="n">
        <v>1157</v>
      </c>
      <c r="B1158" s="8" t="s">
        <v>145</v>
      </c>
      <c r="C1158" s="8" t="s">
        <v>10</v>
      </c>
      <c r="D1158" s="9" t="n">
        <v>44185</v>
      </c>
      <c r="E1158" s="10" t="n">
        <v>180181.98</v>
      </c>
      <c r="F1158" s="8" t="s">
        <v>11</v>
      </c>
      <c r="G1158" s="8" t="s">
        <v>30</v>
      </c>
      <c r="H1158" s="11" t="s">
        <v>31</v>
      </c>
      <c r="I1158" s="8" t="s">
        <v>19</v>
      </c>
    </row>
    <row r="1159" customFormat="false" ht="14.25" hidden="false" customHeight="false" outlineLevel="0" collapsed="false">
      <c r="A1159" s="8" t="n">
        <v>1158</v>
      </c>
      <c r="B1159" s="8" t="s">
        <v>85</v>
      </c>
      <c r="C1159" s="8" t="s">
        <v>28</v>
      </c>
      <c r="D1159" s="9" t="n">
        <v>44185</v>
      </c>
      <c r="E1159" s="10" t="n">
        <v>-1148.35</v>
      </c>
      <c r="F1159" s="8" t="s">
        <v>34</v>
      </c>
      <c r="G1159" s="8" t="s">
        <v>12</v>
      </c>
      <c r="H1159" s="11" t="s">
        <v>13</v>
      </c>
      <c r="I1159" s="8" t="s">
        <v>26</v>
      </c>
    </row>
    <row r="1160" customFormat="false" ht="14.25" hidden="false" customHeight="false" outlineLevel="0" collapsed="false">
      <c r="A1160" s="8" t="n">
        <v>1159</v>
      </c>
      <c r="B1160" s="8" t="s">
        <v>81</v>
      </c>
      <c r="C1160" s="8" t="s">
        <v>28</v>
      </c>
      <c r="D1160" s="9" t="n">
        <v>44185</v>
      </c>
      <c r="E1160" s="10" t="n">
        <v>-8011.78</v>
      </c>
      <c r="F1160" s="8" t="s">
        <v>34</v>
      </c>
      <c r="G1160" s="8" t="s">
        <v>12</v>
      </c>
      <c r="H1160" s="11" t="s">
        <v>13</v>
      </c>
      <c r="I1160" s="8" t="s">
        <v>14</v>
      </c>
    </row>
    <row r="1161" customFormat="false" ht="14.25" hidden="false" customHeight="false" outlineLevel="0" collapsed="false">
      <c r="A1161" s="8" t="n">
        <v>1160</v>
      </c>
      <c r="B1161" s="8" t="s">
        <v>81</v>
      </c>
      <c r="C1161" s="8" t="s">
        <v>28</v>
      </c>
      <c r="D1161" s="9" t="n">
        <v>44185</v>
      </c>
      <c r="E1161" s="10" t="n">
        <v>-70156.7</v>
      </c>
      <c r="F1161" s="8" t="s">
        <v>34</v>
      </c>
      <c r="G1161" s="8" t="s">
        <v>22</v>
      </c>
      <c r="H1161" s="11" t="s">
        <v>23</v>
      </c>
      <c r="I1161" s="8" t="s">
        <v>14</v>
      </c>
    </row>
    <row r="1162" customFormat="false" ht="14.25" hidden="false" customHeight="false" outlineLevel="0" collapsed="false">
      <c r="A1162" s="8" t="n">
        <v>1161</v>
      </c>
      <c r="B1162" s="8" t="s">
        <v>81</v>
      </c>
      <c r="C1162" s="8" t="s">
        <v>28</v>
      </c>
      <c r="D1162" s="9" t="n">
        <v>44185</v>
      </c>
      <c r="E1162" s="10" t="n">
        <v>6576.79</v>
      </c>
      <c r="F1162" s="8" t="s">
        <v>11</v>
      </c>
      <c r="G1162" s="8" t="s">
        <v>12</v>
      </c>
      <c r="H1162" s="11" t="s">
        <v>13</v>
      </c>
      <c r="I1162" s="8" t="s">
        <v>24</v>
      </c>
    </row>
    <row r="1163" customFormat="false" ht="14.25" hidden="false" customHeight="false" outlineLevel="0" collapsed="false">
      <c r="A1163" s="8" t="n">
        <v>1162</v>
      </c>
      <c r="B1163" s="8" t="s">
        <v>81</v>
      </c>
      <c r="C1163" s="8" t="s">
        <v>21</v>
      </c>
      <c r="D1163" s="9" t="n">
        <v>44185</v>
      </c>
      <c r="E1163" s="10" t="n">
        <v>16223.23</v>
      </c>
      <c r="F1163" s="8" t="s">
        <v>11</v>
      </c>
      <c r="G1163" s="8" t="s">
        <v>22</v>
      </c>
      <c r="H1163" s="11" t="s">
        <v>23</v>
      </c>
      <c r="I1163" s="8" t="s">
        <v>14</v>
      </c>
    </row>
    <row r="1164" customFormat="false" ht="14.25" hidden="false" customHeight="false" outlineLevel="0" collapsed="false">
      <c r="A1164" s="8" t="n">
        <v>1163</v>
      </c>
      <c r="B1164" s="8" t="s">
        <v>81</v>
      </c>
      <c r="C1164" s="8" t="s">
        <v>21</v>
      </c>
      <c r="D1164" s="9" t="n">
        <v>44185</v>
      </c>
      <c r="E1164" s="10" t="n">
        <v>98900.42</v>
      </c>
      <c r="F1164" s="8" t="s">
        <v>11</v>
      </c>
      <c r="G1164" s="8" t="s">
        <v>12</v>
      </c>
      <c r="H1164" s="11" t="s">
        <v>13</v>
      </c>
      <c r="I1164" s="8" t="s">
        <v>14</v>
      </c>
    </row>
    <row r="1165" customFormat="false" ht="14.25" hidden="false" customHeight="false" outlineLevel="0" collapsed="false">
      <c r="A1165" s="8" t="n">
        <v>1164</v>
      </c>
      <c r="B1165" s="8" t="s">
        <v>81</v>
      </c>
      <c r="C1165" s="8" t="s">
        <v>10</v>
      </c>
      <c r="D1165" s="9" t="n">
        <v>44185</v>
      </c>
      <c r="E1165" s="10" t="n">
        <v>7128.57</v>
      </c>
      <c r="F1165" s="8" t="s">
        <v>11</v>
      </c>
      <c r="G1165" s="8" t="s">
        <v>17</v>
      </c>
      <c r="H1165" s="11" t="s">
        <v>18</v>
      </c>
      <c r="I1165" s="8" t="s">
        <v>14</v>
      </c>
    </row>
    <row r="1166" customFormat="false" ht="14.25" hidden="false" customHeight="false" outlineLevel="0" collapsed="false">
      <c r="A1166" s="8" t="n">
        <v>1165</v>
      </c>
      <c r="B1166" s="8" t="s">
        <v>52</v>
      </c>
      <c r="C1166" s="8" t="s">
        <v>16</v>
      </c>
      <c r="D1166" s="9" t="n">
        <v>44185</v>
      </c>
      <c r="E1166" s="10" t="n">
        <v>16199.38</v>
      </c>
      <c r="F1166" s="8" t="s">
        <v>11</v>
      </c>
      <c r="G1166" s="8" t="s">
        <v>36</v>
      </c>
      <c r="H1166" s="11" t="s">
        <v>37</v>
      </c>
      <c r="I1166" s="8" t="s">
        <v>26</v>
      </c>
    </row>
    <row r="1167" customFormat="false" ht="14.25" hidden="false" customHeight="false" outlineLevel="0" collapsed="false">
      <c r="A1167" s="8" t="n">
        <v>1166</v>
      </c>
      <c r="B1167" s="8" t="s">
        <v>81</v>
      </c>
      <c r="C1167" s="8" t="s">
        <v>28</v>
      </c>
      <c r="D1167" s="9" t="n">
        <v>44185</v>
      </c>
      <c r="E1167" s="10" t="n">
        <v>6515.79</v>
      </c>
      <c r="F1167" s="8" t="s">
        <v>11</v>
      </c>
      <c r="G1167" s="8" t="s">
        <v>17</v>
      </c>
      <c r="H1167" s="11" t="s">
        <v>18</v>
      </c>
      <c r="I1167" s="8" t="s">
        <v>26</v>
      </c>
    </row>
    <row r="1168" customFormat="false" ht="14.25" hidden="false" customHeight="false" outlineLevel="0" collapsed="false">
      <c r="A1168" s="8" t="n">
        <v>1167</v>
      </c>
      <c r="B1168" s="8" t="s">
        <v>81</v>
      </c>
      <c r="C1168" s="8" t="s">
        <v>10</v>
      </c>
      <c r="D1168" s="9" t="n">
        <v>44185</v>
      </c>
      <c r="E1168" s="10" t="n">
        <v>15431.16</v>
      </c>
      <c r="F1168" s="8" t="s">
        <v>11</v>
      </c>
      <c r="G1168" s="8" t="s">
        <v>22</v>
      </c>
      <c r="H1168" s="11" t="s">
        <v>23</v>
      </c>
      <c r="I1168" s="8" t="s">
        <v>24</v>
      </c>
    </row>
    <row r="1169" customFormat="false" ht="14.25" hidden="false" customHeight="false" outlineLevel="0" collapsed="false">
      <c r="A1169" s="8" t="n">
        <v>1168</v>
      </c>
      <c r="B1169" s="8" t="s">
        <v>81</v>
      </c>
      <c r="C1169" s="8" t="s">
        <v>21</v>
      </c>
      <c r="D1169" s="9" t="n">
        <v>44185</v>
      </c>
      <c r="E1169" s="10" t="n">
        <v>-5416.22</v>
      </c>
      <c r="F1169" s="8" t="s">
        <v>34</v>
      </c>
      <c r="G1169" s="8" t="s">
        <v>12</v>
      </c>
      <c r="H1169" s="11" t="s">
        <v>13</v>
      </c>
      <c r="I1169" s="8" t="s">
        <v>14</v>
      </c>
    </row>
    <row r="1170" customFormat="false" ht="14.25" hidden="false" customHeight="false" outlineLevel="0" collapsed="false">
      <c r="A1170" s="8" t="n">
        <v>1169</v>
      </c>
      <c r="B1170" s="8" t="s">
        <v>39</v>
      </c>
      <c r="C1170" s="8" t="s">
        <v>10</v>
      </c>
      <c r="D1170" s="9" t="n">
        <v>44185</v>
      </c>
      <c r="E1170" s="10" t="n">
        <v>-7596.82</v>
      </c>
      <c r="F1170" s="8" t="s">
        <v>34</v>
      </c>
      <c r="G1170" s="8" t="s">
        <v>36</v>
      </c>
      <c r="H1170" s="11" t="s">
        <v>37</v>
      </c>
      <c r="I1170" s="8" t="s">
        <v>26</v>
      </c>
    </row>
    <row r="1171" customFormat="false" ht="14.25" hidden="false" customHeight="false" outlineLevel="0" collapsed="false">
      <c r="A1171" s="8" t="n">
        <v>1170</v>
      </c>
      <c r="B1171" s="8" t="s">
        <v>52</v>
      </c>
      <c r="C1171" s="8" t="s">
        <v>28</v>
      </c>
      <c r="D1171" s="9" t="n">
        <v>44185</v>
      </c>
      <c r="E1171" s="10" t="n">
        <v>-2062.97</v>
      </c>
      <c r="F1171" s="8" t="s">
        <v>34</v>
      </c>
      <c r="G1171" s="8" t="s">
        <v>36</v>
      </c>
      <c r="H1171" s="11" t="s">
        <v>37</v>
      </c>
      <c r="I1171" s="8" t="s">
        <v>19</v>
      </c>
    </row>
    <row r="1172" customFormat="false" ht="14.25" hidden="false" customHeight="false" outlineLevel="0" collapsed="false">
      <c r="A1172" s="8" t="n">
        <v>1171</v>
      </c>
      <c r="B1172" s="8" t="s">
        <v>81</v>
      </c>
      <c r="C1172" s="8" t="s">
        <v>28</v>
      </c>
      <c r="D1172" s="9" t="n">
        <v>44185</v>
      </c>
      <c r="E1172" s="10" t="n">
        <v>-735.7</v>
      </c>
      <c r="F1172" s="8" t="s">
        <v>34</v>
      </c>
      <c r="G1172" s="8" t="s">
        <v>30</v>
      </c>
      <c r="H1172" s="11" t="s">
        <v>31</v>
      </c>
      <c r="I1172" s="8" t="s">
        <v>14</v>
      </c>
    </row>
    <row r="1173" customFormat="false" ht="14.25" hidden="false" customHeight="false" outlineLevel="0" collapsed="false">
      <c r="A1173" s="8" t="n">
        <v>1172</v>
      </c>
      <c r="B1173" s="8" t="s">
        <v>81</v>
      </c>
      <c r="C1173" s="8" t="s">
        <v>21</v>
      </c>
      <c r="D1173" s="9" t="n">
        <v>44185</v>
      </c>
      <c r="E1173" s="10" t="n">
        <v>-182.84</v>
      </c>
      <c r="F1173" s="8" t="s">
        <v>34</v>
      </c>
      <c r="G1173" s="8" t="s">
        <v>12</v>
      </c>
      <c r="H1173" s="11" t="s">
        <v>13</v>
      </c>
      <c r="I1173" s="8" t="s">
        <v>14</v>
      </c>
    </row>
    <row r="1174" customFormat="false" ht="14.25" hidden="false" customHeight="false" outlineLevel="0" collapsed="false">
      <c r="A1174" s="8" t="n">
        <v>1173</v>
      </c>
      <c r="B1174" s="8" t="s">
        <v>81</v>
      </c>
      <c r="C1174" s="8" t="s">
        <v>28</v>
      </c>
      <c r="D1174" s="9" t="n">
        <v>44185</v>
      </c>
      <c r="E1174" s="10" t="n">
        <v>46328.66</v>
      </c>
      <c r="F1174" s="8" t="s">
        <v>11</v>
      </c>
      <c r="G1174" s="8" t="s">
        <v>12</v>
      </c>
      <c r="H1174" s="11" t="s">
        <v>13</v>
      </c>
      <c r="I1174" s="8" t="s">
        <v>26</v>
      </c>
    </row>
    <row r="1175" customFormat="false" ht="14.25" hidden="false" customHeight="false" outlineLevel="0" collapsed="false">
      <c r="A1175" s="8" t="n">
        <v>1174</v>
      </c>
      <c r="B1175" s="8" t="s">
        <v>52</v>
      </c>
      <c r="C1175" s="8" t="s">
        <v>28</v>
      </c>
      <c r="D1175" s="9" t="n">
        <v>44185</v>
      </c>
      <c r="E1175" s="10" t="n">
        <v>3119.73</v>
      </c>
      <c r="F1175" s="8" t="s">
        <v>11</v>
      </c>
      <c r="G1175" s="8" t="s">
        <v>22</v>
      </c>
      <c r="H1175" s="11" t="s">
        <v>23</v>
      </c>
      <c r="I1175" s="8" t="s">
        <v>19</v>
      </c>
    </row>
    <row r="1176" customFormat="false" ht="14.25" hidden="false" customHeight="false" outlineLevel="0" collapsed="false">
      <c r="A1176" s="8" t="n">
        <v>1175</v>
      </c>
      <c r="B1176" s="8" t="s">
        <v>81</v>
      </c>
      <c r="C1176" s="8" t="s">
        <v>21</v>
      </c>
      <c r="D1176" s="9" t="n">
        <v>44185</v>
      </c>
      <c r="E1176" s="10" t="n">
        <v>3480.44</v>
      </c>
      <c r="F1176" s="8" t="s">
        <v>11</v>
      </c>
      <c r="G1176" s="8" t="s">
        <v>17</v>
      </c>
      <c r="H1176" s="11" t="s">
        <v>18</v>
      </c>
      <c r="I1176" s="8" t="s">
        <v>14</v>
      </c>
    </row>
    <row r="1177" customFormat="false" ht="14.25" hidden="false" customHeight="false" outlineLevel="0" collapsed="false">
      <c r="A1177" s="8" t="n">
        <v>1176</v>
      </c>
      <c r="B1177" s="8" t="s">
        <v>81</v>
      </c>
      <c r="C1177" s="8" t="s">
        <v>21</v>
      </c>
      <c r="D1177" s="9" t="n">
        <v>44185</v>
      </c>
      <c r="E1177" s="10" t="n">
        <v>-44458.43</v>
      </c>
      <c r="F1177" s="8" t="s">
        <v>34</v>
      </c>
      <c r="G1177" s="8" t="s">
        <v>12</v>
      </c>
      <c r="H1177" s="11" t="s">
        <v>13</v>
      </c>
      <c r="I1177" s="8" t="s">
        <v>14</v>
      </c>
    </row>
    <row r="1178" customFormat="false" ht="14.25" hidden="false" customHeight="false" outlineLevel="0" collapsed="false">
      <c r="A1178" s="8" t="n">
        <v>1177</v>
      </c>
      <c r="B1178" s="8" t="s">
        <v>81</v>
      </c>
      <c r="C1178" s="8" t="s">
        <v>16</v>
      </c>
      <c r="D1178" s="9" t="n">
        <v>44185</v>
      </c>
      <c r="E1178" s="10" t="n">
        <v>2904.46</v>
      </c>
      <c r="F1178" s="8" t="s">
        <v>11</v>
      </c>
      <c r="G1178" s="8" t="s">
        <v>12</v>
      </c>
      <c r="H1178" s="11" t="s">
        <v>13</v>
      </c>
      <c r="I1178" s="8" t="s">
        <v>14</v>
      </c>
    </row>
    <row r="1179" customFormat="false" ht="14.25" hidden="false" customHeight="false" outlineLevel="0" collapsed="false">
      <c r="A1179" s="8" t="n">
        <v>1178</v>
      </c>
      <c r="B1179" s="8" t="s">
        <v>101</v>
      </c>
      <c r="C1179" s="8" t="s">
        <v>16</v>
      </c>
      <c r="D1179" s="9" t="n">
        <v>44186</v>
      </c>
      <c r="E1179" s="10" t="n">
        <v>-46305.94</v>
      </c>
      <c r="F1179" s="8" t="s">
        <v>34</v>
      </c>
      <c r="G1179" s="8" t="s">
        <v>12</v>
      </c>
      <c r="H1179" s="11" t="s">
        <v>13</v>
      </c>
      <c r="I1179" s="8" t="s">
        <v>26</v>
      </c>
    </row>
    <row r="1180" customFormat="false" ht="14.25" hidden="false" customHeight="false" outlineLevel="0" collapsed="false">
      <c r="A1180" s="8" t="n">
        <v>1179</v>
      </c>
      <c r="B1180" s="8" t="s">
        <v>150</v>
      </c>
      <c r="C1180" s="8" t="s">
        <v>28</v>
      </c>
      <c r="D1180" s="9" t="n">
        <v>44186</v>
      </c>
      <c r="E1180" s="10" t="n">
        <v>-18159.23</v>
      </c>
      <c r="F1180" s="8" t="s">
        <v>34</v>
      </c>
      <c r="G1180" s="8" t="s">
        <v>12</v>
      </c>
      <c r="H1180" s="11" t="s">
        <v>13</v>
      </c>
      <c r="I1180" s="8" t="s">
        <v>14</v>
      </c>
    </row>
    <row r="1181" customFormat="false" ht="14.25" hidden="false" customHeight="false" outlineLevel="0" collapsed="false">
      <c r="A1181" s="8" t="n">
        <v>1180</v>
      </c>
      <c r="B1181" s="8" t="s">
        <v>15</v>
      </c>
      <c r="C1181" s="8" t="s">
        <v>10</v>
      </c>
      <c r="D1181" s="9" t="n">
        <v>44186</v>
      </c>
      <c r="E1181" s="10" t="n">
        <v>-10292.59</v>
      </c>
      <c r="F1181" s="8" t="s">
        <v>34</v>
      </c>
      <c r="G1181" s="8" t="s">
        <v>36</v>
      </c>
      <c r="H1181" s="11" t="s">
        <v>37</v>
      </c>
      <c r="I1181" s="8" t="s">
        <v>14</v>
      </c>
    </row>
    <row r="1182" customFormat="false" ht="14.25" hidden="false" customHeight="false" outlineLevel="0" collapsed="false">
      <c r="A1182" s="8" t="n">
        <v>1181</v>
      </c>
      <c r="B1182" s="8" t="s">
        <v>15</v>
      </c>
      <c r="C1182" s="8" t="s">
        <v>10</v>
      </c>
      <c r="D1182" s="9" t="n">
        <v>44186</v>
      </c>
      <c r="E1182" s="10" t="n">
        <v>-45217.55</v>
      </c>
      <c r="F1182" s="8" t="s">
        <v>34</v>
      </c>
      <c r="G1182" s="8" t="s">
        <v>30</v>
      </c>
      <c r="H1182" s="11" t="s">
        <v>31</v>
      </c>
      <c r="I1182" s="8" t="s">
        <v>24</v>
      </c>
    </row>
    <row r="1183" customFormat="false" ht="14.25" hidden="false" customHeight="false" outlineLevel="0" collapsed="false">
      <c r="A1183" s="8" t="n">
        <v>1182</v>
      </c>
      <c r="B1183" s="8" t="s">
        <v>100</v>
      </c>
      <c r="C1183" s="8" t="s">
        <v>10</v>
      </c>
      <c r="D1183" s="9" t="n">
        <v>44186</v>
      </c>
      <c r="E1183" s="10" t="n">
        <v>-21087.85</v>
      </c>
      <c r="F1183" s="8" t="s">
        <v>34</v>
      </c>
      <c r="G1183" s="8" t="s">
        <v>17</v>
      </c>
      <c r="H1183" s="11" t="s">
        <v>18</v>
      </c>
      <c r="I1183" s="8" t="s">
        <v>14</v>
      </c>
    </row>
    <row r="1184" customFormat="false" ht="14.25" hidden="false" customHeight="false" outlineLevel="0" collapsed="false">
      <c r="A1184" s="8" t="n">
        <v>1183</v>
      </c>
      <c r="B1184" s="8" t="s">
        <v>100</v>
      </c>
      <c r="C1184" s="8" t="s">
        <v>10</v>
      </c>
      <c r="D1184" s="9" t="n">
        <v>44186</v>
      </c>
      <c r="E1184" s="10" t="n">
        <v>-28487.94</v>
      </c>
      <c r="F1184" s="8" t="s">
        <v>34</v>
      </c>
      <c r="G1184" s="8" t="s">
        <v>17</v>
      </c>
      <c r="H1184" s="11" t="s">
        <v>18</v>
      </c>
      <c r="I1184" s="8" t="s">
        <v>14</v>
      </c>
    </row>
    <row r="1185" customFormat="false" ht="14.25" hidden="false" customHeight="false" outlineLevel="0" collapsed="false">
      <c r="A1185" s="8" t="n">
        <v>1184</v>
      </c>
      <c r="B1185" s="8" t="s">
        <v>100</v>
      </c>
      <c r="C1185" s="8" t="s">
        <v>21</v>
      </c>
      <c r="D1185" s="9" t="n">
        <v>44186</v>
      </c>
      <c r="E1185" s="10" t="n">
        <v>-15272.11</v>
      </c>
      <c r="F1185" s="8" t="s">
        <v>34</v>
      </c>
      <c r="G1185" s="8" t="s">
        <v>17</v>
      </c>
      <c r="H1185" s="11" t="s">
        <v>18</v>
      </c>
      <c r="I1185" s="8" t="s">
        <v>14</v>
      </c>
    </row>
    <row r="1186" customFormat="false" ht="14.25" hidden="false" customHeight="false" outlineLevel="0" collapsed="false">
      <c r="A1186" s="8" t="n">
        <v>1185</v>
      </c>
      <c r="B1186" s="8" t="s">
        <v>100</v>
      </c>
      <c r="C1186" s="8" t="s">
        <v>28</v>
      </c>
      <c r="D1186" s="9" t="n">
        <v>44186</v>
      </c>
      <c r="E1186" s="10" t="n">
        <v>-17051.06</v>
      </c>
      <c r="F1186" s="8" t="s">
        <v>34</v>
      </c>
      <c r="G1186" s="8" t="s">
        <v>22</v>
      </c>
      <c r="H1186" s="11" t="s">
        <v>23</v>
      </c>
      <c r="I1186" s="8" t="s">
        <v>26</v>
      </c>
    </row>
    <row r="1187" customFormat="false" ht="14.25" hidden="false" customHeight="false" outlineLevel="0" collapsed="false">
      <c r="A1187" s="8" t="n">
        <v>1186</v>
      </c>
      <c r="B1187" s="8" t="s">
        <v>100</v>
      </c>
      <c r="C1187" s="8" t="s">
        <v>21</v>
      </c>
      <c r="D1187" s="9" t="n">
        <v>44186</v>
      </c>
      <c r="E1187" s="10" t="n">
        <v>-13908.79</v>
      </c>
      <c r="F1187" s="8" t="s">
        <v>34</v>
      </c>
      <c r="G1187" s="8" t="s">
        <v>22</v>
      </c>
      <c r="H1187" s="11" t="s">
        <v>23</v>
      </c>
      <c r="I1187" s="8" t="s">
        <v>26</v>
      </c>
    </row>
    <row r="1188" customFormat="false" ht="14.25" hidden="false" customHeight="false" outlineLevel="0" collapsed="false">
      <c r="A1188" s="8" t="n">
        <v>1187</v>
      </c>
      <c r="B1188" s="8" t="s">
        <v>100</v>
      </c>
      <c r="C1188" s="8" t="s">
        <v>10</v>
      </c>
      <c r="D1188" s="9" t="n">
        <v>44186</v>
      </c>
      <c r="E1188" s="10" t="n">
        <v>-10201.98</v>
      </c>
      <c r="F1188" s="8" t="s">
        <v>34</v>
      </c>
      <c r="G1188" s="8" t="s">
        <v>17</v>
      </c>
      <c r="H1188" s="11" t="s">
        <v>18</v>
      </c>
      <c r="I1188" s="8" t="s">
        <v>19</v>
      </c>
    </row>
    <row r="1189" customFormat="false" ht="14.25" hidden="false" customHeight="false" outlineLevel="0" collapsed="false">
      <c r="A1189" s="8" t="n">
        <v>1188</v>
      </c>
      <c r="B1189" s="8" t="s">
        <v>147</v>
      </c>
      <c r="C1189" s="8" t="s">
        <v>28</v>
      </c>
      <c r="D1189" s="9" t="n">
        <v>44187</v>
      </c>
      <c r="E1189" s="10" t="n">
        <v>-16526.41</v>
      </c>
      <c r="F1189" s="8" t="s">
        <v>34</v>
      </c>
      <c r="G1189" s="8" t="s">
        <v>36</v>
      </c>
      <c r="H1189" s="11" t="s">
        <v>37</v>
      </c>
      <c r="I1189" s="8" t="s">
        <v>14</v>
      </c>
    </row>
    <row r="1190" customFormat="false" ht="14.25" hidden="false" customHeight="false" outlineLevel="0" collapsed="false">
      <c r="A1190" s="8" t="n">
        <v>1189</v>
      </c>
      <c r="B1190" s="8" t="s">
        <v>145</v>
      </c>
      <c r="C1190" s="8" t="s">
        <v>21</v>
      </c>
      <c r="D1190" s="9" t="n">
        <v>44187</v>
      </c>
      <c r="E1190" s="10" t="n">
        <v>-16479.02</v>
      </c>
      <c r="F1190" s="8" t="s">
        <v>34</v>
      </c>
      <c r="G1190" s="8" t="s">
        <v>36</v>
      </c>
      <c r="H1190" s="11" t="s">
        <v>37</v>
      </c>
      <c r="I1190" s="8" t="s">
        <v>19</v>
      </c>
    </row>
    <row r="1191" customFormat="false" ht="14.25" hidden="false" customHeight="false" outlineLevel="0" collapsed="false">
      <c r="A1191" s="8" t="n">
        <v>1190</v>
      </c>
      <c r="B1191" s="8" t="s">
        <v>40</v>
      </c>
      <c r="C1191" s="8" t="s">
        <v>10</v>
      </c>
      <c r="D1191" s="9" t="n">
        <v>44187</v>
      </c>
      <c r="E1191" s="10" t="n">
        <v>-12705.14</v>
      </c>
      <c r="F1191" s="8" t="s">
        <v>34</v>
      </c>
      <c r="G1191" s="8" t="s">
        <v>17</v>
      </c>
      <c r="H1191" s="11" t="s">
        <v>18</v>
      </c>
      <c r="I1191" s="8" t="s">
        <v>14</v>
      </c>
    </row>
    <row r="1192" customFormat="false" ht="14.25" hidden="false" customHeight="false" outlineLevel="0" collapsed="false">
      <c r="A1192" s="8" t="n">
        <v>1191</v>
      </c>
      <c r="B1192" s="8" t="s">
        <v>151</v>
      </c>
      <c r="C1192" s="8" t="s">
        <v>16</v>
      </c>
      <c r="D1192" s="9" t="n">
        <v>44191</v>
      </c>
      <c r="E1192" s="10" t="n">
        <v>-11286.59</v>
      </c>
      <c r="F1192" s="8" t="s">
        <v>34</v>
      </c>
      <c r="G1192" s="8" t="s">
        <v>36</v>
      </c>
      <c r="H1192" s="11" t="s">
        <v>37</v>
      </c>
      <c r="I1192" s="8" t="s">
        <v>19</v>
      </c>
    </row>
    <row r="1193" customFormat="false" ht="14.25" hidden="false" customHeight="false" outlineLevel="0" collapsed="false">
      <c r="A1193" s="8" t="n">
        <v>1192</v>
      </c>
      <c r="B1193" s="8" t="s">
        <v>40</v>
      </c>
      <c r="C1193" s="8" t="s">
        <v>16</v>
      </c>
      <c r="D1193" s="9" t="n">
        <v>44192</v>
      </c>
      <c r="E1193" s="10" t="n">
        <v>-20228.53</v>
      </c>
      <c r="F1193" s="8" t="s">
        <v>34</v>
      </c>
      <c r="G1193" s="8" t="s">
        <v>12</v>
      </c>
      <c r="H1193" s="11" t="s">
        <v>13</v>
      </c>
      <c r="I1193" s="8" t="s">
        <v>26</v>
      </c>
    </row>
    <row r="1194" customFormat="false" ht="14.25" hidden="false" customHeight="false" outlineLevel="0" collapsed="false">
      <c r="A1194" s="8" t="n">
        <v>1193</v>
      </c>
      <c r="B1194" s="8" t="s">
        <v>15</v>
      </c>
      <c r="C1194" s="8" t="s">
        <v>10</v>
      </c>
      <c r="D1194" s="9" t="n">
        <v>44192</v>
      </c>
      <c r="E1194" s="10" t="n">
        <v>-47473.16</v>
      </c>
      <c r="F1194" s="8" t="s">
        <v>34</v>
      </c>
      <c r="G1194" s="8" t="s">
        <v>17</v>
      </c>
      <c r="H1194" s="11" t="s">
        <v>18</v>
      </c>
      <c r="I1194" s="8" t="s">
        <v>26</v>
      </c>
    </row>
    <row r="1195" customFormat="false" ht="14.25" hidden="false" customHeight="false" outlineLevel="0" collapsed="false">
      <c r="A1195" s="8" t="n">
        <v>1194</v>
      </c>
      <c r="B1195" s="8" t="s">
        <v>15</v>
      </c>
      <c r="C1195" s="8" t="s">
        <v>21</v>
      </c>
      <c r="D1195" s="9" t="n">
        <v>44192</v>
      </c>
      <c r="E1195" s="10" t="n">
        <v>-12823.09</v>
      </c>
      <c r="F1195" s="8" t="s">
        <v>34</v>
      </c>
      <c r="G1195" s="8" t="s">
        <v>12</v>
      </c>
      <c r="H1195" s="11" t="s">
        <v>13</v>
      </c>
      <c r="I1195" s="8" t="s">
        <v>26</v>
      </c>
    </row>
    <row r="1196" customFormat="false" ht="14.25" hidden="false" customHeight="false" outlineLevel="0" collapsed="false">
      <c r="A1196" s="8" t="n">
        <v>1195</v>
      </c>
      <c r="B1196" s="8" t="s">
        <v>49</v>
      </c>
      <c r="C1196" s="8" t="s">
        <v>28</v>
      </c>
      <c r="D1196" s="9" t="n">
        <v>44192</v>
      </c>
      <c r="E1196" s="10" t="n">
        <v>-16507.58</v>
      </c>
      <c r="F1196" s="8" t="s">
        <v>34</v>
      </c>
      <c r="G1196" s="8" t="s">
        <v>17</v>
      </c>
      <c r="H1196" s="11" t="s">
        <v>18</v>
      </c>
      <c r="I1196" s="8" t="s">
        <v>26</v>
      </c>
    </row>
    <row r="1197" customFormat="false" ht="14.25" hidden="false" customHeight="false" outlineLevel="0" collapsed="false">
      <c r="A1197" s="8" t="n">
        <v>1196</v>
      </c>
      <c r="B1197" s="8" t="s">
        <v>152</v>
      </c>
      <c r="C1197" s="8" t="s">
        <v>28</v>
      </c>
      <c r="D1197" s="9" t="n">
        <v>44192</v>
      </c>
      <c r="E1197" s="10" t="n">
        <v>-20577.87</v>
      </c>
      <c r="F1197" s="8" t="s">
        <v>34</v>
      </c>
      <c r="G1197" s="8" t="s">
        <v>12</v>
      </c>
      <c r="H1197" s="11" t="s">
        <v>13</v>
      </c>
      <c r="I1197" s="8" t="s">
        <v>26</v>
      </c>
    </row>
    <row r="1198" customFormat="false" ht="14.25" hidden="false" customHeight="false" outlineLevel="0" collapsed="false">
      <c r="A1198" s="8" t="n">
        <v>1197</v>
      </c>
      <c r="B1198" s="8" t="s">
        <v>152</v>
      </c>
      <c r="C1198" s="8" t="s">
        <v>16</v>
      </c>
      <c r="D1198" s="9" t="n">
        <v>44192</v>
      </c>
      <c r="E1198" s="10" t="n">
        <v>-25319.95</v>
      </c>
      <c r="F1198" s="8" t="s">
        <v>34</v>
      </c>
      <c r="G1198" s="8" t="s">
        <v>12</v>
      </c>
      <c r="H1198" s="11" t="s">
        <v>13</v>
      </c>
      <c r="I1198" s="8" t="s">
        <v>14</v>
      </c>
    </row>
    <row r="1199" customFormat="false" ht="14.25" hidden="false" customHeight="false" outlineLevel="0" collapsed="false">
      <c r="A1199" s="8" t="n">
        <v>1198</v>
      </c>
      <c r="B1199" s="8" t="s">
        <v>152</v>
      </c>
      <c r="C1199" s="8" t="s">
        <v>16</v>
      </c>
      <c r="D1199" s="9" t="n">
        <v>44192</v>
      </c>
      <c r="E1199" s="10" t="n">
        <v>-72793.81</v>
      </c>
      <c r="F1199" s="8" t="s">
        <v>34</v>
      </c>
      <c r="G1199" s="8" t="s">
        <v>36</v>
      </c>
      <c r="H1199" s="11" t="s">
        <v>37</v>
      </c>
      <c r="I1199" s="8" t="s">
        <v>26</v>
      </c>
    </row>
    <row r="1200" customFormat="false" ht="14.25" hidden="false" customHeight="false" outlineLevel="0" collapsed="false">
      <c r="A1200" s="8" t="n">
        <v>1199</v>
      </c>
      <c r="B1200" s="8" t="s">
        <v>152</v>
      </c>
      <c r="C1200" s="8" t="s">
        <v>21</v>
      </c>
      <c r="D1200" s="9" t="n">
        <v>44192</v>
      </c>
      <c r="E1200" s="10" t="n">
        <v>-87633.56</v>
      </c>
      <c r="F1200" s="8" t="s">
        <v>34</v>
      </c>
      <c r="G1200" s="8" t="s">
        <v>12</v>
      </c>
      <c r="H1200" s="11" t="s">
        <v>13</v>
      </c>
      <c r="I1200" s="8" t="s">
        <v>26</v>
      </c>
    </row>
    <row r="1201" customFormat="false" ht="14.25" hidden="false" customHeight="false" outlineLevel="0" collapsed="false">
      <c r="A1201" s="8" t="n">
        <v>1200</v>
      </c>
      <c r="B1201" s="8" t="s">
        <v>20</v>
      </c>
      <c r="C1201" s="8" t="s">
        <v>28</v>
      </c>
      <c r="D1201" s="9" t="n">
        <v>44193</v>
      </c>
      <c r="E1201" s="10" t="n">
        <v>-27944.63</v>
      </c>
      <c r="F1201" s="8" t="s">
        <v>34</v>
      </c>
      <c r="G1201" s="8" t="s">
        <v>12</v>
      </c>
      <c r="H1201" s="11" t="s">
        <v>13</v>
      </c>
      <c r="I1201" s="8" t="s">
        <v>24</v>
      </c>
    </row>
    <row r="1202" customFormat="false" ht="14.25" hidden="false" customHeight="false" outlineLevel="0" collapsed="false">
      <c r="A1202" s="8" t="n">
        <v>1201</v>
      </c>
      <c r="B1202" s="8" t="s">
        <v>20</v>
      </c>
      <c r="C1202" s="8" t="s">
        <v>16</v>
      </c>
      <c r="D1202" s="9" t="n">
        <v>44193</v>
      </c>
      <c r="E1202" s="10" t="n">
        <v>-13287.51</v>
      </c>
      <c r="F1202" s="8" t="s">
        <v>34</v>
      </c>
      <c r="G1202" s="8" t="s">
        <v>12</v>
      </c>
      <c r="H1202" s="11" t="s">
        <v>13</v>
      </c>
      <c r="I1202" s="8" t="s">
        <v>14</v>
      </c>
    </row>
    <row r="1203" customFormat="false" ht="14.25" hidden="false" customHeight="false" outlineLevel="0" collapsed="false">
      <c r="A1203" s="8" t="n">
        <v>1202</v>
      </c>
      <c r="B1203" s="8" t="s">
        <v>20</v>
      </c>
      <c r="C1203" s="8" t="s">
        <v>21</v>
      </c>
      <c r="D1203" s="9" t="n">
        <v>44193</v>
      </c>
      <c r="E1203" s="10" t="n">
        <v>-16889.18</v>
      </c>
      <c r="F1203" s="8" t="s">
        <v>34</v>
      </c>
      <c r="G1203" s="8" t="s">
        <v>12</v>
      </c>
      <c r="H1203" s="11" t="s">
        <v>13</v>
      </c>
      <c r="I1203" s="8" t="s">
        <v>26</v>
      </c>
    </row>
    <row r="1204" customFormat="false" ht="14.25" hidden="false" customHeight="false" outlineLevel="0" collapsed="false">
      <c r="A1204" s="8" t="n">
        <v>1203</v>
      </c>
      <c r="B1204" s="8" t="s">
        <v>39</v>
      </c>
      <c r="C1204" s="8" t="s">
        <v>10</v>
      </c>
      <c r="D1204" s="9" t="n">
        <v>44193</v>
      </c>
      <c r="E1204" s="10" t="n">
        <v>-22964.55</v>
      </c>
      <c r="F1204" s="8" t="s">
        <v>34</v>
      </c>
      <c r="G1204" s="8" t="s">
        <v>17</v>
      </c>
      <c r="H1204" s="11" t="s">
        <v>18</v>
      </c>
      <c r="I1204" s="8" t="s">
        <v>14</v>
      </c>
    </row>
    <row r="1205" customFormat="false" ht="14.25" hidden="false" customHeight="false" outlineLevel="0" collapsed="false">
      <c r="A1205" s="8" t="n">
        <v>1204</v>
      </c>
      <c r="B1205" s="8" t="s">
        <v>54</v>
      </c>
      <c r="C1205" s="8" t="s">
        <v>28</v>
      </c>
      <c r="D1205" s="9" t="n">
        <v>44194</v>
      </c>
      <c r="E1205" s="10" t="n">
        <v>-7365</v>
      </c>
      <c r="F1205" s="8" t="s">
        <v>34</v>
      </c>
      <c r="G1205" s="8" t="s">
        <v>36</v>
      </c>
      <c r="H1205" s="11" t="s">
        <v>37</v>
      </c>
      <c r="I1205" s="8" t="s">
        <v>14</v>
      </c>
    </row>
    <row r="1206" customFormat="false" ht="14.25" hidden="false" customHeight="false" outlineLevel="0" collapsed="false">
      <c r="A1206" s="8" t="n">
        <v>1205</v>
      </c>
      <c r="B1206" s="8" t="s">
        <v>54</v>
      </c>
      <c r="C1206" s="8" t="s">
        <v>16</v>
      </c>
      <c r="D1206" s="9" t="n">
        <v>44194</v>
      </c>
      <c r="E1206" s="10" t="n">
        <v>-27764.73</v>
      </c>
      <c r="F1206" s="8" t="s">
        <v>34</v>
      </c>
      <c r="G1206" s="8" t="s">
        <v>12</v>
      </c>
      <c r="H1206" s="11" t="s">
        <v>13</v>
      </c>
      <c r="I1206" s="8" t="s">
        <v>26</v>
      </c>
    </row>
    <row r="1207" customFormat="false" ht="14.25" hidden="false" customHeight="false" outlineLevel="0" collapsed="false">
      <c r="A1207" s="8" t="n">
        <v>1206</v>
      </c>
      <c r="B1207" s="8" t="s">
        <v>32</v>
      </c>
      <c r="C1207" s="8" t="s">
        <v>21</v>
      </c>
      <c r="D1207" s="9" t="n">
        <v>44195</v>
      </c>
      <c r="E1207" s="10" t="n">
        <v>15186.66</v>
      </c>
      <c r="F1207" s="8" t="s">
        <v>11</v>
      </c>
      <c r="G1207" s="8" t="s">
        <v>36</v>
      </c>
      <c r="H1207" s="11" t="s">
        <v>37</v>
      </c>
      <c r="I1207" s="8" t="s">
        <v>14</v>
      </c>
    </row>
    <row r="1208" customFormat="false" ht="14.25" hidden="false" customHeight="false" outlineLevel="0" collapsed="false">
      <c r="A1208" s="8" t="n">
        <v>1207</v>
      </c>
      <c r="B1208" s="8" t="s">
        <v>61</v>
      </c>
      <c r="C1208" s="8" t="s">
        <v>28</v>
      </c>
      <c r="D1208" s="9" t="n">
        <v>44195</v>
      </c>
      <c r="E1208" s="10" t="n">
        <v>15186.66</v>
      </c>
      <c r="F1208" s="8" t="s">
        <v>11</v>
      </c>
      <c r="G1208" s="8" t="s">
        <v>17</v>
      </c>
      <c r="H1208" s="11" t="s">
        <v>18</v>
      </c>
      <c r="I1208" s="8" t="s">
        <v>19</v>
      </c>
    </row>
    <row r="1209" customFormat="false" ht="14.25" hidden="false" customHeight="false" outlineLevel="0" collapsed="false">
      <c r="A1209" s="8" t="n">
        <v>1208</v>
      </c>
      <c r="B1209" s="8" t="s">
        <v>62</v>
      </c>
      <c r="C1209" s="8" t="s">
        <v>21</v>
      </c>
      <c r="D1209" s="9" t="n">
        <v>44195</v>
      </c>
      <c r="E1209" s="10" t="n">
        <v>15186.68</v>
      </c>
      <c r="F1209" s="8" t="s">
        <v>11</v>
      </c>
      <c r="G1209" s="8" t="s">
        <v>36</v>
      </c>
      <c r="H1209" s="11" t="s">
        <v>37</v>
      </c>
      <c r="I1209" s="8" t="s">
        <v>14</v>
      </c>
    </row>
    <row r="1210" customFormat="false" ht="14.25" hidden="false" customHeight="false" outlineLevel="0" collapsed="false">
      <c r="A1210" s="8" t="n">
        <v>1209</v>
      </c>
      <c r="B1210" s="8" t="s">
        <v>61</v>
      </c>
      <c r="C1210" s="8" t="s">
        <v>16</v>
      </c>
      <c r="D1210" s="9" t="n">
        <v>44195</v>
      </c>
      <c r="E1210" s="10" t="n">
        <v>-6144.29</v>
      </c>
      <c r="F1210" s="8" t="s">
        <v>34</v>
      </c>
      <c r="G1210" s="8" t="s">
        <v>17</v>
      </c>
      <c r="H1210" s="11" t="s">
        <v>18</v>
      </c>
      <c r="I1210" s="8" t="s">
        <v>24</v>
      </c>
    </row>
    <row r="1211" customFormat="false" ht="14.25" hidden="false" customHeight="false" outlineLevel="0" collapsed="false">
      <c r="A1211" s="8" t="n">
        <v>1210</v>
      </c>
      <c r="B1211" s="8" t="s">
        <v>62</v>
      </c>
      <c r="C1211" s="8" t="s">
        <v>28</v>
      </c>
      <c r="D1211" s="9" t="n">
        <v>44195</v>
      </c>
      <c r="E1211" s="10" t="n">
        <v>-21333.41</v>
      </c>
      <c r="F1211" s="8" t="s">
        <v>34</v>
      </c>
      <c r="G1211" s="8" t="s">
        <v>12</v>
      </c>
      <c r="H1211" s="11" t="s">
        <v>13</v>
      </c>
      <c r="I1211" s="8" t="s">
        <v>26</v>
      </c>
    </row>
    <row r="1212" customFormat="false" ht="14.25" hidden="false" customHeight="false" outlineLevel="0" collapsed="false">
      <c r="A1212" s="8" t="n">
        <v>1211</v>
      </c>
      <c r="B1212" s="8" t="s">
        <v>62</v>
      </c>
      <c r="C1212" s="8" t="s">
        <v>10</v>
      </c>
      <c r="D1212" s="9" t="n">
        <v>44195</v>
      </c>
      <c r="E1212" s="10" t="n">
        <v>-2841.93</v>
      </c>
      <c r="F1212" s="8" t="s">
        <v>34</v>
      </c>
      <c r="G1212" s="8" t="s">
        <v>36</v>
      </c>
      <c r="H1212" s="11" t="s">
        <v>37</v>
      </c>
      <c r="I1212" s="8" t="s">
        <v>24</v>
      </c>
    </row>
    <row r="1213" customFormat="false" ht="14.25" hidden="false" customHeight="false" outlineLevel="0" collapsed="false">
      <c r="A1213" s="8" t="n">
        <v>1212</v>
      </c>
      <c r="B1213" s="8" t="s">
        <v>61</v>
      </c>
      <c r="C1213" s="8" t="s">
        <v>21</v>
      </c>
      <c r="D1213" s="9" t="n">
        <v>44195</v>
      </c>
      <c r="E1213" s="10" t="n">
        <v>-910.42</v>
      </c>
      <c r="F1213" s="8" t="s">
        <v>34</v>
      </c>
      <c r="G1213" s="8" t="s">
        <v>36</v>
      </c>
      <c r="H1213" s="11" t="s">
        <v>37</v>
      </c>
      <c r="I1213" s="8" t="s">
        <v>24</v>
      </c>
    </row>
    <row r="1214" customFormat="false" ht="14.25" hidden="false" customHeight="false" outlineLevel="0" collapsed="false">
      <c r="A1214" s="8" t="n">
        <v>1213</v>
      </c>
      <c r="B1214" s="8" t="s">
        <v>62</v>
      </c>
      <c r="C1214" s="8" t="s">
        <v>28</v>
      </c>
      <c r="D1214" s="9" t="n">
        <v>44196</v>
      </c>
      <c r="E1214" s="10" t="n">
        <v>-10955.21</v>
      </c>
      <c r="F1214" s="8" t="s">
        <v>34</v>
      </c>
      <c r="G1214" s="8" t="s">
        <v>12</v>
      </c>
      <c r="H1214" s="11" t="s">
        <v>13</v>
      </c>
      <c r="I1214" s="8" t="s">
        <v>14</v>
      </c>
    </row>
    <row r="1215" customFormat="false" ht="14.25" hidden="false" customHeight="false" outlineLevel="0" collapsed="false">
      <c r="A1215" s="8" t="n">
        <v>1214</v>
      </c>
      <c r="B1215" s="8" t="s">
        <v>62</v>
      </c>
      <c r="C1215" s="8" t="s">
        <v>16</v>
      </c>
      <c r="D1215" s="9" t="n">
        <v>44196</v>
      </c>
      <c r="E1215" s="10" t="n">
        <v>-13149.08</v>
      </c>
      <c r="F1215" s="8" t="s">
        <v>34</v>
      </c>
      <c r="G1215" s="8" t="s">
        <v>36</v>
      </c>
      <c r="H1215" s="11" t="s">
        <v>37</v>
      </c>
      <c r="I1215" s="8" t="s">
        <v>14</v>
      </c>
    </row>
    <row r="1216" customFormat="false" ht="14.25" hidden="false" customHeight="false" outlineLevel="0" collapsed="false">
      <c r="A1216" s="8" t="n">
        <v>1215</v>
      </c>
      <c r="B1216" s="8" t="s">
        <v>62</v>
      </c>
      <c r="C1216" s="8" t="s">
        <v>16</v>
      </c>
      <c r="D1216" s="9" t="n">
        <v>44196</v>
      </c>
      <c r="E1216" s="10" t="n">
        <v>-15964.69</v>
      </c>
      <c r="F1216" s="8" t="s">
        <v>34</v>
      </c>
      <c r="G1216" s="8" t="s">
        <v>12</v>
      </c>
      <c r="H1216" s="11" t="s">
        <v>13</v>
      </c>
      <c r="I1216" s="8" t="s">
        <v>14</v>
      </c>
    </row>
    <row r="1217" customFormat="false" ht="14.25" hidden="false" customHeight="false" outlineLevel="0" collapsed="false">
      <c r="A1217" s="8" t="n">
        <v>1216</v>
      </c>
      <c r="B1217" s="8" t="s">
        <v>39</v>
      </c>
      <c r="C1217" s="8" t="s">
        <v>21</v>
      </c>
      <c r="D1217" s="9" t="n">
        <v>44198</v>
      </c>
      <c r="E1217" s="10" t="n">
        <v>106399.17</v>
      </c>
      <c r="F1217" s="8" t="s">
        <v>11</v>
      </c>
      <c r="G1217" s="8" t="s">
        <v>36</v>
      </c>
      <c r="H1217" s="11" t="s">
        <v>37</v>
      </c>
      <c r="I1217" s="8" t="s">
        <v>19</v>
      </c>
    </row>
    <row r="1218" customFormat="false" ht="14.25" hidden="false" customHeight="false" outlineLevel="0" collapsed="false">
      <c r="A1218" s="8" t="n">
        <v>1217</v>
      </c>
      <c r="B1218" s="8" t="s">
        <v>66</v>
      </c>
      <c r="C1218" s="8" t="s">
        <v>10</v>
      </c>
      <c r="D1218" s="9" t="n">
        <v>44199</v>
      </c>
      <c r="E1218" s="10" t="n">
        <v>42279.35</v>
      </c>
      <c r="F1218" s="8" t="s">
        <v>11</v>
      </c>
      <c r="G1218" s="8" t="s">
        <v>36</v>
      </c>
      <c r="H1218" s="11" t="s">
        <v>37</v>
      </c>
      <c r="I1218" s="8" t="s">
        <v>19</v>
      </c>
    </row>
    <row r="1219" customFormat="false" ht="14.25" hidden="false" customHeight="false" outlineLevel="0" collapsed="false">
      <c r="A1219" s="8" t="n">
        <v>1218</v>
      </c>
      <c r="B1219" s="8" t="s">
        <v>66</v>
      </c>
      <c r="C1219" s="8" t="s">
        <v>16</v>
      </c>
      <c r="D1219" s="9" t="n">
        <v>44199</v>
      </c>
      <c r="E1219" s="10" t="n">
        <v>2564.45</v>
      </c>
      <c r="F1219" s="8" t="s">
        <v>11</v>
      </c>
      <c r="G1219" s="8" t="s">
        <v>17</v>
      </c>
      <c r="H1219" s="11" t="s">
        <v>18</v>
      </c>
      <c r="I1219" s="8" t="s">
        <v>26</v>
      </c>
    </row>
    <row r="1220" customFormat="false" ht="14.25" hidden="false" customHeight="false" outlineLevel="0" collapsed="false">
      <c r="A1220" s="8" t="n">
        <v>1219</v>
      </c>
      <c r="B1220" s="8" t="s">
        <v>66</v>
      </c>
      <c r="C1220" s="8" t="s">
        <v>21</v>
      </c>
      <c r="D1220" s="9" t="n">
        <v>44199</v>
      </c>
      <c r="E1220" s="10" t="n">
        <v>5861.6</v>
      </c>
      <c r="F1220" s="8" t="s">
        <v>11</v>
      </c>
      <c r="G1220" s="8" t="s">
        <v>12</v>
      </c>
      <c r="H1220" s="11" t="s">
        <v>13</v>
      </c>
      <c r="I1220" s="8" t="s">
        <v>26</v>
      </c>
    </row>
    <row r="1221" customFormat="false" ht="14.25" hidden="false" customHeight="false" outlineLevel="0" collapsed="false">
      <c r="A1221" s="8" t="n">
        <v>1220</v>
      </c>
      <c r="B1221" s="8" t="s">
        <v>66</v>
      </c>
      <c r="C1221" s="8" t="s">
        <v>16</v>
      </c>
      <c r="D1221" s="9" t="n">
        <v>44199</v>
      </c>
      <c r="E1221" s="10" t="n">
        <v>2564.45</v>
      </c>
      <c r="F1221" s="8" t="s">
        <v>11</v>
      </c>
      <c r="G1221" s="8" t="s">
        <v>12</v>
      </c>
      <c r="H1221" s="11" t="s">
        <v>13</v>
      </c>
      <c r="I1221" s="8" t="s">
        <v>19</v>
      </c>
    </row>
    <row r="1222" customFormat="false" ht="14.25" hidden="false" customHeight="false" outlineLevel="0" collapsed="false">
      <c r="A1222" s="8" t="n">
        <v>1221</v>
      </c>
      <c r="B1222" s="8" t="s">
        <v>66</v>
      </c>
      <c r="C1222" s="8" t="s">
        <v>28</v>
      </c>
      <c r="D1222" s="9" t="n">
        <v>44199</v>
      </c>
      <c r="E1222" s="10" t="n">
        <v>2564.45</v>
      </c>
      <c r="F1222" s="8" t="s">
        <v>11</v>
      </c>
      <c r="G1222" s="8" t="s">
        <v>12</v>
      </c>
      <c r="H1222" s="11" t="s">
        <v>13</v>
      </c>
      <c r="I1222" s="8" t="s">
        <v>14</v>
      </c>
    </row>
    <row r="1223" customFormat="false" ht="14.25" hidden="false" customHeight="false" outlineLevel="0" collapsed="false">
      <c r="A1223" s="8" t="n">
        <v>1222</v>
      </c>
      <c r="B1223" s="8" t="s">
        <v>66</v>
      </c>
      <c r="C1223" s="8" t="s">
        <v>16</v>
      </c>
      <c r="D1223" s="9" t="n">
        <v>44199</v>
      </c>
      <c r="E1223" s="10" t="n">
        <v>500861.6</v>
      </c>
      <c r="F1223" s="8" t="s">
        <v>11</v>
      </c>
      <c r="G1223" s="8" t="s">
        <v>22</v>
      </c>
      <c r="H1223" s="11" t="s">
        <v>23</v>
      </c>
      <c r="I1223" s="8" t="s">
        <v>26</v>
      </c>
    </row>
    <row r="1224" customFormat="false" ht="14.25" hidden="false" customHeight="false" outlineLevel="0" collapsed="false">
      <c r="A1224" s="8" t="n">
        <v>1223</v>
      </c>
      <c r="B1224" s="8" t="s">
        <v>66</v>
      </c>
      <c r="C1224" s="8" t="s">
        <v>28</v>
      </c>
      <c r="D1224" s="9" t="n">
        <v>44199</v>
      </c>
      <c r="E1224" s="10" t="n">
        <v>2564.45</v>
      </c>
      <c r="F1224" s="8" t="s">
        <v>11</v>
      </c>
      <c r="G1224" s="8" t="s">
        <v>36</v>
      </c>
      <c r="H1224" s="11" t="s">
        <v>37</v>
      </c>
      <c r="I1224" s="8" t="s">
        <v>24</v>
      </c>
    </row>
    <row r="1225" customFormat="false" ht="14.25" hidden="false" customHeight="false" outlineLevel="0" collapsed="false">
      <c r="A1225" s="8" t="n">
        <v>1224</v>
      </c>
      <c r="B1225" s="8" t="s">
        <v>66</v>
      </c>
      <c r="C1225" s="8" t="s">
        <v>21</v>
      </c>
      <c r="D1225" s="9" t="n">
        <v>44199</v>
      </c>
      <c r="E1225" s="10" t="n">
        <v>181633.05</v>
      </c>
      <c r="F1225" s="8" t="s">
        <v>11</v>
      </c>
      <c r="G1225" s="8" t="s">
        <v>12</v>
      </c>
      <c r="H1225" s="11" t="s">
        <v>13</v>
      </c>
      <c r="I1225" s="8" t="s">
        <v>14</v>
      </c>
    </row>
    <row r="1226" customFormat="false" ht="14.25" hidden="false" customHeight="false" outlineLevel="0" collapsed="false">
      <c r="A1226" s="8" t="n">
        <v>1225</v>
      </c>
      <c r="B1226" s="8" t="s">
        <v>66</v>
      </c>
      <c r="C1226" s="8" t="s">
        <v>28</v>
      </c>
      <c r="D1226" s="9" t="n">
        <v>44199</v>
      </c>
      <c r="E1226" s="10" t="n">
        <v>-2071.44</v>
      </c>
      <c r="F1226" s="8" t="s">
        <v>34</v>
      </c>
      <c r="G1226" s="8" t="s">
        <v>17</v>
      </c>
      <c r="H1226" s="11" t="s">
        <v>18</v>
      </c>
      <c r="I1226" s="8" t="s">
        <v>14</v>
      </c>
    </row>
    <row r="1227" customFormat="false" ht="14.25" hidden="false" customHeight="false" outlineLevel="0" collapsed="false">
      <c r="A1227" s="8" t="n">
        <v>1226</v>
      </c>
      <c r="B1227" s="8" t="s">
        <v>66</v>
      </c>
      <c r="C1227" s="8" t="s">
        <v>16</v>
      </c>
      <c r="D1227" s="9" t="n">
        <v>44199</v>
      </c>
      <c r="E1227" s="10" t="n">
        <v>4530.5</v>
      </c>
      <c r="F1227" s="8" t="s">
        <v>11</v>
      </c>
      <c r="G1227" s="8" t="s">
        <v>17</v>
      </c>
      <c r="H1227" s="11" t="s">
        <v>18</v>
      </c>
      <c r="I1227" s="8" t="s">
        <v>26</v>
      </c>
    </row>
    <row r="1228" customFormat="false" ht="14.25" hidden="false" customHeight="false" outlineLevel="0" collapsed="false">
      <c r="A1228" s="8" t="n">
        <v>1227</v>
      </c>
      <c r="B1228" s="8" t="s">
        <v>15</v>
      </c>
      <c r="C1228" s="8" t="s">
        <v>21</v>
      </c>
      <c r="D1228" s="9" t="n">
        <v>44200</v>
      </c>
      <c r="E1228" s="10" t="n">
        <v>4530.5</v>
      </c>
      <c r="F1228" s="8" t="s">
        <v>11</v>
      </c>
      <c r="G1228" s="8" t="s">
        <v>12</v>
      </c>
      <c r="H1228" s="11" t="s">
        <v>13</v>
      </c>
      <c r="I1228" s="8" t="s">
        <v>14</v>
      </c>
    </row>
    <row r="1229" customFormat="false" ht="14.25" hidden="false" customHeight="false" outlineLevel="0" collapsed="false">
      <c r="A1229" s="8" t="n">
        <v>1228</v>
      </c>
      <c r="B1229" s="8" t="s">
        <v>85</v>
      </c>
      <c r="C1229" s="8" t="s">
        <v>16</v>
      </c>
      <c r="D1229" s="9" t="n">
        <v>44202</v>
      </c>
      <c r="E1229" s="10" t="n">
        <v>2439.5</v>
      </c>
      <c r="F1229" s="8" t="s">
        <v>11</v>
      </c>
      <c r="G1229" s="8" t="s">
        <v>22</v>
      </c>
      <c r="H1229" s="11" t="s">
        <v>23</v>
      </c>
      <c r="I1229" s="8" t="s">
        <v>14</v>
      </c>
    </row>
    <row r="1230" customFormat="false" ht="14.25" hidden="false" customHeight="false" outlineLevel="0" collapsed="false">
      <c r="A1230" s="8" t="n">
        <v>1229</v>
      </c>
      <c r="B1230" s="8" t="s">
        <v>39</v>
      </c>
      <c r="C1230" s="8" t="s">
        <v>28</v>
      </c>
      <c r="D1230" s="9" t="n">
        <v>44202</v>
      </c>
      <c r="E1230" s="10" t="n">
        <v>2439.5</v>
      </c>
      <c r="F1230" s="8" t="s">
        <v>11</v>
      </c>
      <c r="G1230" s="8" t="s">
        <v>12</v>
      </c>
      <c r="H1230" s="11" t="s">
        <v>13</v>
      </c>
      <c r="I1230" s="8" t="s">
        <v>14</v>
      </c>
    </row>
    <row r="1231" customFormat="false" ht="14.25" hidden="false" customHeight="false" outlineLevel="0" collapsed="false">
      <c r="A1231" s="8" t="n">
        <v>1230</v>
      </c>
      <c r="B1231" s="8" t="s">
        <v>39</v>
      </c>
      <c r="C1231" s="8" t="s">
        <v>16</v>
      </c>
      <c r="D1231" s="9" t="n">
        <v>44202</v>
      </c>
      <c r="E1231" s="10" t="n">
        <v>3948.59</v>
      </c>
      <c r="F1231" s="8" t="s">
        <v>11</v>
      </c>
      <c r="G1231" s="8" t="s">
        <v>12</v>
      </c>
      <c r="H1231" s="11" t="s">
        <v>13</v>
      </c>
      <c r="I1231" s="8" t="s">
        <v>14</v>
      </c>
    </row>
    <row r="1232" customFormat="false" ht="14.25" hidden="false" customHeight="false" outlineLevel="0" collapsed="false">
      <c r="A1232" s="8" t="n">
        <v>1231</v>
      </c>
      <c r="B1232" s="8" t="s">
        <v>50</v>
      </c>
      <c r="C1232" s="8" t="s">
        <v>16</v>
      </c>
      <c r="D1232" s="9" t="n">
        <v>44204</v>
      </c>
      <c r="E1232" s="10" t="n">
        <v>3937.06</v>
      </c>
      <c r="F1232" s="8" t="s">
        <v>11</v>
      </c>
      <c r="G1232" s="8" t="s">
        <v>17</v>
      </c>
      <c r="H1232" s="11" t="s">
        <v>18</v>
      </c>
      <c r="I1232" s="8" t="s">
        <v>14</v>
      </c>
    </row>
    <row r="1233" customFormat="false" ht="14.25" hidden="false" customHeight="false" outlineLevel="0" collapsed="false">
      <c r="A1233" s="8" t="n">
        <v>1232</v>
      </c>
      <c r="B1233" s="8" t="s">
        <v>85</v>
      </c>
      <c r="C1233" s="8" t="s">
        <v>21</v>
      </c>
      <c r="D1233" s="9" t="n">
        <v>44204</v>
      </c>
      <c r="E1233" s="10" t="n">
        <v>-28993.69</v>
      </c>
      <c r="F1233" s="8" t="s">
        <v>34</v>
      </c>
      <c r="G1233" s="8" t="s">
        <v>12</v>
      </c>
      <c r="H1233" s="11" t="s">
        <v>13</v>
      </c>
      <c r="I1233" s="8" t="s">
        <v>14</v>
      </c>
    </row>
    <row r="1234" customFormat="false" ht="14.25" hidden="false" customHeight="false" outlineLevel="0" collapsed="false">
      <c r="A1234" s="8" t="n">
        <v>1233</v>
      </c>
      <c r="B1234" s="8" t="s">
        <v>85</v>
      </c>
      <c r="C1234" s="8" t="s">
        <v>28</v>
      </c>
      <c r="D1234" s="9" t="n">
        <v>44204</v>
      </c>
      <c r="E1234" s="10" t="n">
        <v>-775500.39</v>
      </c>
      <c r="F1234" s="8" t="s">
        <v>34</v>
      </c>
      <c r="G1234" s="8" t="s">
        <v>17</v>
      </c>
      <c r="H1234" s="11" t="s">
        <v>18</v>
      </c>
      <c r="I1234" s="8" t="s">
        <v>14</v>
      </c>
    </row>
    <row r="1235" customFormat="false" ht="14.25" hidden="false" customHeight="false" outlineLevel="0" collapsed="false">
      <c r="A1235" s="8" t="n">
        <v>1234</v>
      </c>
      <c r="B1235" s="8" t="s">
        <v>86</v>
      </c>
      <c r="C1235" s="8" t="s">
        <v>21</v>
      </c>
      <c r="D1235" s="9" t="n">
        <v>44205</v>
      </c>
      <c r="E1235" s="10" t="n">
        <v>2872.26</v>
      </c>
      <c r="F1235" s="8" t="s">
        <v>11</v>
      </c>
      <c r="G1235" s="8" t="s">
        <v>30</v>
      </c>
      <c r="H1235" s="11" t="s">
        <v>31</v>
      </c>
      <c r="I1235" s="8" t="s">
        <v>14</v>
      </c>
    </row>
    <row r="1236" customFormat="false" ht="14.25" hidden="false" customHeight="false" outlineLevel="0" collapsed="false">
      <c r="A1236" s="8" t="n">
        <v>1235</v>
      </c>
      <c r="B1236" s="8" t="s">
        <v>72</v>
      </c>
      <c r="C1236" s="8" t="s">
        <v>28</v>
      </c>
      <c r="D1236" s="9" t="n">
        <v>44205</v>
      </c>
      <c r="E1236" s="10" t="n">
        <v>-16072.04</v>
      </c>
      <c r="F1236" s="8" t="s">
        <v>34</v>
      </c>
      <c r="G1236" s="8" t="s">
        <v>30</v>
      </c>
      <c r="H1236" s="11" t="s">
        <v>31</v>
      </c>
      <c r="I1236" s="8" t="s">
        <v>14</v>
      </c>
    </row>
    <row r="1237" customFormat="false" ht="14.25" hidden="false" customHeight="false" outlineLevel="0" collapsed="false">
      <c r="A1237" s="8" t="n">
        <v>1236</v>
      </c>
      <c r="B1237" s="8" t="s">
        <v>44</v>
      </c>
      <c r="C1237" s="8" t="s">
        <v>16</v>
      </c>
      <c r="D1237" s="9" t="n">
        <v>44205</v>
      </c>
      <c r="E1237" s="10" t="n">
        <v>3309.87</v>
      </c>
      <c r="F1237" s="8" t="s">
        <v>11</v>
      </c>
      <c r="G1237" s="8" t="s">
        <v>36</v>
      </c>
      <c r="H1237" s="11" t="s">
        <v>37</v>
      </c>
      <c r="I1237" s="8" t="s">
        <v>24</v>
      </c>
    </row>
    <row r="1238" customFormat="false" ht="14.25" hidden="false" customHeight="false" outlineLevel="0" collapsed="false">
      <c r="A1238" s="8" t="n">
        <v>1237</v>
      </c>
      <c r="B1238" s="8" t="s">
        <v>44</v>
      </c>
      <c r="C1238" s="8" t="s">
        <v>21</v>
      </c>
      <c r="D1238" s="9" t="n">
        <v>44205</v>
      </c>
      <c r="E1238" s="10" t="n">
        <v>16632.96</v>
      </c>
      <c r="F1238" s="8" t="s">
        <v>11</v>
      </c>
      <c r="G1238" s="8" t="s">
        <v>17</v>
      </c>
      <c r="H1238" s="11" t="s">
        <v>18</v>
      </c>
      <c r="I1238" s="8" t="s">
        <v>26</v>
      </c>
    </row>
    <row r="1239" customFormat="false" ht="14.25" hidden="false" customHeight="false" outlineLevel="0" collapsed="false">
      <c r="A1239" s="8" t="n">
        <v>1238</v>
      </c>
      <c r="B1239" s="8" t="s">
        <v>72</v>
      </c>
      <c r="C1239" s="8" t="s">
        <v>21</v>
      </c>
      <c r="D1239" s="9" t="n">
        <v>44205</v>
      </c>
      <c r="E1239" s="10" t="n">
        <v>3761.99</v>
      </c>
      <c r="F1239" s="8" t="s">
        <v>11</v>
      </c>
      <c r="G1239" s="8" t="s">
        <v>17</v>
      </c>
      <c r="H1239" s="11" t="s">
        <v>18</v>
      </c>
      <c r="I1239" s="8" t="s">
        <v>14</v>
      </c>
    </row>
    <row r="1240" customFormat="false" ht="14.25" hidden="false" customHeight="false" outlineLevel="0" collapsed="false">
      <c r="A1240" s="8" t="n">
        <v>1239</v>
      </c>
      <c r="B1240" s="8" t="s">
        <v>47</v>
      </c>
      <c r="C1240" s="8" t="s">
        <v>21</v>
      </c>
      <c r="D1240" s="9" t="n">
        <v>44205</v>
      </c>
      <c r="E1240" s="10" t="n">
        <v>16893.06</v>
      </c>
      <c r="F1240" s="8" t="s">
        <v>11</v>
      </c>
      <c r="G1240" s="8" t="s">
        <v>36</v>
      </c>
      <c r="H1240" s="11" t="s">
        <v>37</v>
      </c>
      <c r="I1240" s="8" t="s">
        <v>26</v>
      </c>
    </row>
    <row r="1241" customFormat="false" ht="14.25" hidden="false" customHeight="false" outlineLevel="0" collapsed="false">
      <c r="A1241" s="8" t="n">
        <v>1240</v>
      </c>
      <c r="B1241" s="8" t="s">
        <v>47</v>
      </c>
      <c r="C1241" s="8" t="s">
        <v>16</v>
      </c>
      <c r="D1241" s="9" t="n">
        <v>44205</v>
      </c>
      <c r="E1241" s="10" t="n">
        <v>2962.97</v>
      </c>
      <c r="F1241" s="8" t="s">
        <v>11</v>
      </c>
      <c r="G1241" s="8" t="s">
        <v>30</v>
      </c>
      <c r="H1241" s="11" t="s">
        <v>31</v>
      </c>
      <c r="I1241" s="8" t="s">
        <v>14</v>
      </c>
    </row>
    <row r="1242" customFormat="false" ht="14.25" hidden="false" customHeight="false" outlineLevel="0" collapsed="false">
      <c r="A1242" s="8" t="n">
        <v>1241</v>
      </c>
      <c r="B1242" s="8" t="s">
        <v>145</v>
      </c>
      <c r="C1242" s="8" t="s">
        <v>10</v>
      </c>
      <c r="D1242" s="9" t="n">
        <v>44206</v>
      </c>
      <c r="E1242" s="10" t="n">
        <v>16091.45</v>
      </c>
      <c r="F1242" s="8" t="s">
        <v>11</v>
      </c>
      <c r="G1242" s="8" t="s">
        <v>12</v>
      </c>
      <c r="H1242" s="11" t="s">
        <v>13</v>
      </c>
      <c r="I1242" s="8" t="s">
        <v>19</v>
      </c>
    </row>
    <row r="1243" customFormat="false" ht="14.25" hidden="false" customHeight="false" outlineLevel="0" collapsed="false">
      <c r="A1243" s="8" t="n">
        <v>1242</v>
      </c>
      <c r="B1243" s="8" t="s">
        <v>79</v>
      </c>
      <c r="C1243" s="8" t="s">
        <v>28</v>
      </c>
      <c r="D1243" s="9" t="n">
        <v>44206</v>
      </c>
      <c r="E1243" s="10" t="n">
        <v>3654.5</v>
      </c>
      <c r="F1243" s="8" t="s">
        <v>11</v>
      </c>
      <c r="G1243" s="8" t="s">
        <v>22</v>
      </c>
      <c r="H1243" s="11" t="s">
        <v>23</v>
      </c>
      <c r="I1243" s="8" t="s">
        <v>14</v>
      </c>
    </row>
    <row r="1244" customFormat="false" ht="14.25" hidden="false" customHeight="false" outlineLevel="0" collapsed="false">
      <c r="A1244" s="8" t="n">
        <v>1243</v>
      </c>
      <c r="B1244" s="8" t="s">
        <v>57</v>
      </c>
      <c r="C1244" s="8" t="s">
        <v>16</v>
      </c>
      <c r="D1244" s="9" t="n">
        <v>44206</v>
      </c>
      <c r="E1244" s="10" t="n">
        <v>16917.94</v>
      </c>
      <c r="F1244" s="8" t="s">
        <v>11</v>
      </c>
      <c r="G1244" s="8" t="s">
        <v>12</v>
      </c>
      <c r="H1244" s="11" t="s">
        <v>13</v>
      </c>
      <c r="I1244" s="8" t="s">
        <v>19</v>
      </c>
    </row>
    <row r="1245" customFormat="false" ht="14.25" hidden="false" customHeight="false" outlineLevel="0" collapsed="false">
      <c r="A1245" s="8" t="n">
        <v>1244</v>
      </c>
      <c r="B1245" s="8" t="s">
        <v>45</v>
      </c>
      <c r="C1245" s="8" t="s">
        <v>10</v>
      </c>
      <c r="D1245" s="9" t="n">
        <v>44206</v>
      </c>
      <c r="E1245" s="10" t="n">
        <v>158494.97</v>
      </c>
      <c r="F1245" s="8" t="s">
        <v>11</v>
      </c>
      <c r="G1245" s="8" t="s">
        <v>22</v>
      </c>
      <c r="H1245" s="11" t="s">
        <v>23</v>
      </c>
      <c r="I1245" s="8" t="s">
        <v>24</v>
      </c>
    </row>
    <row r="1246" customFormat="false" ht="14.25" hidden="false" customHeight="false" outlineLevel="0" collapsed="false">
      <c r="A1246" s="8" t="n">
        <v>1245</v>
      </c>
      <c r="B1246" s="8" t="s">
        <v>57</v>
      </c>
      <c r="C1246" s="8" t="s">
        <v>28</v>
      </c>
      <c r="D1246" s="9" t="n">
        <v>44206</v>
      </c>
      <c r="E1246" s="10" t="n">
        <v>-5731.08</v>
      </c>
      <c r="F1246" s="8" t="s">
        <v>34</v>
      </c>
      <c r="G1246" s="8" t="s">
        <v>12</v>
      </c>
      <c r="H1246" s="11" t="s">
        <v>13</v>
      </c>
      <c r="I1246" s="8" t="s">
        <v>19</v>
      </c>
    </row>
    <row r="1247" customFormat="false" ht="14.25" hidden="false" customHeight="false" outlineLevel="0" collapsed="false">
      <c r="A1247" s="8" t="n">
        <v>1246</v>
      </c>
      <c r="B1247" s="8" t="s">
        <v>79</v>
      </c>
      <c r="C1247" s="8" t="s">
        <v>28</v>
      </c>
      <c r="D1247" s="9" t="n">
        <v>44206</v>
      </c>
      <c r="E1247" s="10" t="n">
        <v>-515.69</v>
      </c>
      <c r="F1247" s="8" t="s">
        <v>34</v>
      </c>
      <c r="G1247" s="8" t="s">
        <v>17</v>
      </c>
      <c r="H1247" s="11" t="s">
        <v>18</v>
      </c>
      <c r="I1247" s="8" t="s">
        <v>14</v>
      </c>
    </row>
    <row r="1248" customFormat="false" ht="14.25" hidden="false" customHeight="false" outlineLevel="0" collapsed="false">
      <c r="A1248" s="8" t="n">
        <v>1247</v>
      </c>
      <c r="B1248" s="8" t="s">
        <v>45</v>
      </c>
      <c r="C1248" s="8" t="s">
        <v>21</v>
      </c>
      <c r="D1248" s="9" t="n">
        <v>44206</v>
      </c>
      <c r="E1248" s="10" t="n">
        <v>-749.21</v>
      </c>
      <c r="F1248" s="8" t="s">
        <v>34</v>
      </c>
      <c r="G1248" s="8" t="s">
        <v>12</v>
      </c>
      <c r="H1248" s="11" t="s">
        <v>13</v>
      </c>
      <c r="I1248" s="8" t="s">
        <v>14</v>
      </c>
    </row>
    <row r="1249" customFormat="false" ht="14.25" hidden="false" customHeight="false" outlineLevel="0" collapsed="false">
      <c r="A1249" s="8" t="n">
        <v>1248</v>
      </c>
      <c r="B1249" s="8" t="s">
        <v>15</v>
      </c>
      <c r="C1249" s="8" t="s">
        <v>16</v>
      </c>
      <c r="D1249" s="9" t="n">
        <v>44207</v>
      </c>
      <c r="E1249" s="10" t="n">
        <v>-6850.83</v>
      </c>
      <c r="F1249" s="8" t="s">
        <v>34</v>
      </c>
      <c r="G1249" s="8" t="s">
        <v>36</v>
      </c>
      <c r="H1249" s="11" t="s">
        <v>37</v>
      </c>
      <c r="I1249" s="8" t="s">
        <v>14</v>
      </c>
    </row>
    <row r="1250" customFormat="false" ht="14.25" hidden="false" customHeight="false" outlineLevel="0" collapsed="false">
      <c r="A1250" s="8" t="n">
        <v>1249</v>
      </c>
      <c r="B1250" s="8" t="s">
        <v>33</v>
      </c>
      <c r="C1250" s="8" t="s">
        <v>28</v>
      </c>
      <c r="D1250" s="9" t="n">
        <v>44208</v>
      </c>
      <c r="E1250" s="10" t="n">
        <v>-54094.78</v>
      </c>
      <c r="F1250" s="8" t="s">
        <v>34</v>
      </c>
      <c r="G1250" s="8" t="s">
        <v>36</v>
      </c>
      <c r="H1250" s="11" t="s">
        <v>37</v>
      </c>
      <c r="I1250" s="8" t="s">
        <v>14</v>
      </c>
    </row>
    <row r="1251" customFormat="false" ht="14.25" hidden="false" customHeight="false" outlineLevel="0" collapsed="false">
      <c r="A1251" s="8" t="n">
        <v>1250</v>
      </c>
      <c r="B1251" s="8" t="s">
        <v>33</v>
      </c>
      <c r="C1251" s="8" t="s">
        <v>28</v>
      </c>
      <c r="D1251" s="9" t="n">
        <v>44208</v>
      </c>
      <c r="E1251" s="10" t="n">
        <v>4937.31</v>
      </c>
      <c r="F1251" s="8" t="s">
        <v>11</v>
      </c>
      <c r="G1251" s="8" t="s">
        <v>12</v>
      </c>
      <c r="H1251" s="11" t="s">
        <v>13</v>
      </c>
      <c r="I1251" s="8" t="s">
        <v>26</v>
      </c>
    </row>
    <row r="1252" customFormat="false" ht="14.25" hidden="false" customHeight="false" outlineLevel="0" collapsed="false">
      <c r="A1252" s="8" t="n">
        <v>1251</v>
      </c>
      <c r="B1252" s="8" t="s">
        <v>33</v>
      </c>
      <c r="C1252" s="8" t="s">
        <v>10</v>
      </c>
      <c r="D1252" s="9" t="n">
        <v>44208</v>
      </c>
      <c r="E1252" s="10" t="n">
        <v>148265.85</v>
      </c>
      <c r="F1252" s="8" t="s">
        <v>11</v>
      </c>
      <c r="G1252" s="8" t="s">
        <v>36</v>
      </c>
      <c r="H1252" s="11" t="s">
        <v>37</v>
      </c>
      <c r="I1252" s="8" t="s">
        <v>26</v>
      </c>
    </row>
    <row r="1253" customFormat="false" ht="14.25" hidden="false" customHeight="false" outlineLevel="0" collapsed="false">
      <c r="A1253" s="8" t="n">
        <v>1252</v>
      </c>
      <c r="B1253" s="8" t="s">
        <v>33</v>
      </c>
      <c r="C1253" s="8" t="s">
        <v>21</v>
      </c>
      <c r="D1253" s="9" t="n">
        <v>44208</v>
      </c>
      <c r="E1253" s="10" t="n">
        <v>16392.99</v>
      </c>
      <c r="F1253" s="8" t="s">
        <v>11</v>
      </c>
      <c r="G1253" s="8" t="s">
        <v>12</v>
      </c>
      <c r="H1253" s="11" t="s">
        <v>13</v>
      </c>
      <c r="I1253" s="8" t="s">
        <v>14</v>
      </c>
    </row>
    <row r="1254" customFormat="false" ht="14.25" hidden="false" customHeight="false" outlineLevel="0" collapsed="false">
      <c r="A1254" s="8" t="n">
        <v>1253</v>
      </c>
      <c r="B1254" s="8" t="s">
        <v>33</v>
      </c>
      <c r="C1254" s="8" t="s">
        <v>10</v>
      </c>
      <c r="D1254" s="9" t="n">
        <v>44208</v>
      </c>
      <c r="E1254" s="10" t="n">
        <v>14717.48</v>
      </c>
      <c r="F1254" s="8" t="s">
        <v>11</v>
      </c>
      <c r="G1254" s="8" t="s">
        <v>12</v>
      </c>
      <c r="H1254" s="11" t="s">
        <v>13</v>
      </c>
      <c r="I1254" s="8" t="s">
        <v>19</v>
      </c>
    </row>
    <row r="1255" customFormat="false" ht="14.25" hidden="false" customHeight="false" outlineLevel="0" collapsed="false">
      <c r="A1255" s="8" t="n">
        <v>1254</v>
      </c>
      <c r="B1255" s="8" t="s">
        <v>39</v>
      </c>
      <c r="C1255" s="8" t="s">
        <v>10</v>
      </c>
      <c r="D1255" s="9" t="n">
        <v>44209</v>
      </c>
      <c r="E1255" s="10" t="n">
        <v>166763.62</v>
      </c>
      <c r="F1255" s="8" t="s">
        <v>11</v>
      </c>
      <c r="G1255" s="8" t="s">
        <v>17</v>
      </c>
      <c r="H1255" s="11" t="s">
        <v>18</v>
      </c>
      <c r="I1255" s="8" t="s">
        <v>14</v>
      </c>
    </row>
    <row r="1256" customFormat="false" ht="14.25" hidden="false" customHeight="false" outlineLevel="0" collapsed="false">
      <c r="A1256" s="8" t="n">
        <v>1255</v>
      </c>
      <c r="B1256" s="8" t="s">
        <v>58</v>
      </c>
      <c r="C1256" s="8" t="s">
        <v>28</v>
      </c>
      <c r="D1256" s="9" t="n">
        <v>44211</v>
      </c>
      <c r="E1256" s="10" t="n">
        <v>147956.52</v>
      </c>
      <c r="F1256" s="8" t="s">
        <v>11</v>
      </c>
      <c r="G1256" s="8" t="s">
        <v>12</v>
      </c>
      <c r="H1256" s="11" t="s">
        <v>13</v>
      </c>
      <c r="I1256" s="8" t="s">
        <v>24</v>
      </c>
    </row>
    <row r="1257" customFormat="false" ht="14.25" hidden="false" customHeight="false" outlineLevel="0" collapsed="false">
      <c r="A1257" s="8" t="n">
        <v>1256</v>
      </c>
      <c r="B1257" s="8" t="s">
        <v>58</v>
      </c>
      <c r="C1257" s="8" t="s">
        <v>10</v>
      </c>
      <c r="D1257" s="9" t="n">
        <v>44211</v>
      </c>
      <c r="E1257" s="10" t="n">
        <v>13993.22</v>
      </c>
      <c r="F1257" s="8" t="s">
        <v>11</v>
      </c>
      <c r="G1257" s="8" t="s">
        <v>12</v>
      </c>
      <c r="H1257" s="11" t="s">
        <v>13</v>
      </c>
      <c r="I1257" s="8" t="s">
        <v>14</v>
      </c>
    </row>
    <row r="1258" customFormat="false" ht="14.25" hidden="false" customHeight="false" outlineLevel="0" collapsed="false">
      <c r="A1258" s="8" t="n">
        <v>1257</v>
      </c>
      <c r="B1258" s="8" t="s">
        <v>58</v>
      </c>
      <c r="C1258" s="8" t="s">
        <v>16</v>
      </c>
      <c r="D1258" s="9" t="n">
        <v>44211</v>
      </c>
      <c r="E1258" s="10" t="n">
        <v>-36989.86</v>
      </c>
      <c r="F1258" s="8" t="s">
        <v>34</v>
      </c>
      <c r="G1258" s="8" t="s">
        <v>36</v>
      </c>
      <c r="H1258" s="11" t="s">
        <v>37</v>
      </c>
      <c r="I1258" s="8" t="s">
        <v>14</v>
      </c>
    </row>
    <row r="1259" customFormat="false" ht="14.25" hidden="false" customHeight="false" outlineLevel="0" collapsed="false">
      <c r="A1259" s="8" t="n">
        <v>1258</v>
      </c>
      <c r="B1259" s="8" t="s">
        <v>58</v>
      </c>
      <c r="C1259" s="8" t="s">
        <v>21</v>
      </c>
      <c r="D1259" s="9" t="n">
        <v>44211</v>
      </c>
      <c r="E1259" s="10" t="n">
        <v>-58333.24</v>
      </c>
      <c r="F1259" s="8" t="s">
        <v>34</v>
      </c>
      <c r="G1259" s="8" t="s">
        <v>12</v>
      </c>
      <c r="H1259" s="11" t="s">
        <v>13</v>
      </c>
      <c r="I1259" s="8" t="s">
        <v>14</v>
      </c>
    </row>
    <row r="1260" customFormat="false" ht="14.25" hidden="false" customHeight="false" outlineLevel="0" collapsed="false">
      <c r="A1260" s="8" t="n">
        <v>1259</v>
      </c>
      <c r="B1260" s="8" t="s">
        <v>39</v>
      </c>
      <c r="C1260" s="8" t="s">
        <v>10</v>
      </c>
      <c r="D1260" s="9" t="n">
        <v>44211</v>
      </c>
      <c r="E1260" s="10" t="n">
        <v>-25832.59</v>
      </c>
      <c r="F1260" s="8" t="s">
        <v>34</v>
      </c>
      <c r="G1260" s="8" t="s">
        <v>17</v>
      </c>
      <c r="H1260" s="11" t="s">
        <v>18</v>
      </c>
      <c r="I1260" s="8" t="s">
        <v>19</v>
      </c>
    </row>
    <row r="1261" customFormat="false" ht="14.25" hidden="false" customHeight="false" outlineLevel="0" collapsed="false">
      <c r="A1261" s="8" t="n">
        <v>1260</v>
      </c>
      <c r="B1261" s="8" t="s">
        <v>58</v>
      </c>
      <c r="C1261" s="8" t="s">
        <v>16</v>
      </c>
      <c r="D1261" s="9" t="n">
        <v>44211</v>
      </c>
      <c r="E1261" s="10" t="n">
        <v>-11882.92</v>
      </c>
      <c r="F1261" s="8" t="s">
        <v>34</v>
      </c>
      <c r="G1261" s="8" t="s">
        <v>12</v>
      </c>
      <c r="H1261" s="11" t="s">
        <v>13</v>
      </c>
      <c r="I1261" s="8" t="s">
        <v>14</v>
      </c>
    </row>
    <row r="1262" customFormat="false" ht="14.25" hidden="false" customHeight="false" outlineLevel="0" collapsed="false">
      <c r="A1262" s="8" t="n">
        <v>1261</v>
      </c>
      <c r="B1262" s="8" t="s">
        <v>58</v>
      </c>
      <c r="C1262" s="8" t="s">
        <v>28</v>
      </c>
      <c r="D1262" s="9" t="n">
        <v>44211</v>
      </c>
      <c r="E1262" s="10" t="n">
        <v>-23030.18</v>
      </c>
      <c r="F1262" s="8" t="s">
        <v>34</v>
      </c>
      <c r="G1262" s="8" t="s">
        <v>12</v>
      </c>
      <c r="H1262" s="11" t="s">
        <v>13</v>
      </c>
      <c r="I1262" s="8" t="s">
        <v>24</v>
      </c>
    </row>
    <row r="1263" customFormat="false" ht="14.25" hidden="false" customHeight="false" outlineLevel="0" collapsed="false">
      <c r="A1263" s="8" t="n">
        <v>1262</v>
      </c>
      <c r="B1263" s="8" t="s">
        <v>40</v>
      </c>
      <c r="C1263" s="8" t="s">
        <v>21</v>
      </c>
      <c r="D1263" s="9" t="n">
        <v>44212</v>
      </c>
      <c r="E1263" s="10" t="n">
        <v>-11606.49</v>
      </c>
      <c r="F1263" s="8" t="s">
        <v>34</v>
      </c>
      <c r="G1263" s="8" t="s">
        <v>12</v>
      </c>
      <c r="H1263" s="11" t="s">
        <v>13</v>
      </c>
      <c r="I1263" s="8" t="s">
        <v>26</v>
      </c>
    </row>
    <row r="1264" customFormat="false" ht="14.25" hidden="false" customHeight="false" outlineLevel="0" collapsed="false">
      <c r="A1264" s="8" t="n">
        <v>1263</v>
      </c>
      <c r="B1264" s="8" t="s">
        <v>61</v>
      </c>
      <c r="C1264" s="8" t="s">
        <v>21</v>
      </c>
      <c r="D1264" s="9" t="n">
        <v>44212</v>
      </c>
      <c r="E1264" s="10" t="n">
        <v>-563.26</v>
      </c>
      <c r="F1264" s="8" t="s">
        <v>34</v>
      </c>
      <c r="G1264" s="8" t="s">
        <v>17</v>
      </c>
      <c r="H1264" s="11" t="s">
        <v>18</v>
      </c>
      <c r="I1264" s="8" t="s">
        <v>26</v>
      </c>
    </row>
    <row r="1265" customFormat="false" ht="14.25" hidden="false" customHeight="false" outlineLevel="0" collapsed="false">
      <c r="A1265" s="8" t="n">
        <v>1264</v>
      </c>
      <c r="B1265" s="8" t="s">
        <v>62</v>
      </c>
      <c r="C1265" s="8" t="s">
        <v>21</v>
      </c>
      <c r="D1265" s="9" t="n">
        <v>44212</v>
      </c>
      <c r="E1265" s="10" t="n">
        <v>185531.75</v>
      </c>
      <c r="F1265" s="8" t="s">
        <v>11</v>
      </c>
      <c r="G1265" s="8" t="s">
        <v>36</v>
      </c>
      <c r="H1265" s="11" t="s">
        <v>37</v>
      </c>
      <c r="I1265" s="8" t="s">
        <v>26</v>
      </c>
    </row>
    <row r="1266" customFormat="false" ht="14.25" hidden="false" customHeight="false" outlineLevel="0" collapsed="false">
      <c r="A1266" s="8" t="n">
        <v>1265</v>
      </c>
      <c r="B1266" s="8" t="s">
        <v>61</v>
      </c>
      <c r="C1266" s="8" t="s">
        <v>10</v>
      </c>
      <c r="D1266" s="9" t="n">
        <v>44212</v>
      </c>
      <c r="E1266" s="10" t="n">
        <v>-32026.82</v>
      </c>
      <c r="F1266" s="8" t="s">
        <v>34</v>
      </c>
      <c r="G1266" s="8" t="s">
        <v>17</v>
      </c>
      <c r="H1266" s="11" t="s">
        <v>18</v>
      </c>
      <c r="I1266" s="8" t="s">
        <v>14</v>
      </c>
    </row>
    <row r="1267" customFormat="false" ht="14.25" hidden="false" customHeight="false" outlineLevel="0" collapsed="false">
      <c r="A1267" s="8" t="n">
        <v>1266</v>
      </c>
      <c r="B1267" s="8" t="s">
        <v>62</v>
      </c>
      <c r="C1267" s="8" t="s">
        <v>28</v>
      </c>
      <c r="D1267" s="9" t="n">
        <v>44212</v>
      </c>
      <c r="E1267" s="10" t="n">
        <v>-2512.51</v>
      </c>
      <c r="F1267" s="8" t="s">
        <v>34</v>
      </c>
      <c r="G1267" s="8" t="s">
        <v>17</v>
      </c>
      <c r="H1267" s="11" t="s">
        <v>18</v>
      </c>
      <c r="I1267" s="8" t="s">
        <v>14</v>
      </c>
    </row>
    <row r="1268" customFormat="false" ht="14.25" hidden="false" customHeight="false" outlineLevel="0" collapsed="false">
      <c r="A1268" s="8" t="n">
        <v>1267</v>
      </c>
      <c r="B1268" s="8" t="s">
        <v>49</v>
      </c>
      <c r="C1268" s="8" t="s">
        <v>21</v>
      </c>
      <c r="D1268" s="9" t="n">
        <v>44212</v>
      </c>
      <c r="E1268" s="10" t="n">
        <v>-587.13</v>
      </c>
      <c r="F1268" s="8" t="s">
        <v>34</v>
      </c>
      <c r="G1268" s="8" t="s">
        <v>12</v>
      </c>
      <c r="H1268" s="11" t="s">
        <v>13</v>
      </c>
      <c r="I1268" s="8" t="s">
        <v>19</v>
      </c>
    </row>
    <row r="1269" customFormat="false" ht="14.25" hidden="false" customHeight="false" outlineLevel="0" collapsed="false">
      <c r="A1269" s="8" t="n">
        <v>1268</v>
      </c>
      <c r="B1269" s="8" t="s">
        <v>61</v>
      </c>
      <c r="C1269" s="8" t="s">
        <v>21</v>
      </c>
      <c r="D1269" s="9" t="n">
        <v>44212</v>
      </c>
      <c r="E1269" s="10" t="n">
        <v>-6505.56</v>
      </c>
      <c r="F1269" s="8" t="s">
        <v>34</v>
      </c>
      <c r="G1269" s="8" t="s">
        <v>12</v>
      </c>
      <c r="H1269" s="11" t="s">
        <v>13</v>
      </c>
      <c r="I1269" s="8" t="s">
        <v>14</v>
      </c>
    </row>
    <row r="1270" customFormat="false" ht="14.25" hidden="false" customHeight="false" outlineLevel="0" collapsed="false">
      <c r="A1270" s="8" t="n">
        <v>1269</v>
      </c>
      <c r="B1270" s="8" t="s">
        <v>62</v>
      </c>
      <c r="C1270" s="8" t="s">
        <v>10</v>
      </c>
      <c r="D1270" s="9" t="n">
        <v>44212</v>
      </c>
      <c r="E1270" s="10" t="n">
        <v>-7068.6</v>
      </c>
      <c r="F1270" s="8" t="s">
        <v>34</v>
      </c>
      <c r="G1270" s="8" t="s">
        <v>17</v>
      </c>
      <c r="H1270" s="11" t="s">
        <v>18</v>
      </c>
      <c r="I1270" s="8" t="s">
        <v>14</v>
      </c>
    </row>
    <row r="1271" customFormat="false" ht="14.25" hidden="false" customHeight="false" outlineLevel="0" collapsed="false">
      <c r="A1271" s="8" t="n">
        <v>1270</v>
      </c>
      <c r="B1271" s="8" t="s">
        <v>51</v>
      </c>
      <c r="C1271" s="8" t="s">
        <v>16</v>
      </c>
      <c r="D1271" s="9" t="n">
        <v>44213</v>
      </c>
      <c r="E1271" s="10" t="n">
        <v>-8019.62</v>
      </c>
      <c r="F1271" s="8" t="s">
        <v>34</v>
      </c>
      <c r="G1271" s="8" t="s">
        <v>30</v>
      </c>
      <c r="H1271" s="11" t="s">
        <v>31</v>
      </c>
      <c r="I1271" s="8" t="s">
        <v>26</v>
      </c>
    </row>
    <row r="1272" customFormat="false" ht="14.25" hidden="false" customHeight="false" outlineLevel="0" collapsed="false">
      <c r="A1272" s="8" t="n">
        <v>1271</v>
      </c>
      <c r="B1272" s="8" t="s">
        <v>39</v>
      </c>
      <c r="C1272" s="8" t="s">
        <v>10</v>
      </c>
      <c r="D1272" s="9" t="n">
        <v>44213</v>
      </c>
      <c r="E1272" s="10" t="n">
        <v>4684.62</v>
      </c>
      <c r="F1272" s="8" t="s">
        <v>11</v>
      </c>
      <c r="G1272" s="8" t="s">
        <v>12</v>
      </c>
      <c r="H1272" s="11" t="s">
        <v>13</v>
      </c>
      <c r="I1272" s="8" t="s">
        <v>24</v>
      </c>
    </row>
    <row r="1273" customFormat="false" ht="14.25" hidden="false" customHeight="false" outlineLevel="0" collapsed="false">
      <c r="A1273" s="8" t="n">
        <v>1272</v>
      </c>
      <c r="B1273" s="8" t="s">
        <v>58</v>
      </c>
      <c r="C1273" s="8" t="s">
        <v>10</v>
      </c>
      <c r="D1273" s="9" t="n">
        <v>44213</v>
      </c>
      <c r="E1273" s="10" t="n">
        <v>37824.02</v>
      </c>
      <c r="F1273" s="8" t="s">
        <v>11</v>
      </c>
      <c r="G1273" s="8" t="s">
        <v>12</v>
      </c>
      <c r="H1273" s="11" t="s">
        <v>13</v>
      </c>
      <c r="I1273" s="8" t="s">
        <v>14</v>
      </c>
    </row>
    <row r="1274" customFormat="false" ht="14.25" hidden="false" customHeight="false" outlineLevel="0" collapsed="false">
      <c r="A1274" s="8" t="n">
        <v>1273</v>
      </c>
      <c r="B1274" s="8" t="s">
        <v>58</v>
      </c>
      <c r="C1274" s="8" t="s">
        <v>28</v>
      </c>
      <c r="D1274" s="9" t="n">
        <v>44213</v>
      </c>
      <c r="E1274" s="10" t="n">
        <v>37049.79</v>
      </c>
      <c r="F1274" s="8" t="s">
        <v>11</v>
      </c>
      <c r="G1274" s="8" t="s">
        <v>12</v>
      </c>
      <c r="H1274" s="11" t="s">
        <v>13</v>
      </c>
      <c r="I1274" s="8" t="s">
        <v>14</v>
      </c>
    </row>
    <row r="1275" customFormat="false" ht="14.25" hidden="false" customHeight="false" outlineLevel="0" collapsed="false">
      <c r="A1275" s="8" t="n">
        <v>1274</v>
      </c>
      <c r="B1275" s="8" t="s">
        <v>58</v>
      </c>
      <c r="C1275" s="8" t="s">
        <v>16</v>
      </c>
      <c r="D1275" s="9" t="n">
        <v>44213</v>
      </c>
      <c r="E1275" s="10" t="n">
        <v>35956.33</v>
      </c>
      <c r="F1275" s="8" t="s">
        <v>11</v>
      </c>
      <c r="G1275" s="8" t="s">
        <v>17</v>
      </c>
      <c r="H1275" s="11" t="s">
        <v>18</v>
      </c>
      <c r="I1275" s="8" t="s">
        <v>26</v>
      </c>
    </row>
    <row r="1276" customFormat="false" ht="14.25" hidden="false" customHeight="false" outlineLevel="0" collapsed="false">
      <c r="A1276" s="8" t="n">
        <v>1275</v>
      </c>
      <c r="B1276" s="8" t="s">
        <v>58</v>
      </c>
      <c r="C1276" s="8" t="s">
        <v>16</v>
      </c>
      <c r="D1276" s="9" t="n">
        <v>44213</v>
      </c>
      <c r="E1276" s="10" t="n">
        <v>35244.33</v>
      </c>
      <c r="F1276" s="8" t="s">
        <v>11</v>
      </c>
      <c r="G1276" s="8" t="s">
        <v>36</v>
      </c>
      <c r="H1276" s="11" t="s">
        <v>37</v>
      </c>
      <c r="I1276" s="8" t="s">
        <v>26</v>
      </c>
    </row>
    <row r="1277" customFormat="false" ht="14.25" hidden="false" customHeight="false" outlineLevel="0" collapsed="false">
      <c r="A1277" s="8" t="n">
        <v>1276</v>
      </c>
      <c r="B1277" s="8" t="s">
        <v>58</v>
      </c>
      <c r="C1277" s="8" t="s">
        <v>21</v>
      </c>
      <c r="D1277" s="9" t="n">
        <v>44213</v>
      </c>
      <c r="E1277" s="10" t="n">
        <v>21086.08</v>
      </c>
      <c r="F1277" s="8" t="s">
        <v>11</v>
      </c>
      <c r="G1277" s="8" t="s">
        <v>12</v>
      </c>
      <c r="H1277" s="11" t="s">
        <v>13</v>
      </c>
      <c r="I1277" s="8" t="s">
        <v>14</v>
      </c>
    </row>
    <row r="1278" customFormat="false" ht="14.25" hidden="false" customHeight="false" outlineLevel="0" collapsed="false">
      <c r="A1278" s="8" t="n">
        <v>1277</v>
      </c>
      <c r="B1278" s="8" t="s">
        <v>29</v>
      </c>
      <c r="C1278" s="8" t="s">
        <v>28</v>
      </c>
      <c r="D1278" s="9" t="n">
        <v>44215</v>
      </c>
      <c r="E1278" s="10" t="n">
        <v>21899.03</v>
      </c>
      <c r="F1278" s="8" t="s">
        <v>11</v>
      </c>
      <c r="G1278" s="8" t="s">
        <v>17</v>
      </c>
      <c r="H1278" s="11" t="s">
        <v>18</v>
      </c>
      <c r="I1278" s="8" t="s">
        <v>24</v>
      </c>
    </row>
    <row r="1279" customFormat="false" ht="14.25" hidden="false" customHeight="false" outlineLevel="0" collapsed="false">
      <c r="A1279" s="8" t="n">
        <v>1278</v>
      </c>
      <c r="B1279" s="8" t="s">
        <v>101</v>
      </c>
      <c r="C1279" s="8" t="s">
        <v>16</v>
      </c>
      <c r="D1279" s="9" t="n">
        <v>44215</v>
      </c>
      <c r="E1279" s="10" t="n">
        <v>20029.82</v>
      </c>
      <c r="F1279" s="8" t="s">
        <v>11</v>
      </c>
      <c r="G1279" s="8" t="s">
        <v>12</v>
      </c>
      <c r="H1279" s="11" t="s">
        <v>13</v>
      </c>
      <c r="I1279" s="8" t="s">
        <v>26</v>
      </c>
    </row>
    <row r="1280" customFormat="false" ht="14.25" hidden="false" customHeight="false" outlineLevel="0" collapsed="false">
      <c r="A1280" s="8" t="n">
        <v>1279</v>
      </c>
      <c r="B1280" s="8" t="s">
        <v>151</v>
      </c>
      <c r="C1280" s="8" t="s">
        <v>21</v>
      </c>
      <c r="D1280" s="9" t="n">
        <v>44215</v>
      </c>
      <c r="E1280" s="10" t="n">
        <v>143942.4</v>
      </c>
      <c r="F1280" s="8" t="s">
        <v>11</v>
      </c>
      <c r="G1280" s="8" t="s">
        <v>36</v>
      </c>
      <c r="H1280" s="11" t="s">
        <v>37</v>
      </c>
      <c r="I1280" s="8" t="s">
        <v>24</v>
      </c>
    </row>
    <row r="1281" customFormat="false" ht="14.25" hidden="false" customHeight="false" outlineLevel="0" collapsed="false">
      <c r="A1281" s="8" t="n">
        <v>1280</v>
      </c>
      <c r="B1281" s="8" t="s">
        <v>15</v>
      </c>
      <c r="C1281" s="8" t="s">
        <v>21</v>
      </c>
      <c r="D1281" s="9" t="n">
        <v>44215</v>
      </c>
      <c r="E1281" s="10" t="n">
        <v>154791.99</v>
      </c>
      <c r="F1281" s="8" t="s">
        <v>11</v>
      </c>
      <c r="G1281" s="8" t="s">
        <v>17</v>
      </c>
      <c r="H1281" s="11" t="s">
        <v>18</v>
      </c>
      <c r="I1281" s="8" t="s">
        <v>26</v>
      </c>
    </row>
    <row r="1282" customFormat="false" ht="14.25" hidden="false" customHeight="false" outlineLevel="0" collapsed="false">
      <c r="A1282" s="8" t="n">
        <v>1281</v>
      </c>
      <c r="B1282" s="8" t="s">
        <v>39</v>
      </c>
      <c r="C1282" s="8" t="s">
        <v>10</v>
      </c>
      <c r="D1282" s="9" t="n">
        <v>44216</v>
      </c>
      <c r="E1282" s="10" t="n">
        <v>74090.45</v>
      </c>
      <c r="F1282" s="8" t="s">
        <v>11</v>
      </c>
      <c r="G1282" s="8" t="s">
        <v>12</v>
      </c>
      <c r="H1282" s="11" t="s">
        <v>13</v>
      </c>
      <c r="I1282" s="8" t="s">
        <v>14</v>
      </c>
    </row>
    <row r="1283" customFormat="false" ht="14.25" hidden="false" customHeight="false" outlineLevel="0" collapsed="false">
      <c r="A1283" s="8" t="n">
        <v>1282</v>
      </c>
      <c r="B1283" s="8" t="s">
        <v>145</v>
      </c>
      <c r="C1283" s="8" t="s">
        <v>10</v>
      </c>
      <c r="D1283" s="9" t="n">
        <v>44218</v>
      </c>
      <c r="E1283" s="10" t="n">
        <v>3784.2</v>
      </c>
      <c r="F1283" s="8" t="s">
        <v>11</v>
      </c>
      <c r="G1283" s="8" t="s">
        <v>12</v>
      </c>
      <c r="H1283" s="11" t="s">
        <v>13</v>
      </c>
      <c r="I1283" s="8" t="s">
        <v>14</v>
      </c>
    </row>
    <row r="1284" customFormat="false" ht="14.25" hidden="false" customHeight="false" outlineLevel="0" collapsed="false">
      <c r="A1284" s="8" t="n">
        <v>1283</v>
      </c>
      <c r="B1284" s="8" t="s">
        <v>85</v>
      </c>
      <c r="C1284" s="8" t="s">
        <v>21</v>
      </c>
      <c r="D1284" s="9" t="n">
        <v>44218</v>
      </c>
      <c r="E1284" s="10" t="n">
        <v>148809.22</v>
      </c>
      <c r="F1284" s="8" t="s">
        <v>11</v>
      </c>
      <c r="G1284" s="8" t="s">
        <v>12</v>
      </c>
      <c r="H1284" s="11" t="s">
        <v>13</v>
      </c>
      <c r="I1284" s="8" t="s">
        <v>26</v>
      </c>
    </row>
    <row r="1285" customFormat="false" ht="14.25" hidden="false" customHeight="false" outlineLevel="0" collapsed="false">
      <c r="A1285" s="8" t="n">
        <v>1284</v>
      </c>
      <c r="B1285" s="8" t="s">
        <v>86</v>
      </c>
      <c r="C1285" s="8" t="s">
        <v>28</v>
      </c>
      <c r="D1285" s="9" t="n">
        <v>44219</v>
      </c>
      <c r="E1285" s="10" t="n">
        <v>9822.6</v>
      </c>
      <c r="F1285" s="8" t="s">
        <v>11</v>
      </c>
      <c r="G1285" s="8" t="s">
        <v>12</v>
      </c>
      <c r="H1285" s="11" t="s">
        <v>13</v>
      </c>
      <c r="I1285" s="8" t="s">
        <v>14</v>
      </c>
    </row>
    <row r="1286" customFormat="false" ht="14.25" hidden="false" customHeight="false" outlineLevel="0" collapsed="false">
      <c r="A1286" s="8" t="n">
        <v>1285</v>
      </c>
      <c r="B1286" s="8" t="s">
        <v>20</v>
      </c>
      <c r="C1286" s="8" t="s">
        <v>16</v>
      </c>
      <c r="D1286" s="9" t="n">
        <v>44219</v>
      </c>
      <c r="E1286" s="10" t="n">
        <v>140765.74</v>
      </c>
      <c r="F1286" s="8" t="s">
        <v>11</v>
      </c>
      <c r="G1286" s="8" t="s">
        <v>17</v>
      </c>
      <c r="H1286" s="11" t="s">
        <v>18</v>
      </c>
      <c r="I1286" s="8" t="s">
        <v>14</v>
      </c>
    </row>
    <row r="1287" customFormat="false" ht="14.25" hidden="false" customHeight="false" outlineLevel="0" collapsed="false">
      <c r="A1287" s="8" t="n">
        <v>1286</v>
      </c>
      <c r="B1287" s="8" t="s">
        <v>20</v>
      </c>
      <c r="C1287" s="8" t="s">
        <v>21</v>
      </c>
      <c r="D1287" s="9" t="n">
        <v>44219</v>
      </c>
      <c r="E1287" s="10" t="n">
        <v>9822.6</v>
      </c>
      <c r="F1287" s="8" t="s">
        <v>11</v>
      </c>
      <c r="G1287" s="8" t="s">
        <v>17</v>
      </c>
      <c r="H1287" s="11" t="s">
        <v>18</v>
      </c>
      <c r="I1287" s="8" t="s">
        <v>14</v>
      </c>
    </row>
    <row r="1288" customFormat="false" ht="14.25" hidden="false" customHeight="false" outlineLevel="0" collapsed="false">
      <c r="A1288" s="8" t="n">
        <v>1287</v>
      </c>
      <c r="B1288" s="8" t="s">
        <v>20</v>
      </c>
      <c r="C1288" s="8" t="s">
        <v>28</v>
      </c>
      <c r="D1288" s="9" t="n">
        <v>44219</v>
      </c>
      <c r="E1288" s="10" t="n">
        <v>9822.6</v>
      </c>
      <c r="F1288" s="8" t="s">
        <v>11</v>
      </c>
      <c r="G1288" s="8" t="s">
        <v>17</v>
      </c>
      <c r="H1288" s="11" t="s">
        <v>18</v>
      </c>
      <c r="I1288" s="8" t="s">
        <v>24</v>
      </c>
    </row>
    <row r="1289" customFormat="false" ht="14.25" hidden="false" customHeight="false" outlineLevel="0" collapsed="false">
      <c r="A1289" s="8" t="n">
        <v>1288</v>
      </c>
      <c r="B1289" s="8" t="s">
        <v>49</v>
      </c>
      <c r="C1289" s="8" t="s">
        <v>28</v>
      </c>
      <c r="D1289" s="9" t="n">
        <v>44219</v>
      </c>
      <c r="E1289" s="10" t="n">
        <v>9822.6</v>
      </c>
      <c r="F1289" s="8" t="s">
        <v>11</v>
      </c>
      <c r="G1289" s="8" t="s">
        <v>22</v>
      </c>
      <c r="H1289" s="11" t="s">
        <v>23</v>
      </c>
      <c r="I1289" s="8" t="s">
        <v>26</v>
      </c>
    </row>
    <row r="1290" customFormat="false" ht="14.25" hidden="false" customHeight="false" outlineLevel="0" collapsed="false">
      <c r="A1290" s="8" t="n">
        <v>1289</v>
      </c>
      <c r="B1290" s="8" t="s">
        <v>40</v>
      </c>
      <c r="C1290" s="8" t="s">
        <v>10</v>
      </c>
      <c r="D1290" s="9" t="n">
        <v>44220</v>
      </c>
      <c r="E1290" s="10" t="n">
        <v>9822.6</v>
      </c>
      <c r="F1290" s="8" t="s">
        <v>11</v>
      </c>
      <c r="G1290" s="8" t="s">
        <v>30</v>
      </c>
      <c r="H1290" s="11" t="s">
        <v>31</v>
      </c>
      <c r="I1290" s="8" t="s">
        <v>14</v>
      </c>
    </row>
    <row r="1291" customFormat="false" ht="14.25" hidden="false" customHeight="false" outlineLevel="0" collapsed="false">
      <c r="A1291" s="8" t="n">
        <v>1290</v>
      </c>
      <c r="B1291" s="8" t="s">
        <v>15</v>
      </c>
      <c r="C1291" s="8" t="s">
        <v>21</v>
      </c>
      <c r="D1291" s="9" t="n">
        <v>44220</v>
      </c>
      <c r="E1291" s="10" t="n">
        <v>-7796.88</v>
      </c>
      <c r="F1291" s="8" t="s">
        <v>34</v>
      </c>
      <c r="G1291" s="8" t="s">
        <v>30</v>
      </c>
      <c r="H1291" s="11" t="s">
        <v>31</v>
      </c>
      <c r="I1291" s="8" t="s">
        <v>26</v>
      </c>
    </row>
    <row r="1292" customFormat="false" ht="14.25" hidden="false" customHeight="false" outlineLevel="0" collapsed="false">
      <c r="A1292" s="8" t="n">
        <v>1291</v>
      </c>
      <c r="B1292" s="8" t="s">
        <v>79</v>
      </c>
      <c r="C1292" s="8" t="s">
        <v>10</v>
      </c>
      <c r="D1292" s="9" t="n">
        <v>44220</v>
      </c>
      <c r="E1292" s="10" t="n">
        <v>-459.87</v>
      </c>
      <c r="F1292" s="8" t="s">
        <v>34</v>
      </c>
      <c r="G1292" s="8" t="s">
        <v>12</v>
      </c>
      <c r="H1292" s="11" t="s">
        <v>13</v>
      </c>
      <c r="I1292" s="8" t="s">
        <v>26</v>
      </c>
    </row>
    <row r="1293" customFormat="false" ht="14.25" hidden="false" customHeight="false" outlineLevel="0" collapsed="false">
      <c r="A1293" s="8" t="n">
        <v>1292</v>
      </c>
      <c r="B1293" s="8" t="s">
        <v>44</v>
      </c>
      <c r="C1293" s="8" t="s">
        <v>28</v>
      </c>
      <c r="D1293" s="9" t="n">
        <v>44220</v>
      </c>
      <c r="E1293" s="10" t="n">
        <v>-5023.27</v>
      </c>
      <c r="F1293" s="8" t="s">
        <v>34</v>
      </c>
      <c r="G1293" s="8" t="s">
        <v>36</v>
      </c>
      <c r="H1293" s="11" t="s">
        <v>37</v>
      </c>
      <c r="I1293" s="8" t="s">
        <v>24</v>
      </c>
    </row>
    <row r="1294" customFormat="false" ht="14.25" hidden="false" customHeight="false" outlineLevel="0" collapsed="false">
      <c r="A1294" s="8" t="n">
        <v>1293</v>
      </c>
      <c r="B1294" s="8" t="s">
        <v>45</v>
      </c>
      <c r="C1294" s="8" t="s">
        <v>21</v>
      </c>
      <c r="D1294" s="9" t="n">
        <v>44220</v>
      </c>
      <c r="E1294" s="10" t="n">
        <v>-261.35</v>
      </c>
      <c r="F1294" s="8" t="s">
        <v>34</v>
      </c>
      <c r="G1294" s="8" t="s">
        <v>12</v>
      </c>
      <c r="H1294" s="11" t="s">
        <v>13</v>
      </c>
      <c r="I1294" s="8" t="s">
        <v>26</v>
      </c>
    </row>
    <row r="1295" customFormat="false" ht="14.25" hidden="false" customHeight="false" outlineLevel="0" collapsed="false">
      <c r="A1295" s="8" t="n">
        <v>1294</v>
      </c>
      <c r="B1295" s="8" t="s">
        <v>39</v>
      </c>
      <c r="C1295" s="8" t="s">
        <v>21</v>
      </c>
      <c r="D1295" s="9" t="n">
        <v>44220</v>
      </c>
      <c r="E1295" s="10" t="n">
        <v>-3105.48</v>
      </c>
      <c r="F1295" s="8" t="s">
        <v>34</v>
      </c>
      <c r="G1295" s="8" t="s">
        <v>36</v>
      </c>
      <c r="H1295" s="11" t="s">
        <v>37</v>
      </c>
      <c r="I1295" s="8" t="s">
        <v>26</v>
      </c>
    </row>
    <row r="1296" customFormat="false" ht="14.25" hidden="false" customHeight="false" outlineLevel="0" collapsed="false">
      <c r="A1296" s="8" t="n">
        <v>1295</v>
      </c>
      <c r="B1296" s="8" t="s">
        <v>44</v>
      </c>
      <c r="C1296" s="8" t="s">
        <v>28</v>
      </c>
      <c r="D1296" s="9" t="n">
        <v>44220</v>
      </c>
      <c r="E1296" s="10" t="n">
        <v>-2130.1</v>
      </c>
      <c r="F1296" s="8" t="s">
        <v>34</v>
      </c>
      <c r="G1296" s="8" t="s">
        <v>12</v>
      </c>
      <c r="H1296" s="11" t="s">
        <v>13</v>
      </c>
      <c r="I1296" s="8" t="s">
        <v>14</v>
      </c>
    </row>
    <row r="1297" customFormat="false" ht="14.25" hidden="false" customHeight="false" outlineLevel="0" collapsed="false">
      <c r="A1297" s="8" t="n">
        <v>1296</v>
      </c>
      <c r="B1297" s="8" t="s">
        <v>45</v>
      </c>
      <c r="C1297" s="8" t="s">
        <v>28</v>
      </c>
      <c r="D1297" s="9" t="n">
        <v>44220</v>
      </c>
      <c r="E1297" s="10" t="n">
        <v>-129.99</v>
      </c>
      <c r="F1297" s="8" t="s">
        <v>34</v>
      </c>
      <c r="G1297" s="8" t="s">
        <v>12</v>
      </c>
      <c r="H1297" s="11" t="s">
        <v>13</v>
      </c>
      <c r="I1297" s="8" t="s">
        <v>19</v>
      </c>
    </row>
    <row r="1298" customFormat="false" ht="14.25" hidden="false" customHeight="false" outlineLevel="0" collapsed="false">
      <c r="A1298" s="8" t="n">
        <v>1297</v>
      </c>
      <c r="B1298" s="8" t="s">
        <v>79</v>
      </c>
      <c r="C1298" s="8" t="s">
        <v>21</v>
      </c>
      <c r="D1298" s="9" t="n">
        <v>44220</v>
      </c>
      <c r="E1298" s="10" t="n">
        <v>-34553.61</v>
      </c>
      <c r="F1298" s="8" t="s">
        <v>34</v>
      </c>
      <c r="G1298" s="8" t="s">
        <v>36</v>
      </c>
      <c r="H1298" s="11" t="s">
        <v>37</v>
      </c>
      <c r="I1298" s="8" t="s">
        <v>14</v>
      </c>
    </row>
    <row r="1299" customFormat="false" ht="14.25" hidden="false" customHeight="false" outlineLevel="0" collapsed="false">
      <c r="A1299" s="8" t="n">
        <v>1298</v>
      </c>
      <c r="B1299" s="8" t="s">
        <v>145</v>
      </c>
      <c r="C1299" s="8" t="s">
        <v>28</v>
      </c>
      <c r="D1299" s="9" t="n">
        <v>44221</v>
      </c>
      <c r="E1299" s="10" t="n">
        <v>-1768.41</v>
      </c>
      <c r="F1299" s="8" t="s">
        <v>34</v>
      </c>
      <c r="G1299" s="8" t="s">
        <v>12</v>
      </c>
      <c r="H1299" s="11" t="s">
        <v>13</v>
      </c>
      <c r="I1299" s="8" t="s">
        <v>19</v>
      </c>
    </row>
    <row r="1300" customFormat="false" ht="14.25" hidden="false" customHeight="false" outlineLevel="0" collapsed="false">
      <c r="A1300" s="8" t="n">
        <v>1299</v>
      </c>
      <c r="B1300" s="8" t="s">
        <v>50</v>
      </c>
      <c r="C1300" s="8" t="s">
        <v>21</v>
      </c>
      <c r="D1300" s="9" t="n">
        <v>44222</v>
      </c>
      <c r="E1300" s="10" t="n">
        <v>-4663.33</v>
      </c>
      <c r="F1300" s="8" t="s">
        <v>34</v>
      </c>
      <c r="G1300" s="8" t="s">
        <v>17</v>
      </c>
      <c r="H1300" s="11" t="s">
        <v>18</v>
      </c>
      <c r="I1300" s="8" t="s">
        <v>14</v>
      </c>
    </row>
    <row r="1301" customFormat="false" ht="14.25" hidden="false" customHeight="false" outlineLevel="0" collapsed="false">
      <c r="A1301" s="8" t="n">
        <v>1300</v>
      </c>
      <c r="B1301" s="8" t="s">
        <v>40</v>
      </c>
      <c r="C1301" s="8" t="s">
        <v>10</v>
      </c>
      <c r="D1301" s="9" t="n">
        <v>44222</v>
      </c>
      <c r="E1301" s="10" t="n">
        <v>-291.87</v>
      </c>
      <c r="F1301" s="8" t="s">
        <v>34</v>
      </c>
      <c r="G1301" s="8" t="s">
        <v>22</v>
      </c>
      <c r="H1301" s="11" t="s">
        <v>23</v>
      </c>
      <c r="I1301" s="8" t="s">
        <v>14</v>
      </c>
    </row>
    <row r="1302" customFormat="false" ht="14.25" hidden="false" customHeight="false" outlineLevel="0" collapsed="false">
      <c r="A1302" s="8" t="n">
        <v>1301</v>
      </c>
      <c r="B1302" s="8" t="s">
        <v>32</v>
      </c>
      <c r="C1302" s="8" t="s">
        <v>28</v>
      </c>
      <c r="D1302" s="9" t="n">
        <v>44222</v>
      </c>
      <c r="E1302" s="10" t="n">
        <v>-4239.97</v>
      </c>
      <c r="F1302" s="8" t="s">
        <v>34</v>
      </c>
      <c r="G1302" s="8" t="s">
        <v>12</v>
      </c>
      <c r="H1302" s="11" t="s">
        <v>13</v>
      </c>
      <c r="I1302" s="8" t="s">
        <v>19</v>
      </c>
    </row>
    <row r="1303" customFormat="false" ht="14.25" hidden="false" customHeight="false" outlineLevel="0" collapsed="false">
      <c r="A1303" s="8" t="n">
        <v>1302</v>
      </c>
      <c r="B1303" s="8" t="s">
        <v>39</v>
      </c>
      <c r="C1303" s="8" t="s">
        <v>16</v>
      </c>
      <c r="D1303" s="9" t="n">
        <v>44222</v>
      </c>
      <c r="E1303" s="10" t="n">
        <v>-3995.67</v>
      </c>
      <c r="F1303" s="8" t="s">
        <v>34</v>
      </c>
      <c r="G1303" s="8" t="s">
        <v>17</v>
      </c>
      <c r="H1303" s="11" t="s">
        <v>18</v>
      </c>
      <c r="I1303" s="8" t="s">
        <v>19</v>
      </c>
    </row>
    <row r="1304" customFormat="false" ht="14.25" hidden="false" customHeight="false" outlineLevel="0" collapsed="false">
      <c r="A1304" s="8" t="n">
        <v>1303</v>
      </c>
      <c r="B1304" s="8" t="s">
        <v>144</v>
      </c>
      <c r="C1304" s="8" t="s">
        <v>28</v>
      </c>
      <c r="D1304" s="9" t="n">
        <v>44225</v>
      </c>
      <c r="E1304" s="10" t="n">
        <v>-2264.47</v>
      </c>
      <c r="F1304" s="8" t="s">
        <v>34</v>
      </c>
      <c r="G1304" s="8" t="s">
        <v>12</v>
      </c>
      <c r="H1304" s="11" t="s">
        <v>13</v>
      </c>
      <c r="I1304" s="8" t="s">
        <v>26</v>
      </c>
    </row>
    <row r="1305" customFormat="false" ht="14.25" hidden="false" customHeight="false" outlineLevel="0" collapsed="false">
      <c r="A1305" s="8" t="n">
        <v>1304</v>
      </c>
      <c r="B1305" s="8" t="s">
        <v>144</v>
      </c>
      <c r="C1305" s="8" t="s">
        <v>28</v>
      </c>
      <c r="D1305" s="9" t="n">
        <v>44225</v>
      </c>
      <c r="E1305" s="10" t="n">
        <v>-1823.64</v>
      </c>
      <c r="F1305" s="8" t="s">
        <v>34</v>
      </c>
      <c r="G1305" s="8" t="s">
        <v>12</v>
      </c>
      <c r="H1305" s="11" t="s">
        <v>13</v>
      </c>
      <c r="I1305" s="8" t="s">
        <v>26</v>
      </c>
    </row>
    <row r="1306" customFormat="false" ht="14.25" hidden="false" customHeight="false" outlineLevel="0" collapsed="false">
      <c r="A1306" s="8" t="n">
        <v>1305</v>
      </c>
      <c r="B1306" s="8" t="s">
        <v>15</v>
      </c>
      <c r="C1306" s="8" t="s">
        <v>21</v>
      </c>
      <c r="D1306" s="9" t="n">
        <v>44225</v>
      </c>
      <c r="E1306" s="10" t="n">
        <v>-1077900.9</v>
      </c>
      <c r="F1306" s="8" t="s">
        <v>34</v>
      </c>
      <c r="G1306" s="8" t="s">
        <v>12</v>
      </c>
      <c r="H1306" s="11" t="s">
        <v>13</v>
      </c>
      <c r="I1306" s="8" t="s">
        <v>14</v>
      </c>
    </row>
    <row r="1307" customFormat="false" ht="14.25" hidden="false" customHeight="false" outlineLevel="0" collapsed="false">
      <c r="A1307" s="8" t="n">
        <v>1306</v>
      </c>
      <c r="B1307" s="8" t="s">
        <v>49</v>
      </c>
      <c r="C1307" s="8" t="s">
        <v>10</v>
      </c>
      <c r="D1307" s="9" t="n">
        <v>44225</v>
      </c>
      <c r="E1307" s="10" t="n">
        <v>14431.38</v>
      </c>
      <c r="F1307" s="8" t="s">
        <v>11</v>
      </c>
      <c r="G1307" s="8" t="s">
        <v>36</v>
      </c>
      <c r="H1307" s="11" t="s">
        <v>37</v>
      </c>
      <c r="I1307" s="8" t="s">
        <v>26</v>
      </c>
    </row>
    <row r="1308" customFormat="false" ht="14.25" hidden="false" customHeight="false" outlineLevel="0" collapsed="false">
      <c r="A1308" s="8" t="n">
        <v>1307</v>
      </c>
      <c r="B1308" s="8" t="s">
        <v>145</v>
      </c>
      <c r="C1308" s="8" t="s">
        <v>21</v>
      </c>
      <c r="D1308" s="9" t="n">
        <v>44226</v>
      </c>
      <c r="E1308" s="10" t="n">
        <v>13579.56</v>
      </c>
      <c r="F1308" s="8" t="s">
        <v>11</v>
      </c>
      <c r="G1308" s="8" t="s">
        <v>36</v>
      </c>
      <c r="H1308" s="11" t="s">
        <v>37</v>
      </c>
      <c r="I1308" s="8" t="s">
        <v>14</v>
      </c>
    </row>
    <row r="1309" customFormat="false" ht="14.25" hidden="false" customHeight="false" outlineLevel="0" collapsed="false">
      <c r="A1309" s="8" t="n">
        <v>1308</v>
      </c>
      <c r="B1309" s="8" t="s">
        <v>101</v>
      </c>
      <c r="C1309" s="8" t="s">
        <v>21</v>
      </c>
      <c r="D1309" s="9" t="n">
        <v>44227</v>
      </c>
      <c r="E1309" s="10" t="n">
        <v>14590.2</v>
      </c>
      <c r="F1309" s="8" t="s">
        <v>11</v>
      </c>
      <c r="G1309" s="8" t="s">
        <v>17</v>
      </c>
      <c r="H1309" s="11" t="s">
        <v>18</v>
      </c>
      <c r="I1309" s="8" t="s">
        <v>14</v>
      </c>
    </row>
    <row r="1310" customFormat="false" ht="14.25" hidden="false" customHeight="false" outlineLevel="0" collapsed="false">
      <c r="A1310" s="8" t="n">
        <v>1309</v>
      </c>
      <c r="B1310" s="8" t="s">
        <v>148</v>
      </c>
      <c r="C1310" s="8" t="s">
        <v>21</v>
      </c>
      <c r="D1310" s="9" t="n">
        <v>44227</v>
      </c>
      <c r="E1310" s="10" t="n">
        <v>168997.37</v>
      </c>
      <c r="F1310" s="8" t="s">
        <v>11</v>
      </c>
      <c r="G1310" s="8" t="s">
        <v>12</v>
      </c>
      <c r="H1310" s="11" t="s">
        <v>13</v>
      </c>
      <c r="I1310" s="8" t="s">
        <v>19</v>
      </c>
    </row>
    <row r="1311" customFormat="false" ht="14.25" hidden="false" customHeight="false" outlineLevel="0" collapsed="false">
      <c r="A1311" s="8" t="n">
        <v>1310</v>
      </c>
      <c r="B1311" s="8" t="s">
        <v>153</v>
      </c>
      <c r="C1311" s="8" t="s">
        <v>28</v>
      </c>
      <c r="D1311" s="9" t="n">
        <v>44227</v>
      </c>
      <c r="E1311" s="10" t="n">
        <v>13451.88</v>
      </c>
      <c r="F1311" s="8" t="s">
        <v>11</v>
      </c>
      <c r="G1311" s="8" t="s">
        <v>17</v>
      </c>
      <c r="H1311" s="11" t="s">
        <v>18</v>
      </c>
      <c r="I1311" s="8" t="s">
        <v>19</v>
      </c>
    </row>
    <row r="1312" customFormat="false" ht="14.25" hidden="false" customHeight="false" outlineLevel="0" collapsed="false">
      <c r="A1312" s="8" t="n">
        <v>1311</v>
      </c>
      <c r="B1312" s="8" t="s">
        <v>32</v>
      </c>
      <c r="C1312" s="8" t="s">
        <v>10</v>
      </c>
      <c r="D1312" s="9" t="n">
        <v>44227</v>
      </c>
      <c r="E1312" s="10" t="n">
        <v>-9351.93</v>
      </c>
      <c r="F1312" s="8" t="s">
        <v>34</v>
      </c>
      <c r="G1312" s="8" t="s">
        <v>12</v>
      </c>
      <c r="H1312" s="11" t="s">
        <v>13</v>
      </c>
      <c r="I1312" s="8" t="s">
        <v>26</v>
      </c>
    </row>
    <row r="1313" customFormat="false" ht="14.25" hidden="false" customHeight="false" outlineLevel="0" collapsed="false">
      <c r="A1313" s="8" t="n">
        <v>1312</v>
      </c>
      <c r="B1313" s="8" t="s">
        <v>52</v>
      </c>
      <c r="C1313" s="8" t="s">
        <v>10</v>
      </c>
      <c r="D1313" s="9" t="n">
        <v>44227</v>
      </c>
      <c r="E1313" s="10" t="n">
        <v>-1371.44</v>
      </c>
      <c r="F1313" s="8" t="s">
        <v>34</v>
      </c>
      <c r="G1313" s="8" t="s">
        <v>12</v>
      </c>
      <c r="H1313" s="11" t="s">
        <v>13</v>
      </c>
      <c r="I1313" s="8" t="s">
        <v>26</v>
      </c>
    </row>
    <row r="1314" customFormat="false" ht="14.25" hidden="false" customHeight="false" outlineLevel="0" collapsed="false">
      <c r="A1314" s="8" t="n">
        <v>1313</v>
      </c>
      <c r="B1314" s="8" t="s">
        <v>52</v>
      </c>
      <c r="C1314" s="8" t="s">
        <v>10</v>
      </c>
      <c r="D1314" s="9" t="n">
        <v>44227</v>
      </c>
      <c r="E1314" s="10" t="n">
        <v>16667.85</v>
      </c>
      <c r="F1314" s="8" t="s">
        <v>11</v>
      </c>
      <c r="G1314" s="8" t="s">
        <v>17</v>
      </c>
      <c r="H1314" s="11" t="s">
        <v>18</v>
      </c>
      <c r="I1314" s="8" t="s">
        <v>26</v>
      </c>
    </row>
    <row r="1315" customFormat="false" ht="14.25" hidden="false" customHeight="false" outlineLevel="0" collapsed="false">
      <c r="A1315" s="8" t="n">
        <v>1314</v>
      </c>
      <c r="B1315" s="8" t="s">
        <v>52</v>
      </c>
      <c r="C1315" s="8" t="s">
        <v>28</v>
      </c>
      <c r="D1315" s="9" t="n">
        <v>44227</v>
      </c>
      <c r="E1315" s="10" t="n">
        <v>17172.93</v>
      </c>
      <c r="F1315" s="8" t="s">
        <v>11</v>
      </c>
      <c r="G1315" s="8" t="s">
        <v>12</v>
      </c>
      <c r="H1315" s="11" t="s">
        <v>13</v>
      </c>
      <c r="I1315" s="8" t="s">
        <v>14</v>
      </c>
    </row>
    <row r="1316" customFormat="false" ht="14.25" hidden="false" customHeight="false" outlineLevel="0" collapsed="false">
      <c r="A1316" s="8" t="n">
        <v>1315</v>
      </c>
      <c r="B1316" s="8" t="s">
        <v>64</v>
      </c>
      <c r="C1316" s="8" t="s">
        <v>10</v>
      </c>
      <c r="D1316" s="9" t="n">
        <v>44228</v>
      </c>
      <c r="E1316" s="10" t="n">
        <v>2788</v>
      </c>
      <c r="F1316" s="8" t="s">
        <v>11</v>
      </c>
      <c r="G1316" s="8" t="s">
        <v>17</v>
      </c>
      <c r="H1316" s="11" t="s">
        <v>18</v>
      </c>
      <c r="I1316" s="8" t="s">
        <v>24</v>
      </c>
    </row>
    <row r="1317" customFormat="false" ht="14.25" hidden="false" customHeight="false" outlineLevel="0" collapsed="false">
      <c r="A1317" s="8" t="n">
        <v>1316</v>
      </c>
      <c r="B1317" s="8" t="s">
        <v>51</v>
      </c>
      <c r="C1317" s="8" t="s">
        <v>16</v>
      </c>
      <c r="D1317" s="9" t="n">
        <v>44228</v>
      </c>
      <c r="E1317" s="10" t="n">
        <v>2439.5</v>
      </c>
      <c r="F1317" s="8" t="s">
        <v>11</v>
      </c>
      <c r="G1317" s="8" t="s">
        <v>17</v>
      </c>
      <c r="H1317" s="11" t="s">
        <v>18</v>
      </c>
      <c r="I1317" s="8" t="s">
        <v>26</v>
      </c>
    </row>
    <row r="1318" customFormat="false" ht="14.25" hidden="false" customHeight="false" outlineLevel="0" collapsed="false">
      <c r="A1318" s="8" t="n">
        <v>1317</v>
      </c>
      <c r="B1318" s="8" t="s">
        <v>39</v>
      </c>
      <c r="C1318" s="8" t="s">
        <v>16</v>
      </c>
      <c r="D1318" s="9" t="n">
        <v>44230</v>
      </c>
      <c r="E1318" s="10" t="n">
        <v>2439.5</v>
      </c>
      <c r="F1318" s="8" t="s">
        <v>11</v>
      </c>
      <c r="G1318" s="8" t="s">
        <v>12</v>
      </c>
      <c r="H1318" s="11" t="s">
        <v>13</v>
      </c>
      <c r="I1318" s="8" t="s">
        <v>14</v>
      </c>
    </row>
    <row r="1319" customFormat="false" ht="14.25" hidden="false" customHeight="false" outlineLevel="0" collapsed="false">
      <c r="A1319" s="8" t="n">
        <v>1318</v>
      </c>
      <c r="B1319" s="8" t="s">
        <v>144</v>
      </c>
      <c r="C1319" s="8" t="s">
        <v>16</v>
      </c>
      <c r="D1319" s="9" t="n">
        <v>44233</v>
      </c>
      <c r="E1319" s="10" t="n">
        <v>2439.5</v>
      </c>
      <c r="F1319" s="8" t="s">
        <v>11</v>
      </c>
      <c r="G1319" s="8" t="s">
        <v>17</v>
      </c>
      <c r="H1319" s="11" t="s">
        <v>18</v>
      </c>
      <c r="I1319" s="8" t="s">
        <v>14</v>
      </c>
    </row>
    <row r="1320" customFormat="false" ht="14.25" hidden="false" customHeight="false" outlineLevel="0" collapsed="false">
      <c r="A1320" s="8" t="n">
        <v>1319</v>
      </c>
      <c r="B1320" s="8" t="s">
        <v>66</v>
      </c>
      <c r="C1320" s="8" t="s">
        <v>21</v>
      </c>
      <c r="D1320" s="9" t="n">
        <v>44233</v>
      </c>
      <c r="E1320" s="10" t="n">
        <v>145647.67</v>
      </c>
      <c r="F1320" s="8" t="s">
        <v>11</v>
      </c>
      <c r="G1320" s="8" t="s">
        <v>12</v>
      </c>
      <c r="H1320" s="11" t="s">
        <v>13</v>
      </c>
      <c r="I1320" s="8" t="s">
        <v>26</v>
      </c>
    </row>
    <row r="1321" customFormat="false" ht="14.25" hidden="false" customHeight="false" outlineLevel="0" collapsed="false">
      <c r="A1321" s="8" t="n">
        <v>1320</v>
      </c>
      <c r="B1321" s="8" t="s">
        <v>66</v>
      </c>
      <c r="C1321" s="8" t="s">
        <v>28</v>
      </c>
      <c r="D1321" s="9" t="n">
        <v>44233</v>
      </c>
      <c r="E1321" s="10" t="n">
        <v>117829.67</v>
      </c>
      <c r="F1321" s="8" t="s">
        <v>11</v>
      </c>
      <c r="G1321" s="8" t="s">
        <v>30</v>
      </c>
      <c r="H1321" s="11" t="s">
        <v>31</v>
      </c>
      <c r="I1321" s="8" t="s">
        <v>19</v>
      </c>
    </row>
    <row r="1322" customFormat="false" ht="14.25" hidden="false" customHeight="false" outlineLevel="0" collapsed="false">
      <c r="A1322" s="8" t="n">
        <v>1321</v>
      </c>
      <c r="B1322" s="8" t="s">
        <v>66</v>
      </c>
      <c r="C1322" s="8" t="s">
        <v>21</v>
      </c>
      <c r="D1322" s="9" t="n">
        <v>44233</v>
      </c>
      <c r="E1322" s="10" t="n">
        <v>2788</v>
      </c>
      <c r="F1322" s="8" t="s">
        <v>11</v>
      </c>
      <c r="G1322" s="8" t="s">
        <v>30</v>
      </c>
      <c r="H1322" s="11" t="s">
        <v>31</v>
      </c>
      <c r="I1322" s="8" t="s">
        <v>26</v>
      </c>
    </row>
    <row r="1323" customFormat="false" ht="14.25" hidden="false" customHeight="false" outlineLevel="0" collapsed="false">
      <c r="A1323" s="8" t="n">
        <v>1322</v>
      </c>
      <c r="B1323" s="8" t="s">
        <v>66</v>
      </c>
      <c r="C1323" s="8" t="s">
        <v>28</v>
      </c>
      <c r="D1323" s="9" t="n">
        <v>44233</v>
      </c>
      <c r="E1323" s="10" t="n">
        <v>2439.5</v>
      </c>
      <c r="F1323" s="8" t="s">
        <v>11</v>
      </c>
      <c r="G1323" s="8" t="s">
        <v>30</v>
      </c>
      <c r="H1323" s="11" t="s">
        <v>31</v>
      </c>
      <c r="I1323" s="8" t="s">
        <v>26</v>
      </c>
    </row>
    <row r="1324" customFormat="false" ht="14.25" hidden="false" customHeight="false" outlineLevel="0" collapsed="false">
      <c r="A1324" s="8" t="n">
        <v>1323</v>
      </c>
      <c r="B1324" s="8" t="s">
        <v>66</v>
      </c>
      <c r="C1324" s="8" t="s">
        <v>10</v>
      </c>
      <c r="D1324" s="9" t="n">
        <v>44233</v>
      </c>
      <c r="E1324" s="10" t="n">
        <v>2522.56</v>
      </c>
      <c r="F1324" s="8" t="s">
        <v>11</v>
      </c>
      <c r="G1324" s="8" t="s">
        <v>12</v>
      </c>
      <c r="H1324" s="11" t="s">
        <v>13</v>
      </c>
      <c r="I1324" s="8" t="s">
        <v>26</v>
      </c>
    </row>
    <row r="1325" customFormat="false" ht="14.25" hidden="false" customHeight="false" outlineLevel="0" collapsed="false">
      <c r="A1325" s="8" t="n">
        <v>1324</v>
      </c>
      <c r="B1325" s="8" t="s">
        <v>66</v>
      </c>
      <c r="C1325" s="8" t="s">
        <v>21</v>
      </c>
      <c r="D1325" s="9" t="n">
        <v>44233</v>
      </c>
      <c r="E1325" s="10" t="n">
        <v>2505.43</v>
      </c>
      <c r="F1325" s="8" t="s">
        <v>11</v>
      </c>
      <c r="G1325" s="8" t="s">
        <v>12</v>
      </c>
      <c r="H1325" s="11" t="s">
        <v>13</v>
      </c>
      <c r="I1325" s="8" t="s">
        <v>14</v>
      </c>
    </row>
    <row r="1326" customFormat="false" ht="14.25" hidden="false" customHeight="false" outlineLevel="0" collapsed="false">
      <c r="A1326" s="8" t="n">
        <v>1325</v>
      </c>
      <c r="B1326" s="8" t="s">
        <v>66</v>
      </c>
      <c r="C1326" s="8" t="s">
        <v>16</v>
      </c>
      <c r="D1326" s="9" t="n">
        <v>44233</v>
      </c>
      <c r="E1326" s="10" t="n">
        <v>-7733.22</v>
      </c>
      <c r="F1326" s="8" t="s">
        <v>34</v>
      </c>
      <c r="G1326" s="8" t="s">
        <v>36</v>
      </c>
      <c r="H1326" s="11" t="s">
        <v>37</v>
      </c>
      <c r="I1326" s="8" t="s">
        <v>24</v>
      </c>
    </row>
    <row r="1327" customFormat="false" ht="14.25" hidden="false" customHeight="false" outlineLevel="0" collapsed="false">
      <c r="A1327" s="8" t="n">
        <v>1326</v>
      </c>
      <c r="B1327" s="8" t="s">
        <v>66</v>
      </c>
      <c r="C1327" s="8" t="s">
        <v>28</v>
      </c>
      <c r="D1327" s="9" t="n">
        <v>44233</v>
      </c>
      <c r="E1327" s="10" t="n">
        <v>-346054.56</v>
      </c>
      <c r="F1327" s="8" t="s">
        <v>34</v>
      </c>
      <c r="G1327" s="8" t="s">
        <v>12</v>
      </c>
      <c r="H1327" s="11" t="s">
        <v>13</v>
      </c>
      <c r="I1327" s="8" t="s">
        <v>26</v>
      </c>
    </row>
    <row r="1328" customFormat="false" ht="14.25" hidden="false" customHeight="false" outlineLevel="0" collapsed="false">
      <c r="A1328" s="8" t="n">
        <v>1327</v>
      </c>
      <c r="B1328" s="8" t="s">
        <v>66</v>
      </c>
      <c r="C1328" s="8" t="s">
        <v>21</v>
      </c>
      <c r="D1328" s="9" t="n">
        <v>44233</v>
      </c>
      <c r="E1328" s="10" t="n">
        <v>-13976.34</v>
      </c>
      <c r="F1328" s="8" t="s">
        <v>34</v>
      </c>
      <c r="G1328" s="8" t="s">
        <v>12</v>
      </c>
      <c r="H1328" s="11" t="s">
        <v>13</v>
      </c>
      <c r="I1328" s="8" t="s">
        <v>14</v>
      </c>
    </row>
    <row r="1329" customFormat="false" ht="14.25" hidden="false" customHeight="false" outlineLevel="0" collapsed="false">
      <c r="A1329" s="8" t="n">
        <v>1328</v>
      </c>
      <c r="B1329" s="8" t="s">
        <v>66</v>
      </c>
      <c r="C1329" s="8" t="s">
        <v>10</v>
      </c>
      <c r="D1329" s="9" t="n">
        <v>44233</v>
      </c>
      <c r="E1329" s="10" t="n">
        <v>-197.26</v>
      </c>
      <c r="F1329" s="8" t="s">
        <v>34</v>
      </c>
      <c r="G1329" s="8" t="s">
        <v>36</v>
      </c>
      <c r="H1329" s="11" t="s">
        <v>37</v>
      </c>
      <c r="I1329" s="8" t="s">
        <v>14</v>
      </c>
    </row>
    <row r="1330" customFormat="false" ht="14.25" hidden="false" customHeight="false" outlineLevel="0" collapsed="false">
      <c r="A1330" s="8" t="n">
        <v>1329</v>
      </c>
      <c r="B1330" s="8" t="s">
        <v>154</v>
      </c>
      <c r="C1330" s="8" t="s">
        <v>28</v>
      </c>
      <c r="D1330" s="9" t="n">
        <v>44234</v>
      </c>
      <c r="E1330" s="10" t="n">
        <v>-7067.17</v>
      </c>
      <c r="F1330" s="8" t="s">
        <v>34</v>
      </c>
      <c r="G1330" s="8" t="s">
        <v>30</v>
      </c>
      <c r="H1330" s="11" t="s">
        <v>31</v>
      </c>
      <c r="I1330" s="8" t="s">
        <v>19</v>
      </c>
    </row>
    <row r="1331" customFormat="false" ht="14.25" hidden="false" customHeight="false" outlineLevel="0" collapsed="false">
      <c r="A1331" s="8" t="n">
        <v>1330</v>
      </c>
      <c r="B1331" s="8" t="s">
        <v>149</v>
      </c>
      <c r="C1331" s="8" t="s">
        <v>16</v>
      </c>
      <c r="D1331" s="9" t="n">
        <v>44234</v>
      </c>
      <c r="E1331" s="10" t="n">
        <v>-22555.79</v>
      </c>
      <c r="F1331" s="8" t="s">
        <v>34</v>
      </c>
      <c r="G1331" s="8" t="s">
        <v>12</v>
      </c>
      <c r="H1331" s="11" t="s">
        <v>13</v>
      </c>
      <c r="I1331" s="8" t="s">
        <v>26</v>
      </c>
    </row>
    <row r="1332" customFormat="false" ht="14.25" hidden="false" customHeight="false" outlineLevel="0" collapsed="false">
      <c r="A1332" s="8" t="n">
        <v>1331</v>
      </c>
      <c r="B1332" s="8" t="s">
        <v>85</v>
      </c>
      <c r="C1332" s="8" t="s">
        <v>16</v>
      </c>
      <c r="D1332" s="9" t="n">
        <v>44234</v>
      </c>
      <c r="E1332" s="10" t="n">
        <v>47466.89</v>
      </c>
      <c r="F1332" s="8" t="s">
        <v>11</v>
      </c>
      <c r="G1332" s="8" t="s">
        <v>12</v>
      </c>
      <c r="H1332" s="11" t="s">
        <v>13</v>
      </c>
      <c r="I1332" s="8" t="s">
        <v>19</v>
      </c>
    </row>
    <row r="1333" customFormat="false" ht="14.25" hidden="false" customHeight="false" outlineLevel="0" collapsed="false">
      <c r="A1333" s="8" t="n">
        <v>1332</v>
      </c>
      <c r="B1333" s="8" t="s">
        <v>64</v>
      </c>
      <c r="C1333" s="8" t="s">
        <v>21</v>
      </c>
      <c r="D1333" s="9" t="n">
        <v>44234</v>
      </c>
      <c r="E1333" s="10" t="n">
        <v>3189.86</v>
      </c>
      <c r="F1333" s="8" t="s">
        <v>11</v>
      </c>
      <c r="G1333" s="8" t="s">
        <v>17</v>
      </c>
      <c r="H1333" s="11" t="s">
        <v>18</v>
      </c>
      <c r="I1333" s="8" t="s">
        <v>14</v>
      </c>
    </row>
    <row r="1334" customFormat="false" ht="14.25" hidden="false" customHeight="false" outlineLevel="0" collapsed="false">
      <c r="A1334" s="8" t="n">
        <v>1333</v>
      </c>
      <c r="B1334" s="8" t="s">
        <v>15</v>
      </c>
      <c r="C1334" s="8" t="s">
        <v>21</v>
      </c>
      <c r="D1334" s="9" t="n">
        <v>44234</v>
      </c>
      <c r="E1334" s="10" t="n">
        <v>46483.35</v>
      </c>
      <c r="F1334" s="8" t="s">
        <v>11</v>
      </c>
      <c r="G1334" s="8" t="s">
        <v>12</v>
      </c>
      <c r="H1334" s="11" t="s">
        <v>13</v>
      </c>
      <c r="I1334" s="8" t="s">
        <v>26</v>
      </c>
    </row>
    <row r="1335" customFormat="false" ht="14.25" hidden="false" customHeight="false" outlineLevel="0" collapsed="false">
      <c r="A1335" s="8" t="n">
        <v>1334</v>
      </c>
      <c r="B1335" s="8" t="s">
        <v>72</v>
      </c>
      <c r="C1335" s="8" t="s">
        <v>16</v>
      </c>
      <c r="D1335" s="9" t="n">
        <v>44234</v>
      </c>
      <c r="E1335" s="10" t="n">
        <v>2970.95</v>
      </c>
      <c r="F1335" s="8" t="s">
        <v>11</v>
      </c>
      <c r="G1335" s="8" t="s">
        <v>36</v>
      </c>
      <c r="H1335" s="11" t="s">
        <v>37</v>
      </c>
      <c r="I1335" s="8" t="s">
        <v>14</v>
      </c>
    </row>
    <row r="1336" customFormat="false" ht="14.25" hidden="false" customHeight="false" outlineLevel="0" collapsed="false">
      <c r="A1336" s="8" t="n">
        <v>1335</v>
      </c>
      <c r="B1336" s="8" t="s">
        <v>44</v>
      </c>
      <c r="C1336" s="8" t="s">
        <v>16</v>
      </c>
      <c r="D1336" s="9" t="n">
        <v>44234</v>
      </c>
      <c r="E1336" s="10" t="n">
        <v>2883.03</v>
      </c>
      <c r="F1336" s="8" t="s">
        <v>11</v>
      </c>
      <c r="G1336" s="8" t="s">
        <v>17</v>
      </c>
      <c r="H1336" s="11" t="s">
        <v>18</v>
      </c>
      <c r="I1336" s="8" t="s">
        <v>19</v>
      </c>
    </row>
    <row r="1337" customFormat="false" ht="14.25" hidden="false" customHeight="false" outlineLevel="0" collapsed="false">
      <c r="A1337" s="8" t="n">
        <v>1336</v>
      </c>
      <c r="B1337" s="8" t="s">
        <v>79</v>
      </c>
      <c r="C1337" s="8" t="s">
        <v>28</v>
      </c>
      <c r="D1337" s="9" t="n">
        <v>44234</v>
      </c>
      <c r="E1337" s="10" t="n">
        <v>52449.43</v>
      </c>
      <c r="F1337" s="8" t="s">
        <v>11</v>
      </c>
      <c r="G1337" s="8" t="s">
        <v>17</v>
      </c>
      <c r="H1337" s="11" t="s">
        <v>18</v>
      </c>
      <c r="I1337" s="8" t="s">
        <v>19</v>
      </c>
    </row>
    <row r="1338" customFormat="false" ht="14.25" hidden="false" customHeight="false" outlineLevel="0" collapsed="false">
      <c r="A1338" s="8" t="n">
        <v>1337</v>
      </c>
      <c r="B1338" s="8" t="s">
        <v>72</v>
      </c>
      <c r="C1338" s="8" t="s">
        <v>28</v>
      </c>
      <c r="D1338" s="9" t="n">
        <v>44234</v>
      </c>
      <c r="E1338" s="10" t="n">
        <v>-9237.83</v>
      </c>
      <c r="F1338" s="8" t="s">
        <v>34</v>
      </c>
      <c r="G1338" s="8" t="s">
        <v>36</v>
      </c>
      <c r="H1338" s="11" t="s">
        <v>37</v>
      </c>
      <c r="I1338" s="8" t="s">
        <v>14</v>
      </c>
    </row>
    <row r="1339" customFormat="false" ht="14.25" hidden="false" customHeight="false" outlineLevel="0" collapsed="false">
      <c r="A1339" s="8" t="n">
        <v>1338</v>
      </c>
      <c r="B1339" s="8" t="s">
        <v>44</v>
      </c>
      <c r="C1339" s="8" t="s">
        <v>10</v>
      </c>
      <c r="D1339" s="9" t="n">
        <v>44234</v>
      </c>
      <c r="E1339" s="10" t="n">
        <v>-1679.48</v>
      </c>
      <c r="F1339" s="8" t="s">
        <v>34</v>
      </c>
      <c r="G1339" s="8" t="s">
        <v>36</v>
      </c>
      <c r="H1339" s="11" t="s">
        <v>37</v>
      </c>
      <c r="I1339" s="8" t="s">
        <v>14</v>
      </c>
    </row>
    <row r="1340" customFormat="false" ht="14.25" hidden="false" customHeight="false" outlineLevel="0" collapsed="false">
      <c r="A1340" s="8" t="n">
        <v>1339</v>
      </c>
      <c r="B1340" s="8" t="s">
        <v>79</v>
      </c>
      <c r="C1340" s="8" t="s">
        <v>16</v>
      </c>
      <c r="D1340" s="9" t="n">
        <v>44234</v>
      </c>
      <c r="E1340" s="10" t="n">
        <v>-2132.76</v>
      </c>
      <c r="F1340" s="8" t="s">
        <v>34</v>
      </c>
      <c r="G1340" s="8" t="s">
        <v>12</v>
      </c>
      <c r="H1340" s="11" t="s">
        <v>13</v>
      </c>
      <c r="I1340" s="8" t="s">
        <v>14</v>
      </c>
    </row>
    <row r="1341" customFormat="false" ht="14.25" hidden="false" customHeight="false" outlineLevel="0" collapsed="false">
      <c r="A1341" s="8" t="n">
        <v>1340</v>
      </c>
      <c r="B1341" s="8" t="s">
        <v>47</v>
      </c>
      <c r="C1341" s="8" t="s">
        <v>16</v>
      </c>
      <c r="D1341" s="9" t="n">
        <v>44234</v>
      </c>
      <c r="E1341" s="10" t="n">
        <v>-1923.11</v>
      </c>
      <c r="F1341" s="8" t="s">
        <v>34</v>
      </c>
      <c r="G1341" s="8" t="s">
        <v>12</v>
      </c>
      <c r="H1341" s="11" t="s">
        <v>13</v>
      </c>
      <c r="I1341" s="8" t="s">
        <v>19</v>
      </c>
    </row>
    <row r="1342" customFormat="false" ht="14.25" hidden="false" customHeight="false" outlineLevel="0" collapsed="false">
      <c r="A1342" s="8" t="n">
        <v>1341</v>
      </c>
      <c r="B1342" s="8" t="s">
        <v>47</v>
      </c>
      <c r="C1342" s="8" t="s">
        <v>21</v>
      </c>
      <c r="D1342" s="9" t="n">
        <v>44234</v>
      </c>
      <c r="E1342" s="10" t="n">
        <v>-233.14</v>
      </c>
      <c r="F1342" s="8" t="s">
        <v>34</v>
      </c>
      <c r="G1342" s="8" t="s">
        <v>22</v>
      </c>
      <c r="H1342" s="11" t="s">
        <v>23</v>
      </c>
      <c r="I1342" s="8" t="s">
        <v>26</v>
      </c>
    </row>
    <row r="1343" customFormat="false" ht="14.25" hidden="false" customHeight="false" outlineLevel="0" collapsed="false">
      <c r="A1343" s="8" t="n">
        <v>1342</v>
      </c>
      <c r="B1343" s="8" t="s">
        <v>85</v>
      </c>
      <c r="C1343" s="8" t="s">
        <v>10</v>
      </c>
      <c r="D1343" s="9" t="n">
        <v>44235</v>
      </c>
      <c r="E1343" s="10" t="n">
        <v>-54.22</v>
      </c>
      <c r="F1343" s="8" t="s">
        <v>34</v>
      </c>
      <c r="G1343" s="8" t="s">
        <v>17</v>
      </c>
      <c r="H1343" s="11" t="s">
        <v>18</v>
      </c>
      <c r="I1343" s="8" t="s">
        <v>14</v>
      </c>
    </row>
    <row r="1344" customFormat="false" ht="14.25" hidden="false" customHeight="false" outlineLevel="0" collapsed="false">
      <c r="A1344" s="8" t="n">
        <v>1343</v>
      </c>
      <c r="B1344" s="8" t="s">
        <v>85</v>
      </c>
      <c r="C1344" s="8" t="s">
        <v>16</v>
      </c>
      <c r="D1344" s="9" t="n">
        <v>44235</v>
      </c>
      <c r="E1344" s="10" t="n">
        <v>-108749.49</v>
      </c>
      <c r="F1344" s="8" t="s">
        <v>34</v>
      </c>
      <c r="G1344" s="8" t="s">
        <v>36</v>
      </c>
      <c r="H1344" s="11" t="s">
        <v>37</v>
      </c>
      <c r="I1344" s="8" t="s">
        <v>14</v>
      </c>
    </row>
    <row r="1345" customFormat="false" ht="14.25" hidden="false" customHeight="false" outlineLevel="0" collapsed="false">
      <c r="A1345" s="8" t="n">
        <v>1344</v>
      </c>
      <c r="B1345" s="8" t="s">
        <v>85</v>
      </c>
      <c r="C1345" s="8" t="s">
        <v>10</v>
      </c>
      <c r="D1345" s="9" t="n">
        <v>44235</v>
      </c>
      <c r="E1345" s="10" t="n">
        <v>16642.84</v>
      </c>
      <c r="F1345" s="8" t="s">
        <v>11</v>
      </c>
      <c r="G1345" s="8" t="s">
        <v>22</v>
      </c>
      <c r="H1345" s="11" t="s">
        <v>23</v>
      </c>
      <c r="I1345" s="8" t="s">
        <v>14</v>
      </c>
    </row>
    <row r="1346" customFormat="false" ht="14.25" hidden="false" customHeight="false" outlineLevel="0" collapsed="false">
      <c r="A1346" s="8" t="n">
        <v>1345</v>
      </c>
      <c r="B1346" s="8" t="s">
        <v>45</v>
      </c>
      <c r="C1346" s="8" t="s">
        <v>28</v>
      </c>
      <c r="D1346" s="9" t="n">
        <v>44235</v>
      </c>
      <c r="E1346" s="10" t="n">
        <v>-18144</v>
      </c>
      <c r="F1346" s="8" t="s">
        <v>34</v>
      </c>
      <c r="G1346" s="8" t="s">
        <v>30</v>
      </c>
      <c r="H1346" s="11" t="s">
        <v>31</v>
      </c>
      <c r="I1346" s="8" t="s">
        <v>19</v>
      </c>
    </row>
    <row r="1347" customFormat="false" ht="14.25" hidden="false" customHeight="false" outlineLevel="0" collapsed="false">
      <c r="A1347" s="8" t="n">
        <v>1346</v>
      </c>
      <c r="B1347" s="8" t="s">
        <v>39</v>
      </c>
      <c r="C1347" s="8" t="s">
        <v>16</v>
      </c>
      <c r="D1347" s="9" t="n">
        <v>44235</v>
      </c>
      <c r="E1347" s="10" t="n">
        <v>-36915.03</v>
      </c>
      <c r="F1347" s="8" t="s">
        <v>34</v>
      </c>
      <c r="G1347" s="8" t="s">
        <v>12</v>
      </c>
      <c r="H1347" s="11" t="s">
        <v>13</v>
      </c>
      <c r="I1347" s="8" t="s">
        <v>14</v>
      </c>
    </row>
    <row r="1348" customFormat="false" ht="14.25" hidden="false" customHeight="false" outlineLevel="0" collapsed="false">
      <c r="A1348" s="8" t="n">
        <v>1347</v>
      </c>
      <c r="B1348" s="8" t="s">
        <v>45</v>
      </c>
      <c r="C1348" s="8" t="s">
        <v>10</v>
      </c>
      <c r="D1348" s="9" t="n">
        <v>44235</v>
      </c>
      <c r="E1348" s="10" t="n">
        <v>-601700.34</v>
      </c>
      <c r="F1348" s="8" t="s">
        <v>34</v>
      </c>
      <c r="G1348" s="8" t="s">
        <v>12</v>
      </c>
      <c r="H1348" s="11" t="s">
        <v>13</v>
      </c>
      <c r="I1348" s="8" t="s">
        <v>26</v>
      </c>
    </row>
    <row r="1349" customFormat="false" ht="14.25" hidden="false" customHeight="false" outlineLevel="0" collapsed="false">
      <c r="A1349" s="8" t="n">
        <v>1348</v>
      </c>
      <c r="B1349" s="8" t="s">
        <v>145</v>
      </c>
      <c r="C1349" s="8" t="s">
        <v>21</v>
      </c>
      <c r="D1349" s="9" t="n">
        <v>44236</v>
      </c>
      <c r="E1349" s="10" t="n">
        <v>-14026.88</v>
      </c>
      <c r="F1349" s="8" t="s">
        <v>34</v>
      </c>
      <c r="G1349" s="8" t="s">
        <v>36</v>
      </c>
      <c r="H1349" s="11" t="s">
        <v>37</v>
      </c>
      <c r="I1349" s="8" t="s">
        <v>14</v>
      </c>
    </row>
    <row r="1350" customFormat="false" ht="14.25" hidden="false" customHeight="false" outlineLevel="0" collapsed="false">
      <c r="A1350" s="8" t="n">
        <v>1349</v>
      </c>
      <c r="B1350" s="8" t="s">
        <v>147</v>
      </c>
      <c r="C1350" s="8" t="s">
        <v>10</v>
      </c>
      <c r="D1350" s="9" t="n">
        <v>44241</v>
      </c>
      <c r="E1350" s="10" t="n">
        <v>-17412.01</v>
      </c>
      <c r="F1350" s="8" t="s">
        <v>34</v>
      </c>
      <c r="G1350" s="8" t="s">
        <v>36</v>
      </c>
      <c r="H1350" s="11" t="s">
        <v>37</v>
      </c>
      <c r="I1350" s="8" t="s">
        <v>24</v>
      </c>
    </row>
    <row r="1351" customFormat="false" ht="14.25" hidden="false" customHeight="false" outlineLevel="0" collapsed="false">
      <c r="A1351" s="8" t="n">
        <v>1350</v>
      </c>
      <c r="B1351" s="8" t="s">
        <v>85</v>
      </c>
      <c r="C1351" s="8" t="s">
        <v>16</v>
      </c>
      <c r="D1351" s="9" t="n">
        <v>44241</v>
      </c>
      <c r="E1351" s="10" t="n">
        <v>-14021.98</v>
      </c>
      <c r="F1351" s="8" t="s">
        <v>34</v>
      </c>
      <c r="G1351" s="8" t="s">
        <v>22</v>
      </c>
      <c r="H1351" s="11" t="s">
        <v>23</v>
      </c>
      <c r="I1351" s="8" t="s">
        <v>14</v>
      </c>
    </row>
    <row r="1352" customFormat="false" ht="14.25" hidden="false" customHeight="false" outlineLevel="0" collapsed="false">
      <c r="A1352" s="8" t="n">
        <v>1351</v>
      </c>
      <c r="B1352" s="8" t="s">
        <v>15</v>
      </c>
      <c r="C1352" s="8" t="s">
        <v>10</v>
      </c>
      <c r="D1352" s="9" t="n">
        <v>44241</v>
      </c>
      <c r="E1352" s="10" t="n">
        <v>59446.56</v>
      </c>
      <c r="F1352" s="8" t="s">
        <v>11</v>
      </c>
      <c r="G1352" s="8" t="s">
        <v>12</v>
      </c>
      <c r="H1352" s="11" t="s">
        <v>13</v>
      </c>
      <c r="I1352" s="8" t="s">
        <v>14</v>
      </c>
    </row>
    <row r="1353" customFormat="false" ht="14.25" hidden="false" customHeight="false" outlineLevel="0" collapsed="false">
      <c r="A1353" s="8" t="n">
        <v>1352</v>
      </c>
      <c r="B1353" s="8" t="s">
        <v>62</v>
      </c>
      <c r="C1353" s="8" t="s">
        <v>21</v>
      </c>
      <c r="D1353" s="9" t="n">
        <v>44242</v>
      </c>
      <c r="E1353" s="10" t="n">
        <v>95943.76</v>
      </c>
      <c r="F1353" s="8" t="s">
        <v>11</v>
      </c>
      <c r="G1353" s="8" t="s">
        <v>12</v>
      </c>
      <c r="H1353" s="11" t="s">
        <v>13</v>
      </c>
      <c r="I1353" s="8" t="s">
        <v>14</v>
      </c>
    </row>
    <row r="1354" customFormat="false" ht="14.25" hidden="false" customHeight="false" outlineLevel="0" collapsed="false">
      <c r="A1354" s="8" t="n">
        <v>1353</v>
      </c>
      <c r="B1354" s="8" t="s">
        <v>61</v>
      </c>
      <c r="C1354" s="8" t="s">
        <v>28</v>
      </c>
      <c r="D1354" s="9" t="n">
        <v>44242</v>
      </c>
      <c r="E1354" s="10" t="n">
        <v>14612.2</v>
      </c>
      <c r="F1354" s="8" t="s">
        <v>11</v>
      </c>
      <c r="G1354" s="8" t="s">
        <v>22</v>
      </c>
      <c r="H1354" s="11" t="s">
        <v>23</v>
      </c>
      <c r="I1354" s="8" t="s">
        <v>26</v>
      </c>
    </row>
    <row r="1355" customFormat="false" ht="14.25" hidden="false" customHeight="false" outlineLevel="0" collapsed="false">
      <c r="A1355" s="8" t="n">
        <v>1354</v>
      </c>
      <c r="B1355" s="8" t="s">
        <v>61</v>
      </c>
      <c r="C1355" s="8" t="s">
        <v>10</v>
      </c>
      <c r="D1355" s="9" t="n">
        <v>44242</v>
      </c>
      <c r="E1355" s="10" t="n">
        <v>15842.71</v>
      </c>
      <c r="F1355" s="8" t="s">
        <v>11</v>
      </c>
      <c r="G1355" s="8" t="s">
        <v>17</v>
      </c>
      <c r="H1355" s="11" t="s">
        <v>18</v>
      </c>
      <c r="I1355" s="8" t="s">
        <v>26</v>
      </c>
    </row>
    <row r="1356" customFormat="false" ht="14.25" hidden="false" customHeight="false" outlineLevel="0" collapsed="false">
      <c r="A1356" s="8" t="n">
        <v>1355</v>
      </c>
      <c r="B1356" s="8" t="s">
        <v>62</v>
      </c>
      <c r="C1356" s="8" t="s">
        <v>21</v>
      </c>
      <c r="D1356" s="9" t="n">
        <v>44242</v>
      </c>
      <c r="E1356" s="10" t="n">
        <v>4906.48</v>
      </c>
      <c r="F1356" s="8" t="s">
        <v>11</v>
      </c>
      <c r="G1356" s="8" t="s">
        <v>17</v>
      </c>
      <c r="H1356" s="11" t="s">
        <v>18</v>
      </c>
      <c r="I1356" s="8" t="s">
        <v>19</v>
      </c>
    </row>
    <row r="1357" customFormat="false" ht="14.25" hidden="false" customHeight="false" outlineLevel="0" collapsed="false">
      <c r="A1357" s="8" t="n">
        <v>1356</v>
      </c>
      <c r="B1357" s="8" t="s">
        <v>61</v>
      </c>
      <c r="C1357" s="8" t="s">
        <v>28</v>
      </c>
      <c r="D1357" s="9" t="n">
        <v>44242</v>
      </c>
      <c r="E1357" s="10" t="n">
        <v>16565.59</v>
      </c>
      <c r="F1357" s="8" t="s">
        <v>11</v>
      </c>
      <c r="G1357" s="8" t="s">
        <v>22</v>
      </c>
      <c r="H1357" s="11" t="s">
        <v>23</v>
      </c>
      <c r="I1357" s="8" t="s">
        <v>14</v>
      </c>
    </row>
    <row r="1358" customFormat="false" ht="14.25" hidden="false" customHeight="false" outlineLevel="0" collapsed="false">
      <c r="A1358" s="8" t="n">
        <v>1357</v>
      </c>
      <c r="B1358" s="8" t="s">
        <v>122</v>
      </c>
      <c r="C1358" s="8" t="s">
        <v>16</v>
      </c>
      <c r="D1358" s="9" t="n">
        <v>44243</v>
      </c>
      <c r="E1358" s="10" t="n">
        <v>3213</v>
      </c>
      <c r="F1358" s="8" t="s">
        <v>11</v>
      </c>
      <c r="G1358" s="8" t="s">
        <v>30</v>
      </c>
      <c r="H1358" s="11" t="s">
        <v>31</v>
      </c>
      <c r="I1358" s="8" t="s">
        <v>26</v>
      </c>
    </row>
    <row r="1359" customFormat="false" ht="14.25" hidden="false" customHeight="false" outlineLevel="0" collapsed="false">
      <c r="A1359" s="8" t="n">
        <v>1358</v>
      </c>
      <c r="B1359" s="8" t="s">
        <v>15</v>
      </c>
      <c r="C1359" s="8" t="s">
        <v>16</v>
      </c>
      <c r="D1359" s="9" t="n">
        <v>44244</v>
      </c>
      <c r="E1359" s="10" t="n">
        <v>133415.02</v>
      </c>
      <c r="F1359" s="8" t="s">
        <v>11</v>
      </c>
      <c r="G1359" s="8" t="s">
        <v>17</v>
      </c>
      <c r="H1359" s="11" t="s">
        <v>18</v>
      </c>
      <c r="I1359" s="8" t="s">
        <v>14</v>
      </c>
    </row>
    <row r="1360" customFormat="false" ht="14.25" hidden="false" customHeight="false" outlineLevel="0" collapsed="false">
      <c r="A1360" s="8" t="n">
        <v>1359</v>
      </c>
      <c r="B1360" s="8" t="s">
        <v>39</v>
      </c>
      <c r="C1360" s="8" t="s">
        <v>21</v>
      </c>
      <c r="D1360" s="9" t="n">
        <v>44244</v>
      </c>
      <c r="E1360" s="10" t="n">
        <v>160711.2</v>
      </c>
      <c r="F1360" s="8" t="s">
        <v>11</v>
      </c>
      <c r="G1360" s="8" t="s">
        <v>36</v>
      </c>
      <c r="H1360" s="11" t="s">
        <v>37</v>
      </c>
      <c r="I1360" s="8" t="s">
        <v>24</v>
      </c>
    </row>
    <row r="1361" customFormat="false" ht="14.25" hidden="false" customHeight="false" outlineLevel="0" collapsed="false">
      <c r="A1361" s="8" t="n">
        <v>1360</v>
      </c>
      <c r="B1361" s="8" t="s">
        <v>39</v>
      </c>
      <c r="C1361" s="8" t="s">
        <v>28</v>
      </c>
      <c r="D1361" s="9" t="n">
        <v>44244</v>
      </c>
      <c r="E1361" s="10" t="n">
        <v>5006.68</v>
      </c>
      <c r="F1361" s="8" t="s">
        <v>11</v>
      </c>
      <c r="G1361" s="8" t="s">
        <v>12</v>
      </c>
      <c r="H1361" s="11" t="s">
        <v>13</v>
      </c>
      <c r="I1361" s="8" t="s">
        <v>26</v>
      </c>
    </row>
    <row r="1362" customFormat="false" ht="14.25" hidden="false" customHeight="false" outlineLevel="0" collapsed="false">
      <c r="A1362" s="8" t="n">
        <v>1361</v>
      </c>
      <c r="B1362" s="8" t="s">
        <v>39</v>
      </c>
      <c r="C1362" s="8" t="s">
        <v>21</v>
      </c>
      <c r="D1362" s="9" t="n">
        <v>44244</v>
      </c>
      <c r="E1362" s="10" t="n">
        <v>16574.32</v>
      </c>
      <c r="F1362" s="8" t="s">
        <v>11</v>
      </c>
      <c r="G1362" s="8" t="s">
        <v>17</v>
      </c>
      <c r="H1362" s="11" t="s">
        <v>18</v>
      </c>
      <c r="I1362" s="8" t="s">
        <v>14</v>
      </c>
    </row>
    <row r="1363" customFormat="false" ht="14.25" hidden="false" customHeight="false" outlineLevel="0" collapsed="false">
      <c r="A1363" s="8" t="n">
        <v>1362</v>
      </c>
      <c r="B1363" s="8" t="s">
        <v>40</v>
      </c>
      <c r="C1363" s="8" t="s">
        <v>10</v>
      </c>
      <c r="D1363" s="9" t="n">
        <v>44246</v>
      </c>
      <c r="E1363" s="10" t="n">
        <v>3213</v>
      </c>
      <c r="F1363" s="8" t="s">
        <v>11</v>
      </c>
      <c r="G1363" s="8" t="s">
        <v>12</v>
      </c>
      <c r="H1363" s="11" t="s">
        <v>13</v>
      </c>
      <c r="I1363" s="8" t="s">
        <v>14</v>
      </c>
    </row>
    <row r="1364" customFormat="false" ht="14.25" hidden="false" customHeight="false" outlineLevel="0" collapsed="false">
      <c r="A1364" s="8" t="n">
        <v>1363</v>
      </c>
      <c r="B1364" s="8" t="s">
        <v>51</v>
      </c>
      <c r="C1364" s="8" t="s">
        <v>21</v>
      </c>
      <c r="D1364" s="9" t="n">
        <v>44246</v>
      </c>
      <c r="E1364" s="10" t="n">
        <v>5379.39</v>
      </c>
      <c r="F1364" s="8" t="s">
        <v>11</v>
      </c>
      <c r="G1364" s="8" t="s">
        <v>12</v>
      </c>
      <c r="H1364" s="11" t="s">
        <v>13</v>
      </c>
      <c r="I1364" s="8" t="s">
        <v>14</v>
      </c>
    </row>
    <row r="1365" customFormat="false" ht="14.25" hidden="false" customHeight="false" outlineLevel="0" collapsed="false">
      <c r="A1365" s="8" t="n">
        <v>1364</v>
      </c>
      <c r="B1365" s="8" t="s">
        <v>74</v>
      </c>
      <c r="C1365" s="8" t="s">
        <v>21</v>
      </c>
      <c r="D1365" s="9" t="n">
        <v>44247</v>
      </c>
      <c r="E1365" s="10" t="n">
        <v>19441.4</v>
      </c>
      <c r="F1365" s="8" t="s">
        <v>11</v>
      </c>
      <c r="G1365" s="8" t="s">
        <v>12</v>
      </c>
      <c r="H1365" s="11" t="s">
        <v>13</v>
      </c>
      <c r="I1365" s="8" t="s">
        <v>14</v>
      </c>
    </row>
    <row r="1366" customFormat="false" ht="14.25" hidden="false" customHeight="false" outlineLevel="0" collapsed="false">
      <c r="A1366" s="8" t="n">
        <v>1365</v>
      </c>
      <c r="B1366" s="8" t="s">
        <v>20</v>
      </c>
      <c r="C1366" s="8" t="s">
        <v>21</v>
      </c>
      <c r="D1366" s="9" t="n">
        <v>44247</v>
      </c>
      <c r="E1366" s="10" t="n">
        <v>3213</v>
      </c>
      <c r="F1366" s="8" t="s">
        <v>11</v>
      </c>
      <c r="G1366" s="8" t="s">
        <v>22</v>
      </c>
      <c r="H1366" s="11" t="s">
        <v>23</v>
      </c>
      <c r="I1366" s="8" t="s">
        <v>14</v>
      </c>
    </row>
    <row r="1367" customFormat="false" ht="14.25" hidden="false" customHeight="false" outlineLevel="0" collapsed="false">
      <c r="A1367" s="8" t="n">
        <v>1366</v>
      </c>
      <c r="B1367" s="8" t="s">
        <v>20</v>
      </c>
      <c r="C1367" s="8" t="s">
        <v>21</v>
      </c>
      <c r="D1367" s="9" t="n">
        <v>44247</v>
      </c>
      <c r="E1367" s="10" t="n">
        <v>3213</v>
      </c>
      <c r="F1367" s="8" t="s">
        <v>11</v>
      </c>
      <c r="G1367" s="8" t="s">
        <v>17</v>
      </c>
      <c r="H1367" s="11" t="s">
        <v>18</v>
      </c>
      <c r="I1367" s="8" t="s">
        <v>14</v>
      </c>
    </row>
    <row r="1368" customFormat="false" ht="14.25" hidden="false" customHeight="false" outlineLevel="0" collapsed="false">
      <c r="A1368" s="8" t="n">
        <v>1367</v>
      </c>
      <c r="B1368" s="8" t="s">
        <v>20</v>
      </c>
      <c r="C1368" s="8" t="s">
        <v>16</v>
      </c>
      <c r="D1368" s="9" t="n">
        <v>44247</v>
      </c>
      <c r="E1368" s="10" t="n">
        <v>3213</v>
      </c>
      <c r="F1368" s="8" t="s">
        <v>11</v>
      </c>
      <c r="G1368" s="8" t="s">
        <v>12</v>
      </c>
      <c r="H1368" s="11" t="s">
        <v>13</v>
      </c>
      <c r="I1368" s="8" t="s">
        <v>14</v>
      </c>
    </row>
    <row r="1369" customFormat="false" ht="14.25" hidden="false" customHeight="false" outlineLevel="0" collapsed="false">
      <c r="A1369" s="8" t="n">
        <v>1368</v>
      </c>
      <c r="B1369" s="8" t="s">
        <v>58</v>
      </c>
      <c r="C1369" s="8" t="s">
        <v>28</v>
      </c>
      <c r="D1369" s="9" t="n">
        <v>44247</v>
      </c>
      <c r="E1369" s="10" t="n">
        <v>-1179.92</v>
      </c>
      <c r="F1369" s="8" t="s">
        <v>34</v>
      </c>
      <c r="G1369" s="8" t="s">
        <v>30</v>
      </c>
      <c r="H1369" s="11" t="s">
        <v>31</v>
      </c>
      <c r="I1369" s="8" t="s">
        <v>24</v>
      </c>
    </row>
    <row r="1370" customFormat="false" ht="14.25" hidden="false" customHeight="false" outlineLevel="0" collapsed="false">
      <c r="A1370" s="8" t="n">
        <v>1369</v>
      </c>
      <c r="B1370" s="8" t="s">
        <v>58</v>
      </c>
      <c r="C1370" s="8" t="s">
        <v>16</v>
      </c>
      <c r="D1370" s="9" t="n">
        <v>44247</v>
      </c>
      <c r="E1370" s="10" t="n">
        <v>-25981.66</v>
      </c>
      <c r="F1370" s="8" t="s">
        <v>34</v>
      </c>
      <c r="G1370" s="8" t="s">
        <v>12</v>
      </c>
      <c r="H1370" s="11" t="s">
        <v>13</v>
      </c>
      <c r="I1370" s="8" t="s">
        <v>26</v>
      </c>
    </row>
    <row r="1371" customFormat="false" ht="14.25" hidden="false" customHeight="false" outlineLevel="0" collapsed="false">
      <c r="A1371" s="8" t="n">
        <v>1370</v>
      </c>
      <c r="B1371" s="8" t="s">
        <v>58</v>
      </c>
      <c r="C1371" s="8" t="s">
        <v>28</v>
      </c>
      <c r="D1371" s="9" t="n">
        <v>44247</v>
      </c>
      <c r="E1371" s="10" t="n">
        <v>-15033.97</v>
      </c>
      <c r="F1371" s="8" t="s">
        <v>34</v>
      </c>
      <c r="G1371" s="8" t="s">
        <v>17</v>
      </c>
      <c r="H1371" s="11" t="s">
        <v>18</v>
      </c>
      <c r="I1371" s="8" t="s">
        <v>26</v>
      </c>
    </row>
    <row r="1372" customFormat="false" ht="14.25" hidden="false" customHeight="false" outlineLevel="0" collapsed="false">
      <c r="A1372" s="8" t="n">
        <v>1371</v>
      </c>
      <c r="B1372" s="8" t="s">
        <v>58</v>
      </c>
      <c r="C1372" s="8" t="s">
        <v>10</v>
      </c>
      <c r="D1372" s="9" t="n">
        <v>44247</v>
      </c>
      <c r="E1372" s="10" t="n">
        <v>-20571.6</v>
      </c>
      <c r="F1372" s="8" t="s">
        <v>34</v>
      </c>
      <c r="G1372" s="8" t="s">
        <v>12</v>
      </c>
      <c r="H1372" s="11" t="s">
        <v>13</v>
      </c>
      <c r="I1372" s="8" t="s">
        <v>26</v>
      </c>
    </row>
    <row r="1373" customFormat="false" ht="14.25" hidden="false" customHeight="false" outlineLevel="0" collapsed="false">
      <c r="A1373" s="8" t="n">
        <v>1372</v>
      </c>
      <c r="B1373" s="8" t="s">
        <v>145</v>
      </c>
      <c r="C1373" s="8" t="s">
        <v>28</v>
      </c>
      <c r="D1373" s="9" t="n">
        <v>44248</v>
      </c>
      <c r="E1373" s="10" t="n">
        <v>-10510.85</v>
      </c>
      <c r="F1373" s="8" t="s">
        <v>34</v>
      </c>
      <c r="G1373" s="8" t="s">
        <v>22</v>
      </c>
      <c r="H1373" s="11" t="s">
        <v>23</v>
      </c>
      <c r="I1373" s="8" t="s">
        <v>26</v>
      </c>
    </row>
    <row r="1374" customFormat="false" ht="14.25" hidden="false" customHeight="false" outlineLevel="0" collapsed="false">
      <c r="A1374" s="8" t="n">
        <v>1373</v>
      </c>
      <c r="B1374" s="8" t="s">
        <v>85</v>
      </c>
      <c r="C1374" s="8" t="s">
        <v>16</v>
      </c>
      <c r="D1374" s="9" t="n">
        <v>44249</v>
      </c>
      <c r="E1374" s="10" t="n">
        <v>-13427.61</v>
      </c>
      <c r="F1374" s="8" t="s">
        <v>34</v>
      </c>
      <c r="G1374" s="8" t="s">
        <v>17</v>
      </c>
      <c r="H1374" s="11" t="s">
        <v>18</v>
      </c>
      <c r="I1374" s="8" t="s">
        <v>26</v>
      </c>
    </row>
    <row r="1375" customFormat="false" ht="14.25" hidden="false" customHeight="false" outlineLevel="0" collapsed="false">
      <c r="A1375" s="8" t="n">
        <v>1374</v>
      </c>
      <c r="B1375" s="8" t="s">
        <v>86</v>
      </c>
      <c r="C1375" s="8" t="s">
        <v>21</v>
      </c>
      <c r="D1375" s="9" t="n">
        <v>44249</v>
      </c>
      <c r="E1375" s="10" t="n">
        <v>-10209.96</v>
      </c>
      <c r="F1375" s="8" t="s">
        <v>34</v>
      </c>
      <c r="G1375" s="8" t="s">
        <v>12</v>
      </c>
      <c r="H1375" s="11" t="s">
        <v>13</v>
      </c>
      <c r="I1375" s="8" t="s">
        <v>26</v>
      </c>
    </row>
    <row r="1376" customFormat="false" ht="14.25" hidden="false" customHeight="false" outlineLevel="0" collapsed="false">
      <c r="A1376" s="8" t="n">
        <v>1375</v>
      </c>
      <c r="B1376" s="8" t="s">
        <v>40</v>
      </c>
      <c r="C1376" s="8" t="s">
        <v>16</v>
      </c>
      <c r="D1376" s="9" t="n">
        <v>44249</v>
      </c>
      <c r="E1376" s="10" t="n">
        <v>-19869.92</v>
      </c>
      <c r="F1376" s="8" t="s">
        <v>34</v>
      </c>
      <c r="G1376" s="8" t="s">
        <v>12</v>
      </c>
      <c r="H1376" s="11" t="s">
        <v>13</v>
      </c>
      <c r="I1376" s="8" t="s">
        <v>14</v>
      </c>
    </row>
    <row r="1377" customFormat="false" ht="14.25" hidden="false" customHeight="false" outlineLevel="0" collapsed="false">
      <c r="A1377" s="8" t="n">
        <v>1376</v>
      </c>
      <c r="B1377" s="8" t="s">
        <v>57</v>
      </c>
      <c r="C1377" s="8" t="s">
        <v>21</v>
      </c>
      <c r="D1377" s="9" t="n">
        <v>44249</v>
      </c>
      <c r="E1377" s="10" t="n">
        <v>-14145.29</v>
      </c>
      <c r="F1377" s="8" t="s">
        <v>34</v>
      </c>
      <c r="G1377" s="8" t="s">
        <v>30</v>
      </c>
      <c r="H1377" s="11" t="s">
        <v>31</v>
      </c>
      <c r="I1377" s="8" t="s">
        <v>14</v>
      </c>
    </row>
    <row r="1378" customFormat="false" ht="14.25" hidden="false" customHeight="false" outlineLevel="0" collapsed="false">
      <c r="A1378" s="8" t="n">
        <v>1377</v>
      </c>
      <c r="B1378" s="8" t="s">
        <v>44</v>
      </c>
      <c r="C1378" s="8" t="s">
        <v>10</v>
      </c>
      <c r="D1378" s="9" t="n">
        <v>44249</v>
      </c>
      <c r="E1378" s="10" t="n">
        <v>-12996.24</v>
      </c>
      <c r="F1378" s="8" t="s">
        <v>34</v>
      </c>
      <c r="G1378" s="8" t="s">
        <v>12</v>
      </c>
      <c r="H1378" s="11" t="s">
        <v>13</v>
      </c>
      <c r="I1378" s="8" t="s">
        <v>19</v>
      </c>
    </row>
    <row r="1379" customFormat="false" ht="14.25" hidden="false" customHeight="false" outlineLevel="0" collapsed="false">
      <c r="A1379" s="8" t="n">
        <v>1378</v>
      </c>
      <c r="B1379" s="8" t="s">
        <v>57</v>
      </c>
      <c r="C1379" s="8" t="s">
        <v>28</v>
      </c>
      <c r="D1379" s="9" t="n">
        <v>44249</v>
      </c>
      <c r="E1379" s="10" t="n">
        <v>-14655.52</v>
      </c>
      <c r="F1379" s="8" t="s">
        <v>34</v>
      </c>
      <c r="G1379" s="8" t="s">
        <v>12</v>
      </c>
      <c r="H1379" s="11" t="s">
        <v>13</v>
      </c>
      <c r="I1379" s="8" t="s">
        <v>14</v>
      </c>
    </row>
    <row r="1380" customFormat="false" ht="14.25" hidden="false" customHeight="false" outlineLevel="0" collapsed="false">
      <c r="A1380" s="8" t="n">
        <v>1379</v>
      </c>
      <c r="B1380" s="8" t="s">
        <v>44</v>
      </c>
      <c r="C1380" s="8" t="s">
        <v>21</v>
      </c>
      <c r="D1380" s="9" t="n">
        <v>44249</v>
      </c>
      <c r="E1380" s="10" t="n">
        <v>-22411.24</v>
      </c>
      <c r="F1380" s="8" t="s">
        <v>34</v>
      </c>
      <c r="G1380" s="8" t="s">
        <v>30</v>
      </c>
      <c r="H1380" s="11" t="s">
        <v>31</v>
      </c>
      <c r="I1380" s="8" t="s">
        <v>14</v>
      </c>
    </row>
    <row r="1381" customFormat="false" ht="14.25" hidden="false" customHeight="false" outlineLevel="0" collapsed="false">
      <c r="A1381" s="8" t="n">
        <v>1380</v>
      </c>
      <c r="B1381" s="8" t="s">
        <v>47</v>
      </c>
      <c r="C1381" s="8" t="s">
        <v>21</v>
      </c>
      <c r="D1381" s="9" t="n">
        <v>44249</v>
      </c>
      <c r="E1381" s="10" t="n">
        <v>17159.73</v>
      </c>
      <c r="F1381" s="8" t="s">
        <v>11</v>
      </c>
      <c r="G1381" s="8" t="s">
        <v>12</v>
      </c>
      <c r="H1381" s="11" t="s">
        <v>13</v>
      </c>
      <c r="I1381" s="8" t="s">
        <v>19</v>
      </c>
    </row>
    <row r="1382" customFormat="false" ht="14.25" hidden="false" customHeight="false" outlineLevel="0" collapsed="false">
      <c r="A1382" s="8" t="n">
        <v>1381</v>
      </c>
      <c r="B1382" s="8" t="s">
        <v>47</v>
      </c>
      <c r="C1382" s="8" t="s">
        <v>28</v>
      </c>
      <c r="D1382" s="9" t="n">
        <v>44249</v>
      </c>
      <c r="E1382" s="10" t="n">
        <v>-3329.48</v>
      </c>
      <c r="F1382" s="8" t="s">
        <v>34</v>
      </c>
      <c r="G1382" s="8" t="s">
        <v>17</v>
      </c>
      <c r="H1382" s="11" t="s">
        <v>18</v>
      </c>
      <c r="I1382" s="8" t="s">
        <v>26</v>
      </c>
    </row>
    <row r="1383" customFormat="false" ht="14.25" hidden="false" customHeight="false" outlineLevel="0" collapsed="false">
      <c r="A1383" s="8" t="n">
        <v>1382</v>
      </c>
      <c r="B1383" s="8" t="s">
        <v>47</v>
      </c>
      <c r="C1383" s="8" t="s">
        <v>28</v>
      </c>
      <c r="D1383" s="9" t="n">
        <v>44249</v>
      </c>
      <c r="E1383" s="10" t="n">
        <v>-69192.69</v>
      </c>
      <c r="F1383" s="8" t="s">
        <v>34</v>
      </c>
      <c r="G1383" s="8" t="s">
        <v>12</v>
      </c>
      <c r="H1383" s="11" t="s">
        <v>13</v>
      </c>
      <c r="I1383" s="8" t="s">
        <v>14</v>
      </c>
    </row>
    <row r="1384" customFormat="false" ht="14.25" hidden="false" customHeight="false" outlineLevel="0" collapsed="false">
      <c r="A1384" s="8" t="n">
        <v>1383</v>
      </c>
      <c r="B1384" s="8" t="s">
        <v>47</v>
      </c>
      <c r="C1384" s="8" t="s">
        <v>10</v>
      </c>
      <c r="D1384" s="9" t="n">
        <v>44249</v>
      </c>
      <c r="E1384" s="10" t="n">
        <v>-65839.9</v>
      </c>
      <c r="F1384" s="8" t="s">
        <v>34</v>
      </c>
      <c r="G1384" s="8" t="s">
        <v>36</v>
      </c>
      <c r="H1384" s="11" t="s">
        <v>37</v>
      </c>
      <c r="I1384" s="8" t="s">
        <v>14</v>
      </c>
    </row>
    <row r="1385" customFormat="false" ht="14.25" hidden="false" customHeight="false" outlineLevel="0" collapsed="false">
      <c r="A1385" s="8" t="n">
        <v>1384</v>
      </c>
      <c r="B1385" s="8" t="s">
        <v>47</v>
      </c>
      <c r="C1385" s="8" t="s">
        <v>28</v>
      </c>
      <c r="D1385" s="9" t="n">
        <v>44249</v>
      </c>
      <c r="E1385" s="10" t="n">
        <v>-326.73</v>
      </c>
      <c r="F1385" s="8" t="s">
        <v>34</v>
      </c>
      <c r="G1385" s="8" t="s">
        <v>17</v>
      </c>
      <c r="H1385" s="11" t="s">
        <v>18</v>
      </c>
      <c r="I1385" s="8" t="s">
        <v>19</v>
      </c>
    </row>
    <row r="1386" customFormat="false" ht="14.25" hidden="false" customHeight="false" outlineLevel="0" collapsed="false">
      <c r="A1386" s="8" t="n">
        <v>1385</v>
      </c>
      <c r="B1386" s="8" t="s">
        <v>153</v>
      </c>
      <c r="C1386" s="8" t="s">
        <v>21</v>
      </c>
      <c r="D1386" s="9" t="n">
        <v>44250</v>
      </c>
      <c r="E1386" s="10" t="n">
        <v>-1426.6</v>
      </c>
      <c r="F1386" s="8" t="s">
        <v>34</v>
      </c>
      <c r="G1386" s="8" t="s">
        <v>12</v>
      </c>
      <c r="H1386" s="11" t="s">
        <v>13</v>
      </c>
      <c r="I1386" s="8" t="s">
        <v>14</v>
      </c>
    </row>
    <row r="1387" customFormat="false" ht="14.25" hidden="false" customHeight="false" outlineLevel="0" collapsed="false">
      <c r="A1387" s="8" t="n">
        <v>1386</v>
      </c>
      <c r="B1387" s="8" t="s">
        <v>155</v>
      </c>
      <c r="C1387" s="8" t="s">
        <v>21</v>
      </c>
      <c r="D1387" s="9" t="n">
        <v>44250</v>
      </c>
      <c r="E1387" s="10" t="n">
        <v>15151.98</v>
      </c>
      <c r="F1387" s="8" t="s">
        <v>11</v>
      </c>
      <c r="G1387" s="8" t="s">
        <v>30</v>
      </c>
      <c r="H1387" s="11" t="s">
        <v>31</v>
      </c>
      <c r="I1387" s="8" t="s">
        <v>26</v>
      </c>
    </row>
    <row r="1388" customFormat="false" ht="14.25" hidden="false" customHeight="false" outlineLevel="0" collapsed="false">
      <c r="A1388" s="8" t="n">
        <v>1387</v>
      </c>
      <c r="B1388" s="8" t="s">
        <v>54</v>
      </c>
      <c r="C1388" s="8" t="s">
        <v>10</v>
      </c>
      <c r="D1388" s="9" t="n">
        <v>44250</v>
      </c>
      <c r="E1388" s="10" t="n">
        <v>8707.21</v>
      </c>
      <c r="F1388" s="8" t="s">
        <v>11</v>
      </c>
      <c r="G1388" s="8" t="s">
        <v>12</v>
      </c>
      <c r="H1388" s="11" t="s">
        <v>13</v>
      </c>
      <c r="I1388" s="8" t="s">
        <v>26</v>
      </c>
    </row>
    <row r="1389" customFormat="false" ht="14.25" hidden="false" customHeight="false" outlineLevel="0" collapsed="false">
      <c r="A1389" s="8" t="n">
        <v>1388</v>
      </c>
      <c r="B1389" s="8" t="s">
        <v>73</v>
      </c>
      <c r="C1389" s="8" t="s">
        <v>28</v>
      </c>
      <c r="D1389" s="9" t="n">
        <v>44250</v>
      </c>
      <c r="E1389" s="10" t="n">
        <v>141182.83</v>
      </c>
      <c r="F1389" s="8" t="s">
        <v>11</v>
      </c>
      <c r="G1389" s="8" t="s">
        <v>17</v>
      </c>
      <c r="H1389" s="11" t="s">
        <v>18</v>
      </c>
      <c r="I1389" s="8" t="s">
        <v>19</v>
      </c>
    </row>
    <row r="1390" customFormat="false" ht="14.25" hidden="false" customHeight="false" outlineLevel="0" collapsed="false">
      <c r="A1390" s="8" t="n">
        <v>1389</v>
      </c>
      <c r="B1390" s="8" t="s">
        <v>45</v>
      </c>
      <c r="C1390" s="8" t="s">
        <v>21</v>
      </c>
      <c r="D1390" s="9" t="n">
        <v>44250</v>
      </c>
      <c r="E1390" s="10" t="n">
        <v>17445.81</v>
      </c>
      <c r="F1390" s="8" t="s">
        <v>11</v>
      </c>
      <c r="G1390" s="8" t="s">
        <v>36</v>
      </c>
      <c r="H1390" s="11" t="s">
        <v>37</v>
      </c>
      <c r="I1390" s="8" t="s">
        <v>26</v>
      </c>
    </row>
    <row r="1391" customFormat="false" ht="14.25" hidden="false" customHeight="false" outlineLevel="0" collapsed="false">
      <c r="A1391" s="8" t="n">
        <v>1390</v>
      </c>
      <c r="B1391" s="8" t="s">
        <v>45</v>
      </c>
      <c r="C1391" s="8" t="s">
        <v>16</v>
      </c>
      <c r="D1391" s="9" t="n">
        <v>44250</v>
      </c>
      <c r="E1391" s="10" t="n">
        <v>123816.68</v>
      </c>
      <c r="F1391" s="8" t="s">
        <v>11</v>
      </c>
      <c r="G1391" s="8" t="s">
        <v>36</v>
      </c>
      <c r="H1391" s="11" t="s">
        <v>37</v>
      </c>
      <c r="I1391" s="8" t="s">
        <v>26</v>
      </c>
    </row>
    <row r="1392" customFormat="false" ht="14.25" hidden="false" customHeight="false" outlineLevel="0" collapsed="false">
      <c r="A1392" s="8" t="n">
        <v>1391</v>
      </c>
      <c r="B1392" s="8" t="s">
        <v>73</v>
      </c>
      <c r="C1392" s="8" t="s">
        <v>10</v>
      </c>
      <c r="D1392" s="9" t="n">
        <v>44250</v>
      </c>
      <c r="E1392" s="10" t="n">
        <v>13237.83</v>
      </c>
      <c r="F1392" s="8" t="s">
        <v>11</v>
      </c>
      <c r="G1392" s="8" t="s">
        <v>36</v>
      </c>
      <c r="H1392" s="11" t="s">
        <v>37</v>
      </c>
      <c r="I1392" s="8" t="s">
        <v>19</v>
      </c>
    </row>
    <row r="1393" customFormat="false" ht="14.25" hidden="false" customHeight="false" outlineLevel="0" collapsed="false">
      <c r="A1393" s="8" t="n">
        <v>1392</v>
      </c>
      <c r="B1393" s="8" t="s">
        <v>73</v>
      </c>
      <c r="C1393" s="8" t="s">
        <v>10</v>
      </c>
      <c r="D1393" s="9" t="n">
        <v>44250</v>
      </c>
      <c r="E1393" s="10" t="n">
        <v>12067.34</v>
      </c>
      <c r="F1393" s="8" t="s">
        <v>11</v>
      </c>
      <c r="G1393" s="8" t="s">
        <v>12</v>
      </c>
      <c r="H1393" s="11" t="s">
        <v>13</v>
      </c>
      <c r="I1393" s="8" t="s">
        <v>14</v>
      </c>
    </row>
    <row r="1394" customFormat="false" ht="14.25" hidden="false" customHeight="false" outlineLevel="0" collapsed="false">
      <c r="A1394" s="8" t="n">
        <v>1393</v>
      </c>
      <c r="B1394" s="8" t="s">
        <v>15</v>
      </c>
      <c r="C1394" s="8" t="s">
        <v>28</v>
      </c>
      <c r="D1394" s="9" t="n">
        <v>44251</v>
      </c>
      <c r="E1394" s="10" t="n">
        <v>11347.25</v>
      </c>
      <c r="F1394" s="8" t="s">
        <v>11</v>
      </c>
      <c r="G1394" s="8" t="s">
        <v>12</v>
      </c>
      <c r="H1394" s="11" t="s">
        <v>13</v>
      </c>
      <c r="I1394" s="8" t="s">
        <v>14</v>
      </c>
    </row>
    <row r="1395" customFormat="false" ht="14.25" hidden="false" customHeight="false" outlineLevel="0" collapsed="false">
      <c r="A1395" s="8" t="n">
        <v>1394</v>
      </c>
      <c r="B1395" s="8" t="s">
        <v>49</v>
      </c>
      <c r="C1395" s="8" t="s">
        <v>10</v>
      </c>
      <c r="D1395" s="9" t="n">
        <v>44251</v>
      </c>
      <c r="E1395" s="10" t="n">
        <v>13784.21</v>
      </c>
      <c r="F1395" s="8" t="s">
        <v>11</v>
      </c>
      <c r="G1395" s="8" t="s">
        <v>12</v>
      </c>
      <c r="H1395" s="11" t="s">
        <v>13</v>
      </c>
      <c r="I1395" s="8" t="s">
        <v>24</v>
      </c>
    </row>
    <row r="1396" customFormat="false" ht="14.25" hidden="false" customHeight="false" outlineLevel="0" collapsed="false">
      <c r="A1396" s="8" t="n">
        <v>1395</v>
      </c>
      <c r="B1396" s="8" t="s">
        <v>15</v>
      </c>
      <c r="C1396" s="8" t="s">
        <v>21</v>
      </c>
      <c r="D1396" s="9" t="n">
        <v>44255</v>
      </c>
      <c r="E1396" s="10" t="n">
        <v>12424.62</v>
      </c>
      <c r="F1396" s="8" t="s">
        <v>11</v>
      </c>
      <c r="G1396" s="8" t="s">
        <v>17</v>
      </c>
      <c r="H1396" s="11" t="s">
        <v>18</v>
      </c>
      <c r="I1396" s="8" t="s">
        <v>14</v>
      </c>
    </row>
    <row r="1397" customFormat="false" ht="14.25" hidden="false" customHeight="false" outlineLevel="0" collapsed="false">
      <c r="A1397" s="8" t="n">
        <v>1396</v>
      </c>
      <c r="B1397" s="8" t="s">
        <v>15</v>
      </c>
      <c r="C1397" s="8" t="s">
        <v>16</v>
      </c>
      <c r="D1397" s="9" t="n">
        <v>44255</v>
      </c>
      <c r="E1397" s="10" t="n">
        <v>12865.26</v>
      </c>
      <c r="F1397" s="8" t="s">
        <v>11</v>
      </c>
      <c r="G1397" s="8" t="s">
        <v>12</v>
      </c>
      <c r="H1397" s="11" t="s">
        <v>13</v>
      </c>
      <c r="I1397" s="8" t="s">
        <v>24</v>
      </c>
    </row>
    <row r="1398" customFormat="false" ht="14.25" hidden="false" customHeight="false" outlineLevel="0" collapsed="false">
      <c r="A1398" s="8" t="n">
        <v>1397</v>
      </c>
      <c r="B1398" s="8" t="s">
        <v>40</v>
      </c>
      <c r="C1398" s="8" t="s">
        <v>28</v>
      </c>
      <c r="D1398" s="9" t="n">
        <v>44257</v>
      </c>
      <c r="E1398" s="10" t="n">
        <v>10490.32</v>
      </c>
      <c r="F1398" s="8" t="s">
        <v>11</v>
      </c>
      <c r="G1398" s="8" t="s">
        <v>30</v>
      </c>
      <c r="H1398" s="11" t="s">
        <v>31</v>
      </c>
      <c r="I1398" s="8" t="s">
        <v>19</v>
      </c>
    </row>
    <row r="1399" customFormat="false" ht="14.25" hidden="false" customHeight="false" outlineLevel="0" collapsed="false">
      <c r="A1399" s="8" t="n">
        <v>1398</v>
      </c>
      <c r="B1399" s="8" t="s">
        <v>39</v>
      </c>
      <c r="C1399" s="8" t="s">
        <v>10</v>
      </c>
      <c r="D1399" s="9" t="n">
        <v>44257</v>
      </c>
      <c r="E1399" s="10" t="n">
        <v>14635.32</v>
      </c>
      <c r="F1399" s="8" t="s">
        <v>11</v>
      </c>
      <c r="G1399" s="8" t="s">
        <v>17</v>
      </c>
      <c r="H1399" s="11" t="s">
        <v>18</v>
      </c>
      <c r="I1399" s="8" t="s">
        <v>26</v>
      </c>
    </row>
    <row r="1400" customFormat="false" ht="14.25" hidden="false" customHeight="false" outlineLevel="0" collapsed="false">
      <c r="A1400" s="8" t="n">
        <v>1399</v>
      </c>
      <c r="B1400" s="8" t="s">
        <v>77</v>
      </c>
      <c r="C1400" s="8" t="s">
        <v>10</v>
      </c>
      <c r="D1400" s="9" t="n">
        <v>44260</v>
      </c>
      <c r="E1400" s="10" t="n">
        <v>11473.79</v>
      </c>
      <c r="F1400" s="8" t="s">
        <v>11</v>
      </c>
      <c r="G1400" s="8" t="s">
        <v>12</v>
      </c>
      <c r="H1400" s="11" t="s">
        <v>13</v>
      </c>
      <c r="I1400" s="8" t="s">
        <v>14</v>
      </c>
    </row>
    <row r="1401" customFormat="false" ht="14.25" hidden="false" customHeight="false" outlineLevel="0" collapsed="false">
      <c r="A1401" s="8" t="n">
        <v>1400</v>
      </c>
      <c r="B1401" s="8" t="s">
        <v>85</v>
      </c>
      <c r="C1401" s="8" t="s">
        <v>10</v>
      </c>
      <c r="D1401" s="9" t="n">
        <v>44260</v>
      </c>
      <c r="E1401" s="10" t="n">
        <v>12216.9</v>
      </c>
      <c r="F1401" s="8" t="s">
        <v>11</v>
      </c>
      <c r="G1401" s="8" t="s">
        <v>17</v>
      </c>
      <c r="H1401" s="11" t="s">
        <v>18</v>
      </c>
      <c r="I1401" s="8" t="s">
        <v>14</v>
      </c>
    </row>
    <row r="1402" customFormat="false" ht="14.25" hidden="false" customHeight="false" outlineLevel="0" collapsed="false">
      <c r="A1402" s="8" t="n">
        <v>1401</v>
      </c>
      <c r="B1402" s="8" t="s">
        <v>156</v>
      </c>
      <c r="C1402" s="8" t="s">
        <v>21</v>
      </c>
      <c r="D1402" s="9" t="n">
        <v>44261</v>
      </c>
      <c r="E1402" s="10" t="n">
        <v>-320000.47</v>
      </c>
      <c r="F1402" s="8" t="s">
        <v>34</v>
      </c>
      <c r="G1402" s="8" t="s">
        <v>12</v>
      </c>
      <c r="H1402" s="11" t="s">
        <v>13</v>
      </c>
      <c r="I1402" s="8" t="s">
        <v>14</v>
      </c>
    </row>
    <row r="1403" customFormat="false" ht="14.25" hidden="false" customHeight="false" outlineLevel="0" collapsed="false">
      <c r="A1403" s="8" t="n">
        <v>1402</v>
      </c>
      <c r="B1403" s="8" t="s">
        <v>40</v>
      </c>
      <c r="C1403" s="8" t="s">
        <v>21</v>
      </c>
      <c r="D1403" s="9" t="n">
        <v>44261</v>
      </c>
      <c r="E1403" s="10" t="n">
        <v>-30403.17</v>
      </c>
      <c r="F1403" s="8" t="s">
        <v>34</v>
      </c>
      <c r="G1403" s="8" t="s">
        <v>36</v>
      </c>
      <c r="H1403" s="11" t="s">
        <v>37</v>
      </c>
      <c r="I1403" s="8" t="s">
        <v>26</v>
      </c>
    </row>
    <row r="1404" customFormat="false" ht="14.25" hidden="false" customHeight="false" outlineLevel="0" collapsed="false">
      <c r="A1404" s="8" t="n">
        <v>1403</v>
      </c>
      <c r="B1404" s="8" t="s">
        <v>50</v>
      </c>
      <c r="C1404" s="8" t="s">
        <v>28</v>
      </c>
      <c r="D1404" s="9" t="n">
        <v>44262</v>
      </c>
      <c r="E1404" s="10" t="n">
        <v>-7781.31</v>
      </c>
      <c r="F1404" s="8" t="s">
        <v>34</v>
      </c>
      <c r="G1404" s="8" t="s">
        <v>22</v>
      </c>
      <c r="H1404" s="11" t="s">
        <v>23</v>
      </c>
      <c r="I1404" s="8" t="s">
        <v>14</v>
      </c>
    </row>
    <row r="1405" customFormat="false" ht="14.25" hidden="false" customHeight="false" outlineLevel="0" collapsed="false">
      <c r="A1405" s="8" t="n">
        <v>1404</v>
      </c>
      <c r="B1405" s="8" t="s">
        <v>85</v>
      </c>
      <c r="C1405" s="8" t="s">
        <v>16</v>
      </c>
      <c r="D1405" s="9" t="n">
        <v>44262</v>
      </c>
      <c r="E1405" s="10" t="n">
        <v>169963.07</v>
      </c>
      <c r="F1405" s="8" t="s">
        <v>11</v>
      </c>
      <c r="G1405" s="8" t="s">
        <v>30</v>
      </c>
      <c r="H1405" s="11" t="s">
        <v>31</v>
      </c>
      <c r="I1405" s="8" t="s">
        <v>24</v>
      </c>
    </row>
    <row r="1406" customFormat="false" ht="14.25" hidden="false" customHeight="false" outlineLevel="0" collapsed="false">
      <c r="A1406" s="8" t="n">
        <v>1405</v>
      </c>
      <c r="B1406" s="8" t="s">
        <v>64</v>
      </c>
      <c r="C1406" s="8" t="s">
        <v>16</v>
      </c>
      <c r="D1406" s="9" t="n">
        <v>44263</v>
      </c>
      <c r="E1406" s="10" t="n">
        <v>21760</v>
      </c>
      <c r="F1406" s="8" t="s">
        <v>11</v>
      </c>
      <c r="G1406" s="8" t="s">
        <v>22</v>
      </c>
      <c r="H1406" s="11" t="s">
        <v>23</v>
      </c>
      <c r="I1406" s="8" t="s">
        <v>26</v>
      </c>
    </row>
    <row r="1407" customFormat="false" ht="14.25" hidden="false" customHeight="false" outlineLevel="0" collapsed="false">
      <c r="A1407" s="8" t="n">
        <v>1406</v>
      </c>
      <c r="B1407" s="8" t="s">
        <v>72</v>
      </c>
      <c r="C1407" s="8" t="s">
        <v>10</v>
      </c>
      <c r="D1407" s="9" t="n">
        <v>44263</v>
      </c>
      <c r="E1407" s="10" t="n">
        <v>21760</v>
      </c>
      <c r="F1407" s="8" t="s">
        <v>11</v>
      </c>
      <c r="G1407" s="8" t="s">
        <v>36</v>
      </c>
      <c r="H1407" s="11" t="s">
        <v>37</v>
      </c>
      <c r="I1407" s="8" t="s">
        <v>19</v>
      </c>
    </row>
    <row r="1408" customFormat="false" ht="14.25" hidden="false" customHeight="false" outlineLevel="0" collapsed="false">
      <c r="A1408" s="8" t="n">
        <v>1407</v>
      </c>
      <c r="B1408" s="8" t="s">
        <v>72</v>
      </c>
      <c r="C1408" s="8" t="s">
        <v>21</v>
      </c>
      <c r="D1408" s="9" t="n">
        <v>44263</v>
      </c>
      <c r="E1408" s="10" t="n">
        <v>21760</v>
      </c>
      <c r="F1408" s="8" t="s">
        <v>11</v>
      </c>
      <c r="G1408" s="8" t="s">
        <v>17</v>
      </c>
      <c r="H1408" s="11" t="s">
        <v>18</v>
      </c>
      <c r="I1408" s="8" t="s">
        <v>14</v>
      </c>
    </row>
    <row r="1409" customFormat="false" ht="14.25" hidden="false" customHeight="false" outlineLevel="0" collapsed="false">
      <c r="A1409" s="8" t="n">
        <v>1408</v>
      </c>
      <c r="B1409" s="8" t="s">
        <v>145</v>
      </c>
      <c r="C1409" s="8" t="s">
        <v>21</v>
      </c>
      <c r="D1409" s="9" t="n">
        <v>44264</v>
      </c>
      <c r="E1409" s="10" t="n">
        <v>21760</v>
      </c>
      <c r="F1409" s="8" t="s">
        <v>11</v>
      </c>
      <c r="G1409" s="8" t="s">
        <v>17</v>
      </c>
      <c r="H1409" s="11" t="s">
        <v>18</v>
      </c>
      <c r="I1409" s="8" t="s">
        <v>14</v>
      </c>
    </row>
    <row r="1410" customFormat="false" ht="14.25" hidden="false" customHeight="false" outlineLevel="0" collapsed="false">
      <c r="A1410" s="8" t="n">
        <v>1409</v>
      </c>
      <c r="B1410" s="8" t="s">
        <v>44</v>
      </c>
      <c r="C1410" s="8" t="s">
        <v>16</v>
      </c>
      <c r="D1410" s="9" t="n">
        <v>44264</v>
      </c>
      <c r="E1410" s="10" t="n">
        <v>21760</v>
      </c>
      <c r="F1410" s="8" t="s">
        <v>11</v>
      </c>
      <c r="G1410" s="8" t="s">
        <v>17</v>
      </c>
      <c r="H1410" s="11" t="s">
        <v>18</v>
      </c>
      <c r="I1410" s="8" t="s">
        <v>26</v>
      </c>
    </row>
    <row r="1411" customFormat="false" ht="14.25" hidden="false" customHeight="false" outlineLevel="0" collapsed="false">
      <c r="A1411" s="8" t="n">
        <v>1410</v>
      </c>
      <c r="B1411" s="8" t="s">
        <v>44</v>
      </c>
      <c r="C1411" s="8" t="s">
        <v>16</v>
      </c>
      <c r="D1411" s="9" t="n">
        <v>44264</v>
      </c>
      <c r="E1411" s="10" t="n">
        <v>21760</v>
      </c>
      <c r="F1411" s="8" t="s">
        <v>11</v>
      </c>
      <c r="G1411" s="8" t="s">
        <v>12</v>
      </c>
      <c r="H1411" s="11" t="s">
        <v>13</v>
      </c>
      <c r="I1411" s="8" t="s">
        <v>14</v>
      </c>
    </row>
    <row r="1412" customFormat="false" ht="14.25" hidden="false" customHeight="false" outlineLevel="0" collapsed="false">
      <c r="A1412" s="8" t="n">
        <v>1411</v>
      </c>
      <c r="B1412" s="8" t="s">
        <v>39</v>
      </c>
      <c r="C1412" s="8" t="s">
        <v>28</v>
      </c>
      <c r="D1412" s="9" t="n">
        <v>44264</v>
      </c>
      <c r="E1412" s="10" t="n">
        <v>-53845.89</v>
      </c>
      <c r="F1412" s="8" t="s">
        <v>34</v>
      </c>
      <c r="G1412" s="8" t="s">
        <v>17</v>
      </c>
      <c r="H1412" s="11" t="s">
        <v>18</v>
      </c>
      <c r="I1412" s="8" t="s">
        <v>24</v>
      </c>
    </row>
    <row r="1413" customFormat="false" ht="14.25" hidden="false" customHeight="false" outlineLevel="0" collapsed="false">
      <c r="A1413" s="8" t="n">
        <v>1412</v>
      </c>
      <c r="B1413" s="8" t="s">
        <v>47</v>
      </c>
      <c r="C1413" s="8" t="s">
        <v>28</v>
      </c>
      <c r="D1413" s="9" t="n">
        <v>44264</v>
      </c>
      <c r="E1413" s="10" t="n">
        <v>176835.48</v>
      </c>
      <c r="F1413" s="8" t="s">
        <v>11</v>
      </c>
      <c r="G1413" s="8" t="s">
        <v>22</v>
      </c>
      <c r="H1413" s="11" t="s">
        <v>23</v>
      </c>
      <c r="I1413" s="8" t="s">
        <v>26</v>
      </c>
    </row>
    <row r="1414" customFormat="false" ht="14.25" hidden="false" customHeight="false" outlineLevel="0" collapsed="false">
      <c r="A1414" s="8" t="n">
        <v>1413</v>
      </c>
      <c r="B1414" s="8" t="s">
        <v>47</v>
      </c>
      <c r="C1414" s="8" t="s">
        <v>28</v>
      </c>
      <c r="D1414" s="9" t="n">
        <v>44264</v>
      </c>
      <c r="E1414" s="10" t="n">
        <v>7111.09</v>
      </c>
      <c r="F1414" s="8" t="s">
        <v>11</v>
      </c>
      <c r="G1414" s="8" t="s">
        <v>17</v>
      </c>
      <c r="H1414" s="11" t="s">
        <v>18</v>
      </c>
      <c r="I1414" s="8" t="s">
        <v>24</v>
      </c>
    </row>
    <row r="1415" customFormat="false" ht="14.25" hidden="false" customHeight="false" outlineLevel="0" collapsed="false">
      <c r="A1415" s="8" t="n">
        <v>1414</v>
      </c>
      <c r="B1415" s="8" t="s">
        <v>47</v>
      </c>
      <c r="C1415" s="8" t="s">
        <v>28</v>
      </c>
      <c r="D1415" s="9" t="n">
        <v>44264</v>
      </c>
      <c r="E1415" s="10" t="n">
        <v>7162.05</v>
      </c>
      <c r="F1415" s="8" t="s">
        <v>11</v>
      </c>
      <c r="G1415" s="8" t="s">
        <v>12</v>
      </c>
      <c r="H1415" s="11" t="s">
        <v>13</v>
      </c>
      <c r="I1415" s="8" t="s">
        <v>24</v>
      </c>
    </row>
    <row r="1416" customFormat="false" ht="14.25" hidden="false" customHeight="false" outlineLevel="0" collapsed="false">
      <c r="A1416" s="8" t="n">
        <v>1415</v>
      </c>
      <c r="B1416" s="8" t="s">
        <v>47</v>
      </c>
      <c r="C1416" s="8" t="s">
        <v>21</v>
      </c>
      <c r="D1416" s="9" t="n">
        <v>44264</v>
      </c>
      <c r="E1416" s="10" t="n">
        <v>141827.32</v>
      </c>
      <c r="F1416" s="8" t="s">
        <v>11</v>
      </c>
      <c r="G1416" s="8" t="s">
        <v>12</v>
      </c>
      <c r="H1416" s="11" t="s">
        <v>13</v>
      </c>
      <c r="I1416" s="8" t="s">
        <v>26</v>
      </c>
    </row>
    <row r="1417" customFormat="false" ht="14.25" hidden="false" customHeight="false" outlineLevel="0" collapsed="false">
      <c r="A1417" s="8" t="n">
        <v>1416</v>
      </c>
      <c r="B1417" s="8" t="s">
        <v>40</v>
      </c>
      <c r="C1417" s="8" t="s">
        <v>16</v>
      </c>
      <c r="D1417" s="9" t="n">
        <v>44265</v>
      </c>
      <c r="E1417" s="10" t="n">
        <v>7637.76</v>
      </c>
      <c r="F1417" s="8" t="s">
        <v>11</v>
      </c>
      <c r="G1417" s="8" t="s">
        <v>12</v>
      </c>
      <c r="H1417" s="11" t="s">
        <v>13</v>
      </c>
      <c r="I1417" s="8" t="s">
        <v>26</v>
      </c>
    </row>
    <row r="1418" customFormat="false" ht="14.25" hidden="false" customHeight="false" outlineLevel="0" collapsed="false">
      <c r="A1418" s="8" t="n">
        <v>1417</v>
      </c>
      <c r="B1418" s="8" t="s">
        <v>145</v>
      </c>
      <c r="C1418" s="8" t="s">
        <v>21</v>
      </c>
      <c r="D1418" s="9" t="n">
        <v>44267</v>
      </c>
      <c r="E1418" s="10" t="n">
        <v>2505.43</v>
      </c>
      <c r="F1418" s="8" t="s">
        <v>11</v>
      </c>
      <c r="G1418" s="8" t="s">
        <v>36</v>
      </c>
      <c r="H1418" s="11" t="s">
        <v>37</v>
      </c>
      <c r="I1418" s="8" t="s">
        <v>26</v>
      </c>
    </row>
    <row r="1419" customFormat="false" ht="14.25" hidden="false" customHeight="false" outlineLevel="0" collapsed="false">
      <c r="A1419" s="8" t="n">
        <v>1418</v>
      </c>
      <c r="B1419" s="8" t="s">
        <v>15</v>
      </c>
      <c r="C1419" s="8" t="s">
        <v>28</v>
      </c>
      <c r="D1419" s="9" t="n">
        <v>44267</v>
      </c>
      <c r="E1419" s="10" t="n">
        <v>8171.21</v>
      </c>
      <c r="F1419" s="8" t="s">
        <v>11</v>
      </c>
      <c r="G1419" s="8" t="s">
        <v>17</v>
      </c>
      <c r="H1419" s="11" t="s">
        <v>18</v>
      </c>
      <c r="I1419" s="8" t="s">
        <v>26</v>
      </c>
    </row>
    <row r="1420" customFormat="false" ht="14.25" hidden="false" customHeight="false" outlineLevel="0" collapsed="false">
      <c r="A1420" s="8" t="n">
        <v>1419</v>
      </c>
      <c r="B1420" s="8" t="s">
        <v>100</v>
      </c>
      <c r="C1420" s="8" t="s">
        <v>16</v>
      </c>
      <c r="D1420" s="9" t="n">
        <v>44267</v>
      </c>
      <c r="E1420" s="10" t="n">
        <v>2498.08</v>
      </c>
      <c r="F1420" s="8" t="s">
        <v>11</v>
      </c>
      <c r="G1420" s="8" t="s">
        <v>17</v>
      </c>
      <c r="H1420" s="11" t="s">
        <v>18</v>
      </c>
      <c r="I1420" s="8" t="s">
        <v>26</v>
      </c>
    </row>
    <row r="1421" customFormat="false" ht="14.25" hidden="false" customHeight="false" outlineLevel="0" collapsed="false">
      <c r="A1421" s="8" t="n">
        <v>1420</v>
      </c>
      <c r="B1421" s="8" t="s">
        <v>100</v>
      </c>
      <c r="C1421" s="8" t="s">
        <v>16</v>
      </c>
      <c r="D1421" s="9" t="n">
        <v>44267</v>
      </c>
      <c r="E1421" s="10" t="n">
        <v>7853.16</v>
      </c>
      <c r="F1421" s="8" t="s">
        <v>11</v>
      </c>
      <c r="G1421" s="8" t="s">
        <v>17</v>
      </c>
      <c r="H1421" s="11" t="s">
        <v>18</v>
      </c>
      <c r="I1421" s="8" t="s">
        <v>26</v>
      </c>
    </row>
    <row r="1422" customFormat="false" ht="14.25" hidden="false" customHeight="false" outlineLevel="0" collapsed="false">
      <c r="A1422" s="8" t="n">
        <v>1421</v>
      </c>
      <c r="B1422" s="8" t="s">
        <v>100</v>
      </c>
      <c r="C1422" s="8" t="s">
        <v>21</v>
      </c>
      <c r="D1422" s="9" t="n">
        <v>44267</v>
      </c>
      <c r="E1422" s="10" t="n">
        <v>6785.95</v>
      </c>
      <c r="F1422" s="8" t="s">
        <v>11</v>
      </c>
      <c r="G1422" s="8" t="s">
        <v>22</v>
      </c>
      <c r="H1422" s="11" t="s">
        <v>23</v>
      </c>
      <c r="I1422" s="8" t="s">
        <v>26</v>
      </c>
    </row>
    <row r="1423" customFormat="false" ht="14.25" hidden="false" customHeight="false" outlineLevel="0" collapsed="false">
      <c r="A1423" s="8" t="n">
        <v>1422</v>
      </c>
      <c r="B1423" s="8" t="s">
        <v>100</v>
      </c>
      <c r="C1423" s="8" t="s">
        <v>28</v>
      </c>
      <c r="D1423" s="9" t="n">
        <v>44267</v>
      </c>
      <c r="E1423" s="10" t="n">
        <v>7067.39</v>
      </c>
      <c r="F1423" s="8" t="s">
        <v>11</v>
      </c>
      <c r="G1423" s="8" t="s">
        <v>36</v>
      </c>
      <c r="H1423" s="11" t="s">
        <v>37</v>
      </c>
      <c r="I1423" s="8" t="s">
        <v>26</v>
      </c>
    </row>
    <row r="1424" customFormat="false" ht="14.25" hidden="false" customHeight="false" outlineLevel="0" collapsed="false">
      <c r="A1424" s="8" t="n">
        <v>1423</v>
      </c>
      <c r="B1424" s="8" t="s">
        <v>100</v>
      </c>
      <c r="C1424" s="8" t="s">
        <v>28</v>
      </c>
      <c r="D1424" s="9" t="n">
        <v>44267</v>
      </c>
      <c r="E1424" s="10" t="n">
        <v>7969.59</v>
      </c>
      <c r="F1424" s="8" t="s">
        <v>11</v>
      </c>
      <c r="G1424" s="8" t="s">
        <v>17</v>
      </c>
      <c r="H1424" s="11" t="s">
        <v>18</v>
      </c>
      <c r="I1424" s="8" t="s">
        <v>14</v>
      </c>
    </row>
    <row r="1425" customFormat="false" ht="14.25" hidden="false" customHeight="false" outlineLevel="0" collapsed="false">
      <c r="A1425" s="8" t="n">
        <v>1424</v>
      </c>
      <c r="B1425" s="8" t="s">
        <v>100</v>
      </c>
      <c r="C1425" s="8" t="s">
        <v>21</v>
      </c>
      <c r="D1425" s="9" t="n">
        <v>44267</v>
      </c>
      <c r="E1425" s="10" t="n">
        <v>7883.84</v>
      </c>
      <c r="F1425" s="8" t="s">
        <v>11</v>
      </c>
      <c r="G1425" s="8" t="s">
        <v>36</v>
      </c>
      <c r="H1425" s="11" t="s">
        <v>37</v>
      </c>
      <c r="I1425" s="8" t="s">
        <v>14</v>
      </c>
    </row>
    <row r="1426" customFormat="false" ht="14.25" hidden="false" customHeight="false" outlineLevel="0" collapsed="false">
      <c r="A1426" s="8" t="n">
        <v>1425</v>
      </c>
      <c r="B1426" s="8" t="s">
        <v>49</v>
      </c>
      <c r="C1426" s="8" t="s">
        <v>28</v>
      </c>
      <c r="D1426" s="9" t="n">
        <v>44268</v>
      </c>
      <c r="E1426" s="10" t="n">
        <v>7204.06</v>
      </c>
      <c r="F1426" s="8" t="s">
        <v>11</v>
      </c>
      <c r="G1426" s="8" t="s">
        <v>12</v>
      </c>
      <c r="H1426" s="11" t="s">
        <v>13</v>
      </c>
      <c r="I1426" s="8" t="s">
        <v>14</v>
      </c>
    </row>
    <row r="1427" customFormat="false" ht="14.25" hidden="false" customHeight="false" outlineLevel="0" collapsed="false">
      <c r="A1427" s="8" t="n">
        <v>1426</v>
      </c>
      <c r="B1427" s="8" t="s">
        <v>50</v>
      </c>
      <c r="C1427" s="8" t="s">
        <v>10</v>
      </c>
      <c r="D1427" s="9" t="n">
        <v>44269</v>
      </c>
      <c r="E1427" s="10" t="n">
        <v>-5772.69</v>
      </c>
      <c r="F1427" s="8" t="s">
        <v>34</v>
      </c>
      <c r="G1427" s="8" t="s">
        <v>36</v>
      </c>
      <c r="H1427" s="11" t="s">
        <v>37</v>
      </c>
      <c r="I1427" s="8" t="s">
        <v>14</v>
      </c>
    </row>
    <row r="1428" customFormat="false" ht="14.25" hidden="false" customHeight="false" outlineLevel="0" collapsed="false">
      <c r="A1428" s="8" t="n">
        <v>1427</v>
      </c>
      <c r="B1428" s="8" t="s">
        <v>50</v>
      </c>
      <c r="C1428" s="8" t="s">
        <v>10</v>
      </c>
      <c r="D1428" s="9" t="n">
        <v>44269</v>
      </c>
      <c r="E1428" s="10" t="n">
        <v>-5539.45</v>
      </c>
      <c r="F1428" s="8" t="s">
        <v>34</v>
      </c>
      <c r="G1428" s="8" t="s">
        <v>17</v>
      </c>
      <c r="H1428" s="11" t="s">
        <v>18</v>
      </c>
      <c r="I1428" s="8" t="s">
        <v>26</v>
      </c>
    </row>
    <row r="1429" customFormat="false" ht="14.25" hidden="false" customHeight="false" outlineLevel="0" collapsed="false">
      <c r="A1429" s="8" t="n">
        <v>1428</v>
      </c>
      <c r="B1429" s="8" t="s">
        <v>85</v>
      </c>
      <c r="C1429" s="8" t="s">
        <v>28</v>
      </c>
      <c r="D1429" s="9" t="n">
        <v>44269</v>
      </c>
      <c r="E1429" s="10" t="n">
        <v>-5714.38</v>
      </c>
      <c r="F1429" s="8" t="s">
        <v>34</v>
      </c>
      <c r="G1429" s="8" t="s">
        <v>36</v>
      </c>
      <c r="H1429" s="11" t="s">
        <v>37</v>
      </c>
      <c r="I1429" s="8" t="s">
        <v>14</v>
      </c>
    </row>
    <row r="1430" customFormat="false" ht="14.25" hidden="false" customHeight="false" outlineLevel="0" collapsed="false">
      <c r="A1430" s="8" t="n">
        <v>1429</v>
      </c>
      <c r="B1430" s="8" t="s">
        <v>157</v>
      </c>
      <c r="C1430" s="8" t="s">
        <v>10</v>
      </c>
      <c r="D1430" s="9" t="n">
        <v>44270</v>
      </c>
      <c r="E1430" s="10" t="n">
        <v>-5769.19</v>
      </c>
      <c r="F1430" s="8" t="s">
        <v>34</v>
      </c>
      <c r="G1430" s="8" t="s">
        <v>17</v>
      </c>
      <c r="H1430" s="11" t="s">
        <v>18</v>
      </c>
      <c r="I1430" s="8" t="s">
        <v>14</v>
      </c>
    </row>
    <row r="1431" customFormat="false" ht="14.25" hidden="false" customHeight="false" outlineLevel="0" collapsed="false">
      <c r="A1431" s="8" t="n">
        <v>1430</v>
      </c>
      <c r="B1431" s="8" t="s">
        <v>158</v>
      </c>
      <c r="C1431" s="8" t="s">
        <v>16</v>
      </c>
      <c r="D1431" s="9" t="n">
        <v>44270</v>
      </c>
      <c r="E1431" s="10" t="n">
        <v>-6060.08</v>
      </c>
      <c r="F1431" s="8" t="s">
        <v>34</v>
      </c>
      <c r="G1431" s="8" t="s">
        <v>12</v>
      </c>
      <c r="H1431" s="11" t="s">
        <v>13</v>
      </c>
      <c r="I1431" s="8" t="s">
        <v>26</v>
      </c>
    </row>
    <row r="1432" customFormat="false" ht="14.25" hidden="false" customHeight="false" outlineLevel="0" collapsed="false">
      <c r="A1432" s="8" t="n">
        <v>1431</v>
      </c>
      <c r="B1432" s="8" t="s">
        <v>158</v>
      </c>
      <c r="C1432" s="8" t="s">
        <v>21</v>
      </c>
      <c r="D1432" s="9" t="n">
        <v>44270</v>
      </c>
      <c r="E1432" s="10" t="n">
        <v>-5949.41</v>
      </c>
      <c r="F1432" s="8" t="s">
        <v>34</v>
      </c>
      <c r="G1432" s="8" t="s">
        <v>12</v>
      </c>
      <c r="H1432" s="11" t="s">
        <v>13</v>
      </c>
      <c r="I1432" s="8" t="s">
        <v>14</v>
      </c>
    </row>
    <row r="1433" customFormat="false" ht="14.25" hidden="false" customHeight="false" outlineLevel="0" collapsed="false">
      <c r="A1433" s="8" t="n">
        <v>1432</v>
      </c>
      <c r="B1433" s="8" t="s">
        <v>15</v>
      </c>
      <c r="C1433" s="8" t="s">
        <v>10</v>
      </c>
      <c r="D1433" s="9" t="n">
        <v>44270</v>
      </c>
      <c r="E1433" s="10" t="n">
        <v>-5709.03</v>
      </c>
      <c r="F1433" s="8" t="s">
        <v>34</v>
      </c>
      <c r="G1433" s="8" t="s">
        <v>12</v>
      </c>
      <c r="H1433" s="11" t="s">
        <v>13</v>
      </c>
      <c r="I1433" s="8" t="s">
        <v>14</v>
      </c>
    </row>
    <row r="1434" customFormat="false" ht="14.25" hidden="false" customHeight="false" outlineLevel="0" collapsed="false">
      <c r="A1434" s="8" t="n">
        <v>1433</v>
      </c>
      <c r="B1434" s="8" t="s">
        <v>15</v>
      </c>
      <c r="C1434" s="8" t="s">
        <v>16</v>
      </c>
      <c r="D1434" s="9" t="n">
        <v>44270</v>
      </c>
      <c r="E1434" s="10" t="n">
        <v>-5935.13</v>
      </c>
      <c r="F1434" s="8" t="s">
        <v>34</v>
      </c>
      <c r="G1434" s="8" t="s">
        <v>36</v>
      </c>
      <c r="H1434" s="11" t="s">
        <v>37</v>
      </c>
      <c r="I1434" s="8" t="s">
        <v>26</v>
      </c>
    </row>
    <row r="1435" customFormat="false" ht="14.25" hidden="false" customHeight="false" outlineLevel="0" collapsed="false">
      <c r="A1435" s="8" t="n">
        <v>1434</v>
      </c>
      <c r="B1435" s="8" t="s">
        <v>66</v>
      </c>
      <c r="C1435" s="8" t="s">
        <v>28</v>
      </c>
      <c r="D1435" s="9" t="n">
        <v>44270</v>
      </c>
      <c r="E1435" s="10" t="n">
        <v>-6251.07</v>
      </c>
      <c r="F1435" s="8" t="s">
        <v>34</v>
      </c>
      <c r="G1435" s="8" t="s">
        <v>17</v>
      </c>
      <c r="H1435" s="11" t="s">
        <v>18</v>
      </c>
      <c r="I1435" s="8" t="s">
        <v>14</v>
      </c>
    </row>
    <row r="1436" customFormat="false" ht="14.25" hidden="false" customHeight="false" outlineLevel="0" collapsed="false">
      <c r="A1436" s="8" t="n">
        <v>1435</v>
      </c>
      <c r="B1436" s="8" t="s">
        <v>66</v>
      </c>
      <c r="C1436" s="8" t="s">
        <v>16</v>
      </c>
      <c r="D1436" s="9" t="n">
        <v>44270</v>
      </c>
      <c r="E1436" s="10" t="n">
        <v>-5944.65</v>
      </c>
      <c r="F1436" s="8" t="s">
        <v>34</v>
      </c>
      <c r="G1436" s="8" t="s">
        <v>17</v>
      </c>
      <c r="H1436" s="11" t="s">
        <v>18</v>
      </c>
      <c r="I1436" s="8" t="s">
        <v>14</v>
      </c>
    </row>
    <row r="1437" customFormat="false" ht="14.25" hidden="false" customHeight="false" outlineLevel="0" collapsed="false">
      <c r="A1437" s="8" t="n">
        <v>1436</v>
      </c>
      <c r="B1437" s="8" t="s">
        <v>66</v>
      </c>
      <c r="C1437" s="8" t="s">
        <v>16</v>
      </c>
      <c r="D1437" s="9" t="n">
        <v>44270</v>
      </c>
      <c r="E1437" s="10" t="n">
        <v>-5769.12</v>
      </c>
      <c r="F1437" s="8" t="s">
        <v>34</v>
      </c>
      <c r="G1437" s="8" t="s">
        <v>12</v>
      </c>
      <c r="H1437" s="11" t="s">
        <v>13</v>
      </c>
      <c r="I1437" s="8" t="s">
        <v>14</v>
      </c>
    </row>
    <row r="1438" customFormat="false" ht="14.25" hidden="false" customHeight="false" outlineLevel="0" collapsed="false">
      <c r="A1438" s="8" t="n">
        <v>1437</v>
      </c>
      <c r="B1438" s="8" t="s">
        <v>66</v>
      </c>
      <c r="C1438" s="8" t="s">
        <v>28</v>
      </c>
      <c r="D1438" s="9" t="n">
        <v>44270</v>
      </c>
      <c r="E1438" s="10" t="n">
        <v>8521.79</v>
      </c>
      <c r="F1438" s="8" t="s">
        <v>11</v>
      </c>
      <c r="G1438" s="8" t="s">
        <v>22</v>
      </c>
      <c r="H1438" s="11" t="s">
        <v>23</v>
      </c>
      <c r="I1438" s="8" t="s">
        <v>26</v>
      </c>
    </row>
    <row r="1439" customFormat="false" ht="14.25" hidden="false" customHeight="false" outlineLevel="0" collapsed="false">
      <c r="A1439" s="8" t="n">
        <v>1438</v>
      </c>
      <c r="B1439" s="8" t="s">
        <v>66</v>
      </c>
      <c r="C1439" s="8" t="s">
        <v>28</v>
      </c>
      <c r="D1439" s="9" t="n">
        <v>44270</v>
      </c>
      <c r="E1439" s="10" t="n">
        <v>17897.63</v>
      </c>
      <c r="F1439" s="8" t="s">
        <v>11</v>
      </c>
      <c r="G1439" s="8" t="s">
        <v>36</v>
      </c>
      <c r="H1439" s="11" t="s">
        <v>37</v>
      </c>
      <c r="I1439" s="8" t="s">
        <v>14</v>
      </c>
    </row>
    <row r="1440" customFormat="false" ht="14.25" hidden="false" customHeight="false" outlineLevel="0" collapsed="false">
      <c r="A1440" s="8" t="n">
        <v>1439</v>
      </c>
      <c r="B1440" s="8" t="s">
        <v>66</v>
      </c>
      <c r="C1440" s="8" t="s">
        <v>28</v>
      </c>
      <c r="D1440" s="9" t="n">
        <v>44270</v>
      </c>
      <c r="E1440" s="10" t="n">
        <v>8367.99</v>
      </c>
      <c r="F1440" s="8" t="s">
        <v>11</v>
      </c>
      <c r="G1440" s="8" t="s">
        <v>12</v>
      </c>
      <c r="H1440" s="11" t="s">
        <v>13</v>
      </c>
      <c r="I1440" s="8" t="s">
        <v>14</v>
      </c>
    </row>
    <row r="1441" customFormat="false" ht="14.25" hidden="false" customHeight="false" outlineLevel="0" collapsed="false">
      <c r="A1441" s="8" t="n">
        <v>1440</v>
      </c>
      <c r="B1441" s="8" t="s">
        <v>66</v>
      </c>
      <c r="C1441" s="8" t="s">
        <v>28</v>
      </c>
      <c r="D1441" s="9" t="n">
        <v>44270</v>
      </c>
      <c r="E1441" s="10" t="n">
        <v>147254.08</v>
      </c>
      <c r="F1441" s="8" t="s">
        <v>11</v>
      </c>
      <c r="G1441" s="8" t="s">
        <v>30</v>
      </c>
      <c r="H1441" s="11" t="s">
        <v>31</v>
      </c>
      <c r="I1441" s="8" t="s">
        <v>14</v>
      </c>
    </row>
    <row r="1442" customFormat="false" ht="14.25" hidden="false" customHeight="false" outlineLevel="0" collapsed="false">
      <c r="A1442" s="8" t="n">
        <v>1441</v>
      </c>
      <c r="B1442" s="8" t="s">
        <v>66</v>
      </c>
      <c r="C1442" s="8" t="s">
        <v>21</v>
      </c>
      <c r="D1442" s="9" t="n">
        <v>44270</v>
      </c>
      <c r="E1442" s="10" t="n">
        <v>8285.14</v>
      </c>
      <c r="F1442" s="8" t="s">
        <v>11</v>
      </c>
      <c r="G1442" s="8" t="s">
        <v>17</v>
      </c>
      <c r="H1442" s="11" t="s">
        <v>18</v>
      </c>
      <c r="I1442" s="8" t="s">
        <v>14</v>
      </c>
    </row>
    <row r="1443" customFormat="false" ht="14.25" hidden="false" customHeight="false" outlineLevel="0" collapsed="false">
      <c r="A1443" s="8" t="n">
        <v>1442</v>
      </c>
      <c r="B1443" s="8" t="s">
        <v>66</v>
      </c>
      <c r="C1443" s="8" t="s">
        <v>21</v>
      </c>
      <c r="D1443" s="9" t="n">
        <v>44270</v>
      </c>
      <c r="E1443" s="10" t="n">
        <v>8852.86</v>
      </c>
      <c r="F1443" s="8" t="s">
        <v>11</v>
      </c>
      <c r="G1443" s="8" t="s">
        <v>12</v>
      </c>
      <c r="H1443" s="11" t="s">
        <v>13</v>
      </c>
      <c r="I1443" s="8" t="s">
        <v>14</v>
      </c>
    </row>
    <row r="1444" customFormat="false" ht="14.25" hidden="false" customHeight="false" outlineLevel="0" collapsed="false">
      <c r="A1444" s="8" t="n">
        <v>1443</v>
      </c>
      <c r="B1444" s="8" t="s">
        <v>66</v>
      </c>
      <c r="C1444" s="8" t="s">
        <v>28</v>
      </c>
      <c r="D1444" s="9" t="n">
        <v>44270</v>
      </c>
      <c r="E1444" s="10" t="n">
        <v>8084.43</v>
      </c>
      <c r="F1444" s="8" t="s">
        <v>11</v>
      </c>
      <c r="G1444" s="8" t="s">
        <v>36</v>
      </c>
      <c r="H1444" s="11" t="s">
        <v>37</v>
      </c>
      <c r="I1444" s="8" t="s">
        <v>26</v>
      </c>
    </row>
    <row r="1445" customFormat="false" ht="14.25" hidden="false" customHeight="false" outlineLevel="0" collapsed="false">
      <c r="A1445" s="8" t="n">
        <v>1444</v>
      </c>
      <c r="B1445" s="8" t="s">
        <v>159</v>
      </c>
      <c r="C1445" s="8" t="s">
        <v>10</v>
      </c>
      <c r="D1445" s="9" t="n">
        <v>44272</v>
      </c>
      <c r="E1445" s="10" t="n">
        <v>9037.01</v>
      </c>
      <c r="F1445" s="8" t="s">
        <v>11</v>
      </c>
      <c r="G1445" s="8" t="s">
        <v>17</v>
      </c>
      <c r="H1445" s="11" t="s">
        <v>18</v>
      </c>
      <c r="I1445" s="8" t="s">
        <v>24</v>
      </c>
    </row>
    <row r="1446" customFormat="false" ht="14.25" hidden="false" customHeight="false" outlineLevel="0" collapsed="false">
      <c r="A1446" s="8" t="n">
        <v>1445</v>
      </c>
      <c r="B1446" s="8" t="s">
        <v>32</v>
      </c>
      <c r="C1446" s="8" t="s">
        <v>16</v>
      </c>
      <c r="D1446" s="9" t="n">
        <v>44272</v>
      </c>
      <c r="E1446" s="10" t="n">
        <v>8680.12</v>
      </c>
      <c r="F1446" s="8" t="s">
        <v>11</v>
      </c>
      <c r="G1446" s="8" t="s">
        <v>12</v>
      </c>
      <c r="H1446" s="11" t="s">
        <v>13</v>
      </c>
      <c r="I1446" s="8" t="s">
        <v>14</v>
      </c>
    </row>
    <row r="1447" customFormat="false" ht="14.25" hidden="false" customHeight="false" outlineLevel="0" collapsed="false">
      <c r="A1447" s="8" t="n">
        <v>1446</v>
      </c>
      <c r="B1447" s="8" t="s">
        <v>81</v>
      </c>
      <c r="C1447" s="8" t="s">
        <v>28</v>
      </c>
      <c r="D1447" s="9" t="n">
        <v>44272</v>
      </c>
      <c r="E1447" s="10" t="n">
        <v>8806.67</v>
      </c>
      <c r="F1447" s="8" t="s">
        <v>11</v>
      </c>
      <c r="G1447" s="8" t="s">
        <v>12</v>
      </c>
      <c r="H1447" s="11" t="s">
        <v>13</v>
      </c>
      <c r="I1447" s="8" t="s">
        <v>24</v>
      </c>
    </row>
    <row r="1448" customFormat="false" ht="14.25" hidden="false" customHeight="false" outlineLevel="0" collapsed="false">
      <c r="A1448" s="8" t="n">
        <v>1447</v>
      </c>
      <c r="B1448" s="8" t="s">
        <v>81</v>
      </c>
      <c r="C1448" s="8" t="s">
        <v>21</v>
      </c>
      <c r="D1448" s="9" t="n">
        <v>44272</v>
      </c>
      <c r="E1448" s="10" t="n">
        <v>9723.46</v>
      </c>
      <c r="F1448" s="8" t="s">
        <v>11</v>
      </c>
      <c r="G1448" s="8" t="s">
        <v>17</v>
      </c>
      <c r="H1448" s="11" t="s">
        <v>18</v>
      </c>
      <c r="I1448" s="8" t="s">
        <v>14</v>
      </c>
    </row>
    <row r="1449" customFormat="false" ht="14.25" hidden="false" customHeight="false" outlineLevel="0" collapsed="false">
      <c r="A1449" s="8" t="n">
        <v>1448</v>
      </c>
      <c r="B1449" s="8" t="s">
        <v>81</v>
      </c>
      <c r="C1449" s="8" t="s">
        <v>28</v>
      </c>
      <c r="D1449" s="9" t="n">
        <v>44272</v>
      </c>
      <c r="E1449" s="10" t="n">
        <v>8337.13</v>
      </c>
      <c r="F1449" s="8" t="s">
        <v>11</v>
      </c>
      <c r="G1449" s="8" t="s">
        <v>36</v>
      </c>
      <c r="H1449" s="11" t="s">
        <v>37</v>
      </c>
      <c r="I1449" s="8" t="s">
        <v>14</v>
      </c>
    </row>
    <row r="1450" customFormat="false" ht="14.25" hidden="false" customHeight="false" outlineLevel="0" collapsed="false">
      <c r="A1450" s="8" t="n">
        <v>1449</v>
      </c>
      <c r="B1450" s="8" t="s">
        <v>39</v>
      </c>
      <c r="C1450" s="8" t="s">
        <v>16</v>
      </c>
      <c r="D1450" s="9" t="n">
        <v>44272</v>
      </c>
      <c r="E1450" s="10" t="n">
        <v>-20457.82</v>
      </c>
      <c r="F1450" s="8" t="s">
        <v>34</v>
      </c>
      <c r="G1450" s="8" t="s">
        <v>22</v>
      </c>
      <c r="H1450" s="11" t="s">
        <v>23</v>
      </c>
      <c r="I1450" s="8" t="s">
        <v>26</v>
      </c>
    </row>
    <row r="1451" customFormat="false" ht="14.25" hidden="false" customHeight="false" outlineLevel="0" collapsed="false">
      <c r="A1451" s="8" t="n">
        <v>1450</v>
      </c>
      <c r="B1451" s="8" t="s">
        <v>81</v>
      </c>
      <c r="C1451" s="8" t="s">
        <v>10</v>
      </c>
      <c r="D1451" s="9" t="n">
        <v>44272</v>
      </c>
      <c r="E1451" s="10" t="n">
        <v>-138939.75</v>
      </c>
      <c r="F1451" s="8" t="s">
        <v>34</v>
      </c>
      <c r="G1451" s="8" t="s">
        <v>36</v>
      </c>
      <c r="H1451" s="11" t="s">
        <v>37</v>
      </c>
      <c r="I1451" s="8" t="s">
        <v>26</v>
      </c>
    </row>
    <row r="1452" customFormat="false" ht="14.25" hidden="false" customHeight="false" outlineLevel="0" collapsed="false">
      <c r="A1452" s="8" t="n">
        <v>1451</v>
      </c>
      <c r="B1452" s="8" t="s">
        <v>160</v>
      </c>
      <c r="C1452" s="8" t="s">
        <v>28</v>
      </c>
      <c r="D1452" s="9" t="n">
        <v>44273</v>
      </c>
      <c r="E1452" s="10" t="n">
        <v>-286.72</v>
      </c>
      <c r="F1452" s="8" t="s">
        <v>34</v>
      </c>
      <c r="G1452" s="8" t="s">
        <v>36</v>
      </c>
      <c r="H1452" s="11" t="s">
        <v>37</v>
      </c>
      <c r="I1452" s="8" t="s">
        <v>26</v>
      </c>
    </row>
    <row r="1453" customFormat="false" ht="14.25" hidden="false" customHeight="false" outlineLevel="0" collapsed="false">
      <c r="A1453" s="8" t="n">
        <v>1452</v>
      </c>
      <c r="B1453" s="8" t="s">
        <v>161</v>
      </c>
      <c r="C1453" s="8" t="s">
        <v>28</v>
      </c>
      <c r="D1453" s="9" t="n">
        <v>44273</v>
      </c>
      <c r="E1453" s="10" t="n">
        <v>19969.7</v>
      </c>
      <c r="F1453" s="8" t="s">
        <v>11</v>
      </c>
      <c r="G1453" s="8" t="s">
        <v>36</v>
      </c>
      <c r="H1453" s="11" t="s">
        <v>37</v>
      </c>
      <c r="I1453" s="8" t="s">
        <v>14</v>
      </c>
    </row>
    <row r="1454" customFormat="false" ht="14.25" hidden="false" customHeight="false" outlineLevel="0" collapsed="false">
      <c r="A1454" s="8" t="n">
        <v>1453</v>
      </c>
      <c r="B1454" s="8" t="s">
        <v>162</v>
      </c>
      <c r="C1454" s="8" t="s">
        <v>10</v>
      </c>
      <c r="D1454" s="9" t="n">
        <v>44273</v>
      </c>
      <c r="E1454" s="10" t="n">
        <v>19969.7</v>
      </c>
      <c r="F1454" s="8" t="s">
        <v>11</v>
      </c>
      <c r="G1454" s="8" t="s">
        <v>17</v>
      </c>
      <c r="H1454" s="11" t="s">
        <v>18</v>
      </c>
      <c r="I1454" s="8" t="s">
        <v>19</v>
      </c>
    </row>
    <row r="1455" customFormat="false" ht="14.25" hidden="false" customHeight="false" outlineLevel="0" collapsed="false">
      <c r="A1455" s="8" t="n">
        <v>1454</v>
      </c>
      <c r="B1455" s="8" t="s">
        <v>163</v>
      </c>
      <c r="C1455" s="8" t="s">
        <v>21</v>
      </c>
      <c r="D1455" s="9" t="n">
        <v>44273</v>
      </c>
      <c r="E1455" s="10" t="n">
        <v>19969.7</v>
      </c>
      <c r="F1455" s="8" t="s">
        <v>11</v>
      </c>
      <c r="G1455" s="8" t="s">
        <v>36</v>
      </c>
      <c r="H1455" s="11" t="s">
        <v>37</v>
      </c>
      <c r="I1455" s="8" t="s">
        <v>14</v>
      </c>
    </row>
    <row r="1456" customFormat="false" ht="14.25" hidden="false" customHeight="false" outlineLevel="0" collapsed="false">
      <c r="A1456" s="8" t="n">
        <v>1455</v>
      </c>
      <c r="B1456" s="8" t="s">
        <v>164</v>
      </c>
      <c r="C1456" s="8" t="s">
        <v>16</v>
      </c>
      <c r="D1456" s="9" t="n">
        <v>44273</v>
      </c>
      <c r="E1456" s="10" t="n">
        <v>-1754.73</v>
      </c>
      <c r="F1456" s="8" t="s">
        <v>34</v>
      </c>
      <c r="G1456" s="8" t="s">
        <v>12</v>
      </c>
      <c r="H1456" s="11" t="s">
        <v>13</v>
      </c>
      <c r="I1456" s="8" t="s">
        <v>14</v>
      </c>
    </row>
    <row r="1457" customFormat="false" ht="14.25" hidden="false" customHeight="false" outlineLevel="0" collapsed="false">
      <c r="A1457" s="8" t="n">
        <v>1456</v>
      </c>
      <c r="B1457" s="8" t="s">
        <v>39</v>
      </c>
      <c r="C1457" s="8" t="s">
        <v>28</v>
      </c>
      <c r="D1457" s="9" t="n">
        <v>44274</v>
      </c>
      <c r="E1457" s="10" t="n">
        <v>13764.49</v>
      </c>
      <c r="F1457" s="8" t="s">
        <v>11</v>
      </c>
      <c r="G1457" s="8" t="s">
        <v>17</v>
      </c>
      <c r="H1457" s="11" t="s">
        <v>18</v>
      </c>
      <c r="I1457" s="8" t="s">
        <v>19</v>
      </c>
    </row>
    <row r="1458" customFormat="false" ht="14.25" hidden="false" customHeight="false" outlineLevel="0" collapsed="false">
      <c r="A1458" s="8" t="n">
        <v>1457</v>
      </c>
      <c r="B1458" s="8" t="s">
        <v>41</v>
      </c>
      <c r="C1458" s="8" t="s">
        <v>10</v>
      </c>
      <c r="D1458" s="9" t="n">
        <v>44275</v>
      </c>
      <c r="E1458" s="10" t="n">
        <v>12102.91</v>
      </c>
      <c r="F1458" s="8" t="s">
        <v>11</v>
      </c>
      <c r="G1458" s="8" t="s">
        <v>12</v>
      </c>
      <c r="H1458" s="11" t="s">
        <v>13</v>
      </c>
      <c r="I1458" s="8" t="s">
        <v>14</v>
      </c>
    </row>
    <row r="1459" customFormat="false" ht="14.25" hidden="false" customHeight="false" outlineLevel="0" collapsed="false">
      <c r="A1459" s="8" t="n">
        <v>1458</v>
      </c>
      <c r="B1459" s="8" t="s">
        <v>86</v>
      </c>
      <c r="C1459" s="8" t="s">
        <v>16</v>
      </c>
      <c r="D1459" s="9" t="n">
        <v>44276</v>
      </c>
      <c r="E1459" s="10" t="n">
        <v>12972.8</v>
      </c>
      <c r="F1459" s="8" t="s">
        <v>11</v>
      </c>
      <c r="G1459" s="8" t="s">
        <v>12</v>
      </c>
      <c r="H1459" s="11" t="s">
        <v>13</v>
      </c>
      <c r="I1459" s="8" t="s">
        <v>14</v>
      </c>
    </row>
    <row r="1460" customFormat="false" ht="14.25" hidden="false" customHeight="false" outlineLevel="0" collapsed="false">
      <c r="A1460" s="8" t="n">
        <v>1459</v>
      </c>
      <c r="B1460" s="8" t="s">
        <v>145</v>
      </c>
      <c r="C1460" s="8" t="s">
        <v>10</v>
      </c>
      <c r="D1460" s="9" t="n">
        <v>44276</v>
      </c>
      <c r="E1460" s="10" t="n">
        <v>150976.66</v>
      </c>
      <c r="F1460" s="8" t="s">
        <v>11</v>
      </c>
      <c r="G1460" s="8" t="s">
        <v>12</v>
      </c>
      <c r="H1460" s="11" t="s">
        <v>13</v>
      </c>
      <c r="I1460" s="8" t="s">
        <v>24</v>
      </c>
    </row>
    <row r="1461" customFormat="false" ht="14.25" hidden="false" customHeight="false" outlineLevel="0" collapsed="false">
      <c r="A1461" s="8" t="n">
        <v>1460</v>
      </c>
      <c r="B1461" s="8" t="s">
        <v>9</v>
      </c>
      <c r="C1461" s="8" t="s">
        <v>10</v>
      </c>
      <c r="D1461" s="9" t="n">
        <v>44276</v>
      </c>
      <c r="E1461" s="10" t="n">
        <v>-402.96</v>
      </c>
      <c r="F1461" s="8" t="s">
        <v>34</v>
      </c>
      <c r="G1461" s="8" t="s">
        <v>17</v>
      </c>
      <c r="H1461" s="11" t="s">
        <v>18</v>
      </c>
      <c r="I1461" s="8" t="s">
        <v>14</v>
      </c>
    </row>
    <row r="1462" customFormat="false" ht="14.25" hidden="false" customHeight="false" outlineLevel="0" collapsed="false">
      <c r="A1462" s="8" t="n">
        <v>1461</v>
      </c>
      <c r="B1462" s="8" t="s">
        <v>15</v>
      </c>
      <c r="C1462" s="8" t="s">
        <v>28</v>
      </c>
      <c r="D1462" s="9" t="n">
        <v>44276</v>
      </c>
      <c r="E1462" s="10" t="n">
        <v>-5157.85</v>
      </c>
      <c r="F1462" s="8" t="s">
        <v>34</v>
      </c>
      <c r="G1462" s="8" t="s">
        <v>12</v>
      </c>
      <c r="H1462" s="11" t="s">
        <v>13</v>
      </c>
      <c r="I1462" s="8" t="s">
        <v>26</v>
      </c>
    </row>
    <row r="1463" customFormat="false" ht="14.25" hidden="false" customHeight="false" outlineLevel="0" collapsed="false">
      <c r="A1463" s="8" t="n">
        <v>1462</v>
      </c>
      <c r="B1463" s="8" t="s">
        <v>20</v>
      </c>
      <c r="C1463" s="8" t="s">
        <v>21</v>
      </c>
      <c r="D1463" s="9" t="n">
        <v>44276</v>
      </c>
      <c r="E1463" s="10" t="n">
        <v>-1748.74</v>
      </c>
      <c r="F1463" s="8" t="s">
        <v>34</v>
      </c>
      <c r="G1463" s="8" t="s">
        <v>17</v>
      </c>
      <c r="H1463" s="11" t="s">
        <v>18</v>
      </c>
      <c r="I1463" s="8" t="s">
        <v>14</v>
      </c>
    </row>
    <row r="1464" customFormat="false" ht="14.25" hidden="false" customHeight="false" outlineLevel="0" collapsed="false">
      <c r="A1464" s="8" t="n">
        <v>1463</v>
      </c>
      <c r="B1464" s="8" t="s">
        <v>20</v>
      </c>
      <c r="C1464" s="8" t="s">
        <v>28</v>
      </c>
      <c r="D1464" s="9" t="n">
        <v>44276</v>
      </c>
      <c r="E1464" s="10" t="n">
        <v>-86426.2</v>
      </c>
      <c r="F1464" s="8" t="s">
        <v>34</v>
      </c>
      <c r="G1464" s="8" t="s">
        <v>36</v>
      </c>
      <c r="H1464" s="11" t="s">
        <v>37</v>
      </c>
      <c r="I1464" s="8" t="s">
        <v>26</v>
      </c>
    </row>
    <row r="1465" customFormat="false" ht="14.25" hidden="false" customHeight="false" outlineLevel="0" collapsed="false">
      <c r="A1465" s="8" t="n">
        <v>1464</v>
      </c>
      <c r="B1465" s="8" t="s">
        <v>20</v>
      </c>
      <c r="C1465" s="8" t="s">
        <v>16</v>
      </c>
      <c r="D1465" s="9" t="n">
        <v>44276</v>
      </c>
      <c r="E1465" s="10" t="n">
        <v>-11557.14</v>
      </c>
      <c r="F1465" s="8" t="s">
        <v>34</v>
      </c>
      <c r="G1465" s="8" t="s">
        <v>17</v>
      </c>
      <c r="H1465" s="11" t="s">
        <v>18</v>
      </c>
      <c r="I1465" s="8" t="s">
        <v>19</v>
      </c>
    </row>
    <row r="1466" customFormat="false" ht="14.25" hidden="false" customHeight="false" outlineLevel="0" collapsed="false">
      <c r="A1466" s="8" t="n">
        <v>1465</v>
      </c>
      <c r="B1466" s="8" t="s">
        <v>50</v>
      </c>
      <c r="C1466" s="8" t="s">
        <v>16</v>
      </c>
      <c r="D1466" s="9" t="n">
        <v>44277</v>
      </c>
      <c r="E1466" s="10" t="n">
        <v>-15626.8</v>
      </c>
      <c r="F1466" s="8" t="s">
        <v>34</v>
      </c>
      <c r="G1466" s="8" t="s">
        <v>17</v>
      </c>
      <c r="H1466" s="11" t="s">
        <v>18</v>
      </c>
      <c r="I1466" s="8" t="s">
        <v>19</v>
      </c>
    </row>
    <row r="1467" customFormat="false" ht="14.25" hidden="false" customHeight="false" outlineLevel="0" collapsed="false">
      <c r="A1467" s="8" t="n">
        <v>1466</v>
      </c>
      <c r="B1467" s="8" t="s">
        <v>32</v>
      </c>
      <c r="C1467" s="8" t="s">
        <v>16</v>
      </c>
      <c r="D1467" s="9" t="n">
        <v>44277</v>
      </c>
      <c r="E1467" s="10" t="n">
        <v>-18780.93</v>
      </c>
      <c r="F1467" s="8" t="s">
        <v>34</v>
      </c>
      <c r="G1467" s="8" t="s">
        <v>17</v>
      </c>
      <c r="H1467" s="11" t="s">
        <v>18</v>
      </c>
      <c r="I1467" s="8" t="s">
        <v>14</v>
      </c>
    </row>
    <row r="1468" customFormat="false" ht="14.25" hidden="false" customHeight="false" outlineLevel="0" collapsed="false">
      <c r="A1468" s="8" t="n">
        <v>1467</v>
      </c>
      <c r="B1468" s="8" t="s">
        <v>39</v>
      </c>
      <c r="C1468" s="8" t="s">
        <v>10</v>
      </c>
      <c r="D1468" s="9" t="n">
        <v>44277</v>
      </c>
      <c r="E1468" s="10" t="n">
        <v>-23383.82</v>
      </c>
      <c r="F1468" s="8" t="s">
        <v>34</v>
      </c>
      <c r="G1468" s="8" t="s">
        <v>17</v>
      </c>
      <c r="H1468" s="11" t="s">
        <v>18</v>
      </c>
      <c r="I1468" s="8" t="s">
        <v>14</v>
      </c>
    </row>
    <row r="1469" customFormat="false" ht="14.25" hidden="false" customHeight="false" outlineLevel="0" collapsed="false">
      <c r="A1469" s="8" t="n">
        <v>1468</v>
      </c>
      <c r="B1469" s="8" t="s">
        <v>101</v>
      </c>
      <c r="C1469" s="8" t="s">
        <v>10</v>
      </c>
      <c r="D1469" s="9" t="n">
        <v>44278</v>
      </c>
      <c r="E1469" s="10" t="n">
        <v>-30904.58</v>
      </c>
      <c r="F1469" s="8" t="s">
        <v>34</v>
      </c>
      <c r="G1469" s="8" t="s">
        <v>30</v>
      </c>
      <c r="H1469" s="11" t="s">
        <v>31</v>
      </c>
      <c r="I1469" s="8" t="s">
        <v>19</v>
      </c>
    </row>
    <row r="1470" customFormat="false" ht="14.25" hidden="false" customHeight="false" outlineLevel="0" collapsed="false">
      <c r="A1470" s="8" t="n">
        <v>1469</v>
      </c>
      <c r="B1470" s="8" t="s">
        <v>159</v>
      </c>
      <c r="C1470" s="8" t="s">
        <v>28</v>
      </c>
      <c r="D1470" s="9" t="n">
        <v>44278</v>
      </c>
      <c r="E1470" s="10" t="n">
        <v>-6785.84</v>
      </c>
      <c r="F1470" s="8" t="s">
        <v>34</v>
      </c>
      <c r="G1470" s="8" t="s">
        <v>17</v>
      </c>
      <c r="H1470" s="11" t="s">
        <v>18</v>
      </c>
      <c r="I1470" s="8" t="s">
        <v>26</v>
      </c>
    </row>
    <row r="1471" customFormat="false" ht="14.25" hidden="false" customHeight="false" outlineLevel="0" collapsed="false">
      <c r="A1471" s="8" t="n">
        <v>1470</v>
      </c>
      <c r="B1471" s="8" t="s">
        <v>154</v>
      </c>
      <c r="C1471" s="8" t="s">
        <v>21</v>
      </c>
      <c r="D1471" s="9" t="n">
        <v>44278</v>
      </c>
      <c r="E1471" s="10" t="n">
        <v>-7137.13</v>
      </c>
      <c r="F1471" s="8" t="s">
        <v>34</v>
      </c>
      <c r="G1471" s="8" t="s">
        <v>12</v>
      </c>
      <c r="H1471" s="11" t="s">
        <v>13</v>
      </c>
      <c r="I1471" s="8" t="s">
        <v>26</v>
      </c>
    </row>
    <row r="1472" customFormat="false" ht="14.25" hidden="false" customHeight="false" outlineLevel="0" collapsed="false">
      <c r="A1472" s="8" t="n">
        <v>1471</v>
      </c>
      <c r="B1472" s="8" t="s">
        <v>61</v>
      </c>
      <c r="C1472" s="8" t="s">
        <v>10</v>
      </c>
      <c r="D1472" s="9" t="n">
        <v>44278</v>
      </c>
      <c r="E1472" s="10" t="n">
        <v>-152.15</v>
      </c>
      <c r="F1472" s="8" t="s">
        <v>34</v>
      </c>
      <c r="G1472" s="8" t="s">
        <v>22</v>
      </c>
      <c r="H1472" s="11" t="s">
        <v>23</v>
      </c>
      <c r="I1472" s="8" t="s">
        <v>19</v>
      </c>
    </row>
    <row r="1473" customFormat="false" ht="14.25" hidden="false" customHeight="false" outlineLevel="0" collapsed="false">
      <c r="A1473" s="8" t="n">
        <v>1472</v>
      </c>
      <c r="B1473" s="8" t="s">
        <v>62</v>
      </c>
      <c r="C1473" s="8" t="s">
        <v>10</v>
      </c>
      <c r="D1473" s="9" t="n">
        <v>44278</v>
      </c>
      <c r="E1473" s="10" t="n">
        <v>-7501.27</v>
      </c>
      <c r="F1473" s="8" t="s">
        <v>34</v>
      </c>
      <c r="G1473" s="8" t="s">
        <v>12</v>
      </c>
      <c r="H1473" s="11" t="s">
        <v>13</v>
      </c>
      <c r="I1473" s="8" t="s">
        <v>26</v>
      </c>
    </row>
    <row r="1474" customFormat="false" ht="14.25" hidden="false" customHeight="false" outlineLevel="0" collapsed="false">
      <c r="A1474" s="8" t="n">
        <v>1473</v>
      </c>
      <c r="B1474" s="8" t="s">
        <v>61</v>
      </c>
      <c r="C1474" s="8" t="s">
        <v>16</v>
      </c>
      <c r="D1474" s="9" t="n">
        <v>44278</v>
      </c>
      <c r="E1474" s="10" t="n">
        <v>-8275.61</v>
      </c>
      <c r="F1474" s="8" t="s">
        <v>34</v>
      </c>
      <c r="G1474" s="8" t="s">
        <v>17</v>
      </c>
      <c r="H1474" s="11" t="s">
        <v>18</v>
      </c>
      <c r="I1474" s="8" t="s">
        <v>19</v>
      </c>
    </row>
    <row r="1475" customFormat="false" ht="14.25" hidden="false" customHeight="false" outlineLevel="0" collapsed="false">
      <c r="A1475" s="8" t="n">
        <v>1474</v>
      </c>
      <c r="B1475" s="8" t="s">
        <v>62</v>
      </c>
      <c r="C1475" s="8" t="s">
        <v>16</v>
      </c>
      <c r="D1475" s="9" t="n">
        <v>44278</v>
      </c>
      <c r="E1475" s="10" t="n">
        <v>-66.89</v>
      </c>
      <c r="F1475" s="8" t="s">
        <v>34</v>
      </c>
      <c r="G1475" s="8" t="s">
        <v>22</v>
      </c>
      <c r="H1475" s="11" t="s">
        <v>23</v>
      </c>
      <c r="I1475" s="8" t="s">
        <v>14</v>
      </c>
    </row>
    <row r="1476" customFormat="false" ht="14.25" hidden="false" customHeight="false" outlineLevel="0" collapsed="false">
      <c r="A1476" s="8" t="n">
        <v>1475</v>
      </c>
      <c r="B1476" s="8" t="s">
        <v>57</v>
      </c>
      <c r="C1476" s="8" t="s">
        <v>21</v>
      </c>
      <c r="D1476" s="9" t="n">
        <v>44278</v>
      </c>
      <c r="E1476" s="10" t="n">
        <v>-10855.71</v>
      </c>
      <c r="F1476" s="8" t="s">
        <v>34</v>
      </c>
      <c r="G1476" s="8" t="s">
        <v>12</v>
      </c>
      <c r="H1476" s="11" t="s">
        <v>13</v>
      </c>
      <c r="I1476" s="8" t="s">
        <v>14</v>
      </c>
    </row>
    <row r="1477" customFormat="false" ht="14.25" hidden="false" customHeight="false" outlineLevel="0" collapsed="false">
      <c r="A1477" s="8" t="n">
        <v>1476</v>
      </c>
      <c r="B1477" s="8" t="s">
        <v>72</v>
      </c>
      <c r="C1477" s="8" t="s">
        <v>21</v>
      </c>
      <c r="D1477" s="9" t="n">
        <v>44278</v>
      </c>
      <c r="E1477" s="10" t="n">
        <v>-1041.85</v>
      </c>
      <c r="F1477" s="8" t="s">
        <v>34</v>
      </c>
      <c r="G1477" s="8" t="s">
        <v>36</v>
      </c>
      <c r="H1477" s="11" t="s">
        <v>37</v>
      </c>
      <c r="I1477" s="8" t="s">
        <v>14</v>
      </c>
    </row>
    <row r="1478" customFormat="false" ht="14.25" hidden="false" customHeight="false" outlineLevel="0" collapsed="false">
      <c r="A1478" s="8" t="n">
        <v>1477</v>
      </c>
      <c r="B1478" s="8" t="s">
        <v>61</v>
      </c>
      <c r="C1478" s="8" t="s">
        <v>10</v>
      </c>
      <c r="D1478" s="9" t="n">
        <v>44278</v>
      </c>
      <c r="E1478" s="10" t="n">
        <v>126426.83</v>
      </c>
      <c r="F1478" s="8" t="s">
        <v>11</v>
      </c>
      <c r="G1478" s="8" t="s">
        <v>22</v>
      </c>
      <c r="H1478" s="11" t="s">
        <v>23</v>
      </c>
      <c r="I1478" s="8" t="s">
        <v>14</v>
      </c>
    </row>
    <row r="1479" customFormat="false" ht="14.25" hidden="false" customHeight="false" outlineLevel="0" collapsed="false">
      <c r="A1479" s="8" t="n">
        <v>1478</v>
      </c>
      <c r="B1479" s="8" t="s">
        <v>62</v>
      </c>
      <c r="C1479" s="8" t="s">
        <v>21</v>
      </c>
      <c r="D1479" s="9" t="n">
        <v>44278</v>
      </c>
      <c r="E1479" s="10" t="n">
        <v>11568.04</v>
      </c>
      <c r="F1479" s="8" t="s">
        <v>11</v>
      </c>
      <c r="G1479" s="8" t="s">
        <v>22</v>
      </c>
      <c r="H1479" s="11" t="s">
        <v>23</v>
      </c>
      <c r="I1479" s="8" t="s">
        <v>19</v>
      </c>
    </row>
    <row r="1480" customFormat="false" ht="14.25" hidden="false" customHeight="false" outlineLevel="0" collapsed="false">
      <c r="A1480" s="8" t="n">
        <v>1479</v>
      </c>
      <c r="B1480" s="8" t="s">
        <v>57</v>
      </c>
      <c r="C1480" s="8" t="s">
        <v>10</v>
      </c>
      <c r="D1480" s="9" t="n">
        <v>44278</v>
      </c>
      <c r="E1480" s="10" t="n">
        <v>2941.95</v>
      </c>
      <c r="F1480" s="8" t="s">
        <v>11</v>
      </c>
      <c r="G1480" s="8" t="s">
        <v>12</v>
      </c>
      <c r="H1480" s="11" t="s">
        <v>13</v>
      </c>
      <c r="I1480" s="8" t="s">
        <v>14</v>
      </c>
    </row>
    <row r="1481" customFormat="false" ht="14.25" hidden="false" customHeight="false" outlineLevel="0" collapsed="false">
      <c r="A1481" s="8" t="n">
        <v>1480</v>
      </c>
      <c r="B1481" s="8" t="s">
        <v>72</v>
      </c>
      <c r="C1481" s="8" t="s">
        <v>10</v>
      </c>
      <c r="D1481" s="9" t="n">
        <v>44278</v>
      </c>
      <c r="E1481" s="10" t="n">
        <v>6891.35</v>
      </c>
      <c r="F1481" s="8" t="s">
        <v>11</v>
      </c>
      <c r="G1481" s="8" t="s">
        <v>12</v>
      </c>
      <c r="H1481" s="11" t="s">
        <v>13</v>
      </c>
      <c r="I1481" s="8" t="s">
        <v>19</v>
      </c>
    </row>
    <row r="1482" customFormat="false" ht="14.25" hidden="false" customHeight="false" outlineLevel="0" collapsed="false">
      <c r="A1482" s="8" t="n">
        <v>1481</v>
      </c>
      <c r="B1482" s="8" t="s">
        <v>102</v>
      </c>
      <c r="C1482" s="8" t="s">
        <v>21</v>
      </c>
      <c r="D1482" s="9" t="n">
        <v>44279</v>
      </c>
      <c r="E1482" s="10" t="n">
        <v>2632.08</v>
      </c>
      <c r="F1482" s="8" t="s">
        <v>11</v>
      </c>
      <c r="G1482" s="8" t="s">
        <v>12</v>
      </c>
      <c r="H1482" s="11" t="s">
        <v>13</v>
      </c>
      <c r="I1482" s="8" t="s">
        <v>14</v>
      </c>
    </row>
    <row r="1483" customFormat="false" ht="14.25" hidden="false" customHeight="false" outlineLevel="0" collapsed="false">
      <c r="A1483" s="8" t="n">
        <v>1482</v>
      </c>
      <c r="B1483" s="8" t="s">
        <v>163</v>
      </c>
      <c r="C1483" s="8" t="s">
        <v>28</v>
      </c>
      <c r="D1483" s="9" t="n">
        <v>44281</v>
      </c>
      <c r="E1483" s="10" t="n">
        <v>7451.64</v>
      </c>
      <c r="F1483" s="8" t="s">
        <v>11</v>
      </c>
      <c r="G1483" s="8" t="s">
        <v>30</v>
      </c>
      <c r="H1483" s="11" t="s">
        <v>31</v>
      </c>
      <c r="I1483" s="8" t="s">
        <v>14</v>
      </c>
    </row>
    <row r="1484" customFormat="false" ht="14.25" hidden="false" customHeight="false" outlineLevel="0" collapsed="false">
      <c r="A1484" s="8" t="n">
        <v>1483</v>
      </c>
      <c r="B1484" s="8" t="s">
        <v>165</v>
      </c>
      <c r="C1484" s="8" t="s">
        <v>16</v>
      </c>
      <c r="D1484" s="9" t="n">
        <v>44281</v>
      </c>
      <c r="E1484" s="10" t="n">
        <v>11681.45</v>
      </c>
      <c r="F1484" s="8" t="s">
        <v>11</v>
      </c>
      <c r="G1484" s="8" t="s">
        <v>17</v>
      </c>
      <c r="H1484" s="11" t="s">
        <v>18</v>
      </c>
      <c r="I1484" s="8" t="s">
        <v>14</v>
      </c>
    </row>
    <row r="1485" customFormat="false" ht="14.25" hidden="false" customHeight="false" outlineLevel="0" collapsed="false">
      <c r="A1485" s="8" t="n">
        <v>1484</v>
      </c>
      <c r="B1485" s="8" t="s">
        <v>15</v>
      </c>
      <c r="C1485" s="8" t="s">
        <v>10</v>
      </c>
      <c r="D1485" s="9" t="n">
        <v>44281</v>
      </c>
      <c r="E1485" s="10" t="n">
        <v>12528.5</v>
      </c>
      <c r="F1485" s="8" t="s">
        <v>11</v>
      </c>
      <c r="G1485" s="8" t="s">
        <v>12</v>
      </c>
      <c r="H1485" s="11" t="s">
        <v>13</v>
      </c>
      <c r="I1485" s="8" t="s">
        <v>19</v>
      </c>
    </row>
    <row r="1486" customFormat="false" ht="14.25" hidden="false" customHeight="false" outlineLevel="0" collapsed="false">
      <c r="A1486" s="8" t="n">
        <v>1485</v>
      </c>
      <c r="B1486" s="8" t="s">
        <v>81</v>
      </c>
      <c r="C1486" s="8" t="s">
        <v>28</v>
      </c>
      <c r="D1486" s="9" t="n">
        <v>44281</v>
      </c>
      <c r="E1486" s="10" t="n">
        <v>2714.23</v>
      </c>
      <c r="F1486" s="8" t="s">
        <v>11</v>
      </c>
      <c r="G1486" s="8" t="s">
        <v>22</v>
      </c>
      <c r="H1486" s="11" t="s">
        <v>23</v>
      </c>
      <c r="I1486" s="8" t="s">
        <v>26</v>
      </c>
    </row>
    <row r="1487" customFormat="false" ht="14.25" hidden="false" customHeight="false" outlineLevel="0" collapsed="false">
      <c r="A1487" s="8" t="n">
        <v>1486</v>
      </c>
      <c r="B1487" s="8" t="s">
        <v>81</v>
      </c>
      <c r="C1487" s="8" t="s">
        <v>28</v>
      </c>
      <c r="D1487" s="9" t="n">
        <v>44281</v>
      </c>
      <c r="E1487" s="10" t="n">
        <v>6231.4</v>
      </c>
      <c r="F1487" s="8" t="s">
        <v>11</v>
      </c>
      <c r="G1487" s="8" t="s">
        <v>17</v>
      </c>
      <c r="H1487" s="11" t="s">
        <v>18</v>
      </c>
      <c r="I1487" s="8" t="s">
        <v>24</v>
      </c>
    </row>
    <row r="1488" customFormat="false" ht="14.25" hidden="false" customHeight="false" outlineLevel="0" collapsed="false">
      <c r="A1488" s="8" t="n">
        <v>1487</v>
      </c>
      <c r="B1488" s="8" t="s">
        <v>81</v>
      </c>
      <c r="C1488" s="8" t="s">
        <v>10</v>
      </c>
      <c r="D1488" s="9" t="n">
        <v>44281</v>
      </c>
      <c r="E1488" s="10" t="n">
        <v>2585.89</v>
      </c>
      <c r="F1488" s="8" t="s">
        <v>11</v>
      </c>
      <c r="G1488" s="8" t="s">
        <v>30</v>
      </c>
      <c r="H1488" s="11" t="s">
        <v>31</v>
      </c>
      <c r="I1488" s="8" t="s">
        <v>24</v>
      </c>
    </row>
    <row r="1489" customFormat="false" ht="14.25" hidden="false" customHeight="false" outlineLevel="0" collapsed="false">
      <c r="A1489" s="8" t="n">
        <v>1488</v>
      </c>
      <c r="B1489" s="8" t="s">
        <v>81</v>
      </c>
      <c r="C1489" s="8" t="s">
        <v>16</v>
      </c>
      <c r="D1489" s="9" t="n">
        <v>44281</v>
      </c>
      <c r="E1489" s="10" t="n">
        <v>6302.78</v>
      </c>
      <c r="F1489" s="8" t="s">
        <v>11</v>
      </c>
      <c r="G1489" s="8" t="s">
        <v>30</v>
      </c>
      <c r="H1489" s="11" t="s">
        <v>31</v>
      </c>
      <c r="I1489" s="8" t="s">
        <v>14</v>
      </c>
    </row>
    <row r="1490" customFormat="false" ht="14.25" hidden="false" customHeight="false" outlineLevel="0" collapsed="false">
      <c r="A1490" s="8" t="n">
        <v>1489</v>
      </c>
      <c r="B1490" s="8" t="s">
        <v>166</v>
      </c>
      <c r="C1490" s="8" t="s">
        <v>21</v>
      </c>
      <c r="D1490" s="9" t="n">
        <v>44282</v>
      </c>
      <c r="E1490" s="10" t="n">
        <v>11115.17</v>
      </c>
      <c r="F1490" s="8" t="s">
        <v>11</v>
      </c>
      <c r="G1490" s="8" t="s">
        <v>36</v>
      </c>
      <c r="H1490" s="11" t="s">
        <v>37</v>
      </c>
      <c r="I1490" s="8" t="s">
        <v>26</v>
      </c>
    </row>
    <row r="1491" customFormat="false" ht="14.25" hidden="false" customHeight="false" outlineLevel="0" collapsed="false">
      <c r="A1491" s="8" t="n">
        <v>1490</v>
      </c>
      <c r="B1491" s="8" t="s">
        <v>85</v>
      </c>
      <c r="C1491" s="8" t="s">
        <v>10</v>
      </c>
      <c r="D1491" s="9" t="n">
        <v>44282</v>
      </c>
      <c r="E1491" s="10" t="n">
        <v>6892.72</v>
      </c>
      <c r="F1491" s="8" t="s">
        <v>11</v>
      </c>
      <c r="G1491" s="8" t="s">
        <v>12</v>
      </c>
      <c r="H1491" s="11" t="s">
        <v>13</v>
      </c>
      <c r="I1491" s="8" t="s">
        <v>26</v>
      </c>
    </row>
    <row r="1492" customFormat="false" ht="14.25" hidden="false" customHeight="false" outlineLevel="0" collapsed="false">
      <c r="A1492" s="8" t="n">
        <v>1491</v>
      </c>
      <c r="B1492" s="8" t="s">
        <v>33</v>
      </c>
      <c r="C1492" s="8" t="s">
        <v>28</v>
      </c>
      <c r="D1492" s="9" t="n">
        <v>44282</v>
      </c>
      <c r="E1492" s="10" t="n">
        <v>11451.98</v>
      </c>
      <c r="F1492" s="8" t="s">
        <v>11</v>
      </c>
      <c r="G1492" s="8" t="s">
        <v>22</v>
      </c>
      <c r="H1492" s="11" t="s">
        <v>23</v>
      </c>
      <c r="I1492" s="8" t="s">
        <v>14</v>
      </c>
    </row>
    <row r="1493" customFormat="false" ht="14.25" hidden="false" customHeight="false" outlineLevel="0" collapsed="false">
      <c r="A1493" s="8" t="n">
        <v>1492</v>
      </c>
      <c r="B1493" s="8" t="s">
        <v>33</v>
      </c>
      <c r="C1493" s="8" t="s">
        <v>28</v>
      </c>
      <c r="D1493" s="9" t="n">
        <v>44282</v>
      </c>
      <c r="E1493" s="10" t="n">
        <v>146032.56</v>
      </c>
      <c r="F1493" s="8" t="s">
        <v>11</v>
      </c>
      <c r="G1493" s="8" t="s">
        <v>36</v>
      </c>
      <c r="H1493" s="11" t="s">
        <v>37</v>
      </c>
      <c r="I1493" s="8" t="s">
        <v>19</v>
      </c>
    </row>
    <row r="1494" customFormat="false" ht="14.25" hidden="false" customHeight="false" outlineLevel="0" collapsed="false">
      <c r="A1494" s="8" t="n">
        <v>1493</v>
      </c>
      <c r="B1494" s="8" t="s">
        <v>33</v>
      </c>
      <c r="C1494" s="8" t="s">
        <v>10</v>
      </c>
      <c r="D1494" s="9" t="n">
        <v>44282</v>
      </c>
      <c r="E1494" s="10" t="n">
        <v>10693.2</v>
      </c>
      <c r="F1494" s="8" t="s">
        <v>11</v>
      </c>
      <c r="G1494" s="8" t="s">
        <v>17</v>
      </c>
      <c r="H1494" s="11" t="s">
        <v>18</v>
      </c>
      <c r="I1494" s="8" t="s">
        <v>14</v>
      </c>
    </row>
    <row r="1495" customFormat="false" ht="14.25" hidden="false" customHeight="false" outlineLevel="0" collapsed="false">
      <c r="A1495" s="8" t="n">
        <v>1494</v>
      </c>
      <c r="B1495" s="8" t="s">
        <v>33</v>
      </c>
      <c r="C1495" s="8" t="s">
        <v>28</v>
      </c>
      <c r="D1495" s="9" t="n">
        <v>44282</v>
      </c>
      <c r="E1495" s="10" t="n">
        <v>1905.44</v>
      </c>
      <c r="F1495" s="8" t="s">
        <v>11</v>
      </c>
      <c r="G1495" s="8" t="s">
        <v>12</v>
      </c>
      <c r="H1495" s="11" t="s">
        <v>13</v>
      </c>
      <c r="I1495" s="8" t="s">
        <v>14</v>
      </c>
    </row>
    <row r="1496" customFormat="false" ht="14.25" hidden="false" customHeight="false" outlineLevel="0" collapsed="false">
      <c r="A1496" s="8" t="n">
        <v>1495</v>
      </c>
      <c r="B1496" s="8" t="s">
        <v>167</v>
      </c>
      <c r="C1496" s="8" t="s">
        <v>21</v>
      </c>
      <c r="D1496" s="9" t="n">
        <v>44283</v>
      </c>
      <c r="E1496" s="10" t="n">
        <v>11133.04</v>
      </c>
      <c r="F1496" s="8" t="s">
        <v>11</v>
      </c>
      <c r="G1496" s="8" t="s">
        <v>36</v>
      </c>
      <c r="H1496" s="11" t="s">
        <v>37</v>
      </c>
      <c r="I1496" s="8" t="s">
        <v>26</v>
      </c>
    </row>
    <row r="1497" customFormat="false" ht="14.25" hidden="false" customHeight="false" outlineLevel="0" collapsed="false">
      <c r="A1497" s="8" t="n">
        <v>1496</v>
      </c>
      <c r="B1497" s="8" t="s">
        <v>50</v>
      </c>
      <c r="C1497" s="8" t="s">
        <v>28</v>
      </c>
      <c r="D1497" s="9" t="n">
        <v>44283</v>
      </c>
      <c r="E1497" s="10" t="n">
        <v>11247.48</v>
      </c>
      <c r="F1497" s="8" t="s">
        <v>11</v>
      </c>
      <c r="G1497" s="8" t="s">
        <v>36</v>
      </c>
      <c r="H1497" s="11" t="s">
        <v>37</v>
      </c>
      <c r="I1497" s="8" t="s">
        <v>19</v>
      </c>
    </row>
    <row r="1498" customFormat="false" ht="14.25" hidden="false" customHeight="false" outlineLevel="0" collapsed="false">
      <c r="A1498" s="8" t="n">
        <v>1497</v>
      </c>
      <c r="B1498" s="8" t="s">
        <v>164</v>
      </c>
      <c r="C1498" s="8" t="s">
        <v>28</v>
      </c>
      <c r="D1498" s="9" t="n">
        <v>44283</v>
      </c>
      <c r="E1498" s="10" t="n">
        <v>1829.81</v>
      </c>
      <c r="F1498" s="8" t="s">
        <v>11</v>
      </c>
      <c r="G1498" s="8" t="s">
        <v>12</v>
      </c>
      <c r="H1498" s="11" t="s">
        <v>13</v>
      </c>
      <c r="I1498" s="8" t="s">
        <v>19</v>
      </c>
    </row>
    <row r="1499" customFormat="false" ht="14.25" hidden="false" customHeight="false" outlineLevel="0" collapsed="false">
      <c r="A1499" s="8" t="n">
        <v>1498</v>
      </c>
      <c r="B1499" s="8" t="s">
        <v>149</v>
      </c>
      <c r="C1499" s="8" t="s">
        <v>21</v>
      </c>
      <c r="D1499" s="9" t="n">
        <v>44283</v>
      </c>
      <c r="E1499" s="10" t="n">
        <v>11130.79</v>
      </c>
      <c r="F1499" s="8" t="s">
        <v>11</v>
      </c>
      <c r="G1499" s="8" t="s">
        <v>12</v>
      </c>
      <c r="H1499" s="11" t="s">
        <v>13</v>
      </c>
      <c r="I1499" s="8" t="s">
        <v>26</v>
      </c>
    </row>
    <row r="1500" customFormat="false" ht="14.25" hidden="false" customHeight="false" outlineLevel="0" collapsed="false">
      <c r="A1500" s="8" t="n">
        <v>1499</v>
      </c>
      <c r="B1500" s="8" t="s">
        <v>168</v>
      </c>
      <c r="C1500" s="8" t="s">
        <v>16</v>
      </c>
      <c r="D1500" s="9" t="n">
        <v>44284</v>
      </c>
      <c r="E1500" s="10" t="n">
        <v>10932.74</v>
      </c>
      <c r="F1500" s="8" t="s">
        <v>11</v>
      </c>
      <c r="G1500" s="8" t="s">
        <v>22</v>
      </c>
      <c r="H1500" s="11" t="s">
        <v>23</v>
      </c>
      <c r="I1500" s="8" t="s">
        <v>26</v>
      </c>
    </row>
    <row r="1501" customFormat="false" ht="14.25" hidden="false" customHeight="false" outlineLevel="0" collapsed="false">
      <c r="A1501" s="8" t="n">
        <v>1500</v>
      </c>
      <c r="B1501" s="8" t="s">
        <v>15</v>
      </c>
      <c r="C1501" s="8" t="s">
        <v>21</v>
      </c>
      <c r="D1501" s="9" t="n">
        <v>44284</v>
      </c>
      <c r="E1501" s="10" t="n">
        <v>1723.91</v>
      </c>
      <c r="F1501" s="8" t="s">
        <v>11</v>
      </c>
      <c r="G1501" s="8" t="s">
        <v>22</v>
      </c>
      <c r="H1501" s="11" t="s">
        <v>23</v>
      </c>
      <c r="I1501" s="8" t="s">
        <v>19</v>
      </c>
    </row>
    <row r="1502" customFormat="false" ht="14.25" hidden="false" customHeight="false" outlineLevel="0" collapsed="false">
      <c r="A1502" s="8" t="n">
        <v>1501</v>
      </c>
      <c r="B1502" s="8" t="s">
        <v>51</v>
      </c>
      <c r="C1502" s="8" t="s">
        <v>16</v>
      </c>
      <c r="D1502" s="9" t="n">
        <v>44284</v>
      </c>
      <c r="E1502" s="10" t="n">
        <v>10810.67</v>
      </c>
      <c r="F1502" s="8" t="s">
        <v>11</v>
      </c>
      <c r="G1502" s="8" t="s">
        <v>30</v>
      </c>
      <c r="H1502" s="11" t="s">
        <v>31</v>
      </c>
      <c r="I1502" s="8" t="s">
        <v>14</v>
      </c>
    </row>
    <row r="1503" customFormat="false" ht="14.25" hidden="false" customHeight="false" outlineLevel="0" collapsed="false">
      <c r="A1503" s="8" t="n">
        <v>1502</v>
      </c>
      <c r="B1503" s="8" t="s">
        <v>32</v>
      </c>
      <c r="C1503" s="8" t="s">
        <v>28</v>
      </c>
      <c r="D1503" s="9" t="n">
        <v>44284</v>
      </c>
      <c r="E1503" s="10" t="n">
        <v>8375.32</v>
      </c>
      <c r="F1503" s="8" t="s">
        <v>11</v>
      </c>
      <c r="G1503" s="8" t="s">
        <v>22</v>
      </c>
      <c r="H1503" s="11" t="s">
        <v>23</v>
      </c>
      <c r="I1503" s="8" t="s">
        <v>24</v>
      </c>
    </row>
    <row r="1504" customFormat="false" ht="14.25" hidden="false" customHeight="false" outlineLevel="0" collapsed="false">
      <c r="A1504" s="8" t="n">
        <v>1503</v>
      </c>
      <c r="B1504" s="8" t="s">
        <v>39</v>
      </c>
      <c r="C1504" s="8" t="s">
        <v>28</v>
      </c>
      <c r="D1504" s="9" t="n">
        <v>44284</v>
      </c>
      <c r="E1504" s="10" t="n">
        <v>8375.34</v>
      </c>
      <c r="F1504" s="8" t="s">
        <v>11</v>
      </c>
      <c r="G1504" s="8" t="s">
        <v>17</v>
      </c>
      <c r="H1504" s="11" t="s">
        <v>18</v>
      </c>
      <c r="I1504" s="8" t="s">
        <v>24</v>
      </c>
    </row>
    <row r="1505" customFormat="false" ht="14.25" hidden="false" customHeight="false" outlineLevel="0" collapsed="false">
      <c r="A1505" s="8" t="n">
        <v>1504</v>
      </c>
      <c r="B1505" s="8" t="s">
        <v>49</v>
      </c>
      <c r="C1505" s="8" t="s">
        <v>16</v>
      </c>
      <c r="D1505" s="9" t="n">
        <v>44284</v>
      </c>
      <c r="E1505" s="10" t="n">
        <v>8375.34</v>
      </c>
      <c r="F1505" s="8" t="s">
        <v>11</v>
      </c>
      <c r="G1505" s="8" t="s">
        <v>36</v>
      </c>
      <c r="H1505" s="11" t="s">
        <v>37</v>
      </c>
      <c r="I1505" s="8" t="s">
        <v>26</v>
      </c>
    </row>
    <row r="1506" customFormat="false" ht="14.25" hidden="false" customHeight="false" outlineLevel="0" collapsed="false">
      <c r="A1506" s="8" t="n">
        <v>1505</v>
      </c>
      <c r="B1506" s="8" t="s">
        <v>169</v>
      </c>
      <c r="C1506" s="8" t="s">
        <v>16</v>
      </c>
      <c r="D1506" s="9" t="n">
        <v>44286</v>
      </c>
      <c r="E1506" s="10" t="n">
        <v>-258.27</v>
      </c>
      <c r="F1506" s="8" t="s">
        <v>34</v>
      </c>
      <c r="G1506" s="8" t="s">
        <v>17</v>
      </c>
      <c r="H1506" s="11" t="s">
        <v>18</v>
      </c>
      <c r="I1506" s="8" t="s">
        <v>26</v>
      </c>
    </row>
    <row r="1507" customFormat="false" ht="14.25" hidden="false" customHeight="false" outlineLevel="0" collapsed="false">
      <c r="A1507" s="8" t="n">
        <v>1506</v>
      </c>
      <c r="B1507" s="8" t="s">
        <v>170</v>
      </c>
      <c r="C1507" s="8" t="s">
        <v>16</v>
      </c>
      <c r="D1507" s="9" t="n">
        <v>44286</v>
      </c>
      <c r="E1507" s="10" t="n">
        <v>-1286.22</v>
      </c>
      <c r="F1507" s="8" t="s">
        <v>34</v>
      </c>
      <c r="G1507" s="8" t="s">
        <v>22</v>
      </c>
      <c r="H1507" s="11" t="s">
        <v>23</v>
      </c>
      <c r="I1507" s="8" t="s">
        <v>14</v>
      </c>
    </row>
    <row r="1508" customFormat="false" ht="14.25" hidden="false" customHeight="false" outlineLevel="0" collapsed="false">
      <c r="A1508" s="8" t="n">
        <v>1507</v>
      </c>
      <c r="B1508" s="8" t="s">
        <v>52</v>
      </c>
      <c r="C1508" s="8" t="s">
        <v>16</v>
      </c>
      <c r="D1508" s="9" t="n">
        <v>44286</v>
      </c>
      <c r="E1508" s="10" t="n">
        <v>-331.45</v>
      </c>
      <c r="F1508" s="8" t="s">
        <v>34</v>
      </c>
      <c r="G1508" s="8" t="s">
        <v>17</v>
      </c>
      <c r="H1508" s="11" t="s">
        <v>18</v>
      </c>
      <c r="I1508" s="8" t="s">
        <v>26</v>
      </c>
    </row>
    <row r="1509" customFormat="false" ht="14.25" hidden="false" customHeight="false" outlineLevel="0" collapsed="false">
      <c r="A1509" s="8" t="n">
        <v>1508</v>
      </c>
      <c r="B1509" s="8" t="s">
        <v>52</v>
      </c>
      <c r="C1509" s="8" t="s">
        <v>28</v>
      </c>
      <c r="D1509" s="9" t="n">
        <v>44286</v>
      </c>
      <c r="E1509" s="10" t="n">
        <v>-6856.54</v>
      </c>
      <c r="F1509" s="8" t="s">
        <v>34</v>
      </c>
      <c r="G1509" s="8" t="s">
        <v>17</v>
      </c>
      <c r="H1509" s="11" t="s">
        <v>18</v>
      </c>
      <c r="I1509" s="8" t="s">
        <v>14</v>
      </c>
    </row>
    <row r="1510" customFormat="false" ht="14.25" hidden="false" customHeight="false" outlineLevel="0" collapsed="false">
      <c r="A1510" s="8" t="n">
        <v>1509</v>
      </c>
      <c r="B1510" s="8" t="s">
        <v>117</v>
      </c>
      <c r="C1510" s="8" t="s">
        <v>28</v>
      </c>
      <c r="D1510" s="9" t="n">
        <v>44286</v>
      </c>
      <c r="E1510" s="10" t="n">
        <v>-592.66</v>
      </c>
      <c r="F1510" s="8" t="s">
        <v>34</v>
      </c>
      <c r="G1510" s="8" t="s">
        <v>12</v>
      </c>
      <c r="H1510" s="11" t="s">
        <v>13</v>
      </c>
      <c r="I1510" s="8" t="s">
        <v>26</v>
      </c>
    </row>
    <row r="1511" customFormat="false" ht="14.25" hidden="false" customHeight="false" outlineLevel="0" collapsed="false">
      <c r="A1511" s="8" t="n">
        <v>1510</v>
      </c>
      <c r="B1511" s="8" t="s">
        <v>52</v>
      </c>
      <c r="C1511" s="8" t="s">
        <v>10</v>
      </c>
      <c r="D1511" s="9" t="n">
        <v>44286</v>
      </c>
      <c r="E1511" s="10" t="n">
        <v>-1825.04</v>
      </c>
      <c r="F1511" s="8" t="s">
        <v>34</v>
      </c>
      <c r="G1511" s="8" t="s">
        <v>12</v>
      </c>
      <c r="H1511" s="11" t="s">
        <v>13</v>
      </c>
      <c r="I1511" s="8" t="s">
        <v>24</v>
      </c>
    </row>
    <row r="1512" customFormat="false" ht="14.25" hidden="false" customHeight="false" outlineLevel="0" collapsed="false">
      <c r="A1512" s="8" t="n">
        <v>1511</v>
      </c>
      <c r="B1512" s="8" t="s">
        <v>160</v>
      </c>
      <c r="C1512" s="8" t="s">
        <v>16</v>
      </c>
      <c r="D1512" s="9" t="n">
        <v>44288</v>
      </c>
      <c r="E1512" s="10" t="n">
        <v>138158.59</v>
      </c>
      <c r="F1512" s="8" t="s">
        <v>11</v>
      </c>
      <c r="G1512" s="8" t="s">
        <v>17</v>
      </c>
      <c r="H1512" s="11" t="s">
        <v>18</v>
      </c>
      <c r="I1512" s="8" t="s">
        <v>26</v>
      </c>
    </row>
    <row r="1513" customFormat="false" ht="14.25" hidden="false" customHeight="false" outlineLevel="0" collapsed="false">
      <c r="A1513" s="8" t="n">
        <v>1512</v>
      </c>
      <c r="B1513" s="8" t="s">
        <v>157</v>
      </c>
      <c r="C1513" s="8" t="s">
        <v>10</v>
      </c>
      <c r="D1513" s="9" t="n">
        <v>44288</v>
      </c>
      <c r="E1513" s="10" t="n">
        <v>16502.82</v>
      </c>
      <c r="F1513" s="8" t="s">
        <v>11</v>
      </c>
      <c r="G1513" s="8" t="s">
        <v>12</v>
      </c>
      <c r="H1513" s="11" t="s">
        <v>13</v>
      </c>
      <c r="I1513" s="8" t="s">
        <v>26</v>
      </c>
    </row>
    <row r="1514" customFormat="false" ht="14.25" hidden="false" customHeight="false" outlineLevel="0" collapsed="false">
      <c r="A1514" s="8" t="n">
        <v>1513</v>
      </c>
      <c r="B1514" s="8" t="s">
        <v>171</v>
      </c>
      <c r="C1514" s="8" t="s">
        <v>16</v>
      </c>
      <c r="D1514" s="9" t="n">
        <v>44288</v>
      </c>
      <c r="E1514" s="10" t="n">
        <v>9623.57</v>
      </c>
      <c r="F1514" s="8" t="s">
        <v>11</v>
      </c>
      <c r="G1514" s="8" t="s">
        <v>17</v>
      </c>
      <c r="H1514" s="11" t="s">
        <v>18</v>
      </c>
      <c r="I1514" s="8" t="s">
        <v>24</v>
      </c>
    </row>
    <row r="1515" customFormat="false" ht="14.25" hidden="false" customHeight="false" outlineLevel="0" collapsed="false">
      <c r="A1515" s="8" t="n">
        <v>1514</v>
      </c>
      <c r="B1515" s="8" t="s">
        <v>172</v>
      </c>
      <c r="C1515" s="8" t="s">
        <v>21</v>
      </c>
      <c r="D1515" s="9" t="n">
        <v>44288</v>
      </c>
      <c r="E1515" s="10" t="n">
        <v>141318.44</v>
      </c>
      <c r="F1515" s="8" t="s">
        <v>11</v>
      </c>
      <c r="G1515" s="8" t="s">
        <v>17</v>
      </c>
      <c r="H1515" s="11" t="s">
        <v>18</v>
      </c>
      <c r="I1515" s="8" t="s">
        <v>26</v>
      </c>
    </row>
    <row r="1516" customFormat="false" ht="14.25" hidden="false" customHeight="false" outlineLevel="0" collapsed="false">
      <c r="A1516" s="8" t="n">
        <v>1515</v>
      </c>
      <c r="B1516" s="8" t="s">
        <v>85</v>
      </c>
      <c r="C1516" s="8" t="s">
        <v>10</v>
      </c>
      <c r="D1516" s="9" t="n">
        <v>44288</v>
      </c>
      <c r="E1516" s="10" t="n">
        <v>24086.49</v>
      </c>
      <c r="F1516" s="8" t="s">
        <v>11</v>
      </c>
      <c r="G1516" s="8" t="s">
        <v>12</v>
      </c>
      <c r="H1516" s="11" t="s">
        <v>13</v>
      </c>
      <c r="I1516" s="8" t="s">
        <v>19</v>
      </c>
    </row>
    <row r="1517" customFormat="false" ht="14.25" hidden="false" customHeight="false" outlineLevel="0" collapsed="false">
      <c r="A1517" s="8" t="n">
        <v>1516</v>
      </c>
      <c r="B1517" s="8" t="s">
        <v>145</v>
      </c>
      <c r="C1517" s="8" t="s">
        <v>21</v>
      </c>
      <c r="D1517" s="9" t="n">
        <v>44288</v>
      </c>
      <c r="E1517" s="10" t="n">
        <v>50662.17</v>
      </c>
      <c r="F1517" s="8" t="s">
        <v>11</v>
      </c>
      <c r="G1517" s="8" t="s">
        <v>17</v>
      </c>
      <c r="H1517" s="11" t="s">
        <v>18</v>
      </c>
      <c r="I1517" s="8" t="s">
        <v>14</v>
      </c>
    </row>
    <row r="1518" customFormat="false" ht="14.25" hidden="false" customHeight="false" outlineLevel="0" collapsed="false">
      <c r="A1518" s="8" t="n">
        <v>1517</v>
      </c>
      <c r="B1518" s="8" t="s">
        <v>173</v>
      </c>
      <c r="C1518" s="8" t="s">
        <v>10</v>
      </c>
      <c r="D1518" s="9" t="n">
        <v>44289</v>
      </c>
      <c r="E1518" s="10" t="n">
        <v>9171.23</v>
      </c>
      <c r="F1518" s="8" t="s">
        <v>11</v>
      </c>
      <c r="G1518" s="8" t="s">
        <v>12</v>
      </c>
      <c r="H1518" s="11" t="s">
        <v>13</v>
      </c>
      <c r="I1518" s="8" t="s">
        <v>14</v>
      </c>
    </row>
    <row r="1519" customFormat="false" ht="14.25" hidden="false" customHeight="false" outlineLevel="0" collapsed="false">
      <c r="A1519" s="8" t="n">
        <v>1518</v>
      </c>
      <c r="B1519" s="8" t="s">
        <v>174</v>
      </c>
      <c r="C1519" s="8" t="s">
        <v>28</v>
      </c>
      <c r="D1519" s="9" t="n">
        <v>44289</v>
      </c>
      <c r="E1519" s="10" t="n">
        <v>51670.45</v>
      </c>
      <c r="F1519" s="8" t="s">
        <v>11</v>
      </c>
      <c r="G1519" s="8" t="s">
        <v>12</v>
      </c>
      <c r="H1519" s="11" t="s">
        <v>13</v>
      </c>
      <c r="I1519" s="8" t="s">
        <v>14</v>
      </c>
    </row>
    <row r="1520" customFormat="false" ht="14.25" hidden="false" customHeight="false" outlineLevel="0" collapsed="false">
      <c r="A1520" s="8" t="n">
        <v>1519</v>
      </c>
      <c r="B1520" s="8" t="s">
        <v>175</v>
      </c>
      <c r="C1520" s="8" t="s">
        <v>28</v>
      </c>
      <c r="D1520" s="9" t="n">
        <v>44290</v>
      </c>
      <c r="E1520" s="10" t="n">
        <v>25057.32</v>
      </c>
      <c r="F1520" s="8" t="s">
        <v>11</v>
      </c>
      <c r="G1520" s="8" t="s">
        <v>12</v>
      </c>
      <c r="H1520" s="11" t="s">
        <v>13</v>
      </c>
      <c r="I1520" s="8" t="s">
        <v>26</v>
      </c>
    </row>
    <row r="1521" customFormat="false" ht="14.25" hidden="false" customHeight="false" outlineLevel="0" collapsed="false">
      <c r="A1521" s="8" t="n">
        <v>1520</v>
      </c>
      <c r="B1521" s="8" t="s">
        <v>51</v>
      </c>
      <c r="C1521" s="8" t="s">
        <v>21</v>
      </c>
      <c r="D1521" s="9" t="n">
        <v>44290</v>
      </c>
      <c r="E1521" s="10" t="n">
        <v>9171.23</v>
      </c>
      <c r="F1521" s="8" t="s">
        <v>11</v>
      </c>
      <c r="G1521" s="8" t="s">
        <v>12</v>
      </c>
      <c r="H1521" s="11" t="s">
        <v>13</v>
      </c>
      <c r="I1521" s="8" t="s">
        <v>14</v>
      </c>
    </row>
    <row r="1522" customFormat="false" ht="14.25" hidden="false" customHeight="false" outlineLevel="0" collapsed="false">
      <c r="A1522" s="8" t="n">
        <v>1521</v>
      </c>
      <c r="B1522" s="8" t="s">
        <v>50</v>
      </c>
      <c r="C1522" s="8" t="s">
        <v>21</v>
      </c>
      <c r="D1522" s="9" t="n">
        <v>44292</v>
      </c>
      <c r="E1522" s="10" t="n">
        <v>9171.23</v>
      </c>
      <c r="F1522" s="8" t="s">
        <v>11</v>
      </c>
      <c r="G1522" s="8" t="s">
        <v>30</v>
      </c>
      <c r="H1522" s="11" t="s">
        <v>31</v>
      </c>
      <c r="I1522" s="8" t="s">
        <v>26</v>
      </c>
    </row>
    <row r="1523" customFormat="false" ht="14.25" hidden="false" customHeight="false" outlineLevel="0" collapsed="false">
      <c r="A1523" s="8" t="n">
        <v>1522</v>
      </c>
      <c r="B1523" s="8" t="s">
        <v>85</v>
      </c>
      <c r="C1523" s="8" t="s">
        <v>10</v>
      </c>
      <c r="D1523" s="9" t="n">
        <v>44292</v>
      </c>
      <c r="E1523" s="10" t="n">
        <v>43077.48</v>
      </c>
      <c r="F1523" s="8" t="s">
        <v>11</v>
      </c>
      <c r="G1523" s="8" t="s">
        <v>12</v>
      </c>
      <c r="H1523" s="11" t="s">
        <v>13</v>
      </c>
      <c r="I1523" s="8" t="s">
        <v>26</v>
      </c>
    </row>
    <row r="1524" customFormat="false" ht="14.25" hidden="false" customHeight="false" outlineLevel="0" collapsed="false">
      <c r="A1524" s="8" t="n">
        <v>1523</v>
      </c>
      <c r="B1524" s="8" t="s">
        <v>54</v>
      </c>
      <c r="C1524" s="8" t="s">
        <v>21</v>
      </c>
      <c r="D1524" s="9" t="n">
        <v>44292</v>
      </c>
      <c r="E1524" s="10" t="n">
        <v>22028.43</v>
      </c>
      <c r="F1524" s="8" t="s">
        <v>11</v>
      </c>
      <c r="G1524" s="8" t="s">
        <v>36</v>
      </c>
      <c r="H1524" s="11" t="s">
        <v>37</v>
      </c>
      <c r="I1524" s="8" t="s">
        <v>26</v>
      </c>
    </row>
    <row r="1525" customFormat="false" ht="14.25" hidden="false" customHeight="false" outlineLevel="0" collapsed="false">
      <c r="A1525" s="8" t="n">
        <v>1524</v>
      </c>
      <c r="B1525" s="8" t="s">
        <v>40</v>
      </c>
      <c r="C1525" s="8" t="s">
        <v>21</v>
      </c>
      <c r="D1525" s="9" t="n">
        <v>44292</v>
      </c>
      <c r="E1525" s="10" t="n">
        <v>9171.23</v>
      </c>
      <c r="F1525" s="8" t="s">
        <v>11</v>
      </c>
      <c r="G1525" s="8" t="s">
        <v>12</v>
      </c>
      <c r="H1525" s="11" t="s">
        <v>13</v>
      </c>
      <c r="I1525" s="8" t="s">
        <v>26</v>
      </c>
    </row>
    <row r="1526" customFormat="false" ht="14.25" hidden="false" customHeight="false" outlineLevel="0" collapsed="false">
      <c r="A1526" s="8" t="n">
        <v>1525</v>
      </c>
      <c r="B1526" s="8" t="s">
        <v>54</v>
      </c>
      <c r="C1526" s="8" t="s">
        <v>16</v>
      </c>
      <c r="D1526" s="9" t="n">
        <v>44292</v>
      </c>
      <c r="E1526" s="10" t="n">
        <v>9171.23</v>
      </c>
      <c r="F1526" s="8" t="s">
        <v>11</v>
      </c>
      <c r="G1526" s="8" t="s">
        <v>22</v>
      </c>
      <c r="H1526" s="11" t="s">
        <v>23</v>
      </c>
      <c r="I1526" s="8" t="s">
        <v>26</v>
      </c>
    </row>
    <row r="1527" customFormat="false" ht="14.25" hidden="false" customHeight="false" outlineLevel="0" collapsed="false">
      <c r="A1527" s="8" t="n">
        <v>1526</v>
      </c>
      <c r="B1527" s="8" t="s">
        <v>15</v>
      </c>
      <c r="C1527" s="8" t="s">
        <v>16</v>
      </c>
      <c r="D1527" s="9" t="n">
        <v>44292</v>
      </c>
      <c r="E1527" s="10" t="n">
        <v>9171.23</v>
      </c>
      <c r="F1527" s="8" t="s">
        <v>11</v>
      </c>
      <c r="G1527" s="8" t="s">
        <v>12</v>
      </c>
      <c r="H1527" s="11" t="s">
        <v>13</v>
      </c>
      <c r="I1527" s="8" t="s">
        <v>19</v>
      </c>
    </row>
    <row r="1528" customFormat="false" ht="14.25" hidden="false" customHeight="false" outlineLevel="0" collapsed="false">
      <c r="A1528" s="8" t="n">
        <v>1527</v>
      </c>
      <c r="B1528" s="8" t="s">
        <v>15</v>
      </c>
      <c r="C1528" s="8" t="s">
        <v>10</v>
      </c>
      <c r="D1528" s="9" t="n">
        <v>44292</v>
      </c>
      <c r="E1528" s="10" t="n">
        <v>9171.23</v>
      </c>
      <c r="F1528" s="8" t="s">
        <v>11</v>
      </c>
      <c r="G1528" s="8" t="s">
        <v>36</v>
      </c>
      <c r="H1528" s="11" t="s">
        <v>37</v>
      </c>
      <c r="I1528" s="8" t="s">
        <v>26</v>
      </c>
    </row>
    <row r="1529" customFormat="false" ht="14.25" hidden="false" customHeight="false" outlineLevel="0" collapsed="false">
      <c r="A1529" s="8" t="n">
        <v>1528</v>
      </c>
      <c r="B1529" s="8" t="s">
        <v>15</v>
      </c>
      <c r="C1529" s="8" t="s">
        <v>10</v>
      </c>
      <c r="D1529" s="9" t="n">
        <v>44292</v>
      </c>
      <c r="E1529" s="10" t="n">
        <v>9171.23</v>
      </c>
      <c r="F1529" s="8" t="s">
        <v>11</v>
      </c>
      <c r="G1529" s="8" t="s">
        <v>36</v>
      </c>
      <c r="H1529" s="11" t="s">
        <v>37</v>
      </c>
      <c r="I1529" s="8" t="s">
        <v>19</v>
      </c>
    </row>
    <row r="1530" customFormat="false" ht="14.25" hidden="false" customHeight="false" outlineLevel="0" collapsed="false">
      <c r="A1530" s="8" t="n">
        <v>1529</v>
      </c>
      <c r="B1530" s="8" t="s">
        <v>73</v>
      </c>
      <c r="C1530" s="8" t="s">
        <v>10</v>
      </c>
      <c r="D1530" s="9" t="n">
        <v>44292</v>
      </c>
      <c r="E1530" s="10" t="n">
        <v>9171.23</v>
      </c>
      <c r="F1530" s="8" t="s">
        <v>11</v>
      </c>
      <c r="G1530" s="8" t="s">
        <v>12</v>
      </c>
      <c r="H1530" s="11" t="s">
        <v>13</v>
      </c>
      <c r="I1530" s="8" t="s">
        <v>14</v>
      </c>
    </row>
    <row r="1531" customFormat="false" ht="14.25" hidden="false" customHeight="false" outlineLevel="0" collapsed="false">
      <c r="A1531" s="8" t="n">
        <v>1530</v>
      </c>
      <c r="B1531" s="8" t="s">
        <v>49</v>
      </c>
      <c r="C1531" s="8" t="s">
        <v>16</v>
      </c>
      <c r="D1531" s="9" t="n">
        <v>44292</v>
      </c>
      <c r="E1531" s="10" t="n">
        <v>-328975.5</v>
      </c>
      <c r="F1531" s="8" t="s">
        <v>34</v>
      </c>
      <c r="G1531" s="8" t="s">
        <v>17</v>
      </c>
      <c r="H1531" s="11" t="s">
        <v>18</v>
      </c>
      <c r="I1531" s="8" t="s">
        <v>14</v>
      </c>
    </row>
    <row r="1532" customFormat="false" ht="14.25" hidden="false" customHeight="false" outlineLevel="0" collapsed="false">
      <c r="A1532" s="8" t="n">
        <v>1531</v>
      </c>
      <c r="B1532" s="8" t="s">
        <v>73</v>
      </c>
      <c r="C1532" s="8" t="s">
        <v>16</v>
      </c>
      <c r="D1532" s="9" t="n">
        <v>44292</v>
      </c>
      <c r="E1532" s="10" t="n">
        <v>-115453.8</v>
      </c>
      <c r="F1532" s="8" t="s">
        <v>34</v>
      </c>
      <c r="G1532" s="8" t="s">
        <v>12</v>
      </c>
      <c r="H1532" s="11" t="s">
        <v>13</v>
      </c>
      <c r="I1532" s="8" t="s">
        <v>14</v>
      </c>
    </row>
    <row r="1533" customFormat="false" ht="14.25" hidden="false" customHeight="false" outlineLevel="0" collapsed="false">
      <c r="A1533" s="8" t="n">
        <v>1532</v>
      </c>
      <c r="B1533" s="8" t="s">
        <v>73</v>
      </c>
      <c r="C1533" s="8" t="s">
        <v>16</v>
      </c>
      <c r="D1533" s="9" t="n">
        <v>44292</v>
      </c>
      <c r="E1533" s="10" t="n">
        <v>-115920.56</v>
      </c>
      <c r="F1533" s="8" t="s">
        <v>34</v>
      </c>
      <c r="G1533" s="8" t="s">
        <v>17</v>
      </c>
      <c r="H1533" s="11" t="s">
        <v>18</v>
      </c>
      <c r="I1533" s="8" t="s">
        <v>14</v>
      </c>
    </row>
    <row r="1534" customFormat="false" ht="14.25" hidden="false" customHeight="false" outlineLevel="0" collapsed="false">
      <c r="A1534" s="8" t="n">
        <v>1533</v>
      </c>
      <c r="B1534" s="8" t="s">
        <v>44</v>
      </c>
      <c r="C1534" s="8" t="s">
        <v>10</v>
      </c>
      <c r="D1534" s="9" t="n">
        <v>44295</v>
      </c>
      <c r="E1534" s="10" t="n">
        <v>-125585.46</v>
      </c>
      <c r="F1534" s="8" t="s">
        <v>34</v>
      </c>
      <c r="G1534" s="8" t="s">
        <v>12</v>
      </c>
      <c r="H1534" s="11" t="s">
        <v>13</v>
      </c>
      <c r="I1534" s="8" t="s">
        <v>24</v>
      </c>
    </row>
    <row r="1535" customFormat="false" ht="14.25" hidden="false" customHeight="false" outlineLevel="0" collapsed="false">
      <c r="A1535" s="8" t="n">
        <v>1534</v>
      </c>
      <c r="B1535" s="8" t="s">
        <v>44</v>
      </c>
      <c r="C1535" s="8" t="s">
        <v>28</v>
      </c>
      <c r="D1535" s="9" t="n">
        <v>44295</v>
      </c>
      <c r="E1535" s="10" t="n">
        <v>-219340.8</v>
      </c>
      <c r="F1535" s="8" t="s">
        <v>34</v>
      </c>
      <c r="G1535" s="8" t="s">
        <v>12</v>
      </c>
      <c r="H1535" s="11" t="s">
        <v>13</v>
      </c>
      <c r="I1535" s="8" t="s">
        <v>19</v>
      </c>
    </row>
    <row r="1536" customFormat="false" ht="14.25" hidden="false" customHeight="false" outlineLevel="0" collapsed="false">
      <c r="A1536" s="8" t="n">
        <v>1535</v>
      </c>
      <c r="B1536" s="8" t="s">
        <v>57</v>
      </c>
      <c r="C1536" s="8" t="s">
        <v>28</v>
      </c>
      <c r="D1536" s="9" t="n">
        <v>44295</v>
      </c>
      <c r="E1536" s="10" t="n">
        <v>-249995.2</v>
      </c>
      <c r="F1536" s="8" t="s">
        <v>34</v>
      </c>
      <c r="G1536" s="8" t="s">
        <v>17</v>
      </c>
      <c r="H1536" s="11" t="s">
        <v>18</v>
      </c>
      <c r="I1536" s="8" t="s">
        <v>24</v>
      </c>
    </row>
    <row r="1537" customFormat="false" ht="14.25" hidden="false" customHeight="false" outlineLevel="0" collapsed="false">
      <c r="A1537" s="8" t="n">
        <v>1536</v>
      </c>
      <c r="B1537" s="8" t="s">
        <v>45</v>
      </c>
      <c r="C1537" s="8" t="s">
        <v>21</v>
      </c>
      <c r="D1537" s="9" t="n">
        <v>44295</v>
      </c>
      <c r="E1537" s="10" t="n">
        <v>-252399</v>
      </c>
      <c r="F1537" s="8" t="s">
        <v>34</v>
      </c>
      <c r="G1537" s="8" t="s">
        <v>12</v>
      </c>
      <c r="H1537" s="11" t="s">
        <v>13</v>
      </c>
      <c r="I1537" s="8" t="s">
        <v>19</v>
      </c>
    </row>
    <row r="1538" customFormat="false" ht="14.25" hidden="false" customHeight="false" outlineLevel="0" collapsed="false">
      <c r="A1538" s="8" t="n">
        <v>1537</v>
      </c>
      <c r="B1538" s="8" t="s">
        <v>39</v>
      </c>
      <c r="C1538" s="8" t="s">
        <v>16</v>
      </c>
      <c r="D1538" s="9" t="n">
        <v>44295</v>
      </c>
      <c r="E1538" s="10" t="n">
        <v>59738</v>
      </c>
      <c r="F1538" s="8" t="s">
        <v>11</v>
      </c>
      <c r="G1538" s="8" t="s">
        <v>36</v>
      </c>
      <c r="H1538" s="11" t="s">
        <v>37</v>
      </c>
      <c r="I1538" s="8" t="s">
        <v>14</v>
      </c>
    </row>
    <row r="1539" customFormat="false" ht="14.25" hidden="false" customHeight="false" outlineLevel="0" collapsed="false">
      <c r="A1539" s="8" t="n">
        <v>1538</v>
      </c>
      <c r="B1539" s="8" t="s">
        <v>57</v>
      </c>
      <c r="C1539" s="8" t="s">
        <v>16</v>
      </c>
      <c r="D1539" s="9" t="n">
        <v>44295</v>
      </c>
      <c r="E1539" s="10" t="n">
        <v>-593.6</v>
      </c>
      <c r="F1539" s="8" t="s">
        <v>34</v>
      </c>
      <c r="G1539" s="8" t="s">
        <v>12</v>
      </c>
      <c r="H1539" s="11" t="s">
        <v>13</v>
      </c>
      <c r="I1539" s="8" t="s">
        <v>14</v>
      </c>
    </row>
    <row r="1540" customFormat="false" ht="14.25" hidden="false" customHeight="false" outlineLevel="0" collapsed="false">
      <c r="A1540" s="8" t="n">
        <v>1539</v>
      </c>
      <c r="B1540" s="8" t="s">
        <v>45</v>
      </c>
      <c r="C1540" s="8" t="s">
        <v>10</v>
      </c>
      <c r="D1540" s="9" t="n">
        <v>44295</v>
      </c>
      <c r="E1540" s="10" t="n">
        <v>-717.61</v>
      </c>
      <c r="F1540" s="8" t="s">
        <v>34</v>
      </c>
      <c r="G1540" s="8" t="s">
        <v>12</v>
      </c>
      <c r="H1540" s="11" t="s">
        <v>13</v>
      </c>
      <c r="I1540" s="8" t="s">
        <v>26</v>
      </c>
    </row>
    <row r="1541" customFormat="false" ht="14.25" hidden="false" customHeight="false" outlineLevel="0" collapsed="false">
      <c r="A1541" s="8" t="n">
        <v>1540</v>
      </c>
      <c r="B1541" s="8" t="s">
        <v>149</v>
      </c>
      <c r="C1541" s="8" t="s">
        <v>16</v>
      </c>
      <c r="D1541" s="9" t="n">
        <v>44296</v>
      </c>
      <c r="E1541" s="10" t="n">
        <v>-13584.17</v>
      </c>
      <c r="F1541" s="8" t="s">
        <v>34</v>
      </c>
      <c r="G1541" s="8" t="s">
        <v>12</v>
      </c>
      <c r="H1541" s="11" t="s">
        <v>13</v>
      </c>
      <c r="I1541" s="8" t="s">
        <v>14</v>
      </c>
    </row>
    <row r="1542" customFormat="false" ht="14.25" hidden="false" customHeight="false" outlineLevel="0" collapsed="false">
      <c r="A1542" s="8" t="n">
        <v>1541</v>
      </c>
      <c r="B1542" s="8" t="s">
        <v>145</v>
      </c>
      <c r="C1542" s="8" t="s">
        <v>28</v>
      </c>
      <c r="D1542" s="9" t="n">
        <v>44296</v>
      </c>
      <c r="E1542" s="10" t="n">
        <v>31493.7</v>
      </c>
      <c r="F1542" s="8" t="s">
        <v>11</v>
      </c>
      <c r="G1542" s="8" t="s">
        <v>12</v>
      </c>
      <c r="H1542" s="11" t="s">
        <v>13</v>
      </c>
      <c r="I1542" s="8" t="s">
        <v>24</v>
      </c>
    </row>
    <row r="1543" customFormat="false" ht="14.25" hidden="false" customHeight="false" outlineLevel="0" collapsed="false">
      <c r="A1543" s="8" t="n">
        <v>1542</v>
      </c>
      <c r="B1543" s="8" t="s">
        <v>85</v>
      </c>
      <c r="C1543" s="8" t="s">
        <v>10</v>
      </c>
      <c r="D1543" s="9" t="n">
        <v>44296</v>
      </c>
      <c r="E1543" s="10" t="n">
        <v>31229.13</v>
      </c>
      <c r="F1543" s="8" t="s">
        <v>11</v>
      </c>
      <c r="G1543" s="8" t="s">
        <v>17</v>
      </c>
      <c r="H1543" s="11" t="s">
        <v>18</v>
      </c>
      <c r="I1543" s="8" t="s">
        <v>14</v>
      </c>
    </row>
    <row r="1544" customFormat="false" ht="14.25" hidden="false" customHeight="false" outlineLevel="0" collapsed="false">
      <c r="A1544" s="8" t="n">
        <v>1543</v>
      </c>
      <c r="B1544" s="8" t="s">
        <v>40</v>
      </c>
      <c r="C1544" s="8" t="s">
        <v>28</v>
      </c>
      <c r="D1544" s="9" t="n">
        <v>44296</v>
      </c>
      <c r="E1544" s="10" t="n">
        <v>31847.52</v>
      </c>
      <c r="F1544" s="8" t="s">
        <v>11</v>
      </c>
      <c r="G1544" s="8" t="s">
        <v>17</v>
      </c>
      <c r="H1544" s="11" t="s">
        <v>18</v>
      </c>
      <c r="I1544" s="8" t="s">
        <v>14</v>
      </c>
    </row>
    <row r="1545" customFormat="false" ht="14.25" hidden="false" customHeight="false" outlineLevel="0" collapsed="false">
      <c r="A1545" s="8" t="n">
        <v>1544</v>
      </c>
      <c r="B1545" s="8" t="s">
        <v>158</v>
      </c>
      <c r="C1545" s="8" t="s">
        <v>16</v>
      </c>
      <c r="D1545" s="9" t="n">
        <v>44298</v>
      </c>
      <c r="E1545" s="10" t="n">
        <v>34877.89</v>
      </c>
      <c r="F1545" s="8" t="s">
        <v>11</v>
      </c>
      <c r="G1545" s="8" t="s">
        <v>17</v>
      </c>
      <c r="H1545" s="11" t="s">
        <v>18</v>
      </c>
      <c r="I1545" s="8" t="s">
        <v>26</v>
      </c>
    </row>
    <row r="1546" customFormat="false" ht="14.25" hidden="false" customHeight="false" outlineLevel="0" collapsed="false">
      <c r="A1546" s="8" t="n">
        <v>1545</v>
      </c>
      <c r="B1546" s="8" t="s">
        <v>86</v>
      </c>
      <c r="C1546" s="8" t="s">
        <v>10</v>
      </c>
      <c r="D1546" s="9" t="n">
        <v>44298</v>
      </c>
      <c r="E1546" s="10" t="n">
        <v>-2100.95</v>
      </c>
      <c r="F1546" s="8" t="s">
        <v>34</v>
      </c>
      <c r="G1546" s="8" t="s">
        <v>30</v>
      </c>
      <c r="H1546" s="11" t="s">
        <v>31</v>
      </c>
      <c r="I1546" s="8" t="s">
        <v>14</v>
      </c>
    </row>
    <row r="1547" customFormat="false" ht="14.25" hidden="false" customHeight="false" outlineLevel="0" collapsed="false">
      <c r="A1547" s="8" t="n">
        <v>1546</v>
      </c>
      <c r="B1547" s="8" t="s">
        <v>150</v>
      </c>
      <c r="C1547" s="8" t="s">
        <v>28</v>
      </c>
      <c r="D1547" s="9" t="n">
        <v>44299</v>
      </c>
      <c r="E1547" s="10" t="n">
        <v>-15106.46</v>
      </c>
      <c r="F1547" s="8" t="s">
        <v>34</v>
      </c>
      <c r="G1547" s="8" t="s">
        <v>12</v>
      </c>
      <c r="H1547" s="11" t="s">
        <v>13</v>
      </c>
      <c r="I1547" s="8" t="s">
        <v>26</v>
      </c>
    </row>
    <row r="1548" customFormat="false" ht="14.25" hidden="false" customHeight="false" outlineLevel="0" collapsed="false">
      <c r="A1548" s="8" t="n">
        <v>1547</v>
      </c>
      <c r="B1548" s="8" t="s">
        <v>86</v>
      </c>
      <c r="C1548" s="8" t="s">
        <v>16</v>
      </c>
      <c r="D1548" s="9" t="n">
        <v>44299</v>
      </c>
      <c r="E1548" s="10" t="n">
        <v>-13813.73</v>
      </c>
      <c r="F1548" s="8" t="s">
        <v>34</v>
      </c>
      <c r="G1548" s="8" t="s">
        <v>30</v>
      </c>
      <c r="H1548" s="11" t="s">
        <v>31</v>
      </c>
      <c r="I1548" s="8" t="s">
        <v>26</v>
      </c>
    </row>
    <row r="1549" customFormat="false" ht="14.25" hidden="false" customHeight="false" outlineLevel="0" collapsed="false">
      <c r="A1549" s="8" t="n">
        <v>1548</v>
      </c>
      <c r="B1549" s="8" t="s">
        <v>15</v>
      </c>
      <c r="C1549" s="8" t="s">
        <v>10</v>
      </c>
      <c r="D1549" s="9" t="n">
        <v>44299</v>
      </c>
      <c r="E1549" s="10" t="n">
        <v>14791.51</v>
      </c>
      <c r="F1549" s="8" t="s">
        <v>11</v>
      </c>
      <c r="G1549" s="8" t="s">
        <v>12</v>
      </c>
      <c r="H1549" s="11" t="s">
        <v>13</v>
      </c>
      <c r="I1549" s="8" t="s">
        <v>26</v>
      </c>
    </row>
    <row r="1550" customFormat="false" ht="14.25" hidden="false" customHeight="false" outlineLevel="0" collapsed="false">
      <c r="A1550" s="8" t="n">
        <v>1549</v>
      </c>
      <c r="B1550" s="8" t="s">
        <v>39</v>
      </c>
      <c r="C1550" s="8" t="s">
        <v>21</v>
      </c>
      <c r="D1550" s="9" t="n">
        <v>44302</v>
      </c>
      <c r="E1550" s="10" t="n">
        <v>-18103.75</v>
      </c>
      <c r="F1550" s="8" t="s">
        <v>34</v>
      </c>
      <c r="G1550" s="8" t="s">
        <v>17</v>
      </c>
      <c r="H1550" s="11" t="s">
        <v>18</v>
      </c>
      <c r="I1550" s="8" t="s">
        <v>26</v>
      </c>
    </row>
    <row r="1551" customFormat="false" ht="14.25" hidden="false" customHeight="false" outlineLevel="0" collapsed="false">
      <c r="A1551" s="8" t="n">
        <v>1550</v>
      </c>
      <c r="B1551" s="8" t="s">
        <v>49</v>
      </c>
      <c r="C1551" s="8" t="s">
        <v>21</v>
      </c>
      <c r="D1551" s="9" t="n">
        <v>44303</v>
      </c>
      <c r="E1551" s="10" t="n">
        <v>-17556.95</v>
      </c>
      <c r="F1551" s="8" t="s">
        <v>34</v>
      </c>
      <c r="G1551" s="8" t="s">
        <v>12</v>
      </c>
      <c r="H1551" s="11" t="s">
        <v>13</v>
      </c>
      <c r="I1551" s="8" t="s">
        <v>14</v>
      </c>
    </row>
    <row r="1552" customFormat="false" ht="14.25" hidden="false" customHeight="false" outlineLevel="0" collapsed="false">
      <c r="A1552" s="8" t="n">
        <v>1551</v>
      </c>
      <c r="B1552" s="8" t="s">
        <v>20</v>
      </c>
      <c r="C1552" s="8" t="s">
        <v>21</v>
      </c>
      <c r="D1552" s="9" t="n">
        <v>44304</v>
      </c>
      <c r="E1552" s="10" t="n">
        <v>-3139.26</v>
      </c>
      <c r="F1552" s="8" t="s">
        <v>34</v>
      </c>
      <c r="G1552" s="8" t="s">
        <v>22</v>
      </c>
      <c r="H1552" s="11" t="s">
        <v>23</v>
      </c>
      <c r="I1552" s="8" t="s">
        <v>14</v>
      </c>
    </row>
    <row r="1553" customFormat="false" ht="14.25" hidden="false" customHeight="false" outlineLevel="0" collapsed="false">
      <c r="A1553" s="8" t="n">
        <v>1552</v>
      </c>
      <c r="B1553" s="8" t="s">
        <v>20</v>
      </c>
      <c r="C1553" s="8" t="s">
        <v>28</v>
      </c>
      <c r="D1553" s="9" t="n">
        <v>44304</v>
      </c>
      <c r="E1553" s="10" t="n">
        <v>-2624.16</v>
      </c>
      <c r="F1553" s="8" t="s">
        <v>34</v>
      </c>
      <c r="G1553" s="8" t="s">
        <v>12</v>
      </c>
      <c r="H1553" s="11" t="s">
        <v>13</v>
      </c>
      <c r="I1553" s="8" t="s">
        <v>14</v>
      </c>
    </row>
    <row r="1554" customFormat="false" ht="14.25" hidden="false" customHeight="false" outlineLevel="0" collapsed="false">
      <c r="A1554" s="8" t="n">
        <v>1553</v>
      </c>
      <c r="B1554" s="8" t="s">
        <v>20</v>
      </c>
      <c r="C1554" s="8" t="s">
        <v>21</v>
      </c>
      <c r="D1554" s="9" t="n">
        <v>44304</v>
      </c>
      <c r="E1554" s="10" t="n">
        <v>14734.93</v>
      </c>
      <c r="F1554" s="8" t="s">
        <v>11</v>
      </c>
      <c r="G1554" s="8" t="s">
        <v>17</v>
      </c>
      <c r="H1554" s="11" t="s">
        <v>18</v>
      </c>
      <c r="I1554" s="8" t="s">
        <v>14</v>
      </c>
    </row>
    <row r="1555" customFormat="false" ht="14.25" hidden="false" customHeight="false" outlineLevel="0" collapsed="false">
      <c r="A1555" s="8" t="n">
        <v>1554</v>
      </c>
      <c r="B1555" s="8" t="s">
        <v>40</v>
      </c>
      <c r="C1555" s="8" t="s">
        <v>21</v>
      </c>
      <c r="D1555" s="9" t="n">
        <v>44305</v>
      </c>
      <c r="E1555" s="10" t="n">
        <v>17634.19</v>
      </c>
      <c r="F1555" s="8" t="s">
        <v>11</v>
      </c>
      <c r="G1555" s="8" t="s">
        <v>36</v>
      </c>
      <c r="H1555" s="11" t="s">
        <v>37</v>
      </c>
      <c r="I1555" s="8" t="s">
        <v>26</v>
      </c>
    </row>
    <row r="1556" customFormat="false" ht="14.25" hidden="false" customHeight="false" outlineLevel="0" collapsed="false">
      <c r="A1556" s="8" t="n">
        <v>1555</v>
      </c>
      <c r="B1556" s="8" t="s">
        <v>144</v>
      </c>
      <c r="C1556" s="8" t="s">
        <v>16</v>
      </c>
      <c r="D1556" s="9" t="n">
        <v>44305</v>
      </c>
      <c r="E1556" s="10" t="n">
        <v>152755.48</v>
      </c>
      <c r="F1556" s="8" t="s">
        <v>11</v>
      </c>
      <c r="G1556" s="8" t="s">
        <v>22</v>
      </c>
      <c r="H1556" s="11" t="s">
        <v>23</v>
      </c>
      <c r="I1556" s="8" t="s">
        <v>14</v>
      </c>
    </row>
    <row r="1557" customFormat="false" ht="14.25" hidden="false" customHeight="false" outlineLevel="0" collapsed="false">
      <c r="A1557" s="8" t="n">
        <v>1556</v>
      </c>
      <c r="B1557" s="8" t="s">
        <v>176</v>
      </c>
      <c r="C1557" s="8" t="s">
        <v>16</v>
      </c>
      <c r="D1557" s="9" t="n">
        <v>44306</v>
      </c>
      <c r="E1557" s="10" t="n">
        <v>-18547.27</v>
      </c>
      <c r="F1557" s="8" t="s">
        <v>34</v>
      </c>
      <c r="G1557" s="8" t="s">
        <v>12</v>
      </c>
      <c r="H1557" s="11" t="s">
        <v>13</v>
      </c>
      <c r="I1557" s="8" t="s">
        <v>14</v>
      </c>
    </row>
    <row r="1558" customFormat="false" ht="14.25" hidden="false" customHeight="false" outlineLevel="0" collapsed="false">
      <c r="A1558" s="8" t="n">
        <v>1557</v>
      </c>
      <c r="B1558" s="8" t="s">
        <v>177</v>
      </c>
      <c r="C1558" s="8" t="s">
        <v>16</v>
      </c>
      <c r="D1558" s="9" t="n">
        <v>44306</v>
      </c>
      <c r="E1558" s="10" t="n">
        <v>-17342.12</v>
      </c>
      <c r="F1558" s="8" t="s">
        <v>34</v>
      </c>
      <c r="G1558" s="8" t="s">
        <v>36</v>
      </c>
      <c r="H1558" s="11" t="s">
        <v>37</v>
      </c>
      <c r="I1558" s="8" t="s">
        <v>19</v>
      </c>
    </row>
    <row r="1559" customFormat="false" ht="14.25" hidden="false" customHeight="false" outlineLevel="0" collapsed="false">
      <c r="A1559" s="8" t="n">
        <v>1558</v>
      </c>
      <c r="B1559" s="8" t="s">
        <v>172</v>
      </c>
      <c r="C1559" s="8" t="s">
        <v>28</v>
      </c>
      <c r="D1559" s="9" t="n">
        <v>44306</v>
      </c>
      <c r="E1559" s="10" t="n">
        <v>-6022.66</v>
      </c>
      <c r="F1559" s="8" t="s">
        <v>34</v>
      </c>
      <c r="G1559" s="8" t="s">
        <v>17</v>
      </c>
      <c r="H1559" s="11" t="s">
        <v>18</v>
      </c>
      <c r="I1559" s="8" t="s">
        <v>14</v>
      </c>
    </row>
    <row r="1560" customFormat="false" ht="14.25" hidden="false" customHeight="false" outlineLevel="0" collapsed="false">
      <c r="A1560" s="8" t="n">
        <v>1559</v>
      </c>
      <c r="B1560" s="8" t="s">
        <v>159</v>
      </c>
      <c r="C1560" s="8" t="s">
        <v>10</v>
      </c>
      <c r="D1560" s="9" t="n">
        <v>44306</v>
      </c>
      <c r="E1560" s="10" t="n">
        <v>-812239.96</v>
      </c>
      <c r="F1560" s="8" t="s">
        <v>34</v>
      </c>
      <c r="G1560" s="8" t="s">
        <v>12</v>
      </c>
      <c r="H1560" s="11" t="s">
        <v>13</v>
      </c>
      <c r="I1560" s="8" t="s">
        <v>26</v>
      </c>
    </row>
    <row r="1561" customFormat="false" ht="14.25" hidden="false" customHeight="false" outlineLevel="0" collapsed="false">
      <c r="A1561" s="8" t="n">
        <v>1560</v>
      </c>
      <c r="B1561" s="8" t="s">
        <v>171</v>
      </c>
      <c r="C1561" s="8" t="s">
        <v>10</v>
      </c>
      <c r="D1561" s="9" t="n">
        <v>44306</v>
      </c>
      <c r="E1561" s="10" t="n">
        <v>-5126.1</v>
      </c>
      <c r="F1561" s="8" t="s">
        <v>34</v>
      </c>
      <c r="G1561" s="8" t="s">
        <v>12</v>
      </c>
      <c r="H1561" s="11" t="s">
        <v>13</v>
      </c>
      <c r="I1561" s="8" t="s">
        <v>24</v>
      </c>
    </row>
    <row r="1562" customFormat="false" ht="14.25" hidden="false" customHeight="false" outlineLevel="0" collapsed="false">
      <c r="A1562" s="8" t="n">
        <v>1561</v>
      </c>
      <c r="B1562" s="8" t="s">
        <v>77</v>
      </c>
      <c r="C1562" s="8" t="s">
        <v>10</v>
      </c>
      <c r="D1562" s="9" t="n">
        <v>44306</v>
      </c>
      <c r="E1562" s="10" t="n">
        <v>21862</v>
      </c>
      <c r="F1562" s="8" t="s">
        <v>11</v>
      </c>
      <c r="G1562" s="8" t="s">
        <v>12</v>
      </c>
      <c r="H1562" s="11" t="s">
        <v>13</v>
      </c>
      <c r="I1562" s="8" t="s">
        <v>26</v>
      </c>
    </row>
    <row r="1563" customFormat="false" ht="14.25" hidden="false" customHeight="false" outlineLevel="0" collapsed="false">
      <c r="A1563" s="8" t="n">
        <v>1562</v>
      </c>
      <c r="B1563" s="8" t="s">
        <v>15</v>
      </c>
      <c r="C1563" s="8" t="s">
        <v>21</v>
      </c>
      <c r="D1563" s="9" t="n">
        <v>44306</v>
      </c>
      <c r="E1563" s="10" t="n">
        <v>6905.48</v>
      </c>
      <c r="F1563" s="8" t="s">
        <v>11</v>
      </c>
      <c r="G1563" s="8" t="s">
        <v>36</v>
      </c>
      <c r="H1563" s="11" t="s">
        <v>37</v>
      </c>
      <c r="I1563" s="8" t="s">
        <v>14</v>
      </c>
    </row>
    <row r="1564" customFormat="false" ht="14.25" hidden="false" customHeight="false" outlineLevel="0" collapsed="false">
      <c r="A1564" s="8" t="n">
        <v>1563</v>
      </c>
      <c r="B1564" s="8" t="s">
        <v>73</v>
      </c>
      <c r="C1564" s="8" t="s">
        <v>16</v>
      </c>
      <c r="D1564" s="9" t="n">
        <v>44306</v>
      </c>
      <c r="E1564" s="10" t="n">
        <v>21862</v>
      </c>
      <c r="F1564" s="8" t="s">
        <v>11</v>
      </c>
      <c r="G1564" s="8" t="s">
        <v>12</v>
      </c>
      <c r="H1564" s="11" t="s">
        <v>13</v>
      </c>
      <c r="I1564" s="8" t="s">
        <v>26</v>
      </c>
    </row>
    <row r="1565" customFormat="false" ht="14.25" hidden="false" customHeight="false" outlineLevel="0" collapsed="false">
      <c r="A1565" s="8" t="n">
        <v>1564</v>
      </c>
      <c r="B1565" s="8" t="s">
        <v>73</v>
      </c>
      <c r="C1565" s="8" t="s">
        <v>28</v>
      </c>
      <c r="D1565" s="9" t="n">
        <v>44306</v>
      </c>
      <c r="E1565" s="10" t="n">
        <v>21862</v>
      </c>
      <c r="F1565" s="8" t="s">
        <v>11</v>
      </c>
      <c r="G1565" s="8" t="s">
        <v>12</v>
      </c>
      <c r="H1565" s="11" t="s">
        <v>13</v>
      </c>
      <c r="I1565" s="8" t="s">
        <v>14</v>
      </c>
    </row>
    <row r="1566" customFormat="false" ht="14.25" hidden="false" customHeight="false" outlineLevel="0" collapsed="false">
      <c r="A1566" s="8" t="n">
        <v>1565</v>
      </c>
      <c r="B1566" s="8" t="s">
        <v>73</v>
      </c>
      <c r="C1566" s="8" t="s">
        <v>28</v>
      </c>
      <c r="D1566" s="9" t="n">
        <v>44306</v>
      </c>
      <c r="E1566" s="10" t="n">
        <v>8029.89</v>
      </c>
      <c r="F1566" s="8" t="s">
        <v>11</v>
      </c>
      <c r="G1566" s="8" t="s">
        <v>17</v>
      </c>
      <c r="H1566" s="11" t="s">
        <v>18</v>
      </c>
      <c r="I1566" s="8" t="s">
        <v>14</v>
      </c>
    </row>
    <row r="1567" customFormat="false" ht="14.25" hidden="false" customHeight="false" outlineLevel="0" collapsed="false">
      <c r="A1567" s="8" t="n">
        <v>1566</v>
      </c>
      <c r="B1567" s="8" t="s">
        <v>159</v>
      </c>
      <c r="C1567" s="8" t="s">
        <v>28</v>
      </c>
      <c r="D1567" s="9" t="n">
        <v>44309</v>
      </c>
      <c r="E1567" s="10" t="n">
        <v>7956.47</v>
      </c>
      <c r="F1567" s="8" t="s">
        <v>11</v>
      </c>
      <c r="G1567" s="8" t="s">
        <v>17</v>
      </c>
      <c r="H1567" s="11" t="s">
        <v>18</v>
      </c>
      <c r="I1567" s="8" t="s">
        <v>14</v>
      </c>
    </row>
    <row r="1568" customFormat="false" ht="14.25" hidden="false" customHeight="false" outlineLevel="0" collapsed="false">
      <c r="A1568" s="8" t="n">
        <v>1567</v>
      </c>
      <c r="B1568" s="8" t="s">
        <v>85</v>
      </c>
      <c r="C1568" s="8" t="s">
        <v>28</v>
      </c>
      <c r="D1568" s="9" t="n">
        <v>44309</v>
      </c>
      <c r="E1568" s="10" t="n">
        <v>8516.45</v>
      </c>
      <c r="F1568" s="8" t="s">
        <v>11</v>
      </c>
      <c r="G1568" s="8" t="s">
        <v>17</v>
      </c>
      <c r="H1568" s="11" t="s">
        <v>18</v>
      </c>
      <c r="I1568" s="8" t="s">
        <v>14</v>
      </c>
    </row>
    <row r="1569" customFormat="false" ht="14.25" hidden="false" customHeight="false" outlineLevel="0" collapsed="false">
      <c r="A1569" s="8" t="n">
        <v>1568</v>
      </c>
      <c r="B1569" s="8" t="s">
        <v>9</v>
      </c>
      <c r="C1569" s="8" t="s">
        <v>16</v>
      </c>
      <c r="D1569" s="9" t="n">
        <v>44309</v>
      </c>
      <c r="E1569" s="10" t="n">
        <v>8514.86</v>
      </c>
      <c r="F1569" s="8" t="s">
        <v>11</v>
      </c>
      <c r="G1569" s="8" t="s">
        <v>22</v>
      </c>
      <c r="H1569" s="11" t="s">
        <v>23</v>
      </c>
      <c r="I1569" s="8" t="s">
        <v>26</v>
      </c>
    </row>
    <row r="1570" customFormat="false" ht="14.25" hidden="false" customHeight="false" outlineLevel="0" collapsed="false">
      <c r="A1570" s="8" t="n">
        <v>1569</v>
      </c>
      <c r="B1570" s="8" t="s">
        <v>66</v>
      </c>
      <c r="C1570" s="8" t="s">
        <v>16</v>
      </c>
      <c r="D1570" s="9" t="n">
        <v>44309</v>
      </c>
      <c r="E1570" s="10" t="n">
        <v>7271.19</v>
      </c>
      <c r="F1570" s="8" t="s">
        <v>11</v>
      </c>
      <c r="G1570" s="8" t="s">
        <v>12</v>
      </c>
      <c r="H1570" s="11" t="s">
        <v>13</v>
      </c>
      <c r="I1570" s="8" t="s">
        <v>14</v>
      </c>
    </row>
    <row r="1571" customFormat="false" ht="14.25" hidden="false" customHeight="false" outlineLevel="0" collapsed="false">
      <c r="A1571" s="8" t="n">
        <v>1570</v>
      </c>
      <c r="B1571" s="8" t="s">
        <v>57</v>
      </c>
      <c r="C1571" s="8" t="s">
        <v>16</v>
      </c>
      <c r="D1571" s="9" t="n">
        <v>44309</v>
      </c>
      <c r="E1571" s="10" t="n">
        <v>7007.32</v>
      </c>
      <c r="F1571" s="8" t="s">
        <v>11</v>
      </c>
      <c r="G1571" s="8" t="s">
        <v>36</v>
      </c>
      <c r="H1571" s="11" t="s">
        <v>37</v>
      </c>
      <c r="I1571" s="8" t="s">
        <v>24</v>
      </c>
    </row>
    <row r="1572" customFormat="false" ht="14.25" hidden="false" customHeight="false" outlineLevel="0" collapsed="false">
      <c r="A1572" s="8" t="n">
        <v>1571</v>
      </c>
      <c r="B1572" s="8" t="s">
        <v>72</v>
      </c>
      <c r="C1572" s="8" t="s">
        <v>21</v>
      </c>
      <c r="D1572" s="9" t="n">
        <v>44309</v>
      </c>
      <c r="E1572" s="10" t="n">
        <v>7490.11</v>
      </c>
      <c r="F1572" s="8" t="s">
        <v>11</v>
      </c>
      <c r="G1572" s="8" t="s">
        <v>12</v>
      </c>
      <c r="H1572" s="11" t="s">
        <v>13</v>
      </c>
      <c r="I1572" s="8" t="s">
        <v>19</v>
      </c>
    </row>
    <row r="1573" customFormat="false" ht="14.25" hidden="false" customHeight="false" outlineLevel="0" collapsed="false">
      <c r="A1573" s="8" t="n">
        <v>1572</v>
      </c>
      <c r="B1573" s="8" t="s">
        <v>44</v>
      </c>
      <c r="C1573" s="8" t="s">
        <v>16</v>
      </c>
      <c r="D1573" s="9" t="n">
        <v>44309</v>
      </c>
      <c r="E1573" s="10" t="n">
        <v>8304.83</v>
      </c>
      <c r="F1573" s="8" t="s">
        <v>11</v>
      </c>
      <c r="G1573" s="8" t="s">
        <v>12</v>
      </c>
      <c r="H1573" s="11" t="s">
        <v>13</v>
      </c>
      <c r="I1573" s="8" t="s">
        <v>26</v>
      </c>
    </row>
    <row r="1574" customFormat="false" ht="14.25" hidden="false" customHeight="false" outlineLevel="0" collapsed="false">
      <c r="A1574" s="8" t="n">
        <v>1573</v>
      </c>
      <c r="B1574" s="8" t="s">
        <v>44</v>
      </c>
      <c r="C1574" s="8" t="s">
        <v>16</v>
      </c>
      <c r="D1574" s="9" t="n">
        <v>44309</v>
      </c>
      <c r="E1574" s="10" t="n">
        <v>6961.74</v>
      </c>
      <c r="F1574" s="8" t="s">
        <v>11</v>
      </c>
      <c r="G1574" s="8" t="s">
        <v>12</v>
      </c>
      <c r="H1574" s="11" t="s">
        <v>13</v>
      </c>
      <c r="I1574" s="8" t="s">
        <v>24</v>
      </c>
    </row>
    <row r="1575" customFormat="false" ht="14.25" hidden="false" customHeight="false" outlineLevel="0" collapsed="false">
      <c r="A1575" s="8" t="n">
        <v>1574</v>
      </c>
      <c r="B1575" s="8" t="s">
        <v>45</v>
      </c>
      <c r="C1575" s="8" t="s">
        <v>21</v>
      </c>
      <c r="D1575" s="9" t="n">
        <v>44309</v>
      </c>
      <c r="E1575" s="10" t="n">
        <v>-10132.01</v>
      </c>
      <c r="F1575" s="8" t="s">
        <v>34</v>
      </c>
      <c r="G1575" s="8" t="s">
        <v>12</v>
      </c>
      <c r="H1575" s="11" t="s">
        <v>13</v>
      </c>
      <c r="I1575" s="8" t="s">
        <v>26</v>
      </c>
    </row>
    <row r="1576" customFormat="false" ht="14.25" hidden="false" customHeight="false" outlineLevel="0" collapsed="false">
      <c r="A1576" s="8" t="n">
        <v>1575</v>
      </c>
      <c r="B1576" s="8" t="s">
        <v>66</v>
      </c>
      <c r="C1576" s="8" t="s">
        <v>16</v>
      </c>
      <c r="D1576" s="9" t="n">
        <v>44309</v>
      </c>
      <c r="E1576" s="10" t="n">
        <v>197783.04</v>
      </c>
      <c r="F1576" s="8" t="s">
        <v>11</v>
      </c>
      <c r="G1576" s="8" t="s">
        <v>12</v>
      </c>
      <c r="H1576" s="11" t="s">
        <v>13</v>
      </c>
      <c r="I1576" s="8" t="s">
        <v>24</v>
      </c>
    </row>
    <row r="1577" customFormat="false" ht="14.25" hidden="false" customHeight="false" outlineLevel="0" collapsed="false">
      <c r="A1577" s="8" t="n">
        <v>1576</v>
      </c>
      <c r="B1577" s="8" t="s">
        <v>57</v>
      </c>
      <c r="C1577" s="8" t="s">
        <v>28</v>
      </c>
      <c r="D1577" s="9" t="n">
        <v>44309</v>
      </c>
      <c r="E1577" s="10" t="n">
        <v>-8187.8</v>
      </c>
      <c r="F1577" s="8" t="s">
        <v>34</v>
      </c>
      <c r="G1577" s="8" t="s">
        <v>36</v>
      </c>
      <c r="H1577" s="11" t="s">
        <v>37</v>
      </c>
      <c r="I1577" s="8" t="s">
        <v>14</v>
      </c>
    </row>
    <row r="1578" customFormat="false" ht="14.25" hidden="false" customHeight="false" outlineLevel="0" collapsed="false">
      <c r="A1578" s="8" t="n">
        <v>1577</v>
      </c>
      <c r="B1578" s="8" t="s">
        <v>72</v>
      </c>
      <c r="C1578" s="8" t="s">
        <v>28</v>
      </c>
      <c r="D1578" s="9" t="n">
        <v>44309</v>
      </c>
      <c r="E1578" s="10" t="n">
        <v>-767.59</v>
      </c>
      <c r="F1578" s="8" t="s">
        <v>34</v>
      </c>
      <c r="G1578" s="8" t="s">
        <v>12</v>
      </c>
      <c r="H1578" s="11" t="s">
        <v>13</v>
      </c>
      <c r="I1578" s="8" t="s">
        <v>19</v>
      </c>
    </row>
    <row r="1579" customFormat="false" ht="14.25" hidden="false" customHeight="false" outlineLevel="0" collapsed="false">
      <c r="A1579" s="8" t="n">
        <v>1578</v>
      </c>
      <c r="B1579" s="8" t="s">
        <v>45</v>
      </c>
      <c r="C1579" s="8" t="s">
        <v>16</v>
      </c>
      <c r="D1579" s="9" t="n">
        <v>44309</v>
      </c>
      <c r="E1579" s="10" t="n">
        <v>-362.81</v>
      </c>
      <c r="F1579" s="8" t="s">
        <v>34</v>
      </c>
      <c r="G1579" s="8" t="s">
        <v>12</v>
      </c>
      <c r="H1579" s="11" t="s">
        <v>13</v>
      </c>
      <c r="I1579" s="8" t="s">
        <v>14</v>
      </c>
    </row>
    <row r="1580" customFormat="false" ht="14.25" hidden="false" customHeight="false" outlineLevel="0" collapsed="false">
      <c r="A1580" s="8" t="n">
        <v>1579</v>
      </c>
      <c r="B1580" s="8" t="s">
        <v>66</v>
      </c>
      <c r="C1580" s="8" t="s">
        <v>10</v>
      </c>
      <c r="D1580" s="9" t="n">
        <v>44309</v>
      </c>
      <c r="E1580" s="10" t="n">
        <v>-389.38</v>
      </c>
      <c r="F1580" s="8" t="s">
        <v>34</v>
      </c>
      <c r="G1580" s="8" t="s">
        <v>30</v>
      </c>
      <c r="H1580" s="11" t="s">
        <v>31</v>
      </c>
      <c r="I1580" s="8" t="s">
        <v>14</v>
      </c>
    </row>
    <row r="1581" customFormat="false" ht="14.25" hidden="false" customHeight="false" outlineLevel="0" collapsed="false">
      <c r="A1581" s="8" t="n">
        <v>1580</v>
      </c>
      <c r="B1581" s="8" t="s">
        <v>66</v>
      </c>
      <c r="C1581" s="8" t="s">
        <v>28</v>
      </c>
      <c r="D1581" s="9" t="n">
        <v>44309</v>
      </c>
      <c r="E1581" s="10" t="n">
        <v>-6303.36</v>
      </c>
      <c r="F1581" s="8" t="s">
        <v>34</v>
      </c>
      <c r="G1581" s="8" t="s">
        <v>12</v>
      </c>
      <c r="H1581" s="11" t="s">
        <v>13</v>
      </c>
      <c r="I1581" s="8" t="s">
        <v>26</v>
      </c>
    </row>
    <row r="1582" customFormat="false" ht="14.25" hidden="false" customHeight="false" outlineLevel="0" collapsed="false">
      <c r="A1582" s="8" t="n">
        <v>1581</v>
      </c>
      <c r="B1582" s="8" t="s">
        <v>66</v>
      </c>
      <c r="C1582" s="8" t="s">
        <v>21</v>
      </c>
      <c r="D1582" s="9" t="n">
        <v>44309</v>
      </c>
      <c r="E1582" s="10" t="n">
        <v>-9112.18</v>
      </c>
      <c r="F1582" s="8" t="s">
        <v>34</v>
      </c>
      <c r="G1582" s="8" t="s">
        <v>12</v>
      </c>
      <c r="H1582" s="11" t="s">
        <v>13</v>
      </c>
      <c r="I1582" s="8" t="s">
        <v>24</v>
      </c>
    </row>
    <row r="1583" customFormat="false" ht="14.25" hidden="false" customHeight="false" outlineLevel="0" collapsed="false">
      <c r="A1583" s="8" t="n">
        <v>1582</v>
      </c>
      <c r="B1583" s="8" t="s">
        <v>66</v>
      </c>
      <c r="C1583" s="8" t="s">
        <v>21</v>
      </c>
      <c r="D1583" s="9" t="n">
        <v>44309</v>
      </c>
      <c r="E1583" s="10" t="n">
        <v>-2915.75</v>
      </c>
      <c r="F1583" s="8" t="s">
        <v>34</v>
      </c>
      <c r="G1583" s="8" t="s">
        <v>17</v>
      </c>
      <c r="H1583" s="11" t="s">
        <v>18</v>
      </c>
      <c r="I1583" s="8" t="s">
        <v>14</v>
      </c>
    </row>
    <row r="1584" customFormat="false" ht="14.25" hidden="false" customHeight="false" outlineLevel="0" collapsed="false">
      <c r="A1584" s="8" t="n">
        <v>1583</v>
      </c>
      <c r="B1584" s="8" t="s">
        <v>66</v>
      </c>
      <c r="C1584" s="8" t="s">
        <v>28</v>
      </c>
      <c r="D1584" s="9" t="n">
        <v>44309</v>
      </c>
      <c r="E1584" s="10" t="n">
        <v>178242.55</v>
      </c>
      <c r="F1584" s="8" t="s">
        <v>11</v>
      </c>
      <c r="G1584" s="8" t="s">
        <v>17</v>
      </c>
      <c r="H1584" s="11" t="s">
        <v>18</v>
      </c>
      <c r="I1584" s="8" t="s">
        <v>14</v>
      </c>
    </row>
    <row r="1585" customFormat="false" ht="14.25" hidden="false" customHeight="false" outlineLevel="0" collapsed="false">
      <c r="A1585" s="8" t="n">
        <v>1584</v>
      </c>
      <c r="B1585" s="8" t="s">
        <v>66</v>
      </c>
      <c r="C1585" s="8" t="s">
        <v>16</v>
      </c>
      <c r="D1585" s="9" t="n">
        <v>44309</v>
      </c>
      <c r="E1585" s="10" t="n">
        <v>-409102.96</v>
      </c>
      <c r="F1585" s="8" t="s">
        <v>34</v>
      </c>
      <c r="G1585" s="8" t="s">
        <v>36</v>
      </c>
      <c r="H1585" s="11" t="s">
        <v>37</v>
      </c>
      <c r="I1585" s="8" t="s">
        <v>14</v>
      </c>
    </row>
    <row r="1586" customFormat="false" ht="14.25" hidden="false" customHeight="false" outlineLevel="0" collapsed="false">
      <c r="A1586" s="8" t="n">
        <v>1585</v>
      </c>
      <c r="B1586" s="8" t="s">
        <v>66</v>
      </c>
      <c r="C1586" s="8" t="s">
        <v>16</v>
      </c>
      <c r="D1586" s="9" t="n">
        <v>44309</v>
      </c>
      <c r="E1586" s="10" t="n">
        <v>2424.03</v>
      </c>
      <c r="F1586" s="8" t="s">
        <v>11</v>
      </c>
      <c r="G1586" s="8" t="s">
        <v>36</v>
      </c>
      <c r="H1586" s="11" t="s">
        <v>37</v>
      </c>
      <c r="I1586" s="8" t="s">
        <v>19</v>
      </c>
    </row>
    <row r="1587" customFormat="false" ht="14.25" hidden="false" customHeight="false" outlineLevel="0" collapsed="false">
      <c r="A1587" s="8" t="n">
        <v>1586</v>
      </c>
      <c r="B1587" s="8" t="s">
        <v>66</v>
      </c>
      <c r="C1587" s="8" t="s">
        <v>10</v>
      </c>
      <c r="D1587" s="9" t="n">
        <v>44309</v>
      </c>
      <c r="E1587" s="10" t="n">
        <v>2997.1</v>
      </c>
      <c r="F1587" s="8" t="s">
        <v>11</v>
      </c>
      <c r="G1587" s="8" t="s">
        <v>12</v>
      </c>
      <c r="H1587" s="11" t="s">
        <v>13</v>
      </c>
      <c r="I1587" s="8" t="s">
        <v>19</v>
      </c>
    </row>
    <row r="1588" customFormat="false" ht="14.25" hidden="false" customHeight="false" outlineLevel="0" collapsed="false">
      <c r="A1588" s="8" t="n">
        <v>1587</v>
      </c>
      <c r="B1588" s="8" t="s">
        <v>50</v>
      </c>
      <c r="C1588" s="8" t="s">
        <v>16</v>
      </c>
      <c r="D1588" s="9" t="n">
        <v>44310</v>
      </c>
      <c r="E1588" s="10" t="n">
        <v>5924.5</v>
      </c>
      <c r="F1588" s="8" t="s">
        <v>11</v>
      </c>
      <c r="G1588" s="8" t="s">
        <v>12</v>
      </c>
      <c r="H1588" s="11" t="s">
        <v>13</v>
      </c>
      <c r="I1588" s="8" t="s">
        <v>14</v>
      </c>
    </row>
    <row r="1589" customFormat="false" ht="14.25" hidden="false" customHeight="false" outlineLevel="0" collapsed="false">
      <c r="A1589" s="8" t="n">
        <v>1588</v>
      </c>
      <c r="B1589" s="8" t="s">
        <v>86</v>
      </c>
      <c r="C1589" s="8" t="s">
        <v>28</v>
      </c>
      <c r="D1589" s="9" t="n">
        <v>44310</v>
      </c>
      <c r="E1589" s="10" t="n">
        <v>5924.5</v>
      </c>
      <c r="F1589" s="8" t="s">
        <v>11</v>
      </c>
      <c r="G1589" s="8" t="s">
        <v>22</v>
      </c>
      <c r="H1589" s="11" t="s">
        <v>23</v>
      </c>
      <c r="I1589" s="8" t="s">
        <v>14</v>
      </c>
    </row>
    <row r="1590" customFormat="false" ht="14.25" hidden="false" customHeight="false" outlineLevel="0" collapsed="false">
      <c r="A1590" s="8" t="n">
        <v>1589</v>
      </c>
      <c r="B1590" s="8" t="s">
        <v>149</v>
      </c>
      <c r="C1590" s="8" t="s">
        <v>16</v>
      </c>
      <c r="D1590" s="9" t="n">
        <v>44311</v>
      </c>
      <c r="E1590" s="10" t="n">
        <v>6273</v>
      </c>
      <c r="F1590" s="8" t="s">
        <v>11</v>
      </c>
      <c r="G1590" s="8" t="s">
        <v>12</v>
      </c>
      <c r="H1590" s="11" t="s">
        <v>13</v>
      </c>
      <c r="I1590" s="8" t="s">
        <v>26</v>
      </c>
    </row>
    <row r="1591" customFormat="false" ht="14.25" hidden="false" customHeight="false" outlineLevel="0" collapsed="false">
      <c r="A1591" s="8" t="n">
        <v>1590</v>
      </c>
      <c r="B1591" s="8" t="s">
        <v>149</v>
      </c>
      <c r="C1591" s="8" t="s">
        <v>28</v>
      </c>
      <c r="D1591" s="9" t="n">
        <v>44311</v>
      </c>
      <c r="E1591" s="10" t="n">
        <v>2439.5</v>
      </c>
      <c r="F1591" s="8" t="s">
        <v>11</v>
      </c>
      <c r="G1591" s="8" t="s">
        <v>22</v>
      </c>
      <c r="H1591" s="11" t="s">
        <v>23</v>
      </c>
      <c r="I1591" s="8" t="s">
        <v>26</v>
      </c>
    </row>
    <row r="1592" customFormat="false" ht="14.25" hidden="false" customHeight="false" outlineLevel="0" collapsed="false">
      <c r="A1592" s="8" t="n">
        <v>1591</v>
      </c>
      <c r="B1592" s="8" t="s">
        <v>165</v>
      </c>
      <c r="C1592" s="8" t="s">
        <v>10</v>
      </c>
      <c r="D1592" s="9" t="n">
        <v>44311</v>
      </c>
      <c r="E1592" s="10" t="n">
        <v>2788</v>
      </c>
      <c r="F1592" s="8" t="s">
        <v>11</v>
      </c>
      <c r="G1592" s="8" t="s">
        <v>36</v>
      </c>
      <c r="H1592" s="11" t="s">
        <v>37</v>
      </c>
      <c r="I1592" s="8" t="s">
        <v>14</v>
      </c>
    </row>
    <row r="1593" customFormat="false" ht="14.25" hidden="false" customHeight="false" outlineLevel="0" collapsed="false">
      <c r="A1593" s="8" t="n">
        <v>1592</v>
      </c>
      <c r="B1593" s="8" t="s">
        <v>86</v>
      </c>
      <c r="C1593" s="8" t="s">
        <v>10</v>
      </c>
      <c r="D1593" s="9" t="n">
        <v>44311</v>
      </c>
      <c r="E1593" s="10" t="n">
        <v>2997.1</v>
      </c>
      <c r="F1593" s="8" t="s">
        <v>11</v>
      </c>
      <c r="G1593" s="8" t="s">
        <v>12</v>
      </c>
      <c r="H1593" s="11" t="s">
        <v>13</v>
      </c>
      <c r="I1593" s="8" t="s">
        <v>14</v>
      </c>
    </row>
    <row r="1594" customFormat="false" ht="14.25" hidden="false" customHeight="false" outlineLevel="0" collapsed="false">
      <c r="A1594" s="8" t="n">
        <v>1593</v>
      </c>
      <c r="B1594" s="8" t="s">
        <v>167</v>
      </c>
      <c r="C1594" s="8" t="s">
        <v>21</v>
      </c>
      <c r="D1594" s="9" t="n">
        <v>44312</v>
      </c>
      <c r="E1594" s="10" t="n">
        <v>171401.89</v>
      </c>
      <c r="F1594" s="8" t="s">
        <v>11</v>
      </c>
      <c r="G1594" s="8" t="s">
        <v>36</v>
      </c>
      <c r="H1594" s="11" t="s">
        <v>37</v>
      </c>
      <c r="I1594" s="8" t="s">
        <v>14</v>
      </c>
    </row>
    <row r="1595" customFormat="false" ht="14.25" hidden="false" customHeight="false" outlineLevel="0" collapsed="false">
      <c r="A1595" s="8" t="n">
        <v>1594</v>
      </c>
      <c r="B1595" s="8" t="s">
        <v>161</v>
      </c>
      <c r="C1595" s="8" t="s">
        <v>16</v>
      </c>
      <c r="D1595" s="9" t="n">
        <v>44312</v>
      </c>
      <c r="E1595" s="10" t="n">
        <v>6273</v>
      </c>
      <c r="F1595" s="8" t="s">
        <v>11</v>
      </c>
      <c r="G1595" s="8" t="s">
        <v>17</v>
      </c>
      <c r="H1595" s="11" t="s">
        <v>18</v>
      </c>
      <c r="I1595" s="8" t="s">
        <v>14</v>
      </c>
    </row>
    <row r="1596" customFormat="false" ht="14.25" hidden="false" customHeight="false" outlineLevel="0" collapsed="false">
      <c r="A1596" s="8" t="n">
        <v>1595</v>
      </c>
      <c r="B1596" s="8" t="s">
        <v>101</v>
      </c>
      <c r="C1596" s="8" t="s">
        <v>28</v>
      </c>
      <c r="D1596" s="9" t="n">
        <v>44313</v>
      </c>
      <c r="E1596" s="10" t="n">
        <v>2439.5</v>
      </c>
      <c r="F1596" s="8" t="s">
        <v>11</v>
      </c>
      <c r="G1596" s="8" t="s">
        <v>22</v>
      </c>
      <c r="H1596" s="11" t="s">
        <v>23</v>
      </c>
      <c r="I1596" s="8" t="s">
        <v>26</v>
      </c>
    </row>
    <row r="1597" customFormat="false" ht="14.25" hidden="false" customHeight="false" outlineLevel="0" collapsed="false">
      <c r="A1597" s="8" t="n">
        <v>1596</v>
      </c>
      <c r="B1597" s="8" t="s">
        <v>153</v>
      </c>
      <c r="C1597" s="8" t="s">
        <v>10</v>
      </c>
      <c r="D1597" s="9" t="n">
        <v>44313</v>
      </c>
      <c r="E1597" s="10" t="n">
        <v>2788</v>
      </c>
      <c r="F1597" s="8" t="s">
        <v>11</v>
      </c>
      <c r="G1597" s="8" t="s">
        <v>12</v>
      </c>
      <c r="H1597" s="11" t="s">
        <v>13</v>
      </c>
      <c r="I1597" s="8" t="s">
        <v>14</v>
      </c>
    </row>
    <row r="1598" customFormat="false" ht="14.25" hidden="false" customHeight="false" outlineLevel="0" collapsed="false">
      <c r="A1598" s="8" t="n">
        <v>1597</v>
      </c>
      <c r="B1598" s="8" t="s">
        <v>164</v>
      </c>
      <c r="C1598" s="8" t="s">
        <v>16</v>
      </c>
      <c r="D1598" s="9" t="n">
        <v>44313</v>
      </c>
      <c r="E1598" s="10" t="n">
        <v>4303.28</v>
      </c>
      <c r="F1598" s="8" t="s">
        <v>11</v>
      </c>
      <c r="G1598" s="8" t="s">
        <v>22</v>
      </c>
      <c r="H1598" s="11" t="s">
        <v>23</v>
      </c>
      <c r="I1598" s="8" t="s">
        <v>19</v>
      </c>
    </row>
    <row r="1599" customFormat="false" ht="14.25" hidden="false" customHeight="false" outlineLevel="0" collapsed="false">
      <c r="A1599" s="8" t="n">
        <v>1598</v>
      </c>
      <c r="B1599" s="8" t="s">
        <v>41</v>
      </c>
      <c r="C1599" s="8" t="s">
        <v>16</v>
      </c>
      <c r="D1599" s="9" t="n">
        <v>44313</v>
      </c>
      <c r="E1599" s="10" t="n">
        <v>4286.55</v>
      </c>
      <c r="F1599" s="8" t="s">
        <v>11</v>
      </c>
      <c r="G1599" s="8" t="s">
        <v>22</v>
      </c>
      <c r="H1599" s="11" t="s">
        <v>23</v>
      </c>
      <c r="I1599" s="8" t="s">
        <v>14</v>
      </c>
    </row>
    <row r="1600" customFormat="false" ht="14.25" hidden="false" customHeight="false" outlineLevel="0" collapsed="false">
      <c r="A1600" s="8" t="n">
        <v>1599</v>
      </c>
      <c r="B1600" s="8" t="s">
        <v>41</v>
      </c>
      <c r="C1600" s="8" t="s">
        <v>28</v>
      </c>
      <c r="D1600" s="9" t="n">
        <v>44313</v>
      </c>
      <c r="E1600" s="10" t="n">
        <v>-2110.54</v>
      </c>
      <c r="F1600" s="8" t="s">
        <v>34</v>
      </c>
      <c r="G1600" s="8" t="s">
        <v>22</v>
      </c>
      <c r="H1600" s="11" t="s">
        <v>23</v>
      </c>
      <c r="I1600" s="8" t="s">
        <v>19</v>
      </c>
    </row>
    <row r="1601" customFormat="false" ht="14.25" hidden="false" customHeight="false" outlineLevel="0" collapsed="false">
      <c r="A1601" s="8" t="n">
        <v>1600</v>
      </c>
      <c r="B1601" s="8" t="s">
        <v>15</v>
      </c>
      <c r="C1601" s="8" t="s">
        <v>10</v>
      </c>
      <c r="D1601" s="9" t="n">
        <v>44313</v>
      </c>
      <c r="E1601" s="10" t="n">
        <v>-461.51</v>
      </c>
      <c r="F1601" s="8" t="s">
        <v>34</v>
      </c>
      <c r="G1601" s="8" t="s">
        <v>12</v>
      </c>
      <c r="H1601" s="11" t="s">
        <v>13</v>
      </c>
      <c r="I1601" s="8" t="s">
        <v>14</v>
      </c>
    </row>
    <row r="1602" customFormat="false" ht="14.25" hidden="false" customHeight="false" outlineLevel="0" collapsed="false">
      <c r="A1602" s="8" t="n">
        <v>1601</v>
      </c>
      <c r="B1602" s="8" t="s">
        <v>15</v>
      </c>
      <c r="C1602" s="8" t="s">
        <v>10</v>
      </c>
      <c r="D1602" s="9" t="n">
        <v>44313</v>
      </c>
      <c r="E1602" s="10" t="n">
        <v>-178472.98</v>
      </c>
      <c r="F1602" s="8" t="s">
        <v>34</v>
      </c>
      <c r="G1602" s="8" t="s">
        <v>12</v>
      </c>
      <c r="H1602" s="11" t="s">
        <v>13</v>
      </c>
      <c r="I1602" s="8" t="s">
        <v>24</v>
      </c>
    </row>
    <row r="1603" customFormat="false" ht="14.25" hidden="false" customHeight="false" outlineLevel="0" collapsed="false">
      <c r="A1603" s="8" t="n">
        <v>1602</v>
      </c>
      <c r="B1603" s="8" t="s">
        <v>39</v>
      </c>
      <c r="C1603" s="8" t="s">
        <v>16</v>
      </c>
      <c r="D1603" s="9" t="n">
        <v>44313</v>
      </c>
      <c r="E1603" s="10" t="n">
        <v>15905.63</v>
      </c>
      <c r="F1603" s="8" t="s">
        <v>11</v>
      </c>
      <c r="G1603" s="8" t="s">
        <v>12</v>
      </c>
      <c r="H1603" s="11" t="s">
        <v>13</v>
      </c>
      <c r="I1603" s="8" t="s">
        <v>24</v>
      </c>
    </row>
    <row r="1604" customFormat="false" ht="14.25" hidden="false" customHeight="false" outlineLevel="0" collapsed="false">
      <c r="A1604" s="8" t="n">
        <v>1603</v>
      </c>
      <c r="B1604" s="8" t="s">
        <v>35</v>
      </c>
      <c r="C1604" s="8" t="s">
        <v>28</v>
      </c>
      <c r="D1604" s="9" t="n">
        <v>44314</v>
      </c>
      <c r="E1604" s="10" t="n">
        <v>13808.25</v>
      </c>
      <c r="F1604" s="8" t="s">
        <v>11</v>
      </c>
      <c r="G1604" s="8" t="s">
        <v>12</v>
      </c>
      <c r="H1604" s="11" t="s">
        <v>13</v>
      </c>
      <c r="I1604" s="8" t="s">
        <v>26</v>
      </c>
    </row>
    <row r="1605" customFormat="false" ht="14.25" hidden="false" customHeight="false" outlineLevel="0" collapsed="false">
      <c r="A1605" s="8" t="n">
        <v>1604</v>
      </c>
      <c r="B1605" s="8" t="s">
        <v>172</v>
      </c>
      <c r="C1605" s="8" t="s">
        <v>16</v>
      </c>
      <c r="D1605" s="9" t="n">
        <v>44314</v>
      </c>
      <c r="E1605" s="10" t="n">
        <v>16050.54</v>
      </c>
      <c r="F1605" s="8" t="s">
        <v>11</v>
      </c>
      <c r="G1605" s="8" t="s">
        <v>17</v>
      </c>
      <c r="H1605" s="11" t="s">
        <v>18</v>
      </c>
      <c r="I1605" s="8" t="s">
        <v>14</v>
      </c>
    </row>
    <row r="1606" customFormat="false" ht="14.25" hidden="false" customHeight="false" outlineLevel="0" collapsed="false">
      <c r="A1606" s="8" t="n">
        <v>1605</v>
      </c>
      <c r="B1606" s="8" t="s">
        <v>178</v>
      </c>
      <c r="C1606" s="8" t="s">
        <v>16</v>
      </c>
      <c r="D1606" s="9" t="n">
        <v>44314</v>
      </c>
      <c r="E1606" s="10" t="n">
        <v>14844.06</v>
      </c>
      <c r="F1606" s="8" t="s">
        <v>11</v>
      </c>
      <c r="G1606" s="8" t="s">
        <v>17</v>
      </c>
      <c r="H1606" s="11" t="s">
        <v>18</v>
      </c>
      <c r="I1606" s="8" t="s">
        <v>24</v>
      </c>
    </row>
    <row r="1607" customFormat="false" ht="14.25" hidden="false" customHeight="false" outlineLevel="0" collapsed="false">
      <c r="A1607" s="8" t="n">
        <v>1606</v>
      </c>
      <c r="B1607" s="8" t="s">
        <v>171</v>
      </c>
      <c r="C1607" s="8" t="s">
        <v>16</v>
      </c>
      <c r="D1607" s="9" t="n">
        <v>44316</v>
      </c>
      <c r="E1607" s="10" t="n">
        <v>-12298.02</v>
      </c>
      <c r="F1607" s="8" t="s">
        <v>34</v>
      </c>
      <c r="G1607" s="8" t="s">
        <v>12</v>
      </c>
      <c r="H1607" s="11" t="s">
        <v>13</v>
      </c>
      <c r="I1607" s="8" t="s">
        <v>14</v>
      </c>
    </row>
    <row r="1608" customFormat="false" ht="14.25" hidden="false" customHeight="false" outlineLevel="0" collapsed="false">
      <c r="A1608" s="8" t="n">
        <v>1607</v>
      </c>
      <c r="B1608" s="8" t="s">
        <v>77</v>
      </c>
      <c r="C1608" s="8" t="s">
        <v>21</v>
      </c>
      <c r="D1608" s="9" t="n">
        <v>44316</v>
      </c>
      <c r="E1608" s="10" t="n">
        <v>-18161.47</v>
      </c>
      <c r="F1608" s="8" t="s">
        <v>34</v>
      </c>
      <c r="G1608" s="8" t="s">
        <v>30</v>
      </c>
      <c r="H1608" s="11" t="s">
        <v>31</v>
      </c>
      <c r="I1608" s="8" t="s">
        <v>26</v>
      </c>
    </row>
    <row r="1609" customFormat="false" ht="14.25" hidden="false" customHeight="false" outlineLevel="0" collapsed="false">
      <c r="A1609" s="8" t="n">
        <v>1608</v>
      </c>
      <c r="B1609" s="8" t="s">
        <v>9</v>
      </c>
      <c r="C1609" s="8" t="s">
        <v>16</v>
      </c>
      <c r="D1609" s="9" t="n">
        <v>44316</v>
      </c>
      <c r="E1609" s="10" t="n">
        <v>-39599.21</v>
      </c>
      <c r="F1609" s="8" t="s">
        <v>34</v>
      </c>
      <c r="G1609" s="8" t="s">
        <v>12</v>
      </c>
      <c r="H1609" s="11" t="s">
        <v>13</v>
      </c>
      <c r="I1609" s="8" t="s">
        <v>19</v>
      </c>
    </row>
    <row r="1610" customFormat="false" ht="14.25" hidden="false" customHeight="false" outlineLevel="0" collapsed="false">
      <c r="A1610" s="8" t="n">
        <v>1609</v>
      </c>
      <c r="B1610" s="8" t="s">
        <v>9</v>
      </c>
      <c r="C1610" s="8" t="s">
        <v>10</v>
      </c>
      <c r="D1610" s="9" t="n">
        <v>44316</v>
      </c>
      <c r="E1610" s="10" t="n">
        <v>134480.85</v>
      </c>
      <c r="F1610" s="8" t="s">
        <v>11</v>
      </c>
      <c r="G1610" s="8" t="s">
        <v>36</v>
      </c>
      <c r="H1610" s="11" t="s">
        <v>37</v>
      </c>
      <c r="I1610" s="8" t="s">
        <v>14</v>
      </c>
    </row>
    <row r="1611" customFormat="false" ht="14.25" hidden="false" customHeight="false" outlineLevel="0" collapsed="false">
      <c r="A1611" s="8" t="n">
        <v>1610</v>
      </c>
      <c r="B1611" s="8" t="s">
        <v>9</v>
      </c>
      <c r="C1611" s="8" t="s">
        <v>10</v>
      </c>
      <c r="D1611" s="9" t="n">
        <v>44316</v>
      </c>
      <c r="E1611" s="10" t="n">
        <v>15202.6</v>
      </c>
      <c r="F1611" s="8" t="s">
        <v>11</v>
      </c>
      <c r="G1611" s="8" t="s">
        <v>12</v>
      </c>
      <c r="H1611" s="11" t="s">
        <v>13</v>
      </c>
      <c r="I1611" s="8" t="s">
        <v>14</v>
      </c>
    </row>
    <row r="1612" customFormat="false" ht="14.25" hidden="false" customHeight="false" outlineLevel="0" collapsed="false">
      <c r="A1612" s="8" t="n">
        <v>1611</v>
      </c>
      <c r="B1612" s="8" t="s">
        <v>51</v>
      </c>
      <c r="C1612" s="8" t="s">
        <v>21</v>
      </c>
      <c r="D1612" s="9" t="n">
        <v>44316</v>
      </c>
      <c r="E1612" s="10" t="n">
        <v>15696.91</v>
      </c>
      <c r="F1612" s="8" t="s">
        <v>11</v>
      </c>
      <c r="G1612" s="8" t="s">
        <v>22</v>
      </c>
      <c r="H1612" s="11" t="s">
        <v>23</v>
      </c>
      <c r="I1612" s="8" t="s">
        <v>26</v>
      </c>
    </row>
    <row r="1613" customFormat="false" ht="14.25" hidden="false" customHeight="false" outlineLevel="0" collapsed="false">
      <c r="A1613" s="8" t="n">
        <v>1612</v>
      </c>
      <c r="B1613" s="8" t="s">
        <v>15</v>
      </c>
      <c r="C1613" s="8" t="s">
        <v>28</v>
      </c>
      <c r="D1613" s="9" t="n">
        <v>44316</v>
      </c>
      <c r="E1613" s="10" t="n">
        <v>17496.19</v>
      </c>
      <c r="F1613" s="8" t="s">
        <v>11</v>
      </c>
      <c r="G1613" s="8" t="s">
        <v>30</v>
      </c>
      <c r="H1613" s="11" t="s">
        <v>31</v>
      </c>
      <c r="I1613" s="8" t="s">
        <v>14</v>
      </c>
    </row>
    <row r="1614" customFormat="false" ht="14.25" hidden="false" customHeight="false" outlineLevel="0" collapsed="false">
      <c r="A1614" s="8" t="n">
        <v>1613</v>
      </c>
      <c r="B1614" s="8" t="s">
        <v>15</v>
      </c>
      <c r="C1614" s="8" t="s">
        <v>28</v>
      </c>
      <c r="D1614" s="9" t="n">
        <v>44316</v>
      </c>
      <c r="E1614" s="10" t="n">
        <v>16991.5</v>
      </c>
      <c r="F1614" s="8" t="s">
        <v>11</v>
      </c>
      <c r="G1614" s="8" t="s">
        <v>12</v>
      </c>
      <c r="H1614" s="11" t="s">
        <v>13</v>
      </c>
      <c r="I1614" s="8" t="s">
        <v>14</v>
      </c>
    </row>
    <row r="1615" customFormat="false" ht="14.25" hidden="false" customHeight="false" outlineLevel="0" collapsed="false">
      <c r="A1615" s="8" t="n">
        <v>1614</v>
      </c>
      <c r="B1615" s="8" t="s">
        <v>61</v>
      </c>
      <c r="C1615" s="8" t="s">
        <v>21</v>
      </c>
      <c r="D1615" s="9" t="n">
        <v>44316</v>
      </c>
      <c r="E1615" s="10" t="n">
        <v>-11694.38</v>
      </c>
      <c r="F1615" s="8" t="s">
        <v>34</v>
      </c>
      <c r="G1615" s="8" t="s">
        <v>12</v>
      </c>
      <c r="H1615" s="11" t="s">
        <v>13</v>
      </c>
      <c r="I1615" s="8" t="s">
        <v>14</v>
      </c>
    </row>
    <row r="1616" customFormat="false" ht="14.25" hidden="false" customHeight="false" outlineLevel="0" collapsed="false">
      <c r="A1616" s="8" t="n">
        <v>1615</v>
      </c>
      <c r="B1616" s="8" t="s">
        <v>81</v>
      </c>
      <c r="C1616" s="8" t="s">
        <v>28</v>
      </c>
      <c r="D1616" s="9" t="n">
        <v>44316</v>
      </c>
      <c r="E1616" s="10" t="n">
        <v>154860.88</v>
      </c>
      <c r="F1616" s="8" t="s">
        <v>11</v>
      </c>
      <c r="G1616" s="8" t="s">
        <v>17</v>
      </c>
      <c r="H1616" s="11" t="s">
        <v>18</v>
      </c>
      <c r="I1616" s="8" t="s">
        <v>24</v>
      </c>
    </row>
    <row r="1617" customFormat="false" ht="14.25" hidden="false" customHeight="false" outlineLevel="0" collapsed="false">
      <c r="A1617" s="8" t="n">
        <v>1616</v>
      </c>
      <c r="B1617" s="8" t="s">
        <v>32</v>
      </c>
      <c r="C1617" s="8" t="s">
        <v>28</v>
      </c>
      <c r="D1617" s="9" t="n">
        <v>44316</v>
      </c>
      <c r="E1617" s="10" t="n">
        <v>11872.8</v>
      </c>
      <c r="F1617" s="8" t="s">
        <v>11</v>
      </c>
      <c r="G1617" s="8" t="s">
        <v>12</v>
      </c>
      <c r="H1617" s="11" t="s">
        <v>13</v>
      </c>
      <c r="I1617" s="8" t="s">
        <v>26</v>
      </c>
    </row>
    <row r="1618" customFormat="false" ht="14.25" hidden="false" customHeight="false" outlineLevel="0" collapsed="false">
      <c r="A1618" s="8" t="n">
        <v>1617</v>
      </c>
      <c r="B1618" s="8" t="s">
        <v>61</v>
      </c>
      <c r="C1618" s="8" t="s">
        <v>10</v>
      </c>
      <c r="D1618" s="9" t="n">
        <v>44316</v>
      </c>
      <c r="E1618" s="10" t="n">
        <v>15275.52</v>
      </c>
      <c r="F1618" s="8" t="s">
        <v>11</v>
      </c>
      <c r="G1618" s="8" t="s">
        <v>17</v>
      </c>
      <c r="H1618" s="11" t="s">
        <v>18</v>
      </c>
      <c r="I1618" s="8" t="s">
        <v>14</v>
      </c>
    </row>
    <row r="1619" customFormat="false" ht="14.25" hidden="false" customHeight="false" outlineLevel="0" collapsed="false">
      <c r="A1619" s="8" t="n">
        <v>1618</v>
      </c>
      <c r="B1619" s="8" t="s">
        <v>62</v>
      </c>
      <c r="C1619" s="8" t="s">
        <v>28</v>
      </c>
      <c r="D1619" s="9" t="n">
        <v>44316</v>
      </c>
      <c r="E1619" s="10" t="n">
        <v>15275.52</v>
      </c>
      <c r="F1619" s="8" t="s">
        <v>11</v>
      </c>
      <c r="G1619" s="8" t="s">
        <v>17</v>
      </c>
      <c r="H1619" s="11" t="s">
        <v>18</v>
      </c>
      <c r="I1619" s="8" t="s">
        <v>14</v>
      </c>
    </row>
    <row r="1620" customFormat="false" ht="14.25" hidden="false" customHeight="false" outlineLevel="0" collapsed="false">
      <c r="A1620" s="8" t="n">
        <v>1619</v>
      </c>
      <c r="B1620" s="8" t="s">
        <v>62</v>
      </c>
      <c r="C1620" s="8" t="s">
        <v>16</v>
      </c>
      <c r="D1620" s="9" t="n">
        <v>44316</v>
      </c>
      <c r="E1620" s="10" t="n">
        <v>15275.52</v>
      </c>
      <c r="F1620" s="8" t="s">
        <v>11</v>
      </c>
      <c r="G1620" s="8" t="s">
        <v>22</v>
      </c>
      <c r="H1620" s="11" t="s">
        <v>23</v>
      </c>
      <c r="I1620" s="8" t="s">
        <v>24</v>
      </c>
    </row>
    <row r="1621" customFormat="false" ht="14.25" hidden="false" customHeight="false" outlineLevel="0" collapsed="false">
      <c r="A1621" s="8" t="n">
        <v>1620</v>
      </c>
      <c r="B1621" s="8" t="s">
        <v>81</v>
      </c>
      <c r="C1621" s="8" t="s">
        <v>21</v>
      </c>
      <c r="D1621" s="9" t="n">
        <v>44316</v>
      </c>
      <c r="E1621" s="10" t="n">
        <v>15275.52</v>
      </c>
      <c r="F1621" s="8" t="s">
        <v>11</v>
      </c>
      <c r="G1621" s="8" t="s">
        <v>12</v>
      </c>
      <c r="H1621" s="11" t="s">
        <v>13</v>
      </c>
      <c r="I1621" s="8" t="s">
        <v>26</v>
      </c>
    </row>
    <row r="1622" customFormat="false" ht="14.25" hidden="false" customHeight="false" outlineLevel="0" collapsed="false">
      <c r="A1622" s="8" t="n">
        <v>1621</v>
      </c>
      <c r="B1622" s="8" t="s">
        <v>49</v>
      </c>
      <c r="C1622" s="8" t="s">
        <v>16</v>
      </c>
      <c r="D1622" s="9" t="n">
        <v>44316</v>
      </c>
      <c r="E1622" s="10" t="n">
        <v>15275.52</v>
      </c>
      <c r="F1622" s="8" t="s">
        <v>11</v>
      </c>
      <c r="G1622" s="8" t="s">
        <v>12</v>
      </c>
      <c r="H1622" s="11" t="s">
        <v>13</v>
      </c>
      <c r="I1622" s="8" t="s">
        <v>19</v>
      </c>
    </row>
    <row r="1623" customFormat="false" ht="14.25" hidden="false" customHeight="false" outlineLevel="0" collapsed="false">
      <c r="A1623" s="8" t="n">
        <v>1622</v>
      </c>
      <c r="B1623" s="8" t="s">
        <v>61</v>
      </c>
      <c r="C1623" s="8" t="s">
        <v>28</v>
      </c>
      <c r="D1623" s="9" t="n">
        <v>44316</v>
      </c>
      <c r="E1623" s="10" t="n">
        <v>-15057.53</v>
      </c>
      <c r="F1623" s="8" t="s">
        <v>34</v>
      </c>
      <c r="G1623" s="8" t="s">
        <v>12</v>
      </c>
      <c r="H1623" s="11" t="s">
        <v>13</v>
      </c>
      <c r="I1623" s="8" t="s">
        <v>19</v>
      </c>
    </row>
    <row r="1624" customFormat="false" ht="14.25" hidden="false" customHeight="false" outlineLevel="0" collapsed="false">
      <c r="A1624" s="8" t="n">
        <v>1623</v>
      </c>
      <c r="B1624" s="8" t="s">
        <v>62</v>
      </c>
      <c r="C1624" s="8" t="s">
        <v>10</v>
      </c>
      <c r="D1624" s="9" t="n">
        <v>44316</v>
      </c>
      <c r="E1624" s="10" t="n">
        <v>14615.67</v>
      </c>
      <c r="F1624" s="8" t="s">
        <v>11</v>
      </c>
      <c r="G1624" s="8" t="s">
        <v>12</v>
      </c>
      <c r="H1624" s="11" t="s">
        <v>13</v>
      </c>
      <c r="I1624" s="8" t="s">
        <v>19</v>
      </c>
    </row>
    <row r="1625" customFormat="false" ht="14.25" hidden="false" customHeight="false" outlineLevel="0" collapsed="false">
      <c r="A1625" s="8" t="n">
        <v>1624</v>
      </c>
      <c r="B1625" s="8" t="s">
        <v>81</v>
      </c>
      <c r="C1625" s="8" t="s">
        <v>21</v>
      </c>
      <c r="D1625" s="9" t="n">
        <v>44316</v>
      </c>
      <c r="E1625" s="10" t="n">
        <v>13908.98</v>
      </c>
      <c r="F1625" s="8" t="s">
        <v>11</v>
      </c>
      <c r="G1625" s="8" t="s">
        <v>17</v>
      </c>
      <c r="H1625" s="11" t="s">
        <v>18</v>
      </c>
      <c r="I1625" s="8" t="s">
        <v>26</v>
      </c>
    </row>
    <row r="1626" customFormat="false" ht="14.25" hidden="false" customHeight="false" outlineLevel="0" collapsed="false">
      <c r="A1626" s="8" t="n">
        <v>1625</v>
      </c>
      <c r="B1626" s="8" t="s">
        <v>81</v>
      </c>
      <c r="C1626" s="8" t="s">
        <v>28</v>
      </c>
      <c r="D1626" s="9" t="n">
        <v>44316</v>
      </c>
      <c r="E1626" s="10" t="n">
        <v>14912.55</v>
      </c>
      <c r="F1626" s="8" t="s">
        <v>11</v>
      </c>
      <c r="G1626" s="8" t="s">
        <v>17</v>
      </c>
      <c r="H1626" s="11" t="s">
        <v>18</v>
      </c>
      <c r="I1626" s="8" t="s">
        <v>14</v>
      </c>
    </row>
    <row r="1627" customFormat="false" ht="14.25" hidden="false" customHeight="false" outlineLevel="0" collapsed="false">
      <c r="A1627" s="8" t="n">
        <v>1626</v>
      </c>
      <c r="B1627" s="8" t="s">
        <v>81</v>
      </c>
      <c r="C1627" s="8" t="s">
        <v>10</v>
      </c>
      <c r="D1627" s="9" t="n">
        <v>44316</v>
      </c>
      <c r="E1627" s="10" t="n">
        <v>15213.99</v>
      </c>
      <c r="F1627" s="8" t="s">
        <v>11</v>
      </c>
      <c r="G1627" s="8" t="s">
        <v>12</v>
      </c>
      <c r="H1627" s="11" t="s">
        <v>13</v>
      </c>
      <c r="I1627" s="8" t="s">
        <v>19</v>
      </c>
    </row>
    <row r="1628" customFormat="false" ht="14.25" hidden="false" customHeight="false" outlineLevel="0" collapsed="false">
      <c r="A1628" s="8" t="n">
        <v>1627</v>
      </c>
      <c r="B1628" s="8" t="s">
        <v>145</v>
      </c>
      <c r="C1628" s="8" t="s">
        <v>21</v>
      </c>
      <c r="D1628" s="9" t="n">
        <v>44318</v>
      </c>
      <c r="E1628" s="10" t="n">
        <v>15515.26</v>
      </c>
      <c r="F1628" s="8" t="s">
        <v>11</v>
      </c>
      <c r="G1628" s="8" t="s">
        <v>17</v>
      </c>
      <c r="H1628" s="11" t="s">
        <v>18</v>
      </c>
      <c r="I1628" s="8" t="s">
        <v>19</v>
      </c>
    </row>
    <row r="1629" customFormat="false" ht="14.25" hidden="false" customHeight="false" outlineLevel="0" collapsed="false">
      <c r="A1629" s="8" t="n">
        <v>1628</v>
      </c>
      <c r="B1629" s="8" t="s">
        <v>9</v>
      </c>
      <c r="C1629" s="8" t="s">
        <v>28</v>
      </c>
      <c r="D1629" s="9" t="n">
        <v>44318</v>
      </c>
      <c r="E1629" s="10" t="n">
        <v>-190408.86</v>
      </c>
      <c r="F1629" s="8" t="s">
        <v>34</v>
      </c>
      <c r="G1629" s="8" t="s">
        <v>22</v>
      </c>
      <c r="H1629" s="11" t="s">
        <v>23</v>
      </c>
      <c r="I1629" s="8" t="s">
        <v>26</v>
      </c>
    </row>
    <row r="1630" customFormat="false" ht="14.25" hidden="false" customHeight="false" outlineLevel="0" collapsed="false">
      <c r="A1630" s="8" t="n">
        <v>1629</v>
      </c>
      <c r="B1630" s="8" t="s">
        <v>9</v>
      </c>
      <c r="C1630" s="8" t="s">
        <v>16</v>
      </c>
      <c r="D1630" s="9" t="n">
        <v>44318</v>
      </c>
      <c r="E1630" s="10" t="n">
        <v>-3681.02</v>
      </c>
      <c r="F1630" s="8" t="s">
        <v>34</v>
      </c>
      <c r="G1630" s="8" t="s">
        <v>12</v>
      </c>
      <c r="H1630" s="11" t="s">
        <v>13</v>
      </c>
      <c r="I1630" s="8" t="s">
        <v>26</v>
      </c>
    </row>
    <row r="1631" customFormat="false" ht="14.25" hidden="false" customHeight="false" outlineLevel="0" collapsed="false">
      <c r="A1631" s="8" t="n">
        <v>1630</v>
      </c>
      <c r="B1631" s="8" t="s">
        <v>160</v>
      </c>
      <c r="C1631" s="8" t="s">
        <v>28</v>
      </c>
      <c r="D1631" s="9" t="n">
        <v>44319</v>
      </c>
      <c r="E1631" s="10" t="n">
        <v>-8806.49</v>
      </c>
      <c r="F1631" s="8" t="s">
        <v>34</v>
      </c>
      <c r="G1631" s="8" t="s">
        <v>12</v>
      </c>
      <c r="H1631" s="11" t="s">
        <v>13</v>
      </c>
      <c r="I1631" s="8" t="s">
        <v>14</v>
      </c>
    </row>
    <row r="1632" customFormat="false" ht="14.25" hidden="false" customHeight="false" outlineLevel="0" collapsed="false">
      <c r="A1632" s="8" t="n">
        <v>1631</v>
      </c>
      <c r="B1632" s="8" t="s">
        <v>168</v>
      </c>
      <c r="C1632" s="8" t="s">
        <v>10</v>
      </c>
      <c r="D1632" s="9" t="n">
        <v>44319</v>
      </c>
      <c r="E1632" s="10" t="n">
        <v>-6997.2</v>
      </c>
      <c r="F1632" s="8" t="s">
        <v>34</v>
      </c>
      <c r="G1632" s="8" t="s">
        <v>22</v>
      </c>
      <c r="H1632" s="11" t="s">
        <v>23</v>
      </c>
      <c r="I1632" s="8" t="s">
        <v>14</v>
      </c>
    </row>
    <row r="1633" customFormat="false" ht="14.25" hidden="false" customHeight="false" outlineLevel="0" collapsed="false">
      <c r="A1633" s="8" t="n">
        <v>1632</v>
      </c>
      <c r="B1633" s="8" t="s">
        <v>9</v>
      </c>
      <c r="C1633" s="8" t="s">
        <v>16</v>
      </c>
      <c r="D1633" s="9" t="n">
        <v>44319</v>
      </c>
      <c r="E1633" s="10" t="n">
        <v>-11634.53</v>
      </c>
      <c r="F1633" s="8" t="s">
        <v>34</v>
      </c>
      <c r="G1633" s="8" t="s">
        <v>17</v>
      </c>
      <c r="H1633" s="11" t="s">
        <v>18</v>
      </c>
      <c r="I1633" s="8" t="s">
        <v>26</v>
      </c>
    </row>
    <row r="1634" customFormat="false" ht="14.25" hidden="false" customHeight="false" outlineLevel="0" collapsed="false">
      <c r="A1634" s="8" t="n">
        <v>1633</v>
      </c>
      <c r="B1634" s="8" t="s">
        <v>149</v>
      </c>
      <c r="C1634" s="8" t="s">
        <v>16</v>
      </c>
      <c r="D1634" s="9" t="n">
        <v>44320</v>
      </c>
      <c r="E1634" s="10" t="n">
        <v>-10305.61</v>
      </c>
      <c r="F1634" s="8" t="s">
        <v>34</v>
      </c>
      <c r="G1634" s="8" t="s">
        <v>30</v>
      </c>
      <c r="H1634" s="11" t="s">
        <v>31</v>
      </c>
      <c r="I1634" s="8" t="s">
        <v>26</v>
      </c>
    </row>
    <row r="1635" customFormat="false" ht="14.25" hidden="false" customHeight="false" outlineLevel="0" collapsed="false">
      <c r="A1635" s="8" t="n">
        <v>1634</v>
      </c>
      <c r="B1635" s="8" t="s">
        <v>9</v>
      </c>
      <c r="C1635" s="8" t="s">
        <v>10</v>
      </c>
      <c r="D1635" s="9" t="n">
        <v>44320</v>
      </c>
      <c r="E1635" s="10" t="n">
        <v>-5386.05</v>
      </c>
      <c r="F1635" s="8" t="s">
        <v>34</v>
      </c>
      <c r="G1635" s="8" t="s">
        <v>12</v>
      </c>
      <c r="H1635" s="11" t="s">
        <v>13</v>
      </c>
      <c r="I1635" s="8" t="s">
        <v>26</v>
      </c>
    </row>
    <row r="1636" customFormat="false" ht="14.25" hidden="false" customHeight="false" outlineLevel="0" collapsed="false">
      <c r="A1636" s="8" t="n">
        <v>1635</v>
      </c>
      <c r="B1636" s="8" t="s">
        <v>39</v>
      </c>
      <c r="C1636" s="8" t="s">
        <v>21</v>
      </c>
      <c r="D1636" s="9" t="n">
        <v>44320</v>
      </c>
      <c r="E1636" s="10" t="n">
        <v>-7271.46</v>
      </c>
      <c r="F1636" s="8" t="s">
        <v>34</v>
      </c>
      <c r="G1636" s="8" t="s">
        <v>22</v>
      </c>
      <c r="H1636" s="11" t="s">
        <v>23</v>
      </c>
      <c r="I1636" s="8" t="s">
        <v>26</v>
      </c>
    </row>
    <row r="1637" customFormat="false" ht="14.25" hidden="false" customHeight="false" outlineLevel="0" collapsed="false">
      <c r="A1637" s="8" t="n">
        <v>1636</v>
      </c>
      <c r="B1637" s="8" t="s">
        <v>85</v>
      </c>
      <c r="C1637" s="8" t="s">
        <v>10</v>
      </c>
      <c r="D1637" s="9" t="n">
        <v>44323</v>
      </c>
      <c r="E1637" s="10" t="n">
        <v>-12666.15</v>
      </c>
      <c r="F1637" s="8" t="s">
        <v>34</v>
      </c>
      <c r="G1637" s="8" t="s">
        <v>17</v>
      </c>
      <c r="H1637" s="11" t="s">
        <v>18</v>
      </c>
      <c r="I1637" s="8" t="s">
        <v>14</v>
      </c>
    </row>
    <row r="1638" customFormat="false" ht="14.25" hidden="false" customHeight="false" outlineLevel="0" collapsed="false">
      <c r="A1638" s="8" t="n">
        <v>1637</v>
      </c>
      <c r="B1638" s="8" t="s">
        <v>85</v>
      </c>
      <c r="C1638" s="8" t="s">
        <v>16</v>
      </c>
      <c r="D1638" s="9" t="n">
        <v>44323</v>
      </c>
      <c r="E1638" s="10" t="n">
        <v>-473.31</v>
      </c>
      <c r="F1638" s="8" t="s">
        <v>34</v>
      </c>
      <c r="G1638" s="8" t="s">
        <v>22</v>
      </c>
      <c r="H1638" s="11" t="s">
        <v>23</v>
      </c>
      <c r="I1638" s="8" t="s">
        <v>14</v>
      </c>
    </row>
    <row r="1639" customFormat="false" ht="14.25" hidden="false" customHeight="false" outlineLevel="0" collapsed="false">
      <c r="A1639" s="8" t="n">
        <v>1638</v>
      </c>
      <c r="B1639" s="8" t="s">
        <v>86</v>
      </c>
      <c r="C1639" s="8" t="s">
        <v>10</v>
      </c>
      <c r="D1639" s="9" t="n">
        <v>44323</v>
      </c>
      <c r="E1639" s="10" t="n">
        <v>-6995.03</v>
      </c>
      <c r="F1639" s="8" t="s">
        <v>34</v>
      </c>
      <c r="G1639" s="8" t="s">
        <v>36</v>
      </c>
      <c r="H1639" s="11" t="s">
        <v>37</v>
      </c>
      <c r="I1639" s="8" t="s">
        <v>26</v>
      </c>
    </row>
    <row r="1640" customFormat="false" ht="14.25" hidden="false" customHeight="false" outlineLevel="0" collapsed="false">
      <c r="A1640" s="8" t="n">
        <v>1639</v>
      </c>
      <c r="B1640" s="8" t="s">
        <v>39</v>
      </c>
      <c r="C1640" s="8" t="s">
        <v>10</v>
      </c>
      <c r="D1640" s="9" t="n">
        <v>44323</v>
      </c>
      <c r="E1640" s="10" t="n">
        <v>-15146.99</v>
      </c>
      <c r="F1640" s="8" t="s">
        <v>34</v>
      </c>
      <c r="G1640" s="8" t="s">
        <v>12</v>
      </c>
      <c r="H1640" s="11" t="s">
        <v>13</v>
      </c>
      <c r="I1640" s="8" t="s">
        <v>14</v>
      </c>
    </row>
    <row r="1641" customFormat="false" ht="14.25" hidden="false" customHeight="false" outlineLevel="0" collapsed="false">
      <c r="A1641" s="8" t="n">
        <v>1640</v>
      </c>
      <c r="B1641" s="8" t="s">
        <v>173</v>
      </c>
      <c r="C1641" s="8" t="s">
        <v>16</v>
      </c>
      <c r="D1641" s="9" t="n">
        <v>44325</v>
      </c>
      <c r="E1641" s="10" t="n">
        <v>-16700.08</v>
      </c>
      <c r="F1641" s="8" t="s">
        <v>34</v>
      </c>
      <c r="G1641" s="8" t="s">
        <v>22</v>
      </c>
      <c r="H1641" s="11" t="s">
        <v>23</v>
      </c>
      <c r="I1641" s="8" t="s">
        <v>26</v>
      </c>
    </row>
    <row r="1642" customFormat="false" ht="14.25" hidden="false" customHeight="false" outlineLevel="0" collapsed="false">
      <c r="A1642" s="8" t="n">
        <v>1641</v>
      </c>
      <c r="B1642" s="8" t="s">
        <v>174</v>
      </c>
      <c r="C1642" s="8" t="s">
        <v>21</v>
      </c>
      <c r="D1642" s="9" t="n">
        <v>44325</v>
      </c>
      <c r="E1642" s="10" t="n">
        <v>-19623.73</v>
      </c>
      <c r="F1642" s="8" t="s">
        <v>34</v>
      </c>
      <c r="G1642" s="8" t="s">
        <v>22</v>
      </c>
      <c r="H1642" s="11" t="s">
        <v>23</v>
      </c>
      <c r="I1642" s="8" t="s">
        <v>14</v>
      </c>
    </row>
    <row r="1643" customFormat="false" ht="14.25" hidden="false" customHeight="false" outlineLevel="0" collapsed="false">
      <c r="A1643" s="8" t="n">
        <v>1642</v>
      </c>
      <c r="B1643" s="8" t="s">
        <v>179</v>
      </c>
      <c r="C1643" s="8" t="s">
        <v>10</v>
      </c>
      <c r="D1643" s="9" t="n">
        <v>44325</v>
      </c>
      <c r="E1643" s="10" t="n">
        <v>-14786</v>
      </c>
      <c r="F1643" s="8" t="s">
        <v>34</v>
      </c>
      <c r="G1643" s="8" t="s">
        <v>17</v>
      </c>
      <c r="H1643" s="11" t="s">
        <v>18</v>
      </c>
      <c r="I1643" s="8" t="s">
        <v>24</v>
      </c>
    </row>
    <row r="1644" customFormat="false" ht="14.25" hidden="false" customHeight="false" outlineLevel="0" collapsed="false">
      <c r="A1644" s="8" t="n">
        <v>1643</v>
      </c>
      <c r="B1644" s="8" t="s">
        <v>57</v>
      </c>
      <c r="C1644" s="8" t="s">
        <v>28</v>
      </c>
      <c r="D1644" s="9" t="n">
        <v>44325</v>
      </c>
      <c r="E1644" s="10" t="n">
        <v>-28782.67</v>
      </c>
      <c r="F1644" s="8" t="s">
        <v>34</v>
      </c>
      <c r="G1644" s="8" t="s">
        <v>12</v>
      </c>
      <c r="H1644" s="11" t="s">
        <v>13</v>
      </c>
      <c r="I1644" s="8" t="s">
        <v>24</v>
      </c>
    </row>
    <row r="1645" customFormat="false" ht="14.25" hidden="false" customHeight="false" outlineLevel="0" collapsed="false">
      <c r="A1645" s="8" t="n">
        <v>1644</v>
      </c>
      <c r="B1645" s="8" t="s">
        <v>72</v>
      </c>
      <c r="C1645" s="8" t="s">
        <v>28</v>
      </c>
      <c r="D1645" s="9" t="n">
        <v>44325</v>
      </c>
      <c r="E1645" s="10" t="n">
        <v>-28782.67</v>
      </c>
      <c r="F1645" s="8" t="s">
        <v>34</v>
      </c>
      <c r="G1645" s="8" t="s">
        <v>36</v>
      </c>
      <c r="H1645" s="11" t="s">
        <v>37</v>
      </c>
      <c r="I1645" s="8" t="s">
        <v>14</v>
      </c>
    </row>
    <row r="1646" customFormat="false" ht="14.25" hidden="false" customHeight="false" outlineLevel="0" collapsed="false">
      <c r="A1646" s="8" t="n">
        <v>1645</v>
      </c>
      <c r="B1646" s="8" t="s">
        <v>44</v>
      </c>
      <c r="C1646" s="8" t="s">
        <v>21</v>
      </c>
      <c r="D1646" s="9" t="n">
        <v>44325</v>
      </c>
      <c r="E1646" s="10" t="n">
        <v>-15170.33</v>
      </c>
      <c r="F1646" s="8" t="s">
        <v>34</v>
      </c>
      <c r="G1646" s="8" t="s">
        <v>17</v>
      </c>
      <c r="H1646" s="11" t="s">
        <v>18</v>
      </c>
      <c r="I1646" s="8" t="s">
        <v>14</v>
      </c>
    </row>
    <row r="1647" customFormat="false" ht="14.25" hidden="false" customHeight="false" outlineLevel="0" collapsed="false">
      <c r="A1647" s="8" t="n">
        <v>1646</v>
      </c>
      <c r="B1647" s="8" t="s">
        <v>73</v>
      </c>
      <c r="C1647" s="8" t="s">
        <v>10</v>
      </c>
      <c r="D1647" s="9" t="n">
        <v>44325</v>
      </c>
      <c r="E1647" s="10" t="n">
        <v>-12956.93</v>
      </c>
      <c r="F1647" s="8" t="s">
        <v>34</v>
      </c>
      <c r="G1647" s="8" t="s">
        <v>12</v>
      </c>
      <c r="H1647" s="11" t="s">
        <v>13</v>
      </c>
      <c r="I1647" s="8" t="s">
        <v>14</v>
      </c>
    </row>
    <row r="1648" customFormat="false" ht="14.25" hidden="false" customHeight="false" outlineLevel="0" collapsed="false">
      <c r="A1648" s="8" t="n">
        <v>1647</v>
      </c>
      <c r="B1648" s="8" t="s">
        <v>57</v>
      </c>
      <c r="C1648" s="8" t="s">
        <v>10</v>
      </c>
      <c r="D1648" s="9" t="n">
        <v>44325</v>
      </c>
      <c r="E1648" s="10" t="n">
        <v>-14931</v>
      </c>
      <c r="F1648" s="8" t="s">
        <v>34</v>
      </c>
      <c r="G1648" s="8" t="s">
        <v>17</v>
      </c>
      <c r="H1648" s="11" t="s">
        <v>18</v>
      </c>
      <c r="I1648" s="8" t="s">
        <v>26</v>
      </c>
    </row>
    <row r="1649" customFormat="false" ht="14.25" hidden="false" customHeight="false" outlineLevel="0" collapsed="false">
      <c r="A1649" s="8" t="n">
        <v>1648</v>
      </c>
      <c r="B1649" s="8" t="s">
        <v>72</v>
      </c>
      <c r="C1649" s="8" t="s">
        <v>10</v>
      </c>
      <c r="D1649" s="9" t="n">
        <v>44325</v>
      </c>
      <c r="E1649" s="10" t="n">
        <v>-17741.08</v>
      </c>
      <c r="F1649" s="8" t="s">
        <v>34</v>
      </c>
      <c r="G1649" s="8" t="s">
        <v>30</v>
      </c>
      <c r="H1649" s="11" t="s">
        <v>31</v>
      </c>
      <c r="I1649" s="8" t="s">
        <v>19</v>
      </c>
    </row>
    <row r="1650" customFormat="false" ht="14.25" hidden="false" customHeight="false" outlineLevel="0" collapsed="false">
      <c r="A1650" s="8" t="n">
        <v>1649</v>
      </c>
      <c r="B1650" s="8" t="s">
        <v>44</v>
      </c>
      <c r="C1650" s="8" t="s">
        <v>16</v>
      </c>
      <c r="D1650" s="9" t="n">
        <v>44325</v>
      </c>
      <c r="E1650" s="10" t="n">
        <v>128274.9</v>
      </c>
      <c r="F1650" s="8" t="s">
        <v>11</v>
      </c>
      <c r="G1650" s="8" t="s">
        <v>12</v>
      </c>
      <c r="H1650" s="11" t="s">
        <v>13</v>
      </c>
      <c r="I1650" s="8" t="s">
        <v>24</v>
      </c>
    </row>
    <row r="1651" customFormat="false" ht="14.25" hidden="false" customHeight="false" outlineLevel="0" collapsed="false">
      <c r="A1651" s="8" t="n">
        <v>1650</v>
      </c>
      <c r="B1651" s="8" t="s">
        <v>73</v>
      </c>
      <c r="C1651" s="8" t="s">
        <v>28</v>
      </c>
      <c r="D1651" s="9" t="n">
        <v>44325</v>
      </c>
      <c r="E1651" s="10" t="n">
        <v>35406.61</v>
      </c>
      <c r="F1651" s="8" t="s">
        <v>11</v>
      </c>
      <c r="G1651" s="8" t="s">
        <v>12</v>
      </c>
      <c r="H1651" s="11" t="s">
        <v>13</v>
      </c>
      <c r="I1651" s="8" t="s">
        <v>14</v>
      </c>
    </row>
    <row r="1652" customFormat="false" ht="14.25" hidden="false" customHeight="false" outlineLevel="0" collapsed="false">
      <c r="A1652" s="8" t="n">
        <v>1651</v>
      </c>
      <c r="B1652" s="8" t="s">
        <v>73</v>
      </c>
      <c r="C1652" s="8" t="s">
        <v>10</v>
      </c>
      <c r="D1652" s="9" t="n">
        <v>44325</v>
      </c>
      <c r="E1652" s="10" t="n">
        <v>37938.72</v>
      </c>
      <c r="F1652" s="8" t="s">
        <v>11</v>
      </c>
      <c r="G1652" s="8" t="s">
        <v>12</v>
      </c>
      <c r="H1652" s="11" t="s">
        <v>13</v>
      </c>
      <c r="I1652" s="8" t="s">
        <v>14</v>
      </c>
    </row>
    <row r="1653" customFormat="false" ht="14.25" hidden="false" customHeight="false" outlineLevel="0" collapsed="false">
      <c r="A1653" s="8" t="n">
        <v>1652</v>
      </c>
      <c r="B1653" s="8" t="s">
        <v>145</v>
      </c>
      <c r="C1653" s="8" t="s">
        <v>28</v>
      </c>
      <c r="D1653" s="9" t="n">
        <v>44326</v>
      </c>
      <c r="E1653" s="10" t="n">
        <v>36468.8</v>
      </c>
      <c r="F1653" s="8" t="s">
        <v>11</v>
      </c>
      <c r="G1653" s="8" t="s">
        <v>22</v>
      </c>
      <c r="H1653" s="11" t="s">
        <v>23</v>
      </c>
      <c r="I1653" s="8" t="s">
        <v>14</v>
      </c>
    </row>
    <row r="1654" customFormat="false" ht="14.25" hidden="false" customHeight="false" outlineLevel="0" collapsed="false">
      <c r="A1654" s="8" t="n">
        <v>1653</v>
      </c>
      <c r="B1654" s="8" t="s">
        <v>40</v>
      </c>
      <c r="C1654" s="8" t="s">
        <v>21</v>
      </c>
      <c r="D1654" s="9" t="n">
        <v>44326</v>
      </c>
      <c r="E1654" s="10" t="n">
        <v>37552.47</v>
      </c>
      <c r="F1654" s="8" t="s">
        <v>11</v>
      </c>
      <c r="G1654" s="8" t="s">
        <v>12</v>
      </c>
      <c r="H1654" s="11" t="s">
        <v>13</v>
      </c>
      <c r="I1654" s="8" t="s">
        <v>19</v>
      </c>
    </row>
    <row r="1655" customFormat="false" ht="14.25" hidden="false" customHeight="false" outlineLevel="0" collapsed="false">
      <c r="A1655" s="8" t="n">
        <v>1654</v>
      </c>
      <c r="B1655" s="8" t="s">
        <v>176</v>
      </c>
      <c r="C1655" s="8" t="s">
        <v>21</v>
      </c>
      <c r="D1655" s="9" t="n">
        <v>44327</v>
      </c>
      <c r="E1655" s="10" t="n">
        <v>-18157.62</v>
      </c>
      <c r="F1655" s="8" t="s">
        <v>34</v>
      </c>
      <c r="G1655" s="8" t="s">
        <v>12</v>
      </c>
      <c r="H1655" s="11" t="s">
        <v>13</v>
      </c>
      <c r="I1655" s="8" t="s">
        <v>26</v>
      </c>
    </row>
    <row r="1656" customFormat="false" ht="14.25" hidden="false" customHeight="false" outlineLevel="0" collapsed="false">
      <c r="A1656" s="8" t="n">
        <v>1655</v>
      </c>
      <c r="B1656" s="8" t="s">
        <v>172</v>
      </c>
      <c r="C1656" s="8" t="s">
        <v>21</v>
      </c>
      <c r="D1656" s="9" t="n">
        <v>44327</v>
      </c>
      <c r="E1656" s="10" t="n">
        <v>-20446.37</v>
      </c>
      <c r="F1656" s="8" t="s">
        <v>34</v>
      </c>
      <c r="G1656" s="8" t="s">
        <v>17</v>
      </c>
      <c r="H1656" s="11" t="s">
        <v>18</v>
      </c>
      <c r="I1656" s="8" t="s">
        <v>14</v>
      </c>
    </row>
    <row r="1657" customFormat="false" ht="14.25" hidden="false" customHeight="false" outlineLevel="0" collapsed="false">
      <c r="A1657" s="8" t="n">
        <v>1656</v>
      </c>
      <c r="B1657" s="8" t="s">
        <v>145</v>
      </c>
      <c r="C1657" s="8" t="s">
        <v>28</v>
      </c>
      <c r="D1657" s="9" t="n">
        <v>44327</v>
      </c>
      <c r="E1657" s="10" t="n">
        <v>-5889.31</v>
      </c>
      <c r="F1657" s="8" t="s">
        <v>34</v>
      </c>
      <c r="G1657" s="8" t="s">
        <v>36</v>
      </c>
      <c r="H1657" s="11" t="s">
        <v>37</v>
      </c>
      <c r="I1657" s="8" t="s">
        <v>19</v>
      </c>
    </row>
    <row r="1658" customFormat="false" ht="14.25" hidden="false" customHeight="false" outlineLevel="0" collapsed="false">
      <c r="A1658" s="8" t="n">
        <v>1657</v>
      </c>
      <c r="B1658" s="8" t="s">
        <v>40</v>
      </c>
      <c r="C1658" s="8" t="s">
        <v>16</v>
      </c>
      <c r="D1658" s="9" t="n">
        <v>44327</v>
      </c>
      <c r="E1658" s="10" t="n">
        <v>-25191.39</v>
      </c>
      <c r="F1658" s="8" t="s">
        <v>34</v>
      </c>
      <c r="G1658" s="8" t="s">
        <v>22</v>
      </c>
      <c r="H1658" s="11" t="s">
        <v>23</v>
      </c>
      <c r="I1658" s="8" t="s">
        <v>26</v>
      </c>
    </row>
    <row r="1659" customFormat="false" ht="14.25" hidden="false" customHeight="false" outlineLevel="0" collapsed="false">
      <c r="A1659" s="8" t="n">
        <v>1658</v>
      </c>
      <c r="B1659" s="8" t="s">
        <v>39</v>
      </c>
      <c r="C1659" s="8" t="s">
        <v>21</v>
      </c>
      <c r="D1659" s="9" t="n">
        <v>44327</v>
      </c>
      <c r="E1659" s="10" t="n">
        <v>155997.48</v>
      </c>
      <c r="F1659" s="8" t="s">
        <v>11</v>
      </c>
      <c r="G1659" s="8" t="s">
        <v>12</v>
      </c>
      <c r="H1659" s="11" t="s">
        <v>13</v>
      </c>
      <c r="I1659" s="8" t="s">
        <v>26</v>
      </c>
    </row>
    <row r="1660" customFormat="false" ht="14.25" hidden="false" customHeight="false" outlineLevel="0" collapsed="false">
      <c r="A1660" s="8" t="n">
        <v>1659</v>
      </c>
      <c r="B1660" s="8" t="s">
        <v>117</v>
      </c>
      <c r="C1660" s="8" t="s">
        <v>21</v>
      </c>
      <c r="D1660" s="9" t="n">
        <v>44327</v>
      </c>
      <c r="E1660" s="10" t="n">
        <v>-2215.78</v>
      </c>
      <c r="F1660" s="8" t="s">
        <v>34</v>
      </c>
      <c r="G1660" s="8" t="s">
        <v>12</v>
      </c>
      <c r="H1660" s="11" t="s">
        <v>13</v>
      </c>
      <c r="I1660" s="8" t="s">
        <v>14</v>
      </c>
    </row>
    <row r="1661" customFormat="false" ht="14.25" hidden="false" customHeight="false" outlineLevel="0" collapsed="false">
      <c r="A1661" s="8" t="n">
        <v>1660</v>
      </c>
      <c r="B1661" s="8" t="s">
        <v>39</v>
      </c>
      <c r="C1661" s="8" t="s">
        <v>28</v>
      </c>
      <c r="D1661" s="9" t="n">
        <v>44327</v>
      </c>
      <c r="E1661" s="10" t="n">
        <v>-3562.97</v>
      </c>
      <c r="F1661" s="8" t="s">
        <v>34</v>
      </c>
      <c r="G1661" s="8" t="s">
        <v>22</v>
      </c>
      <c r="H1661" s="11" t="s">
        <v>23</v>
      </c>
      <c r="I1661" s="8" t="s">
        <v>14</v>
      </c>
    </row>
    <row r="1662" customFormat="false" ht="14.25" hidden="false" customHeight="false" outlineLevel="0" collapsed="false">
      <c r="A1662" s="8" t="n">
        <v>1661</v>
      </c>
      <c r="B1662" s="8" t="s">
        <v>180</v>
      </c>
      <c r="C1662" s="8" t="s">
        <v>28</v>
      </c>
      <c r="D1662" s="9" t="n">
        <v>44330</v>
      </c>
      <c r="E1662" s="10" t="n">
        <v>-3288.88</v>
      </c>
      <c r="F1662" s="8" t="s">
        <v>34</v>
      </c>
      <c r="G1662" s="8" t="s">
        <v>36</v>
      </c>
      <c r="H1662" s="11" t="s">
        <v>37</v>
      </c>
      <c r="I1662" s="8" t="s">
        <v>19</v>
      </c>
    </row>
    <row r="1663" customFormat="false" ht="14.25" hidden="false" customHeight="false" outlineLevel="0" collapsed="false">
      <c r="A1663" s="8" t="n">
        <v>1662</v>
      </c>
      <c r="B1663" s="8" t="s">
        <v>50</v>
      </c>
      <c r="C1663" s="8" t="s">
        <v>21</v>
      </c>
      <c r="D1663" s="9" t="n">
        <v>44330</v>
      </c>
      <c r="E1663" s="10" t="n">
        <v>-3695.23</v>
      </c>
      <c r="F1663" s="8" t="s">
        <v>34</v>
      </c>
      <c r="G1663" s="8" t="s">
        <v>30</v>
      </c>
      <c r="H1663" s="11" t="s">
        <v>31</v>
      </c>
      <c r="I1663" s="8" t="s">
        <v>26</v>
      </c>
    </row>
    <row r="1664" customFormat="false" ht="14.25" hidden="false" customHeight="false" outlineLevel="0" collapsed="false">
      <c r="A1664" s="8" t="n">
        <v>1663</v>
      </c>
      <c r="B1664" s="8" t="s">
        <v>159</v>
      </c>
      <c r="C1664" s="8" t="s">
        <v>10</v>
      </c>
      <c r="D1664" s="9" t="n">
        <v>44330</v>
      </c>
      <c r="E1664" s="10" t="n">
        <v>-16937.9</v>
      </c>
      <c r="F1664" s="8" t="s">
        <v>34</v>
      </c>
      <c r="G1664" s="8" t="s">
        <v>12</v>
      </c>
      <c r="H1664" s="11" t="s">
        <v>13</v>
      </c>
      <c r="I1664" s="8" t="s">
        <v>14</v>
      </c>
    </row>
    <row r="1665" customFormat="false" ht="14.25" hidden="false" customHeight="false" outlineLevel="0" collapsed="false">
      <c r="A1665" s="8" t="n">
        <v>1664</v>
      </c>
      <c r="B1665" s="8" t="s">
        <v>85</v>
      </c>
      <c r="C1665" s="8" t="s">
        <v>28</v>
      </c>
      <c r="D1665" s="9" t="n">
        <v>44330</v>
      </c>
      <c r="E1665" s="10" t="n">
        <v>-5540.64</v>
      </c>
      <c r="F1665" s="8" t="s">
        <v>34</v>
      </c>
      <c r="G1665" s="8" t="s">
        <v>17</v>
      </c>
      <c r="H1665" s="11" t="s">
        <v>18</v>
      </c>
      <c r="I1665" s="8" t="s">
        <v>14</v>
      </c>
    </row>
    <row r="1666" customFormat="false" ht="14.25" hidden="false" customHeight="false" outlineLevel="0" collapsed="false">
      <c r="A1666" s="8" t="n">
        <v>1665</v>
      </c>
      <c r="B1666" s="8" t="s">
        <v>40</v>
      </c>
      <c r="C1666" s="8" t="s">
        <v>10</v>
      </c>
      <c r="D1666" s="9" t="n">
        <v>44331</v>
      </c>
      <c r="E1666" s="10" t="n">
        <v>-6247.5</v>
      </c>
      <c r="F1666" s="8" t="s">
        <v>34</v>
      </c>
      <c r="G1666" s="8" t="s">
        <v>22</v>
      </c>
      <c r="H1666" s="11" t="s">
        <v>23</v>
      </c>
      <c r="I1666" s="8" t="s">
        <v>26</v>
      </c>
    </row>
    <row r="1667" customFormat="false" ht="14.25" hidden="false" customHeight="false" outlineLevel="0" collapsed="false">
      <c r="A1667" s="8" t="n">
        <v>1666</v>
      </c>
      <c r="B1667" s="8" t="s">
        <v>181</v>
      </c>
      <c r="C1667" s="8" t="s">
        <v>28</v>
      </c>
      <c r="D1667" s="9" t="n">
        <v>44332</v>
      </c>
      <c r="E1667" s="10" t="n">
        <v>-5771.5</v>
      </c>
      <c r="F1667" s="8" t="s">
        <v>34</v>
      </c>
      <c r="G1667" s="8" t="s">
        <v>17</v>
      </c>
      <c r="H1667" s="11" t="s">
        <v>18</v>
      </c>
      <c r="I1667" s="8" t="s">
        <v>19</v>
      </c>
    </row>
    <row r="1668" customFormat="false" ht="14.25" hidden="false" customHeight="false" outlineLevel="0" collapsed="false">
      <c r="A1668" s="8" t="n">
        <v>1667</v>
      </c>
      <c r="B1668" s="8" t="s">
        <v>153</v>
      </c>
      <c r="C1668" s="8" t="s">
        <v>28</v>
      </c>
      <c r="D1668" s="9" t="n">
        <v>44332</v>
      </c>
      <c r="E1668" s="10" t="n">
        <v>-5826.24</v>
      </c>
      <c r="F1668" s="8" t="s">
        <v>34</v>
      </c>
      <c r="G1668" s="8" t="s">
        <v>17</v>
      </c>
      <c r="H1668" s="11" t="s">
        <v>18</v>
      </c>
      <c r="I1668" s="8" t="s">
        <v>14</v>
      </c>
    </row>
    <row r="1669" customFormat="false" ht="14.25" hidden="false" customHeight="false" outlineLevel="0" collapsed="false">
      <c r="A1669" s="8" t="n">
        <v>1668</v>
      </c>
      <c r="B1669" s="8" t="s">
        <v>144</v>
      </c>
      <c r="C1669" s="8" t="s">
        <v>21</v>
      </c>
      <c r="D1669" s="9" t="n">
        <v>44332</v>
      </c>
      <c r="E1669" s="10" t="n">
        <v>-5713.79</v>
      </c>
      <c r="F1669" s="8" t="s">
        <v>34</v>
      </c>
      <c r="G1669" s="8" t="s">
        <v>22</v>
      </c>
      <c r="H1669" s="11" t="s">
        <v>23</v>
      </c>
      <c r="I1669" s="8" t="s">
        <v>26</v>
      </c>
    </row>
    <row r="1670" customFormat="false" ht="14.25" hidden="false" customHeight="false" outlineLevel="0" collapsed="false">
      <c r="A1670" s="8" t="n">
        <v>1669</v>
      </c>
      <c r="B1670" s="8" t="s">
        <v>144</v>
      </c>
      <c r="C1670" s="8" t="s">
        <v>16</v>
      </c>
      <c r="D1670" s="9" t="n">
        <v>44332</v>
      </c>
      <c r="E1670" s="10" t="n">
        <v>-6372.45</v>
      </c>
      <c r="F1670" s="8" t="s">
        <v>34</v>
      </c>
      <c r="G1670" s="8" t="s">
        <v>12</v>
      </c>
      <c r="H1670" s="11" t="s">
        <v>13</v>
      </c>
      <c r="I1670" s="8" t="s">
        <v>26</v>
      </c>
    </row>
    <row r="1671" customFormat="false" ht="14.25" hidden="false" customHeight="false" outlineLevel="0" collapsed="false">
      <c r="A1671" s="8" t="n">
        <v>1670</v>
      </c>
      <c r="B1671" s="8" t="s">
        <v>49</v>
      </c>
      <c r="C1671" s="8" t="s">
        <v>10</v>
      </c>
      <c r="D1671" s="9" t="n">
        <v>44332</v>
      </c>
      <c r="E1671" s="10" t="n">
        <v>-5826.24</v>
      </c>
      <c r="F1671" s="8" t="s">
        <v>34</v>
      </c>
      <c r="G1671" s="8" t="s">
        <v>36</v>
      </c>
      <c r="H1671" s="11" t="s">
        <v>37</v>
      </c>
      <c r="I1671" s="8" t="s">
        <v>14</v>
      </c>
    </row>
    <row r="1672" customFormat="false" ht="14.25" hidden="false" customHeight="false" outlineLevel="0" collapsed="false">
      <c r="A1672" s="8" t="n">
        <v>1671</v>
      </c>
      <c r="B1672" s="8" t="s">
        <v>145</v>
      </c>
      <c r="C1672" s="8" t="s">
        <v>16</v>
      </c>
      <c r="D1672" s="9" t="n">
        <v>44333</v>
      </c>
      <c r="E1672" s="10" t="n">
        <v>-5771.5</v>
      </c>
      <c r="F1672" s="8" t="s">
        <v>34</v>
      </c>
      <c r="G1672" s="8" t="s">
        <v>36</v>
      </c>
      <c r="H1672" s="11" t="s">
        <v>37</v>
      </c>
      <c r="I1672" s="8" t="s">
        <v>19</v>
      </c>
    </row>
    <row r="1673" customFormat="false" ht="14.25" hidden="false" customHeight="false" outlineLevel="0" collapsed="false">
      <c r="A1673" s="8" t="n">
        <v>1672</v>
      </c>
      <c r="B1673" s="8" t="s">
        <v>39</v>
      </c>
      <c r="C1673" s="8" t="s">
        <v>16</v>
      </c>
      <c r="D1673" s="9" t="n">
        <v>44333</v>
      </c>
      <c r="E1673" s="10" t="n">
        <v>-6067.22</v>
      </c>
      <c r="F1673" s="8" t="s">
        <v>34</v>
      </c>
      <c r="G1673" s="8" t="s">
        <v>12</v>
      </c>
      <c r="H1673" s="11" t="s">
        <v>13</v>
      </c>
      <c r="I1673" s="8" t="s">
        <v>26</v>
      </c>
    </row>
    <row r="1674" customFormat="false" ht="14.25" hidden="false" customHeight="false" outlineLevel="0" collapsed="false">
      <c r="A1674" s="8" t="n">
        <v>1673</v>
      </c>
      <c r="B1674" s="8" t="s">
        <v>136</v>
      </c>
      <c r="C1674" s="8" t="s">
        <v>21</v>
      </c>
      <c r="D1674" s="9" t="n">
        <v>44333</v>
      </c>
      <c r="E1674" s="10" t="n">
        <v>-5652.5</v>
      </c>
      <c r="F1674" s="8" t="s">
        <v>34</v>
      </c>
      <c r="G1674" s="8" t="s">
        <v>12</v>
      </c>
      <c r="H1674" s="11" t="s">
        <v>13</v>
      </c>
      <c r="I1674" s="8" t="s">
        <v>26</v>
      </c>
    </row>
    <row r="1675" customFormat="false" ht="14.25" hidden="false" customHeight="false" outlineLevel="0" collapsed="false">
      <c r="A1675" s="8" t="n">
        <v>1674</v>
      </c>
      <c r="B1675" s="8" t="s">
        <v>136</v>
      </c>
      <c r="C1675" s="8" t="s">
        <v>16</v>
      </c>
      <c r="D1675" s="9" t="n">
        <v>44333</v>
      </c>
      <c r="E1675" s="10" t="n">
        <v>145097.48</v>
      </c>
      <c r="F1675" s="8" t="s">
        <v>11</v>
      </c>
      <c r="G1675" s="8" t="s">
        <v>30</v>
      </c>
      <c r="H1675" s="11" t="s">
        <v>31</v>
      </c>
      <c r="I1675" s="8" t="s">
        <v>26</v>
      </c>
    </row>
    <row r="1676" customFormat="false" ht="14.25" hidden="false" customHeight="false" outlineLevel="0" collapsed="false">
      <c r="A1676" s="8" t="n">
        <v>1675</v>
      </c>
      <c r="B1676" s="8" t="s">
        <v>136</v>
      </c>
      <c r="C1676" s="8" t="s">
        <v>10</v>
      </c>
      <c r="D1676" s="9" t="n">
        <v>44333</v>
      </c>
      <c r="E1676" s="10" t="n">
        <v>77606.14</v>
      </c>
      <c r="F1676" s="8" t="s">
        <v>11</v>
      </c>
      <c r="G1676" s="8" t="s">
        <v>17</v>
      </c>
      <c r="H1676" s="11" t="s">
        <v>18</v>
      </c>
      <c r="I1676" s="8" t="s">
        <v>14</v>
      </c>
    </row>
    <row r="1677" customFormat="false" ht="14.25" hidden="false" customHeight="false" outlineLevel="0" collapsed="false">
      <c r="A1677" s="8" t="n">
        <v>1676</v>
      </c>
      <c r="B1677" s="8" t="s">
        <v>41</v>
      </c>
      <c r="C1677" s="8" t="s">
        <v>28</v>
      </c>
      <c r="D1677" s="9" t="n">
        <v>44334</v>
      </c>
      <c r="E1677" s="10" t="n">
        <v>-409.15</v>
      </c>
      <c r="F1677" s="8" t="s">
        <v>34</v>
      </c>
      <c r="G1677" s="8" t="s">
        <v>12</v>
      </c>
      <c r="H1677" s="11" t="s">
        <v>13</v>
      </c>
      <c r="I1677" s="8" t="s">
        <v>14</v>
      </c>
    </row>
    <row r="1678" customFormat="false" ht="14.25" hidden="false" customHeight="false" outlineLevel="0" collapsed="false">
      <c r="A1678" s="8" t="n">
        <v>1677</v>
      </c>
      <c r="B1678" s="8" t="s">
        <v>20</v>
      </c>
      <c r="C1678" s="8" t="s">
        <v>21</v>
      </c>
      <c r="D1678" s="9" t="n">
        <v>44334</v>
      </c>
      <c r="E1678" s="10" t="n">
        <v>-2074.87</v>
      </c>
      <c r="F1678" s="8" t="s">
        <v>34</v>
      </c>
      <c r="G1678" s="8" t="s">
        <v>17</v>
      </c>
      <c r="H1678" s="11" t="s">
        <v>18</v>
      </c>
      <c r="I1678" s="8" t="s">
        <v>26</v>
      </c>
    </row>
    <row r="1679" customFormat="false" ht="14.25" hidden="false" customHeight="false" outlineLevel="0" collapsed="false">
      <c r="A1679" s="8" t="n">
        <v>1678</v>
      </c>
      <c r="B1679" s="8" t="s">
        <v>20</v>
      </c>
      <c r="C1679" s="8" t="s">
        <v>16</v>
      </c>
      <c r="D1679" s="9" t="n">
        <v>44334</v>
      </c>
      <c r="E1679" s="10" t="n">
        <v>-856.38</v>
      </c>
      <c r="F1679" s="8" t="s">
        <v>34</v>
      </c>
      <c r="G1679" s="8" t="s">
        <v>12</v>
      </c>
      <c r="H1679" s="11" t="s">
        <v>13</v>
      </c>
      <c r="I1679" s="8" t="s">
        <v>19</v>
      </c>
    </row>
    <row r="1680" customFormat="false" ht="14.25" hidden="false" customHeight="false" outlineLevel="0" collapsed="false">
      <c r="A1680" s="8" t="n">
        <v>1679</v>
      </c>
      <c r="B1680" s="8" t="s">
        <v>20</v>
      </c>
      <c r="C1680" s="8" t="s">
        <v>21</v>
      </c>
      <c r="D1680" s="9" t="n">
        <v>44334</v>
      </c>
      <c r="E1680" s="10" t="n">
        <v>-11954.88</v>
      </c>
      <c r="F1680" s="8" t="s">
        <v>34</v>
      </c>
      <c r="G1680" s="8" t="s">
        <v>36</v>
      </c>
      <c r="H1680" s="11" t="s">
        <v>37</v>
      </c>
      <c r="I1680" s="8" t="s">
        <v>14</v>
      </c>
    </row>
    <row r="1681" customFormat="false" ht="14.25" hidden="false" customHeight="false" outlineLevel="0" collapsed="false">
      <c r="A1681" s="8" t="n">
        <v>1680</v>
      </c>
      <c r="B1681" s="8" t="s">
        <v>39</v>
      </c>
      <c r="C1681" s="8" t="s">
        <v>16</v>
      </c>
      <c r="D1681" s="9" t="n">
        <v>44334</v>
      </c>
      <c r="E1681" s="10" t="n">
        <v>-9011.52</v>
      </c>
      <c r="F1681" s="8" t="s">
        <v>34</v>
      </c>
      <c r="G1681" s="8" t="s">
        <v>12</v>
      </c>
      <c r="H1681" s="11" t="s">
        <v>13</v>
      </c>
      <c r="I1681" s="8" t="s">
        <v>26</v>
      </c>
    </row>
    <row r="1682" customFormat="false" ht="14.25" hidden="false" customHeight="false" outlineLevel="0" collapsed="false">
      <c r="A1682" s="8" t="n">
        <v>1681</v>
      </c>
      <c r="B1682" s="8" t="s">
        <v>39</v>
      </c>
      <c r="C1682" s="8" t="s">
        <v>21</v>
      </c>
      <c r="D1682" s="9" t="n">
        <v>44335</v>
      </c>
      <c r="E1682" s="10" t="n">
        <v>58046.97</v>
      </c>
      <c r="F1682" s="8" t="s">
        <v>11</v>
      </c>
      <c r="G1682" s="8" t="s">
        <v>12</v>
      </c>
      <c r="H1682" s="11" t="s">
        <v>13</v>
      </c>
      <c r="I1682" s="8" t="s">
        <v>14</v>
      </c>
    </row>
    <row r="1683" customFormat="false" ht="14.25" hidden="false" customHeight="false" outlineLevel="0" collapsed="false">
      <c r="A1683" s="8" t="n">
        <v>1682</v>
      </c>
      <c r="B1683" s="8" t="s">
        <v>50</v>
      </c>
      <c r="C1683" s="8" t="s">
        <v>21</v>
      </c>
      <c r="D1683" s="9" t="n">
        <v>44337</v>
      </c>
      <c r="E1683" s="10" t="n">
        <v>34782.89</v>
      </c>
      <c r="F1683" s="8" t="s">
        <v>11</v>
      </c>
      <c r="G1683" s="8" t="s">
        <v>17</v>
      </c>
      <c r="H1683" s="11" t="s">
        <v>18</v>
      </c>
      <c r="I1683" s="8" t="s">
        <v>26</v>
      </c>
    </row>
    <row r="1684" customFormat="false" ht="14.25" hidden="false" customHeight="false" outlineLevel="0" collapsed="false">
      <c r="A1684" s="8" t="n">
        <v>1683</v>
      </c>
      <c r="B1684" s="8" t="s">
        <v>134</v>
      </c>
      <c r="C1684" s="8" t="s">
        <v>28</v>
      </c>
      <c r="D1684" s="9" t="n">
        <v>44337</v>
      </c>
      <c r="E1684" s="10" t="n">
        <v>56502.7</v>
      </c>
      <c r="F1684" s="8" t="s">
        <v>11</v>
      </c>
      <c r="G1684" s="8" t="s">
        <v>12</v>
      </c>
      <c r="H1684" s="11" t="s">
        <v>13</v>
      </c>
      <c r="I1684" s="8" t="s">
        <v>26</v>
      </c>
    </row>
    <row r="1685" customFormat="false" ht="14.25" hidden="false" customHeight="false" outlineLevel="0" collapsed="false">
      <c r="A1685" s="8" t="n">
        <v>1684</v>
      </c>
      <c r="B1685" s="8" t="s">
        <v>58</v>
      </c>
      <c r="C1685" s="8" t="s">
        <v>28</v>
      </c>
      <c r="D1685" s="9" t="n">
        <v>44337</v>
      </c>
      <c r="E1685" s="10" t="n">
        <v>-3146.08</v>
      </c>
      <c r="F1685" s="8" t="s">
        <v>34</v>
      </c>
      <c r="G1685" s="8" t="s">
        <v>36</v>
      </c>
      <c r="H1685" s="11" t="s">
        <v>37</v>
      </c>
      <c r="I1685" s="8" t="s">
        <v>14</v>
      </c>
    </row>
    <row r="1686" customFormat="false" ht="14.25" hidden="false" customHeight="false" outlineLevel="0" collapsed="false">
      <c r="A1686" s="8" t="n">
        <v>1685</v>
      </c>
      <c r="B1686" s="8" t="s">
        <v>182</v>
      </c>
      <c r="C1686" s="8" t="s">
        <v>21</v>
      </c>
      <c r="D1686" s="9" t="n">
        <v>44337</v>
      </c>
      <c r="E1686" s="10" t="n">
        <v>-10314.4</v>
      </c>
      <c r="F1686" s="8" t="s">
        <v>34</v>
      </c>
      <c r="G1686" s="8" t="s">
        <v>36</v>
      </c>
      <c r="H1686" s="11" t="s">
        <v>37</v>
      </c>
      <c r="I1686" s="8" t="s">
        <v>14</v>
      </c>
    </row>
    <row r="1687" customFormat="false" ht="14.25" hidden="false" customHeight="false" outlineLevel="0" collapsed="false">
      <c r="A1687" s="8" t="n">
        <v>1686</v>
      </c>
      <c r="B1687" s="8" t="s">
        <v>101</v>
      </c>
      <c r="C1687" s="8" t="s">
        <v>10</v>
      </c>
      <c r="D1687" s="9" t="n">
        <v>44337</v>
      </c>
      <c r="E1687" s="10" t="n">
        <v>-3020.85</v>
      </c>
      <c r="F1687" s="8" t="s">
        <v>34</v>
      </c>
      <c r="G1687" s="8" t="s">
        <v>36</v>
      </c>
      <c r="H1687" s="11" t="s">
        <v>37</v>
      </c>
      <c r="I1687" s="8" t="s">
        <v>26</v>
      </c>
    </row>
    <row r="1688" customFormat="false" ht="14.25" hidden="false" customHeight="false" outlineLevel="0" collapsed="false">
      <c r="A1688" s="8" t="n">
        <v>1687</v>
      </c>
      <c r="B1688" s="8" t="s">
        <v>172</v>
      </c>
      <c r="C1688" s="8" t="s">
        <v>10</v>
      </c>
      <c r="D1688" s="9" t="n">
        <v>44337</v>
      </c>
      <c r="E1688" s="10" t="n">
        <v>-1403.19</v>
      </c>
      <c r="F1688" s="8" t="s">
        <v>34</v>
      </c>
      <c r="G1688" s="8" t="s">
        <v>36</v>
      </c>
      <c r="H1688" s="11" t="s">
        <v>37</v>
      </c>
      <c r="I1688" s="8" t="s">
        <v>14</v>
      </c>
    </row>
    <row r="1689" customFormat="false" ht="14.25" hidden="false" customHeight="false" outlineLevel="0" collapsed="false">
      <c r="A1689" s="8" t="n">
        <v>1688</v>
      </c>
      <c r="B1689" s="8" t="s">
        <v>50</v>
      </c>
      <c r="C1689" s="8" t="s">
        <v>21</v>
      </c>
      <c r="D1689" s="9" t="n">
        <v>44337</v>
      </c>
      <c r="E1689" s="10" t="n">
        <v>-480.59</v>
      </c>
      <c r="F1689" s="8" t="s">
        <v>34</v>
      </c>
      <c r="G1689" s="8" t="s">
        <v>17</v>
      </c>
      <c r="H1689" s="11" t="s">
        <v>18</v>
      </c>
      <c r="I1689" s="8" t="s">
        <v>14</v>
      </c>
    </row>
    <row r="1690" customFormat="false" ht="14.25" hidden="false" customHeight="false" outlineLevel="0" collapsed="false">
      <c r="A1690" s="8" t="n">
        <v>1689</v>
      </c>
      <c r="B1690" s="8" t="s">
        <v>110</v>
      </c>
      <c r="C1690" s="8" t="s">
        <v>21</v>
      </c>
      <c r="D1690" s="9" t="n">
        <v>44338</v>
      </c>
      <c r="E1690" s="10" t="n">
        <v>-3831.52</v>
      </c>
      <c r="F1690" s="8" t="s">
        <v>34</v>
      </c>
      <c r="G1690" s="8" t="s">
        <v>36</v>
      </c>
      <c r="H1690" s="11" t="s">
        <v>37</v>
      </c>
      <c r="I1690" s="8" t="s">
        <v>19</v>
      </c>
    </row>
    <row r="1691" customFormat="false" ht="14.25" hidden="false" customHeight="false" outlineLevel="0" collapsed="false">
      <c r="A1691" s="8" t="n">
        <v>1690</v>
      </c>
      <c r="B1691" s="8" t="s">
        <v>183</v>
      </c>
      <c r="C1691" s="8" t="s">
        <v>16</v>
      </c>
      <c r="D1691" s="9" t="n">
        <v>44338</v>
      </c>
      <c r="E1691" s="10" t="n">
        <v>6434.06</v>
      </c>
      <c r="F1691" s="8" t="s">
        <v>11</v>
      </c>
      <c r="G1691" s="8" t="s">
        <v>12</v>
      </c>
      <c r="H1691" s="11" t="s">
        <v>13</v>
      </c>
      <c r="I1691" s="8" t="s">
        <v>14</v>
      </c>
    </row>
    <row r="1692" customFormat="false" ht="14.25" hidden="false" customHeight="false" outlineLevel="0" collapsed="false">
      <c r="A1692" s="8" t="n">
        <v>1691</v>
      </c>
      <c r="B1692" s="8" t="s">
        <v>184</v>
      </c>
      <c r="C1692" s="8" t="s">
        <v>16</v>
      </c>
      <c r="D1692" s="9" t="n">
        <v>44338</v>
      </c>
      <c r="E1692" s="10" t="n">
        <v>10939.37</v>
      </c>
      <c r="F1692" s="8" t="s">
        <v>11</v>
      </c>
      <c r="G1692" s="8" t="s">
        <v>36</v>
      </c>
      <c r="H1692" s="11" t="s">
        <v>37</v>
      </c>
      <c r="I1692" s="8" t="s">
        <v>19</v>
      </c>
    </row>
    <row r="1693" customFormat="false" ht="14.25" hidden="false" customHeight="false" outlineLevel="0" collapsed="false">
      <c r="A1693" s="8" t="n">
        <v>1692</v>
      </c>
      <c r="B1693" s="8" t="s">
        <v>130</v>
      </c>
      <c r="C1693" s="8" t="s">
        <v>10</v>
      </c>
      <c r="D1693" s="9" t="n">
        <v>44338</v>
      </c>
      <c r="E1693" s="10" t="n">
        <v>3494.45</v>
      </c>
      <c r="F1693" s="8" t="s">
        <v>11</v>
      </c>
      <c r="G1693" s="8" t="s">
        <v>12</v>
      </c>
      <c r="H1693" s="11" t="s">
        <v>13</v>
      </c>
      <c r="I1693" s="8" t="s">
        <v>14</v>
      </c>
    </row>
    <row r="1694" customFormat="false" ht="14.25" hidden="false" customHeight="false" outlineLevel="0" collapsed="false">
      <c r="A1694" s="8" t="n">
        <v>1693</v>
      </c>
      <c r="B1694" s="8" t="s">
        <v>130</v>
      </c>
      <c r="C1694" s="8" t="s">
        <v>28</v>
      </c>
      <c r="D1694" s="9" t="n">
        <v>44338</v>
      </c>
      <c r="E1694" s="10" t="n">
        <v>6833.68</v>
      </c>
      <c r="F1694" s="8" t="s">
        <v>11</v>
      </c>
      <c r="G1694" s="8" t="s">
        <v>17</v>
      </c>
      <c r="H1694" s="11" t="s">
        <v>18</v>
      </c>
      <c r="I1694" s="8" t="s">
        <v>26</v>
      </c>
    </row>
    <row r="1695" customFormat="false" ht="14.25" hidden="false" customHeight="false" outlineLevel="0" collapsed="false">
      <c r="A1695" s="8" t="n">
        <v>1694</v>
      </c>
      <c r="B1695" s="8" t="s">
        <v>58</v>
      </c>
      <c r="C1695" s="8" t="s">
        <v>28</v>
      </c>
      <c r="D1695" s="9" t="n">
        <v>44338</v>
      </c>
      <c r="E1695" s="10" t="n">
        <v>10398.83</v>
      </c>
      <c r="F1695" s="8" t="s">
        <v>11</v>
      </c>
      <c r="G1695" s="8" t="s">
        <v>17</v>
      </c>
      <c r="H1695" s="11" t="s">
        <v>18</v>
      </c>
      <c r="I1695" s="8" t="s">
        <v>14</v>
      </c>
    </row>
    <row r="1696" customFormat="false" ht="14.25" hidden="false" customHeight="false" outlineLevel="0" collapsed="false">
      <c r="A1696" s="8" t="n">
        <v>1695</v>
      </c>
      <c r="B1696" s="8" t="s">
        <v>58</v>
      </c>
      <c r="C1696" s="8" t="s">
        <v>28</v>
      </c>
      <c r="D1696" s="9" t="n">
        <v>44338</v>
      </c>
      <c r="E1696" s="10" t="n">
        <v>3494.45</v>
      </c>
      <c r="F1696" s="8" t="s">
        <v>11</v>
      </c>
      <c r="G1696" s="8" t="s">
        <v>17</v>
      </c>
      <c r="H1696" s="11" t="s">
        <v>18</v>
      </c>
      <c r="I1696" s="8" t="s">
        <v>14</v>
      </c>
    </row>
    <row r="1697" customFormat="false" ht="14.25" hidden="false" customHeight="false" outlineLevel="0" collapsed="false">
      <c r="A1697" s="8" t="n">
        <v>1696</v>
      </c>
      <c r="B1697" s="8" t="s">
        <v>58</v>
      </c>
      <c r="C1697" s="8" t="s">
        <v>28</v>
      </c>
      <c r="D1697" s="9" t="n">
        <v>44338</v>
      </c>
      <c r="E1697" s="10" t="n">
        <v>6836.33</v>
      </c>
      <c r="F1697" s="8" t="s">
        <v>11</v>
      </c>
      <c r="G1697" s="8" t="s">
        <v>12</v>
      </c>
      <c r="H1697" s="11" t="s">
        <v>13</v>
      </c>
      <c r="I1697" s="8" t="s">
        <v>26</v>
      </c>
    </row>
    <row r="1698" customFormat="false" ht="14.25" hidden="false" customHeight="false" outlineLevel="0" collapsed="false">
      <c r="A1698" s="8" t="n">
        <v>1697</v>
      </c>
      <c r="B1698" s="8" t="s">
        <v>58</v>
      </c>
      <c r="C1698" s="8" t="s">
        <v>21</v>
      </c>
      <c r="D1698" s="9" t="n">
        <v>44338</v>
      </c>
      <c r="E1698" s="10" t="n">
        <v>10810.67</v>
      </c>
      <c r="F1698" s="8" t="s">
        <v>11</v>
      </c>
      <c r="G1698" s="8" t="s">
        <v>22</v>
      </c>
      <c r="H1698" s="11" t="s">
        <v>23</v>
      </c>
      <c r="I1698" s="8" t="s">
        <v>14</v>
      </c>
    </row>
    <row r="1699" customFormat="false" ht="14.25" hidden="false" customHeight="false" outlineLevel="0" collapsed="false">
      <c r="A1699" s="8" t="n">
        <v>1698</v>
      </c>
      <c r="B1699" s="8" t="s">
        <v>58</v>
      </c>
      <c r="C1699" s="8" t="s">
        <v>28</v>
      </c>
      <c r="D1699" s="9" t="n">
        <v>44338</v>
      </c>
      <c r="E1699" s="10" t="n">
        <v>3494.45</v>
      </c>
      <c r="F1699" s="8" t="s">
        <v>11</v>
      </c>
      <c r="G1699" s="8" t="s">
        <v>17</v>
      </c>
      <c r="H1699" s="11" t="s">
        <v>18</v>
      </c>
      <c r="I1699" s="8" t="s">
        <v>19</v>
      </c>
    </row>
    <row r="1700" customFormat="false" ht="14.25" hidden="false" customHeight="false" outlineLevel="0" collapsed="false">
      <c r="A1700" s="8" t="n">
        <v>1699</v>
      </c>
      <c r="B1700" s="8" t="s">
        <v>86</v>
      </c>
      <c r="C1700" s="8" t="s">
        <v>16</v>
      </c>
      <c r="D1700" s="9" t="n">
        <v>44339</v>
      </c>
      <c r="E1700" s="10" t="n">
        <v>6175.35</v>
      </c>
      <c r="F1700" s="8" t="s">
        <v>11</v>
      </c>
      <c r="G1700" s="8" t="s">
        <v>12</v>
      </c>
      <c r="H1700" s="11" t="s">
        <v>13</v>
      </c>
      <c r="I1700" s="8" t="s">
        <v>14</v>
      </c>
    </row>
    <row r="1701" customFormat="false" ht="14.25" hidden="false" customHeight="false" outlineLevel="0" collapsed="false">
      <c r="A1701" s="8" t="n">
        <v>1700</v>
      </c>
      <c r="B1701" s="8" t="s">
        <v>145</v>
      </c>
      <c r="C1701" s="8" t="s">
        <v>10</v>
      </c>
      <c r="D1701" s="9" t="n">
        <v>44339</v>
      </c>
      <c r="E1701" s="10" t="n">
        <v>11835.65</v>
      </c>
      <c r="F1701" s="8" t="s">
        <v>11</v>
      </c>
      <c r="G1701" s="8" t="s">
        <v>36</v>
      </c>
      <c r="H1701" s="11" t="s">
        <v>37</v>
      </c>
      <c r="I1701" s="8" t="s">
        <v>26</v>
      </c>
    </row>
    <row r="1702" customFormat="false" ht="14.25" hidden="false" customHeight="false" outlineLevel="0" collapsed="false">
      <c r="A1702" s="8" t="n">
        <v>1701</v>
      </c>
      <c r="B1702" s="8" t="s">
        <v>185</v>
      </c>
      <c r="C1702" s="8" t="s">
        <v>10</v>
      </c>
      <c r="D1702" s="9" t="n">
        <v>44340</v>
      </c>
      <c r="E1702" s="10" t="n">
        <v>3494.45</v>
      </c>
      <c r="F1702" s="8" t="s">
        <v>11</v>
      </c>
      <c r="G1702" s="8" t="s">
        <v>22</v>
      </c>
      <c r="H1702" s="11" t="s">
        <v>23</v>
      </c>
      <c r="I1702" s="8" t="s">
        <v>26</v>
      </c>
    </row>
    <row r="1703" customFormat="false" ht="14.25" hidden="false" customHeight="false" outlineLevel="0" collapsed="false">
      <c r="A1703" s="8" t="n">
        <v>1702</v>
      </c>
      <c r="B1703" s="8" t="s">
        <v>150</v>
      </c>
      <c r="C1703" s="8" t="s">
        <v>28</v>
      </c>
      <c r="D1703" s="9" t="n">
        <v>44341</v>
      </c>
      <c r="E1703" s="10" t="n">
        <v>3494.45</v>
      </c>
      <c r="F1703" s="8" t="s">
        <v>11</v>
      </c>
      <c r="G1703" s="8" t="s">
        <v>12</v>
      </c>
      <c r="H1703" s="11" t="s">
        <v>13</v>
      </c>
      <c r="I1703" s="8" t="s">
        <v>14</v>
      </c>
    </row>
    <row r="1704" customFormat="false" ht="14.25" hidden="false" customHeight="false" outlineLevel="0" collapsed="false">
      <c r="A1704" s="8" t="n">
        <v>1703</v>
      </c>
      <c r="B1704" s="8" t="s">
        <v>186</v>
      </c>
      <c r="C1704" s="8" t="s">
        <v>10</v>
      </c>
      <c r="D1704" s="9" t="n">
        <v>44341</v>
      </c>
      <c r="E1704" s="10" t="n">
        <v>3494.45</v>
      </c>
      <c r="F1704" s="8" t="s">
        <v>11</v>
      </c>
      <c r="G1704" s="8" t="s">
        <v>17</v>
      </c>
      <c r="H1704" s="11" t="s">
        <v>18</v>
      </c>
      <c r="I1704" s="8" t="s">
        <v>19</v>
      </c>
    </row>
    <row r="1705" customFormat="false" ht="14.25" hidden="false" customHeight="false" outlineLevel="0" collapsed="false">
      <c r="A1705" s="8" t="n">
        <v>1704</v>
      </c>
      <c r="B1705" s="8" t="s">
        <v>187</v>
      </c>
      <c r="C1705" s="8" t="s">
        <v>16</v>
      </c>
      <c r="D1705" s="9" t="n">
        <v>44341</v>
      </c>
      <c r="E1705" s="10" t="n">
        <v>3494.45</v>
      </c>
      <c r="F1705" s="8" t="s">
        <v>11</v>
      </c>
      <c r="G1705" s="8" t="s">
        <v>17</v>
      </c>
      <c r="H1705" s="11" t="s">
        <v>18</v>
      </c>
      <c r="I1705" s="8" t="s">
        <v>14</v>
      </c>
    </row>
    <row r="1706" customFormat="false" ht="14.25" hidden="false" customHeight="false" outlineLevel="0" collapsed="false">
      <c r="A1706" s="8" t="n">
        <v>1705</v>
      </c>
      <c r="B1706" s="8" t="s">
        <v>39</v>
      </c>
      <c r="C1706" s="8" t="s">
        <v>16</v>
      </c>
      <c r="D1706" s="9" t="n">
        <v>44341</v>
      </c>
      <c r="E1706" s="10" t="n">
        <v>3494.45</v>
      </c>
      <c r="F1706" s="8" t="s">
        <v>11</v>
      </c>
      <c r="G1706" s="8" t="s">
        <v>12</v>
      </c>
      <c r="H1706" s="11" t="s">
        <v>13</v>
      </c>
      <c r="I1706" s="8" t="s">
        <v>14</v>
      </c>
    </row>
    <row r="1707" customFormat="false" ht="14.25" hidden="false" customHeight="false" outlineLevel="0" collapsed="false">
      <c r="A1707" s="8" t="n">
        <v>1706</v>
      </c>
      <c r="B1707" s="8" t="s">
        <v>57</v>
      </c>
      <c r="C1707" s="8" t="s">
        <v>16</v>
      </c>
      <c r="D1707" s="9" t="n">
        <v>44341</v>
      </c>
      <c r="E1707" s="10" t="n">
        <v>3494.38</v>
      </c>
      <c r="F1707" s="8" t="s">
        <v>11</v>
      </c>
      <c r="G1707" s="8" t="s">
        <v>17</v>
      </c>
      <c r="H1707" s="11" t="s">
        <v>18</v>
      </c>
      <c r="I1707" s="8" t="s">
        <v>14</v>
      </c>
    </row>
    <row r="1708" customFormat="false" ht="14.25" hidden="false" customHeight="false" outlineLevel="0" collapsed="false">
      <c r="A1708" s="8" t="n">
        <v>1707</v>
      </c>
      <c r="B1708" s="8" t="s">
        <v>44</v>
      </c>
      <c r="C1708" s="8" t="s">
        <v>16</v>
      </c>
      <c r="D1708" s="9" t="n">
        <v>44341</v>
      </c>
      <c r="E1708" s="10" t="n">
        <v>-26040.46</v>
      </c>
      <c r="F1708" s="8" t="s">
        <v>34</v>
      </c>
      <c r="G1708" s="8" t="s">
        <v>36</v>
      </c>
      <c r="H1708" s="11" t="s">
        <v>37</v>
      </c>
      <c r="I1708" s="8" t="s">
        <v>24</v>
      </c>
    </row>
    <row r="1709" customFormat="false" ht="14.25" hidden="false" customHeight="false" outlineLevel="0" collapsed="false">
      <c r="A1709" s="8" t="n">
        <v>1708</v>
      </c>
      <c r="B1709" s="8" t="s">
        <v>45</v>
      </c>
      <c r="C1709" s="8" t="s">
        <v>21</v>
      </c>
      <c r="D1709" s="9" t="n">
        <v>44341</v>
      </c>
      <c r="E1709" s="10" t="n">
        <v>-2222.19</v>
      </c>
      <c r="F1709" s="8" t="s">
        <v>34</v>
      </c>
      <c r="G1709" s="8" t="s">
        <v>12</v>
      </c>
      <c r="H1709" s="11" t="s">
        <v>13</v>
      </c>
      <c r="I1709" s="8" t="s">
        <v>26</v>
      </c>
    </row>
    <row r="1710" customFormat="false" ht="14.25" hidden="false" customHeight="false" outlineLevel="0" collapsed="false">
      <c r="A1710" s="8" t="n">
        <v>1709</v>
      </c>
      <c r="B1710" s="8" t="s">
        <v>57</v>
      </c>
      <c r="C1710" s="8" t="s">
        <v>28</v>
      </c>
      <c r="D1710" s="9" t="n">
        <v>44341</v>
      </c>
      <c r="E1710" s="10" t="n">
        <v>-1679.3</v>
      </c>
      <c r="F1710" s="8" t="s">
        <v>34</v>
      </c>
      <c r="G1710" s="8" t="s">
        <v>22</v>
      </c>
      <c r="H1710" s="11" t="s">
        <v>23</v>
      </c>
      <c r="I1710" s="8" t="s">
        <v>26</v>
      </c>
    </row>
    <row r="1711" customFormat="false" ht="14.25" hidden="false" customHeight="false" outlineLevel="0" collapsed="false">
      <c r="A1711" s="8" t="n">
        <v>1710</v>
      </c>
      <c r="B1711" s="8" t="s">
        <v>44</v>
      </c>
      <c r="C1711" s="8" t="s">
        <v>21</v>
      </c>
      <c r="D1711" s="9" t="n">
        <v>44341</v>
      </c>
      <c r="E1711" s="10" t="n">
        <v>-21119.11</v>
      </c>
      <c r="F1711" s="8" t="s">
        <v>34</v>
      </c>
      <c r="G1711" s="8" t="s">
        <v>12</v>
      </c>
      <c r="H1711" s="11" t="s">
        <v>13</v>
      </c>
      <c r="I1711" s="8" t="s">
        <v>14</v>
      </c>
    </row>
    <row r="1712" customFormat="false" ht="14.25" hidden="false" customHeight="false" outlineLevel="0" collapsed="false">
      <c r="A1712" s="8" t="n">
        <v>1711</v>
      </c>
      <c r="B1712" s="8" t="s">
        <v>45</v>
      </c>
      <c r="C1712" s="8" t="s">
        <v>10</v>
      </c>
      <c r="D1712" s="9" t="n">
        <v>44341</v>
      </c>
      <c r="E1712" s="10" t="n">
        <v>142784.7</v>
      </c>
      <c r="F1712" s="8" t="s">
        <v>11</v>
      </c>
      <c r="G1712" s="8" t="s">
        <v>17</v>
      </c>
      <c r="H1712" s="11" t="s">
        <v>18</v>
      </c>
      <c r="I1712" s="8" t="s">
        <v>14</v>
      </c>
    </row>
    <row r="1713" customFormat="false" ht="14.25" hidden="false" customHeight="false" outlineLevel="0" collapsed="false">
      <c r="A1713" s="8" t="n">
        <v>1712</v>
      </c>
      <c r="B1713" s="8" t="s">
        <v>185</v>
      </c>
      <c r="C1713" s="8" t="s">
        <v>10</v>
      </c>
      <c r="D1713" s="9" t="n">
        <v>44344</v>
      </c>
      <c r="E1713" s="10" t="n">
        <v>163268.75</v>
      </c>
      <c r="F1713" s="8" t="s">
        <v>11</v>
      </c>
      <c r="G1713" s="8" t="s">
        <v>22</v>
      </c>
      <c r="H1713" s="11" t="s">
        <v>23</v>
      </c>
      <c r="I1713" s="8" t="s">
        <v>26</v>
      </c>
    </row>
    <row r="1714" customFormat="false" ht="14.25" hidden="false" customHeight="false" outlineLevel="0" collapsed="false">
      <c r="A1714" s="8" t="n">
        <v>1713</v>
      </c>
      <c r="B1714" s="8" t="s">
        <v>164</v>
      </c>
      <c r="C1714" s="8" t="s">
        <v>16</v>
      </c>
      <c r="D1714" s="9" t="n">
        <v>44344</v>
      </c>
      <c r="E1714" s="10" t="n">
        <v>-18167.21</v>
      </c>
      <c r="F1714" s="8" t="s">
        <v>34</v>
      </c>
      <c r="G1714" s="8" t="s">
        <v>12</v>
      </c>
      <c r="H1714" s="11" t="s">
        <v>13</v>
      </c>
      <c r="I1714" s="8" t="s">
        <v>14</v>
      </c>
    </row>
    <row r="1715" customFormat="false" ht="14.25" hidden="false" customHeight="false" outlineLevel="0" collapsed="false">
      <c r="A1715" s="8" t="n">
        <v>1714</v>
      </c>
      <c r="B1715" s="8" t="s">
        <v>188</v>
      </c>
      <c r="C1715" s="8" t="s">
        <v>28</v>
      </c>
      <c r="D1715" s="9" t="n">
        <v>44344</v>
      </c>
      <c r="E1715" s="10" t="n">
        <v>69191.51</v>
      </c>
      <c r="F1715" s="8" t="s">
        <v>11</v>
      </c>
      <c r="G1715" s="8" t="s">
        <v>36</v>
      </c>
      <c r="H1715" s="11" t="s">
        <v>37</v>
      </c>
      <c r="I1715" s="8" t="s">
        <v>26</v>
      </c>
    </row>
    <row r="1716" customFormat="false" ht="14.25" hidden="false" customHeight="false" outlineLevel="0" collapsed="false">
      <c r="A1716" s="8" t="n">
        <v>1715</v>
      </c>
      <c r="B1716" s="8" t="s">
        <v>160</v>
      </c>
      <c r="C1716" s="8" t="s">
        <v>21</v>
      </c>
      <c r="D1716" s="9" t="n">
        <v>44344</v>
      </c>
      <c r="E1716" s="10" t="n">
        <v>1212.47</v>
      </c>
      <c r="F1716" s="8" t="s">
        <v>11</v>
      </c>
      <c r="G1716" s="8" t="s">
        <v>22</v>
      </c>
      <c r="H1716" s="11" t="s">
        <v>23</v>
      </c>
      <c r="I1716" s="8" t="s">
        <v>26</v>
      </c>
    </row>
    <row r="1717" customFormat="false" ht="14.25" hidden="false" customHeight="false" outlineLevel="0" collapsed="false">
      <c r="A1717" s="8" t="n">
        <v>1716</v>
      </c>
      <c r="B1717" s="8" t="s">
        <v>40</v>
      </c>
      <c r="C1717" s="8" t="s">
        <v>28</v>
      </c>
      <c r="D1717" s="9" t="n">
        <v>44344</v>
      </c>
      <c r="E1717" s="10" t="n">
        <v>-416.12</v>
      </c>
      <c r="F1717" s="8" t="s">
        <v>34</v>
      </c>
      <c r="G1717" s="8" t="s">
        <v>12</v>
      </c>
      <c r="H1717" s="11" t="s">
        <v>13</v>
      </c>
      <c r="I1717" s="8" t="s">
        <v>14</v>
      </c>
    </row>
    <row r="1718" customFormat="false" ht="14.25" hidden="false" customHeight="false" outlineLevel="0" collapsed="false">
      <c r="A1718" s="8" t="n">
        <v>1717</v>
      </c>
      <c r="B1718" s="8" t="s">
        <v>15</v>
      </c>
      <c r="C1718" s="8" t="s">
        <v>16</v>
      </c>
      <c r="D1718" s="9" t="n">
        <v>44344</v>
      </c>
      <c r="E1718" s="10" t="n">
        <v>-2907.31</v>
      </c>
      <c r="F1718" s="8" t="s">
        <v>34</v>
      </c>
      <c r="G1718" s="8" t="s">
        <v>17</v>
      </c>
      <c r="H1718" s="11" t="s">
        <v>18</v>
      </c>
      <c r="I1718" s="8" t="s">
        <v>14</v>
      </c>
    </row>
    <row r="1719" customFormat="false" ht="14.25" hidden="false" customHeight="false" outlineLevel="0" collapsed="false">
      <c r="A1719" s="8" t="n">
        <v>1718</v>
      </c>
      <c r="B1719" s="8" t="s">
        <v>15</v>
      </c>
      <c r="C1719" s="8" t="s">
        <v>28</v>
      </c>
      <c r="D1719" s="9" t="n">
        <v>44344</v>
      </c>
      <c r="E1719" s="10" t="n">
        <v>3833.5</v>
      </c>
      <c r="F1719" s="8" t="s">
        <v>11</v>
      </c>
      <c r="G1719" s="8" t="s">
        <v>12</v>
      </c>
      <c r="H1719" s="11" t="s">
        <v>13</v>
      </c>
      <c r="I1719" s="8" t="s">
        <v>19</v>
      </c>
    </row>
    <row r="1720" customFormat="false" ht="14.25" hidden="false" customHeight="false" outlineLevel="0" collapsed="false">
      <c r="A1720" s="8" t="n">
        <v>1719</v>
      </c>
      <c r="B1720" s="8" t="s">
        <v>15</v>
      </c>
      <c r="C1720" s="8" t="s">
        <v>21</v>
      </c>
      <c r="D1720" s="9" t="n">
        <v>44344</v>
      </c>
      <c r="E1720" s="10" t="n">
        <v>3833.5</v>
      </c>
      <c r="F1720" s="8" t="s">
        <v>11</v>
      </c>
      <c r="G1720" s="8" t="s">
        <v>12</v>
      </c>
      <c r="H1720" s="11" t="s">
        <v>13</v>
      </c>
      <c r="I1720" s="8" t="s">
        <v>14</v>
      </c>
    </row>
    <row r="1721" customFormat="false" ht="14.25" hidden="false" customHeight="false" outlineLevel="0" collapsed="false">
      <c r="A1721" s="8" t="n">
        <v>1720</v>
      </c>
      <c r="B1721" s="8" t="s">
        <v>189</v>
      </c>
      <c r="C1721" s="8" t="s">
        <v>21</v>
      </c>
      <c r="D1721" s="9" t="n">
        <v>44345</v>
      </c>
      <c r="E1721" s="10" t="n">
        <v>4182</v>
      </c>
      <c r="F1721" s="8" t="s">
        <v>11</v>
      </c>
      <c r="G1721" s="8" t="s">
        <v>36</v>
      </c>
      <c r="H1721" s="11" t="s">
        <v>37</v>
      </c>
      <c r="I1721" s="8" t="s">
        <v>14</v>
      </c>
    </row>
    <row r="1722" customFormat="false" ht="14.25" hidden="false" customHeight="false" outlineLevel="0" collapsed="false">
      <c r="A1722" s="8" t="n">
        <v>1721</v>
      </c>
      <c r="B1722" s="8" t="s">
        <v>181</v>
      </c>
      <c r="C1722" s="8" t="s">
        <v>10</v>
      </c>
      <c r="D1722" s="9" t="n">
        <v>44345</v>
      </c>
      <c r="E1722" s="10" t="n">
        <v>2648.6</v>
      </c>
      <c r="F1722" s="8" t="s">
        <v>11</v>
      </c>
      <c r="G1722" s="8" t="s">
        <v>17</v>
      </c>
      <c r="H1722" s="11" t="s">
        <v>18</v>
      </c>
      <c r="I1722" s="8" t="s">
        <v>26</v>
      </c>
    </row>
    <row r="1723" customFormat="false" ht="14.25" hidden="false" customHeight="false" outlineLevel="0" collapsed="false">
      <c r="A1723" s="8" t="n">
        <v>1722</v>
      </c>
      <c r="B1723" s="8" t="s">
        <v>159</v>
      </c>
      <c r="C1723" s="8" t="s">
        <v>16</v>
      </c>
      <c r="D1723" s="9" t="n">
        <v>44345</v>
      </c>
      <c r="E1723" s="10" t="n">
        <v>2648.6</v>
      </c>
      <c r="F1723" s="8" t="s">
        <v>11</v>
      </c>
      <c r="G1723" s="8" t="s">
        <v>36</v>
      </c>
      <c r="H1723" s="11" t="s">
        <v>37</v>
      </c>
      <c r="I1723" s="8" t="s">
        <v>26</v>
      </c>
    </row>
    <row r="1724" customFormat="false" ht="14.25" hidden="false" customHeight="false" outlineLevel="0" collapsed="false">
      <c r="A1724" s="8" t="n">
        <v>1723</v>
      </c>
      <c r="B1724" s="8" t="s">
        <v>9</v>
      </c>
      <c r="C1724" s="8" t="s">
        <v>16</v>
      </c>
      <c r="D1724" s="9" t="n">
        <v>44345</v>
      </c>
      <c r="E1724" s="10" t="n">
        <v>3568.64</v>
      </c>
      <c r="F1724" s="8" t="s">
        <v>11</v>
      </c>
      <c r="G1724" s="8" t="s">
        <v>12</v>
      </c>
      <c r="H1724" s="11" t="s">
        <v>13</v>
      </c>
      <c r="I1724" s="8" t="s">
        <v>14</v>
      </c>
    </row>
    <row r="1725" customFormat="false" ht="14.25" hidden="false" customHeight="false" outlineLevel="0" collapsed="false">
      <c r="A1725" s="8" t="n">
        <v>1724</v>
      </c>
      <c r="B1725" s="8" t="s">
        <v>15</v>
      </c>
      <c r="C1725" s="8" t="s">
        <v>21</v>
      </c>
      <c r="D1725" s="9" t="n">
        <v>44345</v>
      </c>
      <c r="E1725" s="10" t="n">
        <v>4182</v>
      </c>
      <c r="F1725" s="8" t="s">
        <v>11</v>
      </c>
      <c r="G1725" s="8" t="s">
        <v>12</v>
      </c>
      <c r="H1725" s="11" t="s">
        <v>13</v>
      </c>
      <c r="I1725" s="8" t="s">
        <v>19</v>
      </c>
    </row>
    <row r="1726" customFormat="false" ht="14.25" hidden="false" customHeight="false" outlineLevel="0" collapsed="false">
      <c r="A1726" s="8" t="n">
        <v>1725</v>
      </c>
      <c r="B1726" s="8" t="s">
        <v>15</v>
      </c>
      <c r="C1726" s="8" t="s">
        <v>28</v>
      </c>
      <c r="D1726" s="9" t="n">
        <v>44347</v>
      </c>
      <c r="E1726" s="10" t="n">
        <v>3568.64</v>
      </c>
      <c r="F1726" s="8" t="s">
        <v>11</v>
      </c>
      <c r="G1726" s="8" t="s">
        <v>36</v>
      </c>
      <c r="H1726" s="11" t="s">
        <v>37</v>
      </c>
      <c r="I1726" s="8" t="s">
        <v>26</v>
      </c>
    </row>
    <row r="1727" customFormat="false" ht="14.25" hidden="false" customHeight="false" outlineLevel="0" collapsed="false">
      <c r="A1727" s="8" t="n">
        <v>1726</v>
      </c>
      <c r="B1727" s="8" t="s">
        <v>15</v>
      </c>
      <c r="C1727" s="8" t="s">
        <v>21</v>
      </c>
      <c r="D1727" s="9" t="n">
        <v>44347</v>
      </c>
      <c r="E1727" s="10" t="n">
        <v>9513.83</v>
      </c>
      <c r="F1727" s="8" t="s">
        <v>11</v>
      </c>
      <c r="G1727" s="8" t="s">
        <v>12</v>
      </c>
      <c r="H1727" s="11" t="s">
        <v>13</v>
      </c>
      <c r="I1727" s="8" t="s">
        <v>14</v>
      </c>
    </row>
    <row r="1728" customFormat="false" ht="14.25" hidden="false" customHeight="false" outlineLevel="0" collapsed="false">
      <c r="A1728" s="8" t="n">
        <v>1727</v>
      </c>
      <c r="B1728" s="8" t="s">
        <v>15</v>
      </c>
      <c r="C1728" s="8" t="s">
        <v>21</v>
      </c>
      <c r="D1728" s="9" t="n">
        <v>44347</v>
      </c>
      <c r="E1728" s="10" t="n">
        <v>8776.27</v>
      </c>
      <c r="F1728" s="8" t="s">
        <v>11</v>
      </c>
      <c r="G1728" s="8" t="s">
        <v>30</v>
      </c>
      <c r="H1728" s="11" t="s">
        <v>31</v>
      </c>
      <c r="I1728" s="8" t="s">
        <v>14</v>
      </c>
    </row>
    <row r="1729" customFormat="false" ht="14.25" hidden="false" customHeight="false" outlineLevel="0" collapsed="false">
      <c r="A1729" s="8" t="n">
        <v>1728</v>
      </c>
      <c r="B1729" s="8" t="s">
        <v>51</v>
      </c>
      <c r="C1729" s="8" t="s">
        <v>21</v>
      </c>
      <c r="D1729" s="9" t="n">
        <v>44347</v>
      </c>
      <c r="E1729" s="10" t="n">
        <v>8676.23</v>
      </c>
      <c r="F1729" s="8" t="s">
        <v>11</v>
      </c>
      <c r="G1729" s="8" t="s">
        <v>12</v>
      </c>
      <c r="H1729" s="11" t="s">
        <v>13</v>
      </c>
      <c r="I1729" s="8" t="s">
        <v>14</v>
      </c>
    </row>
    <row r="1730" customFormat="false" ht="14.25" hidden="false" customHeight="false" outlineLevel="0" collapsed="false">
      <c r="A1730" s="8" t="n">
        <v>1729</v>
      </c>
      <c r="B1730" s="8" t="s">
        <v>15</v>
      </c>
      <c r="C1730" s="8" t="s">
        <v>16</v>
      </c>
      <c r="D1730" s="9" t="n">
        <v>44347</v>
      </c>
      <c r="E1730" s="10" t="n">
        <v>9395.65</v>
      </c>
      <c r="F1730" s="8" t="s">
        <v>11</v>
      </c>
      <c r="G1730" s="8" t="s">
        <v>17</v>
      </c>
      <c r="H1730" s="11" t="s">
        <v>18</v>
      </c>
      <c r="I1730" s="8" t="s">
        <v>26</v>
      </c>
    </row>
    <row r="1731" customFormat="false" ht="14.25" hidden="false" customHeight="false" outlineLevel="0" collapsed="false">
      <c r="A1731" s="8" t="n">
        <v>1730</v>
      </c>
      <c r="B1731" s="8" t="s">
        <v>15</v>
      </c>
      <c r="C1731" s="8" t="s">
        <v>28</v>
      </c>
      <c r="D1731" s="9" t="n">
        <v>44347</v>
      </c>
      <c r="E1731" s="10" t="n">
        <v>8949.97</v>
      </c>
      <c r="F1731" s="8" t="s">
        <v>11</v>
      </c>
      <c r="G1731" s="8" t="s">
        <v>12</v>
      </c>
      <c r="H1731" s="11" t="s">
        <v>13</v>
      </c>
      <c r="I1731" s="8" t="s">
        <v>26</v>
      </c>
    </row>
    <row r="1732" customFormat="false" ht="14.25" hidden="false" customHeight="false" outlineLevel="0" collapsed="false">
      <c r="A1732" s="8" t="n">
        <v>1731</v>
      </c>
      <c r="B1732" s="8" t="s">
        <v>15</v>
      </c>
      <c r="C1732" s="8" t="s">
        <v>16</v>
      </c>
      <c r="D1732" s="9" t="n">
        <v>44347</v>
      </c>
      <c r="E1732" s="10" t="n">
        <v>9050.02</v>
      </c>
      <c r="F1732" s="8" t="s">
        <v>11</v>
      </c>
      <c r="G1732" s="8" t="s">
        <v>12</v>
      </c>
      <c r="H1732" s="11" t="s">
        <v>13</v>
      </c>
      <c r="I1732" s="8" t="s">
        <v>19</v>
      </c>
    </row>
    <row r="1733" customFormat="false" ht="14.25" hidden="false" customHeight="false" outlineLevel="0" collapsed="false">
      <c r="A1733" s="8" t="n">
        <v>1732</v>
      </c>
      <c r="B1733" s="8" t="s">
        <v>32</v>
      </c>
      <c r="C1733" s="8" t="s">
        <v>21</v>
      </c>
      <c r="D1733" s="9" t="n">
        <v>44347</v>
      </c>
      <c r="E1733" s="10" t="n">
        <v>8850.73</v>
      </c>
      <c r="F1733" s="8" t="s">
        <v>11</v>
      </c>
      <c r="G1733" s="8" t="s">
        <v>12</v>
      </c>
      <c r="H1733" s="11" t="s">
        <v>13</v>
      </c>
      <c r="I1733" s="8" t="s">
        <v>14</v>
      </c>
    </row>
    <row r="1734" customFormat="false" ht="14.25" hidden="false" customHeight="false" outlineLevel="0" collapsed="false">
      <c r="A1734" s="8" t="n">
        <v>1733</v>
      </c>
      <c r="B1734" s="8" t="s">
        <v>32</v>
      </c>
      <c r="C1734" s="8" t="s">
        <v>16</v>
      </c>
      <c r="D1734" s="9" t="n">
        <v>44347</v>
      </c>
      <c r="E1734" s="10" t="n">
        <v>9166.39</v>
      </c>
      <c r="F1734" s="8" t="s">
        <v>11</v>
      </c>
      <c r="G1734" s="8" t="s">
        <v>22</v>
      </c>
      <c r="H1734" s="11" t="s">
        <v>23</v>
      </c>
      <c r="I1734" s="8" t="s">
        <v>14</v>
      </c>
    </row>
    <row r="1735" customFormat="false" ht="14.25" hidden="false" customHeight="false" outlineLevel="0" collapsed="false">
      <c r="A1735" s="8" t="n">
        <v>1734</v>
      </c>
      <c r="B1735" s="8" t="s">
        <v>20</v>
      </c>
      <c r="C1735" s="8" t="s">
        <v>21</v>
      </c>
      <c r="D1735" s="9" t="n">
        <v>44347</v>
      </c>
      <c r="E1735" s="10" t="n">
        <v>8557.74</v>
      </c>
      <c r="F1735" s="8" t="s">
        <v>11</v>
      </c>
      <c r="G1735" s="8" t="s">
        <v>17</v>
      </c>
      <c r="H1735" s="11" t="s">
        <v>18</v>
      </c>
      <c r="I1735" s="8" t="s">
        <v>14</v>
      </c>
    </row>
    <row r="1736" customFormat="false" ht="14.25" hidden="false" customHeight="false" outlineLevel="0" collapsed="false">
      <c r="A1736" s="8" t="n">
        <v>1735</v>
      </c>
      <c r="B1736" s="8" t="s">
        <v>20</v>
      </c>
      <c r="C1736" s="8" t="s">
        <v>28</v>
      </c>
      <c r="D1736" s="9" t="n">
        <v>44347</v>
      </c>
      <c r="E1736" s="10" t="n">
        <v>8986.59</v>
      </c>
      <c r="F1736" s="8" t="s">
        <v>11</v>
      </c>
      <c r="G1736" s="8" t="s">
        <v>12</v>
      </c>
      <c r="H1736" s="11" t="s">
        <v>13</v>
      </c>
      <c r="I1736" s="8" t="s">
        <v>19</v>
      </c>
    </row>
    <row r="1737" customFormat="false" ht="14.25" hidden="false" customHeight="false" outlineLevel="0" collapsed="false">
      <c r="A1737" s="8" t="n">
        <v>1736</v>
      </c>
      <c r="B1737" s="8" t="s">
        <v>73</v>
      </c>
      <c r="C1737" s="8" t="s">
        <v>28</v>
      </c>
      <c r="D1737" s="9" t="n">
        <v>44347</v>
      </c>
      <c r="E1737" s="10" t="n">
        <v>-768.43</v>
      </c>
      <c r="F1737" s="8" t="s">
        <v>34</v>
      </c>
      <c r="G1737" s="8" t="s">
        <v>12</v>
      </c>
      <c r="H1737" s="11" t="s">
        <v>13</v>
      </c>
      <c r="I1737" s="8" t="s">
        <v>26</v>
      </c>
    </row>
    <row r="1738" customFormat="false" ht="14.25" hidden="false" customHeight="false" outlineLevel="0" collapsed="false">
      <c r="A1738" s="8" t="n">
        <v>1737</v>
      </c>
      <c r="B1738" s="8" t="s">
        <v>73</v>
      </c>
      <c r="C1738" s="8" t="s">
        <v>10</v>
      </c>
      <c r="D1738" s="9" t="n">
        <v>44347</v>
      </c>
      <c r="E1738" s="10" t="n">
        <v>-8254.19</v>
      </c>
      <c r="F1738" s="8" t="s">
        <v>34</v>
      </c>
      <c r="G1738" s="8" t="s">
        <v>12</v>
      </c>
      <c r="H1738" s="11" t="s">
        <v>13</v>
      </c>
      <c r="I1738" s="8" t="s">
        <v>26</v>
      </c>
    </row>
    <row r="1739" customFormat="false" ht="14.25" hidden="false" customHeight="false" outlineLevel="0" collapsed="false">
      <c r="A1739" s="8" t="n">
        <v>1738</v>
      </c>
      <c r="B1739" s="8" t="s">
        <v>20</v>
      </c>
      <c r="C1739" s="8" t="s">
        <v>21</v>
      </c>
      <c r="D1739" s="9" t="n">
        <v>44347</v>
      </c>
      <c r="E1739" s="10" t="n">
        <v>-3691.31</v>
      </c>
      <c r="F1739" s="8" t="s">
        <v>34</v>
      </c>
      <c r="G1739" s="8" t="s">
        <v>17</v>
      </c>
      <c r="H1739" s="11" t="s">
        <v>18</v>
      </c>
      <c r="I1739" s="8" t="s">
        <v>14</v>
      </c>
    </row>
    <row r="1740" customFormat="false" ht="14.25" hidden="false" customHeight="false" outlineLevel="0" collapsed="false">
      <c r="A1740" s="8" t="n">
        <v>1739</v>
      </c>
      <c r="B1740" s="8" t="s">
        <v>73</v>
      </c>
      <c r="C1740" s="8" t="s">
        <v>21</v>
      </c>
      <c r="D1740" s="9" t="n">
        <v>44347</v>
      </c>
      <c r="E1740" s="10" t="n">
        <v>-3279.92</v>
      </c>
      <c r="F1740" s="8" t="s">
        <v>34</v>
      </c>
      <c r="G1740" s="8" t="s">
        <v>12</v>
      </c>
      <c r="H1740" s="11" t="s">
        <v>13</v>
      </c>
      <c r="I1740" s="8" t="s">
        <v>14</v>
      </c>
    </row>
    <row r="1741" customFormat="false" ht="14.25" hidden="false" customHeight="false" outlineLevel="0" collapsed="false">
      <c r="A1741" s="8" t="n">
        <v>1740</v>
      </c>
      <c r="B1741" s="8" t="s">
        <v>73</v>
      </c>
      <c r="C1741" s="8" t="s">
        <v>16</v>
      </c>
      <c r="D1741" s="9" t="n">
        <v>44347</v>
      </c>
      <c r="E1741" s="10" t="n">
        <v>8299.09</v>
      </c>
      <c r="F1741" s="8" t="s">
        <v>11</v>
      </c>
      <c r="G1741" s="8" t="s">
        <v>36</v>
      </c>
      <c r="H1741" s="11" t="s">
        <v>37</v>
      </c>
      <c r="I1741" s="8" t="s">
        <v>26</v>
      </c>
    </row>
    <row r="1742" customFormat="false" ht="14.25" hidden="false" customHeight="false" outlineLevel="0" collapsed="false">
      <c r="A1742" s="8" t="n">
        <v>1741</v>
      </c>
      <c r="B1742" s="8" t="s">
        <v>20</v>
      </c>
      <c r="C1742" s="8" t="s">
        <v>21</v>
      </c>
      <c r="D1742" s="9" t="n">
        <v>44347</v>
      </c>
      <c r="E1742" s="10" t="n">
        <v>138144.45</v>
      </c>
      <c r="F1742" s="8" t="s">
        <v>11</v>
      </c>
      <c r="G1742" s="8" t="s">
        <v>12</v>
      </c>
      <c r="H1742" s="11" t="s">
        <v>13</v>
      </c>
      <c r="I1742" s="8" t="s">
        <v>14</v>
      </c>
    </row>
    <row r="1743" customFormat="false" ht="14.25" hidden="false" customHeight="false" outlineLevel="0" collapsed="false">
      <c r="A1743" s="8" t="n">
        <v>1742</v>
      </c>
      <c r="B1743" s="8" t="s">
        <v>73</v>
      </c>
      <c r="C1743" s="8" t="s">
        <v>21</v>
      </c>
      <c r="D1743" s="9" t="n">
        <v>44347</v>
      </c>
      <c r="E1743" s="10" t="n">
        <v>-15228.12</v>
      </c>
      <c r="F1743" s="8" t="s">
        <v>34</v>
      </c>
      <c r="G1743" s="8" t="s">
        <v>12</v>
      </c>
      <c r="H1743" s="11" t="s">
        <v>13</v>
      </c>
      <c r="I1743" s="8" t="s">
        <v>24</v>
      </c>
    </row>
    <row r="1744" customFormat="false" ht="14.25" hidden="false" customHeight="false" outlineLevel="0" collapsed="false">
      <c r="A1744" s="8" t="n">
        <v>1743</v>
      </c>
      <c r="B1744" s="8" t="s">
        <v>73</v>
      </c>
      <c r="C1744" s="8" t="s">
        <v>10</v>
      </c>
      <c r="D1744" s="9" t="n">
        <v>44347</v>
      </c>
      <c r="E1744" s="10" t="n">
        <v>-6662.71</v>
      </c>
      <c r="F1744" s="8" t="s">
        <v>34</v>
      </c>
      <c r="G1744" s="8" t="s">
        <v>36</v>
      </c>
      <c r="H1744" s="11" t="s">
        <v>37</v>
      </c>
      <c r="I1744" s="8" t="s">
        <v>14</v>
      </c>
    </row>
    <row r="1745" customFormat="false" ht="14.25" hidden="false" customHeight="false" outlineLevel="0" collapsed="false">
      <c r="A1745" s="8" t="n">
        <v>1744</v>
      </c>
      <c r="B1745" s="8" t="s">
        <v>189</v>
      </c>
      <c r="C1745" s="8" t="s">
        <v>28</v>
      </c>
      <c r="D1745" s="9" t="n">
        <v>44348</v>
      </c>
      <c r="E1745" s="10" t="n">
        <v>11865.55</v>
      </c>
      <c r="F1745" s="8" t="s">
        <v>11</v>
      </c>
      <c r="G1745" s="8" t="s">
        <v>12</v>
      </c>
      <c r="H1745" s="11" t="s">
        <v>13</v>
      </c>
      <c r="I1745" s="8" t="s">
        <v>19</v>
      </c>
    </row>
    <row r="1746" customFormat="false" ht="14.25" hidden="false" customHeight="false" outlineLevel="0" collapsed="false">
      <c r="A1746" s="8" t="n">
        <v>1745</v>
      </c>
      <c r="B1746" s="8" t="s">
        <v>188</v>
      </c>
      <c r="C1746" s="8" t="s">
        <v>21</v>
      </c>
      <c r="D1746" s="9" t="n">
        <v>44351</v>
      </c>
      <c r="E1746" s="10" t="n">
        <v>-7064.3</v>
      </c>
      <c r="F1746" s="8" t="s">
        <v>34</v>
      </c>
      <c r="G1746" s="8" t="s">
        <v>12</v>
      </c>
      <c r="H1746" s="11" t="s">
        <v>13</v>
      </c>
      <c r="I1746" s="8" t="s">
        <v>14</v>
      </c>
    </row>
    <row r="1747" customFormat="false" ht="14.25" hidden="false" customHeight="false" outlineLevel="0" collapsed="false">
      <c r="A1747" s="8" t="n">
        <v>1746</v>
      </c>
      <c r="B1747" s="8" t="s">
        <v>176</v>
      </c>
      <c r="C1747" s="8" t="s">
        <v>21</v>
      </c>
      <c r="D1747" s="9" t="n">
        <v>44351</v>
      </c>
      <c r="E1747" s="10" t="n">
        <v>151207.6</v>
      </c>
      <c r="F1747" s="8" t="s">
        <v>11</v>
      </c>
      <c r="G1747" s="8" t="s">
        <v>12</v>
      </c>
      <c r="H1747" s="11" t="s">
        <v>13</v>
      </c>
      <c r="I1747" s="8" t="s">
        <v>26</v>
      </c>
    </row>
    <row r="1748" customFormat="false" ht="14.25" hidden="false" customHeight="false" outlineLevel="0" collapsed="false">
      <c r="A1748" s="8" t="n">
        <v>1747</v>
      </c>
      <c r="B1748" s="8" t="s">
        <v>172</v>
      </c>
      <c r="C1748" s="8" t="s">
        <v>21</v>
      </c>
      <c r="D1748" s="9" t="n">
        <v>44351</v>
      </c>
      <c r="E1748" s="10" t="n">
        <v>173444.25</v>
      </c>
      <c r="F1748" s="8" t="s">
        <v>11</v>
      </c>
      <c r="G1748" s="8" t="s">
        <v>12</v>
      </c>
      <c r="H1748" s="11" t="s">
        <v>13</v>
      </c>
      <c r="I1748" s="8" t="s">
        <v>26</v>
      </c>
    </row>
    <row r="1749" customFormat="false" ht="14.25" hidden="false" customHeight="false" outlineLevel="0" collapsed="false">
      <c r="A1749" s="8" t="n">
        <v>1748</v>
      </c>
      <c r="B1749" s="8" t="s">
        <v>130</v>
      </c>
      <c r="C1749" s="8" t="s">
        <v>10</v>
      </c>
      <c r="D1749" s="9" t="n">
        <v>44352</v>
      </c>
      <c r="E1749" s="10" t="n">
        <v>-23800.67</v>
      </c>
      <c r="F1749" s="8" t="s">
        <v>34</v>
      </c>
      <c r="G1749" s="8" t="s">
        <v>17</v>
      </c>
      <c r="H1749" s="11" t="s">
        <v>18</v>
      </c>
      <c r="I1749" s="8" t="s">
        <v>26</v>
      </c>
    </row>
    <row r="1750" customFormat="false" ht="14.25" hidden="false" customHeight="false" outlineLevel="0" collapsed="false">
      <c r="A1750" s="8" t="n">
        <v>1749</v>
      </c>
      <c r="B1750" s="8" t="s">
        <v>86</v>
      </c>
      <c r="C1750" s="8" t="s">
        <v>28</v>
      </c>
      <c r="D1750" s="9" t="n">
        <v>44352</v>
      </c>
      <c r="E1750" s="10" t="n">
        <v>7434.51</v>
      </c>
      <c r="F1750" s="8" t="s">
        <v>11</v>
      </c>
      <c r="G1750" s="8" t="s">
        <v>30</v>
      </c>
      <c r="H1750" s="11" t="s">
        <v>31</v>
      </c>
      <c r="I1750" s="8" t="s">
        <v>19</v>
      </c>
    </row>
    <row r="1751" customFormat="false" ht="14.25" hidden="false" customHeight="false" outlineLevel="0" collapsed="false">
      <c r="A1751" s="8" t="n">
        <v>1750</v>
      </c>
      <c r="B1751" s="8" t="s">
        <v>130</v>
      </c>
      <c r="C1751" s="8" t="s">
        <v>10</v>
      </c>
      <c r="D1751" s="9" t="n">
        <v>44352</v>
      </c>
      <c r="E1751" s="10" t="n">
        <v>161544.82</v>
      </c>
      <c r="F1751" s="8" t="s">
        <v>11</v>
      </c>
      <c r="G1751" s="8" t="s">
        <v>12</v>
      </c>
      <c r="H1751" s="11" t="s">
        <v>13</v>
      </c>
      <c r="I1751" s="8" t="s">
        <v>26</v>
      </c>
    </row>
    <row r="1752" customFormat="false" ht="14.25" hidden="false" customHeight="false" outlineLevel="0" collapsed="false">
      <c r="A1752" s="8" t="n">
        <v>1751</v>
      </c>
      <c r="B1752" s="8" t="s">
        <v>85</v>
      </c>
      <c r="C1752" s="8" t="s">
        <v>28</v>
      </c>
      <c r="D1752" s="9" t="n">
        <v>44353</v>
      </c>
      <c r="E1752" s="10" t="n">
        <v>7967.77</v>
      </c>
      <c r="F1752" s="8" t="s">
        <v>11</v>
      </c>
      <c r="G1752" s="8" t="s">
        <v>12</v>
      </c>
      <c r="H1752" s="11" t="s">
        <v>13</v>
      </c>
      <c r="I1752" s="8" t="s">
        <v>26</v>
      </c>
    </row>
    <row r="1753" customFormat="false" ht="14.25" hidden="false" customHeight="false" outlineLevel="0" collapsed="false">
      <c r="A1753" s="8" t="n">
        <v>1752</v>
      </c>
      <c r="B1753" s="8" t="s">
        <v>62</v>
      </c>
      <c r="C1753" s="8" t="s">
        <v>10</v>
      </c>
      <c r="D1753" s="9" t="n">
        <v>44354</v>
      </c>
      <c r="E1753" s="10" t="n">
        <v>6200.91</v>
      </c>
      <c r="F1753" s="8" t="s">
        <v>11</v>
      </c>
      <c r="G1753" s="8" t="s">
        <v>36</v>
      </c>
      <c r="H1753" s="11" t="s">
        <v>37</v>
      </c>
      <c r="I1753" s="8" t="s">
        <v>14</v>
      </c>
    </row>
    <row r="1754" customFormat="false" ht="14.25" hidden="false" customHeight="false" outlineLevel="0" collapsed="false">
      <c r="A1754" s="8" t="n">
        <v>1753</v>
      </c>
      <c r="B1754" s="8" t="s">
        <v>62</v>
      </c>
      <c r="C1754" s="8" t="s">
        <v>10</v>
      </c>
      <c r="D1754" s="9" t="n">
        <v>44354</v>
      </c>
      <c r="E1754" s="10" t="n">
        <v>10750.15</v>
      </c>
      <c r="F1754" s="8" t="s">
        <v>11</v>
      </c>
      <c r="G1754" s="8" t="s">
        <v>36</v>
      </c>
      <c r="H1754" s="11" t="s">
        <v>37</v>
      </c>
      <c r="I1754" s="8" t="s">
        <v>14</v>
      </c>
    </row>
    <row r="1755" customFormat="false" ht="14.25" hidden="false" customHeight="false" outlineLevel="0" collapsed="false">
      <c r="A1755" s="8" t="n">
        <v>1754</v>
      </c>
      <c r="B1755" s="8" t="s">
        <v>39</v>
      </c>
      <c r="C1755" s="8" t="s">
        <v>10</v>
      </c>
      <c r="D1755" s="9" t="n">
        <v>44354</v>
      </c>
      <c r="E1755" s="10" t="n">
        <v>10962.27</v>
      </c>
      <c r="F1755" s="8" t="s">
        <v>11</v>
      </c>
      <c r="G1755" s="8" t="s">
        <v>17</v>
      </c>
      <c r="H1755" s="11" t="s">
        <v>18</v>
      </c>
      <c r="I1755" s="8" t="s">
        <v>26</v>
      </c>
    </row>
    <row r="1756" customFormat="false" ht="14.25" hidden="false" customHeight="false" outlineLevel="0" collapsed="false">
      <c r="A1756" s="8" t="n">
        <v>1755</v>
      </c>
      <c r="B1756" s="8" t="s">
        <v>39</v>
      </c>
      <c r="C1756" s="8" t="s">
        <v>21</v>
      </c>
      <c r="D1756" s="9" t="n">
        <v>44354</v>
      </c>
      <c r="E1756" s="10" t="n">
        <v>-4492.18</v>
      </c>
      <c r="F1756" s="8" t="s">
        <v>34</v>
      </c>
      <c r="G1756" s="8" t="s">
        <v>17</v>
      </c>
      <c r="H1756" s="11" t="s">
        <v>18</v>
      </c>
      <c r="I1756" s="8" t="s">
        <v>19</v>
      </c>
    </row>
    <row r="1757" customFormat="false" ht="14.25" hidden="false" customHeight="false" outlineLevel="0" collapsed="false">
      <c r="A1757" s="8" t="n">
        <v>1756</v>
      </c>
      <c r="B1757" s="8" t="s">
        <v>62</v>
      </c>
      <c r="C1757" s="8" t="s">
        <v>10</v>
      </c>
      <c r="D1757" s="9" t="n">
        <v>44354</v>
      </c>
      <c r="E1757" s="10" t="n">
        <v>-334.39</v>
      </c>
      <c r="F1757" s="8" t="s">
        <v>34</v>
      </c>
      <c r="G1757" s="8" t="s">
        <v>17</v>
      </c>
      <c r="H1757" s="11" t="s">
        <v>18</v>
      </c>
      <c r="I1757" s="8" t="s">
        <v>26</v>
      </c>
    </row>
    <row r="1758" customFormat="false" ht="14.25" hidden="false" customHeight="false" outlineLevel="0" collapsed="false">
      <c r="A1758" s="8" t="n">
        <v>1757</v>
      </c>
      <c r="B1758" s="8" t="s">
        <v>62</v>
      </c>
      <c r="C1758" s="8" t="s">
        <v>28</v>
      </c>
      <c r="D1758" s="9" t="n">
        <v>44354</v>
      </c>
      <c r="E1758" s="10" t="n">
        <v>-7615.27</v>
      </c>
      <c r="F1758" s="8" t="s">
        <v>34</v>
      </c>
      <c r="G1758" s="8" t="s">
        <v>22</v>
      </c>
      <c r="H1758" s="11" t="s">
        <v>23</v>
      </c>
      <c r="I1758" s="8" t="s">
        <v>14</v>
      </c>
    </row>
    <row r="1759" customFormat="false" ht="14.25" hidden="false" customHeight="false" outlineLevel="0" collapsed="false">
      <c r="A1759" s="8" t="n">
        <v>1758</v>
      </c>
      <c r="B1759" s="8" t="s">
        <v>62</v>
      </c>
      <c r="C1759" s="8" t="s">
        <v>10</v>
      </c>
      <c r="D1759" s="9" t="n">
        <v>44354</v>
      </c>
      <c r="E1759" s="10" t="n">
        <v>-2199.75</v>
      </c>
      <c r="F1759" s="8" t="s">
        <v>34</v>
      </c>
      <c r="G1759" s="8" t="s">
        <v>17</v>
      </c>
      <c r="H1759" s="11" t="s">
        <v>18</v>
      </c>
      <c r="I1759" s="8" t="s">
        <v>26</v>
      </c>
    </row>
    <row r="1760" customFormat="false" ht="14.25" hidden="false" customHeight="false" outlineLevel="0" collapsed="false">
      <c r="A1760" s="8" t="n">
        <v>1759</v>
      </c>
      <c r="B1760" s="8" t="s">
        <v>100</v>
      </c>
      <c r="C1760" s="8" t="s">
        <v>28</v>
      </c>
      <c r="D1760" s="9" t="n">
        <v>44355</v>
      </c>
      <c r="E1760" s="10" t="n">
        <v>-41650.98</v>
      </c>
      <c r="F1760" s="8" t="s">
        <v>34</v>
      </c>
      <c r="G1760" s="8" t="s">
        <v>12</v>
      </c>
      <c r="H1760" s="11" t="s">
        <v>13</v>
      </c>
      <c r="I1760" s="8" t="s">
        <v>26</v>
      </c>
    </row>
    <row r="1761" customFormat="false" ht="14.25" hidden="false" customHeight="false" outlineLevel="0" collapsed="false">
      <c r="A1761" s="8" t="n">
        <v>1760</v>
      </c>
      <c r="B1761" s="8" t="s">
        <v>100</v>
      </c>
      <c r="C1761" s="8" t="s">
        <v>10</v>
      </c>
      <c r="D1761" s="9" t="n">
        <v>44355</v>
      </c>
      <c r="E1761" s="10" t="n">
        <v>128001.02</v>
      </c>
      <c r="F1761" s="8" t="s">
        <v>11</v>
      </c>
      <c r="G1761" s="8" t="s">
        <v>12</v>
      </c>
      <c r="H1761" s="11" t="s">
        <v>13</v>
      </c>
      <c r="I1761" s="8" t="s">
        <v>19</v>
      </c>
    </row>
    <row r="1762" customFormat="false" ht="14.25" hidden="false" customHeight="false" outlineLevel="0" collapsed="false">
      <c r="A1762" s="8" t="n">
        <v>1761</v>
      </c>
      <c r="B1762" s="8" t="s">
        <v>100</v>
      </c>
      <c r="C1762" s="8" t="s">
        <v>16</v>
      </c>
      <c r="D1762" s="9" t="n">
        <v>44355</v>
      </c>
      <c r="E1762" s="10" t="n">
        <v>1081.2</v>
      </c>
      <c r="F1762" s="8" t="s">
        <v>11</v>
      </c>
      <c r="G1762" s="8" t="s">
        <v>17</v>
      </c>
      <c r="H1762" s="11" t="s">
        <v>18</v>
      </c>
      <c r="I1762" s="8" t="s">
        <v>14</v>
      </c>
    </row>
    <row r="1763" customFormat="false" ht="14.25" hidden="false" customHeight="false" outlineLevel="0" collapsed="false">
      <c r="A1763" s="8" t="n">
        <v>1762</v>
      </c>
      <c r="B1763" s="8" t="s">
        <v>49</v>
      </c>
      <c r="C1763" s="8" t="s">
        <v>10</v>
      </c>
      <c r="D1763" s="9" t="n">
        <v>44355</v>
      </c>
      <c r="E1763" s="10" t="n">
        <v>1081.2</v>
      </c>
      <c r="F1763" s="8" t="s">
        <v>11</v>
      </c>
      <c r="G1763" s="8" t="s">
        <v>36</v>
      </c>
      <c r="H1763" s="11" t="s">
        <v>37</v>
      </c>
      <c r="I1763" s="8" t="s">
        <v>14</v>
      </c>
    </row>
    <row r="1764" customFormat="false" ht="14.25" hidden="false" customHeight="false" outlineLevel="0" collapsed="false">
      <c r="A1764" s="8" t="n">
        <v>1763</v>
      </c>
      <c r="B1764" s="8" t="s">
        <v>100</v>
      </c>
      <c r="C1764" s="8" t="s">
        <v>10</v>
      </c>
      <c r="D1764" s="9" t="n">
        <v>44355</v>
      </c>
      <c r="E1764" s="10" t="n">
        <v>1836.89</v>
      </c>
      <c r="F1764" s="8" t="s">
        <v>11</v>
      </c>
      <c r="G1764" s="8" t="s">
        <v>12</v>
      </c>
      <c r="H1764" s="11" t="s">
        <v>13</v>
      </c>
      <c r="I1764" s="8" t="s">
        <v>19</v>
      </c>
    </row>
    <row r="1765" customFormat="false" ht="14.25" hidden="false" customHeight="false" outlineLevel="0" collapsed="false">
      <c r="A1765" s="8" t="n">
        <v>1764</v>
      </c>
      <c r="B1765" s="8" t="s">
        <v>100</v>
      </c>
      <c r="C1765" s="8" t="s">
        <v>16</v>
      </c>
      <c r="D1765" s="9" t="n">
        <v>44355</v>
      </c>
      <c r="E1765" s="10" t="n">
        <v>160309.42</v>
      </c>
      <c r="F1765" s="8" t="s">
        <v>11</v>
      </c>
      <c r="G1765" s="8" t="s">
        <v>17</v>
      </c>
      <c r="H1765" s="11" t="s">
        <v>18</v>
      </c>
      <c r="I1765" s="8" t="s">
        <v>26</v>
      </c>
    </row>
    <row r="1766" customFormat="false" ht="14.25" hidden="false" customHeight="false" outlineLevel="0" collapsed="false">
      <c r="A1766" s="8" t="n">
        <v>1765</v>
      </c>
      <c r="B1766" s="8" t="s">
        <v>100</v>
      </c>
      <c r="C1766" s="8" t="s">
        <v>16</v>
      </c>
      <c r="D1766" s="9" t="n">
        <v>44355</v>
      </c>
      <c r="E1766" s="10" t="n">
        <v>184376.22</v>
      </c>
      <c r="F1766" s="8" t="s">
        <v>11</v>
      </c>
      <c r="G1766" s="8" t="s">
        <v>17</v>
      </c>
      <c r="H1766" s="11" t="s">
        <v>18</v>
      </c>
      <c r="I1766" s="8" t="s">
        <v>26</v>
      </c>
    </row>
    <row r="1767" customFormat="false" ht="14.25" hidden="false" customHeight="false" outlineLevel="0" collapsed="false">
      <c r="A1767" s="8" t="n">
        <v>1766</v>
      </c>
      <c r="B1767" s="8" t="s">
        <v>145</v>
      </c>
      <c r="C1767" s="8" t="s">
        <v>16</v>
      </c>
      <c r="D1767" s="9" t="n">
        <v>44358</v>
      </c>
      <c r="E1767" s="10" t="n">
        <v>1081.2</v>
      </c>
      <c r="F1767" s="8" t="s">
        <v>11</v>
      </c>
      <c r="G1767" s="8" t="s">
        <v>12</v>
      </c>
      <c r="H1767" s="11" t="s">
        <v>13</v>
      </c>
      <c r="I1767" s="8" t="s">
        <v>14</v>
      </c>
    </row>
    <row r="1768" customFormat="false" ht="14.25" hidden="false" customHeight="false" outlineLevel="0" collapsed="false">
      <c r="A1768" s="8" t="n">
        <v>1767</v>
      </c>
      <c r="B1768" s="8" t="s">
        <v>85</v>
      </c>
      <c r="C1768" s="8" t="s">
        <v>16</v>
      </c>
      <c r="D1768" s="9" t="n">
        <v>44358</v>
      </c>
      <c r="E1768" s="10" t="n">
        <v>1081.2</v>
      </c>
      <c r="F1768" s="8" t="s">
        <v>11</v>
      </c>
      <c r="G1768" s="8" t="s">
        <v>36</v>
      </c>
      <c r="H1768" s="11" t="s">
        <v>37</v>
      </c>
      <c r="I1768" s="8" t="s">
        <v>14</v>
      </c>
    </row>
    <row r="1769" customFormat="false" ht="14.25" hidden="false" customHeight="false" outlineLevel="0" collapsed="false">
      <c r="A1769" s="8" t="n">
        <v>1768</v>
      </c>
      <c r="B1769" s="8" t="s">
        <v>32</v>
      </c>
      <c r="C1769" s="8" t="s">
        <v>10</v>
      </c>
      <c r="D1769" s="9" t="n">
        <v>44358</v>
      </c>
      <c r="E1769" s="10" t="n">
        <v>1081.2</v>
      </c>
      <c r="F1769" s="8" t="s">
        <v>11</v>
      </c>
      <c r="G1769" s="8" t="s">
        <v>12</v>
      </c>
      <c r="H1769" s="11" t="s">
        <v>13</v>
      </c>
      <c r="I1769" s="8" t="s">
        <v>14</v>
      </c>
    </row>
    <row r="1770" customFormat="false" ht="14.25" hidden="false" customHeight="false" outlineLevel="0" collapsed="false">
      <c r="A1770" s="8" t="n">
        <v>1769</v>
      </c>
      <c r="B1770" s="8" t="s">
        <v>57</v>
      </c>
      <c r="C1770" s="8" t="s">
        <v>10</v>
      </c>
      <c r="D1770" s="9" t="n">
        <v>44358</v>
      </c>
      <c r="E1770" s="10" t="n">
        <v>1081.2</v>
      </c>
      <c r="F1770" s="8" t="s">
        <v>11</v>
      </c>
      <c r="G1770" s="8" t="s">
        <v>17</v>
      </c>
      <c r="H1770" s="11" t="s">
        <v>18</v>
      </c>
      <c r="I1770" s="8" t="s">
        <v>14</v>
      </c>
    </row>
    <row r="1771" customFormat="false" ht="14.25" hidden="false" customHeight="false" outlineLevel="0" collapsed="false">
      <c r="A1771" s="8" t="n">
        <v>1770</v>
      </c>
      <c r="B1771" s="8" t="s">
        <v>72</v>
      </c>
      <c r="C1771" s="8" t="s">
        <v>21</v>
      </c>
      <c r="D1771" s="9" t="n">
        <v>44358</v>
      </c>
      <c r="E1771" s="10" t="n">
        <v>1081.2</v>
      </c>
      <c r="F1771" s="8" t="s">
        <v>11</v>
      </c>
      <c r="G1771" s="8" t="s">
        <v>22</v>
      </c>
      <c r="H1771" s="11" t="s">
        <v>23</v>
      </c>
      <c r="I1771" s="8" t="s">
        <v>24</v>
      </c>
    </row>
    <row r="1772" customFormat="false" ht="14.25" hidden="false" customHeight="false" outlineLevel="0" collapsed="false">
      <c r="A1772" s="8" t="n">
        <v>1771</v>
      </c>
      <c r="B1772" s="8" t="s">
        <v>45</v>
      </c>
      <c r="C1772" s="8" t="s">
        <v>21</v>
      </c>
      <c r="D1772" s="9" t="n">
        <v>44358</v>
      </c>
      <c r="E1772" s="10" t="n">
        <v>1081.2</v>
      </c>
      <c r="F1772" s="8" t="s">
        <v>11</v>
      </c>
      <c r="G1772" s="8" t="s">
        <v>12</v>
      </c>
      <c r="H1772" s="11" t="s">
        <v>13</v>
      </c>
      <c r="I1772" s="8" t="s">
        <v>26</v>
      </c>
    </row>
    <row r="1773" customFormat="false" ht="14.25" hidden="false" customHeight="false" outlineLevel="0" collapsed="false">
      <c r="A1773" s="8" t="n">
        <v>1772</v>
      </c>
      <c r="B1773" s="8" t="s">
        <v>57</v>
      </c>
      <c r="C1773" s="8" t="s">
        <v>10</v>
      </c>
      <c r="D1773" s="9" t="n">
        <v>44358</v>
      </c>
      <c r="E1773" s="10" t="n">
        <v>1081.2</v>
      </c>
      <c r="F1773" s="8" t="s">
        <v>11</v>
      </c>
      <c r="G1773" s="8" t="s">
        <v>12</v>
      </c>
      <c r="H1773" s="11" t="s">
        <v>13</v>
      </c>
      <c r="I1773" s="8" t="s">
        <v>14</v>
      </c>
    </row>
    <row r="1774" customFormat="false" ht="14.25" hidden="false" customHeight="false" outlineLevel="0" collapsed="false">
      <c r="A1774" s="8" t="n">
        <v>1773</v>
      </c>
      <c r="B1774" s="8" t="s">
        <v>72</v>
      </c>
      <c r="C1774" s="8" t="s">
        <v>10</v>
      </c>
      <c r="D1774" s="9" t="n">
        <v>44358</v>
      </c>
      <c r="E1774" s="10" t="n">
        <v>-47338.2</v>
      </c>
      <c r="F1774" s="8" t="s">
        <v>34</v>
      </c>
      <c r="G1774" s="8" t="s">
        <v>12</v>
      </c>
      <c r="H1774" s="11" t="s">
        <v>13</v>
      </c>
      <c r="I1774" s="8" t="s">
        <v>14</v>
      </c>
    </row>
    <row r="1775" customFormat="false" ht="14.25" hidden="false" customHeight="false" outlineLevel="0" collapsed="false">
      <c r="A1775" s="8" t="n">
        <v>1774</v>
      </c>
      <c r="B1775" s="8" t="s">
        <v>45</v>
      </c>
      <c r="C1775" s="8" t="s">
        <v>28</v>
      </c>
      <c r="D1775" s="9" t="n">
        <v>44358</v>
      </c>
      <c r="E1775" s="10" t="n">
        <v>-14103.67</v>
      </c>
      <c r="F1775" s="8" t="s">
        <v>34</v>
      </c>
      <c r="G1775" s="8" t="s">
        <v>17</v>
      </c>
      <c r="H1775" s="11" t="s">
        <v>18</v>
      </c>
      <c r="I1775" s="8" t="s">
        <v>14</v>
      </c>
    </row>
    <row r="1776" customFormat="false" ht="14.25" hidden="false" customHeight="false" outlineLevel="0" collapsed="false">
      <c r="A1776" s="8" t="n">
        <v>1775</v>
      </c>
      <c r="B1776" s="8" t="s">
        <v>178</v>
      </c>
      <c r="C1776" s="8" t="s">
        <v>28</v>
      </c>
      <c r="D1776" s="9" t="n">
        <v>44359</v>
      </c>
      <c r="E1776" s="10" t="n">
        <v>-16246.2</v>
      </c>
      <c r="F1776" s="8" t="s">
        <v>34</v>
      </c>
      <c r="G1776" s="8" t="s">
        <v>17</v>
      </c>
      <c r="H1776" s="11" t="s">
        <v>18</v>
      </c>
      <c r="I1776" s="8" t="s">
        <v>19</v>
      </c>
    </row>
    <row r="1777" customFormat="false" ht="14.25" hidden="false" customHeight="false" outlineLevel="0" collapsed="false">
      <c r="A1777" s="8" t="n">
        <v>1776</v>
      </c>
      <c r="B1777" s="8" t="s">
        <v>40</v>
      </c>
      <c r="C1777" s="8" t="s">
        <v>16</v>
      </c>
      <c r="D1777" s="9" t="n">
        <v>44359</v>
      </c>
      <c r="E1777" s="10" t="n">
        <v>-16438.87</v>
      </c>
      <c r="F1777" s="8" t="s">
        <v>34</v>
      </c>
      <c r="G1777" s="8" t="s">
        <v>12</v>
      </c>
      <c r="H1777" s="11" t="s">
        <v>13</v>
      </c>
      <c r="I1777" s="8" t="s">
        <v>19</v>
      </c>
    </row>
    <row r="1778" customFormat="false" ht="14.25" hidden="false" customHeight="false" outlineLevel="0" collapsed="false">
      <c r="A1778" s="8" t="n">
        <v>1777</v>
      </c>
      <c r="B1778" s="8" t="s">
        <v>39</v>
      </c>
      <c r="C1778" s="8" t="s">
        <v>16</v>
      </c>
      <c r="D1778" s="9" t="n">
        <v>44359</v>
      </c>
      <c r="E1778" s="10" t="n">
        <v>-1747.87</v>
      </c>
      <c r="F1778" s="8" t="s">
        <v>34</v>
      </c>
      <c r="G1778" s="8" t="s">
        <v>12</v>
      </c>
      <c r="H1778" s="11" t="s">
        <v>13</v>
      </c>
      <c r="I1778" s="8" t="s">
        <v>26</v>
      </c>
    </row>
    <row r="1779" customFormat="false" ht="14.25" hidden="false" customHeight="false" outlineLevel="0" collapsed="false">
      <c r="A1779" s="8" t="n">
        <v>1778</v>
      </c>
      <c r="B1779" s="8" t="s">
        <v>39</v>
      </c>
      <c r="C1779" s="8" t="s">
        <v>16</v>
      </c>
      <c r="D1779" s="9" t="n">
        <v>44359</v>
      </c>
      <c r="E1779" s="10" t="n">
        <v>6686.85</v>
      </c>
      <c r="F1779" s="8" t="s">
        <v>11</v>
      </c>
      <c r="G1779" s="8" t="s">
        <v>17</v>
      </c>
      <c r="H1779" s="11" t="s">
        <v>18</v>
      </c>
      <c r="I1779" s="8" t="s">
        <v>26</v>
      </c>
    </row>
    <row r="1780" customFormat="false" ht="14.25" hidden="false" customHeight="false" outlineLevel="0" collapsed="false">
      <c r="A1780" s="8" t="n">
        <v>1779</v>
      </c>
      <c r="B1780" s="8" t="s">
        <v>66</v>
      </c>
      <c r="C1780" s="8" t="s">
        <v>21</v>
      </c>
      <c r="D1780" s="9" t="n">
        <v>44360</v>
      </c>
      <c r="E1780" s="10" t="n">
        <v>6226.79</v>
      </c>
      <c r="F1780" s="8" t="s">
        <v>11</v>
      </c>
      <c r="G1780" s="8" t="s">
        <v>12</v>
      </c>
      <c r="H1780" s="11" t="s">
        <v>13</v>
      </c>
      <c r="I1780" s="8" t="s">
        <v>24</v>
      </c>
    </row>
    <row r="1781" customFormat="false" ht="14.25" hidden="false" customHeight="false" outlineLevel="0" collapsed="false">
      <c r="A1781" s="8" t="n">
        <v>1780</v>
      </c>
      <c r="B1781" s="8" t="s">
        <v>52</v>
      </c>
      <c r="C1781" s="8" t="s">
        <v>16</v>
      </c>
      <c r="D1781" s="9" t="n">
        <v>44360</v>
      </c>
      <c r="E1781" s="10" t="n">
        <v>6361.74</v>
      </c>
      <c r="F1781" s="8" t="s">
        <v>11</v>
      </c>
      <c r="G1781" s="8" t="s">
        <v>17</v>
      </c>
      <c r="H1781" s="11" t="s">
        <v>18</v>
      </c>
      <c r="I1781" s="8" t="s">
        <v>26</v>
      </c>
    </row>
    <row r="1782" customFormat="false" ht="14.25" hidden="false" customHeight="false" outlineLevel="0" collapsed="false">
      <c r="A1782" s="8" t="n">
        <v>1781</v>
      </c>
      <c r="B1782" s="8" t="s">
        <v>66</v>
      </c>
      <c r="C1782" s="8" t="s">
        <v>21</v>
      </c>
      <c r="D1782" s="9" t="n">
        <v>44360</v>
      </c>
      <c r="E1782" s="10" t="n">
        <v>-575.75</v>
      </c>
      <c r="F1782" s="8" t="s">
        <v>34</v>
      </c>
      <c r="G1782" s="8" t="s">
        <v>17</v>
      </c>
      <c r="H1782" s="11" t="s">
        <v>18</v>
      </c>
      <c r="I1782" s="8" t="s">
        <v>14</v>
      </c>
    </row>
    <row r="1783" customFormat="false" ht="14.25" hidden="false" customHeight="false" outlineLevel="0" collapsed="false">
      <c r="A1783" s="8" t="n">
        <v>1782</v>
      </c>
      <c r="B1783" s="8" t="s">
        <v>66</v>
      </c>
      <c r="C1783" s="8" t="s">
        <v>28</v>
      </c>
      <c r="D1783" s="9" t="n">
        <v>44360</v>
      </c>
      <c r="E1783" s="10" t="n">
        <v>147365.97</v>
      </c>
      <c r="F1783" s="8" t="s">
        <v>11</v>
      </c>
      <c r="G1783" s="8" t="s">
        <v>17</v>
      </c>
      <c r="H1783" s="11" t="s">
        <v>18</v>
      </c>
      <c r="I1783" s="8" t="s">
        <v>14</v>
      </c>
    </row>
    <row r="1784" customFormat="false" ht="14.25" hidden="false" customHeight="false" outlineLevel="0" collapsed="false">
      <c r="A1784" s="8" t="n">
        <v>1783</v>
      </c>
      <c r="B1784" s="8" t="s">
        <v>52</v>
      </c>
      <c r="C1784" s="8" t="s">
        <v>10</v>
      </c>
      <c r="D1784" s="9" t="n">
        <v>44360</v>
      </c>
      <c r="E1784" s="10" t="n">
        <v>20530.29</v>
      </c>
      <c r="F1784" s="8" t="s">
        <v>11</v>
      </c>
      <c r="G1784" s="8" t="s">
        <v>30</v>
      </c>
      <c r="H1784" s="11" t="s">
        <v>31</v>
      </c>
      <c r="I1784" s="8" t="s">
        <v>19</v>
      </c>
    </row>
    <row r="1785" customFormat="false" ht="14.25" hidden="false" customHeight="false" outlineLevel="0" collapsed="false">
      <c r="A1785" s="8" t="n">
        <v>1784</v>
      </c>
      <c r="B1785" s="8" t="s">
        <v>66</v>
      </c>
      <c r="C1785" s="8" t="s">
        <v>28</v>
      </c>
      <c r="D1785" s="9" t="n">
        <v>44360</v>
      </c>
      <c r="E1785" s="10" t="n">
        <v>22257.05</v>
      </c>
      <c r="F1785" s="8" t="s">
        <v>11</v>
      </c>
      <c r="G1785" s="8" t="s">
        <v>12</v>
      </c>
      <c r="H1785" s="11" t="s">
        <v>13</v>
      </c>
      <c r="I1785" s="8" t="s">
        <v>24</v>
      </c>
    </row>
    <row r="1786" customFormat="false" ht="14.25" hidden="false" customHeight="false" outlineLevel="0" collapsed="false">
      <c r="A1786" s="8" t="n">
        <v>1785</v>
      </c>
      <c r="B1786" s="8" t="s">
        <v>52</v>
      </c>
      <c r="C1786" s="8" t="s">
        <v>16</v>
      </c>
      <c r="D1786" s="9" t="n">
        <v>44360</v>
      </c>
      <c r="E1786" s="10" t="n">
        <v>22005.79</v>
      </c>
      <c r="F1786" s="8" t="s">
        <v>11</v>
      </c>
      <c r="G1786" s="8" t="s">
        <v>17</v>
      </c>
      <c r="H1786" s="11" t="s">
        <v>18</v>
      </c>
      <c r="I1786" s="8" t="s">
        <v>14</v>
      </c>
    </row>
    <row r="1787" customFormat="false" ht="14.25" hidden="false" customHeight="false" outlineLevel="0" collapsed="false">
      <c r="A1787" s="8" t="n">
        <v>1786</v>
      </c>
      <c r="B1787" s="8" t="s">
        <v>66</v>
      </c>
      <c r="C1787" s="8" t="s">
        <v>16</v>
      </c>
      <c r="D1787" s="9" t="n">
        <v>44360</v>
      </c>
      <c r="E1787" s="10" t="n">
        <v>20129.92</v>
      </c>
      <c r="F1787" s="8" t="s">
        <v>11</v>
      </c>
      <c r="G1787" s="8" t="s">
        <v>12</v>
      </c>
      <c r="H1787" s="11" t="s">
        <v>13</v>
      </c>
      <c r="I1787" s="8" t="s">
        <v>14</v>
      </c>
    </row>
    <row r="1788" customFormat="false" ht="14.25" hidden="false" customHeight="false" outlineLevel="0" collapsed="false">
      <c r="A1788" s="8" t="n">
        <v>1787</v>
      </c>
      <c r="B1788" s="8" t="s">
        <v>66</v>
      </c>
      <c r="C1788" s="8" t="s">
        <v>16</v>
      </c>
      <c r="D1788" s="9" t="n">
        <v>44360</v>
      </c>
      <c r="E1788" s="10" t="n">
        <v>20557.53</v>
      </c>
      <c r="F1788" s="8" t="s">
        <v>11</v>
      </c>
      <c r="G1788" s="8" t="s">
        <v>22</v>
      </c>
      <c r="H1788" s="11" t="s">
        <v>23</v>
      </c>
      <c r="I1788" s="8" t="s">
        <v>14</v>
      </c>
    </row>
    <row r="1789" customFormat="false" ht="14.25" hidden="false" customHeight="false" outlineLevel="0" collapsed="false">
      <c r="A1789" s="8" t="n">
        <v>1788</v>
      </c>
      <c r="B1789" s="8" t="s">
        <v>66</v>
      </c>
      <c r="C1789" s="8" t="s">
        <v>10</v>
      </c>
      <c r="D1789" s="9" t="n">
        <v>44360</v>
      </c>
      <c r="E1789" s="10" t="n">
        <v>21191.17</v>
      </c>
      <c r="F1789" s="8" t="s">
        <v>11</v>
      </c>
      <c r="G1789" s="8" t="s">
        <v>12</v>
      </c>
      <c r="H1789" s="11" t="s">
        <v>13</v>
      </c>
      <c r="I1789" s="8" t="s">
        <v>26</v>
      </c>
    </row>
    <row r="1790" customFormat="false" ht="14.25" hidden="false" customHeight="false" outlineLevel="0" collapsed="false">
      <c r="A1790" s="8" t="n">
        <v>1789</v>
      </c>
      <c r="B1790" s="8" t="s">
        <v>66</v>
      </c>
      <c r="C1790" s="8" t="s">
        <v>21</v>
      </c>
      <c r="D1790" s="9" t="n">
        <v>44360</v>
      </c>
      <c r="E1790" s="10" t="n">
        <v>68110.5</v>
      </c>
      <c r="F1790" s="8" t="s">
        <v>11</v>
      </c>
      <c r="G1790" s="8" t="s">
        <v>17</v>
      </c>
      <c r="H1790" s="11" t="s">
        <v>18</v>
      </c>
      <c r="I1790" s="8" t="s">
        <v>14</v>
      </c>
    </row>
    <row r="1791" customFormat="false" ht="14.25" hidden="false" customHeight="false" outlineLevel="0" collapsed="false">
      <c r="A1791" s="8" t="n">
        <v>1790</v>
      </c>
      <c r="B1791" s="8" t="s">
        <v>66</v>
      </c>
      <c r="C1791" s="8" t="s">
        <v>16</v>
      </c>
      <c r="D1791" s="9" t="n">
        <v>44360</v>
      </c>
      <c r="E1791" s="10" t="n">
        <v>50512.14</v>
      </c>
      <c r="F1791" s="8" t="s">
        <v>11</v>
      </c>
      <c r="G1791" s="8" t="s">
        <v>12</v>
      </c>
      <c r="H1791" s="11" t="s">
        <v>13</v>
      </c>
      <c r="I1791" s="8" t="s">
        <v>14</v>
      </c>
    </row>
    <row r="1792" customFormat="false" ht="14.25" hidden="false" customHeight="false" outlineLevel="0" collapsed="false">
      <c r="A1792" s="8" t="n">
        <v>1791</v>
      </c>
      <c r="B1792" s="8" t="s">
        <v>66</v>
      </c>
      <c r="C1792" s="8" t="s">
        <v>28</v>
      </c>
      <c r="D1792" s="9" t="n">
        <v>44360</v>
      </c>
      <c r="E1792" s="10" t="n">
        <v>10290.44</v>
      </c>
      <c r="F1792" s="8" t="s">
        <v>11</v>
      </c>
      <c r="G1792" s="8" t="s">
        <v>12</v>
      </c>
      <c r="H1792" s="11" t="s">
        <v>13</v>
      </c>
      <c r="I1792" s="8" t="s">
        <v>24</v>
      </c>
    </row>
    <row r="1793" customFormat="false" ht="14.25" hidden="false" customHeight="false" outlineLevel="0" collapsed="false">
      <c r="A1793" s="8" t="n">
        <v>1792</v>
      </c>
      <c r="B1793" s="8" t="s">
        <v>50</v>
      </c>
      <c r="C1793" s="8" t="s">
        <v>10</v>
      </c>
      <c r="D1793" s="9" t="n">
        <v>44361</v>
      </c>
      <c r="E1793" s="10" t="n">
        <v>7725.59</v>
      </c>
      <c r="F1793" s="8" t="s">
        <v>11</v>
      </c>
      <c r="G1793" s="8" t="s">
        <v>22</v>
      </c>
      <c r="H1793" s="11" t="s">
        <v>23</v>
      </c>
      <c r="I1793" s="8" t="s">
        <v>26</v>
      </c>
    </row>
    <row r="1794" customFormat="false" ht="14.25" hidden="false" customHeight="false" outlineLevel="0" collapsed="false">
      <c r="A1794" s="8" t="n">
        <v>1793</v>
      </c>
      <c r="B1794" s="8" t="s">
        <v>173</v>
      </c>
      <c r="C1794" s="8" t="s">
        <v>21</v>
      </c>
      <c r="D1794" s="9" t="n">
        <v>44361</v>
      </c>
      <c r="E1794" s="10" t="n">
        <v>14398.73</v>
      </c>
      <c r="F1794" s="8" t="s">
        <v>11</v>
      </c>
      <c r="G1794" s="8" t="s">
        <v>36</v>
      </c>
      <c r="H1794" s="11" t="s">
        <v>37</v>
      </c>
      <c r="I1794" s="8" t="s">
        <v>14</v>
      </c>
    </row>
    <row r="1795" customFormat="false" ht="14.25" hidden="false" customHeight="false" outlineLevel="0" collapsed="false">
      <c r="A1795" s="8" t="n">
        <v>1794</v>
      </c>
      <c r="B1795" s="8" t="s">
        <v>183</v>
      </c>
      <c r="C1795" s="8" t="s">
        <v>16</v>
      </c>
      <c r="D1795" s="9" t="n">
        <v>44361</v>
      </c>
      <c r="E1795" s="10" t="n">
        <v>9500.02</v>
      </c>
      <c r="F1795" s="8" t="s">
        <v>11</v>
      </c>
      <c r="G1795" s="8" t="s">
        <v>12</v>
      </c>
      <c r="H1795" s="11" t="s">
        <v>13</v>
      </c>
      <c r="I1795" s="8" t="s">
        <v>26</v>
      </c>
    </row>
    <row r="1796" customFormat="false" ht="14.25" hidden="false" customHeight="false" outlineLevel="0" collapsed="false">
      <c r="A1796" s="8" t="n">
        <v>1795</v>
      </c>
      <c r="B1796" s="8" t="s">
        <v>174</v>
      </c>
      <c r="C1796" s="8" t="s">
        <v>16</v>
      </c>
      <c r="D1796" s="9" t="n">
        <v>44361</v>
      </c>
      <c r="E1796" s="10" t="n">
        <v>157740.36</v>
      </c>
      <c r="F1796" s="8" t="s">
        <v>11</v>
      </c>
      <c r="G1796" s="8" t="s">
        <v>12</v>
      </c>
      <c r="H1796" s="11" t="s">
        <v>13</v>
      </c>
      <c r="I1796" s="8" t="s">
        <v>26</v>
      </c>
    </row>
    <row r="1797" customFormat="false" ht="14.25" hidden="false" customHeight="false" outlineLevel="0" collapsed="false">
      <c r="A1797" s="8" t="n">
        <v>1796</v>
      </c>
      <c r="B1797" s="8" t="s">
        <v>171</v>
      </c>
      <c r="C1797" s="8" t="s">
        <v>10</v>
      </c>
      <c r="D1797" s="9" t="n">
        <v>44361</v>
      </c>
      <c r="E1797" s="10" t="n">
        <v>6511.68</v>
      </c>
      <c r="F1797" s="8" t="s">
        <v>11</v>
      </c>
      <c r="G1797" s="8" t="s">
        <v>12</v>
      </c>
      <c r="H1797" s="11" t="s">
        <v>13</v>
      </c>
      <c r="I1797" s="8" t="s">
        <v>14</v>
      </c>
    </row>
    <row r="1798" customFormat="false" ht="14.25" hidden="false" customHeight="false" outlineLevel="0" collapsed="false">
      <c r="A1798" s="8" t="n">
        <v>1797</v>
      </c>
      <c r="B1798" s="8" t="s">
        <v>190</v>
      </c>
      <c r="C1798" s="8" t="s">
        <v>21</v>
      </c>
      <c r="D1798" s="9" t="n">
        <v>44361</v>
      </c>
      <c r="E1798" s="10" t="n">
        <v>17945.91</v>
      </c>
      <c r="F1798" s="8" t="s">
        <v>11</v>
      </c>
      <c r="G1798" s="8" t="s">
        <v>12</v>
      </c>
      <c r="H1798" s="11" t="s">
        <v>13</v>
      </c>
      <c r="I1798" s="8" t="s">
        <v>14</v>
      </c>
    </row>
    <row r="1799" customFormat="false" ht="14.25" hidden="false" customHeight="false" outlineLevel="0" collapsed="false">
      <c r="A1799" s="8" t="n">
        <v>1798</v>
      </c>
      <c r="B1799" s="8" t="s">
        <v>153</v>
      </c>
      <c r="C1799" s="8" t="s">
        <v>10</v>
      </c>
      <c r="D1799" s="9" t="n">
        <v>44361</v>
      </c>
      <c r="E1799" s="10" t="n">
        <v>16734.62</v>
      </c>
      <c r="F1799" s="8" t="s">
        <v>11</v>
      </c>
      <c r="G1799" s="8" t="s">
        <v>22</v>
      </c>
      <c r="H1799" s="11" t="s">
        <v>23</v>
      </c>
      <c r="I1799" s="8" t="s">
        <v>14</v>
      </c>
    </row>
    <row r="1800" customFormat="false" ht="14.25" hidden="false" customHeight="false" outlineLevel="0" collapsed="false">
      <c r="A1800" s="8" t="n">
        <v>1799</v>
      </c>
      <c r="B1800" s="8" t="s">
        <v>101</v>
      </c>
      <c r="C1800" s="8" t="s">
        <v>16</v>
      </c>
      <c r="D1800" s="9" t="n">
        <v>44361</v>
      </c>
      <c r="E1800" s="10" t="n">
        <v>14104.88</v>
      </c>
      <c r="F1800" s="8" t="s">
        <v>11</v>
      </c>
      <c r="G1800" s="8" t="s">
        <v>12</v>
      </c>
      <c r="H1800" s="11" t="s">
        <v>13</v>
      </c>
      <c r="I1800" s="8" t="s">
        <v>24</v>
      </c>
    </row>
    <row r="1801" customFormat="false" ht="14.25" hidden="false" customHeight="false" outlineLevel="0" collapsed="false">
      <c r="A1801" s="8" t="n">
        <v>1800</v>
      </c>
      <c r="B1801" s="8" t="s">
        <v>149</v>
      </c>
      <c r="C1801" s="8" t="s">
        <v>16</v>
      </c>
      <c r="D1801" s="9" t="n">
        <v>44361</v>
      </c>
      <c r="E1801" s="10" t="n">
        <v>9790.9</v>
      </c>
      <c r="F1801" s="8" t="s">
        <v>11</v>
      </c>
      <c r="G1801" s="8" t="s">
        <v>17</v>
      </c>
      <c r="H1801" s="11" t="s">
        <v>18</v>
      </c>
      <c r="I1801" s="8" t="s">
        <v>14</v>
      </c>
    </row>
    <row r="1802" customFormat="false" ht="14.25" hidden="false" customHeight="false" outlineLevel="0" collapsed="false">
      <c r="A1802" s="8" t="n">
        <v>1801</v>
      </c>
      <c r="B1802" s="8" t="s">
        <v>159</v>
      </c>
      <c r="C1802" s="8" t="s">
        <v>28</v>
      </c>
      <c r="D1802" s="9" t="n">
        <v>44361</v>
      </c>
      <c r="E1802" s="10" t="n">
        <v>7199.86</v>
      </c>
      <c r="F1802" s="8" t="s">
        <v>11</v>
      </c>
      <c r="G1802" s="8" t="s">
        <v>12</v>
      </c>
      <c r="H1802" s="11" t="s">
        <v>13</v>
      </c>
      <c r="I1802" s="8" t="s">
        <v>14</v>
      </c>
    </row>
    <row r="1803" customFormat="false" ht="14.25" hidden="false" customHeight="false" outlineLevel="0" collapsed="false">
      <c r="A1803" s="8" t="n">
        <v>1802</v>
      </c>
      <c r="B1803" s="8" t="s">
        <v>40</v>
      </c>
      <c r="C1803" s="8" t="s">
        <v>28</v>
      </c>
      <c r="D1803" s="9" t="n">
        <v>44361</v>
      </c>
      <c r="E1803" s="10" t="n">
        <v>19441.39</v>
      </c>
      <c r="F1803" s="8" t="s">
        <v>11</v>
      </c>
      <c r="G1803" s="8" t="s">
        <v>12</v>
      </c>
      <c r="H1803" s="11" t="s">
        <v>13</v>
      </c>
      <c r="I1803" s="8" t="s">
        <v>26</v>
      </c>
    </row>
    <row r="1804" customFormat="false" ht="14.25" hidden="false" customHeight="false" outlineLevel="0" collapsed="false">
      <c r="A1804" s="8" t="n">
        <v>1803</v>
      </c>
      <c r="B1804" s="8" t="s">
        <v>117</v>
      </c>
      <c r="C1804" s="8" t="s">
        <v>21</v>
      </c>
      <c r="D1804" s="9" t="n">
        <v>44361</v>
      </c>
      <c r="E1804" s="10" t="n">
        <v>14981.76</v>
      </c>
      <c r="F1804" s="8" t="s">
        <v>11</v>
      </c>
      <c r="G1804" s="8" t="s">
        <v>36</v>
      </c>
      <c r="H1804" s="11" t="s">
        <v>37</v>
      </c>
      <c r="I1804" s="8" t="s">
        <v>26</v>
      </c>
    </row>
    <row r="1805" customFormat="false" ht="14.25" hidden="false" customHeight="false" outlineLevel="0" collapsed="false">
      <c r="A1805" s="8" t="n">
        <v>1804</v>
      </c>
      <c r="B1805" s="8" t="s">
        <v>39</v>
      </c>
      <c r="C1805" s="8" t="s">
        <v>10</v>
      </c>
      <c r="D1805" s="9" t="n">
        <v>44361</v>
      </c>
      <c r="E1805" s="10" t="n">
        <v>14244.3</v>
      </c>
      <c r="F1805" s="8" t="s">
        <v>11</v>
      </c>
      <c r="G1805" s="8" t="s">
        <v>12</v>
      </c>
      <c r="H1805" s="11" t="s">
        <v>13</v>
      </c>
      <c r="I1805" s="8" t="s">
        <v>26</v>
      </c>
    </row>
    <row r="1806" customFormat="false" ht="14.25" hidden="false" customHeight="false" outlineLevel="0" collapsed="false">
      <c r="A1806" s="8" t="n">
        <v>1805</v>
      </c>
      <c r="B1806" s="8" t="s">
        <v>49</v>
      </c>
      <c r="C1806" s="8" t="s">
        <v>10</v>
      </c>
      <c r="D1806" s="9" t="n">
        <v>44361</v>
      </c>
      <c r="E1806" s="10" t="n">
        <v>-8309.39</v>
      </c>
      <c r="F1806" s="8" t="s">
        <v>34</v>
      </c>
      <c r="G1806" s="8" t="s">
        <v>12</v>
      </c>
      <c r="H1806" s="11" t="s">
        <v>13</v>
      </c>
      <c r="I1806" s="8" t="s">
        <v>14</v>
      </c>
    </row>
    <row r="1807" customFormat="false" ht="14.25" hidden="false" customHeight="false" outlineLevel="0" collapsed="false">
      <c r="A1807" s="8" t="n">
        <v>1806</v>
      </c>
      <c r="B1807" s="8" t="s">
        <v>49</v>
      </c>
      <c r="C1807" s="8" t="s">
        <v>28</v>
      </c>
      <c r="D1807" s="9" t="n">
        <v>44361</v>
      </c>
      <c r="E1807" s="10" t="n">
        <v>-224.39</v>
      </c>
      <c r="F1807" s="8" t="s">
        <v>34</v>
      </c>
      <c r="G1807" s="8" t="s">
        <v>12</v>
      </c>
      <c r="H1807" s="11" t="s">
        <v>13</v>
      </c>
      <c r="I1807" s="8" t="s">
        <v>24</v>
      </c>
    </row>
    <row r="1808" customFormat="false" ht="14.25" hidden="false" customHeight="false" outlineLevel="0" collapsed="false">
      <c r="A1808" s="8" t="n">
        <v>1807</v>
      </c>
      <c r="B1808" s="8" t="s">
        <v>173</v>
      </c>
      <c r="C1808" s="8" t="s">
        <v>21</v>
      </c>
      <c r="D1808" s="9" t="n">
        <v>44362</v>
      </c>
      <c r="E1808" s="10" t="n">
        <v>-1023.65</v>
      </c>
      <c r="F1808" s="8" t="s">
        <v>34</v>
      </c>
      <c r="G1808" s="8" t="s">
        <v>22</v>
      </c>
      <c r="H1808" s="11" t="s">
        <v>23</v>
      </c>
      <c r="I1808" s="8" t="s">
        <v>14</v>
      </c>
    </row>
    <row r="1809" customFormat="false" ht="14.25" hidden="false" customHeight="false" outlineLevel="0" collapsed="false">
      <c r="A1809" s="8" t="n">
        <v>1808</v>
      </c>
      <c r="B1809" s="8" t="s">
        <v>86</v>
      </c>
      <c r="C1809" s="8" t="s">
        <v>28</v>
      </c>
      <c r="D1809" s="9" t="n">
        <v>44362</v>
      </c>
      <c r="E1809" s="10" t="n">
        <v>53951.01</v>
      </c>
      <c r="F1809" s="8" t="s">
        <v>11</v>
      </c>
      <c r="G1809" s="8" t="s">
        <v>12</v>
      </c>
      <c r="H1809" s="11" t="s">
        <v>13</v>
      </c>
      <c r="I1809" s="8" t="s">
        <v>26</v>
      </c>
    </row>
    <row r="1810" customFormat="false" ht="14.25" hidden="false" customHeight="false" outlineLevel="0" collapsed="false">
      <c r="A1810" s="8" t="n">
        <v>1809</v>
      </c>
      <c r="B1810" s="8" t="s">
        <v>185</v>
      </c>
      <c r="C1810" s="8" t="s">
        <v>21</v>
      </c>
      <c r="D1810" s="9" t="n">
        <v>44365</v>
      </c>
      <c r="E1810" s="10" t="n">
        <v>26959.23</v>
      </c>
      <c r="F1810" s="8" t="s">
        <v>11</v>
      </c>
      <c r="G1810" s="8" t="s">
        <v>12</v>
      </c>
      <c r="H1810" s="11" t="s">
        <v>13</v>
      </c>
      <c r="I1810" s="8" t="s">
        <v>19</v>
      </c>
    </row>
    <row r="1811" customFormat="false" ht="14.25" hidden="false" customHeight="false" outlineLevel="0" collapsed="false">
      <c r="A1811" s="8" t="n">
        <v>1810</v>
      </c>
      <c r="B1811" s="8" t="s">
        <v>182</v>
      </c>
      <c r="C1811" s="8" t="s">
        <v>21</v>
      </c>
      <c r="D1811" s="9" t="n">
        <v>44365</v>
      </c>
      <c r="E1811" s="10" t="n">
        <v>10624.17</v>
      </c>
      <c r="F1811" s="8" t="s">
        <v>11</v>
      </c>
      <c r="G1811" s="8" t="s">
        <v>17</v>
      </c>
      <c r="H1811" s="11" t="s">
        <v>18</v>
      </c>
      <c r="I1811" s="8" t="s">
        <v>26</v>
      </c>
    </row>
    <row r="1812" customFormat="false" ht="14.25" hidden="false" customHeight="false" outlineLevel="0" collapsed="false">
      <c r="A1812" s="8" t="n">
        <v>1811</v>
      </c>
      <c r="B1812" s="8" t="s">
        <v>150</v>
      </c>
      <c r="C1812" s="8" t="s">
        <v>16</v>
      </c>
      <c r="D1812" s="9" t="n">
        <v>44365</v>
      </c>
      <c r="E1812" s="10" t="n">
        <v>1909.44</v>
      </c>
      <c r="F1812" s="8" t="s">
        <v>11</v>
      </c>
      <c r="G1812" s="8" t="s">
        <v>12</v>
      </c>
      <c r="H1812" s="11" t="s">
        <v>13</v>
      </c>
      <c r="I1812" s="8" t="s">
        <v>24</v>
      </c>
    </row>
    <row r="1813" customFormat="false" ht="14.25" hidden="false" customHeight="false" outlineLevel="0" collapsed="false">
      <c r="A1813" s="8" t="n">
        <v>1812</v>
      </c>
      <c r="B1813" s="8" t="s">
        <v>160</v>
      </c>
      <c r="C1813" s="8" t="s">
        <v>10</v>
      </c>
      <c r="D1813" s="9" t="n">
        <v>44365</v>
      </c>
      <c r="E1813" s="10" t="n">
        <v>105266.45</v>
      </c>
      <c r="F1813" s="8" t="s">
        <v>11</v>
      </c>
      <c r="G1813" s="8" t="s">
        <v>17</v>
      </c>
      <c r="H1813" s="11" t="s">
        <v>18</v>
      </c>
      <c r="I1813" s="8" t="s">
        <v>19</v>
      </c>
    </row>
    <row r="1814" customFormat="false" ht="14.25" hidden="false" customHeight="false" outlineLevel="0" collapsed="false">
      <c r="A1814" s="8" t="n">
        <v>1813</v>
      </c>
      <c r="B1814" s="8" t="s">
        <v>179</v>
      </c>
      <c r="C1814" s="8" t="s">
        <v>16</v>
      </c>
      <c r="D1814" s="9" t="n">
        <v>44365</v>
      </c>
      <c r="E1814" s="10" t="n">
        <v>1909.44</v>
      </c>
      <c r="F1814" s="8" t="s">
        <v>11</v>
      </c>
      <c r="G1814" s="8" t="s">
        <v>12</v>
      </c>
      <c r="H1814" s="11" t="s">
        <v>13</v>
      </c>
      <c r="I1814" s="8" t="s">
        <v>24</v>
      </c>
    </row>
    <row r="1815" customFormat="false" ht="14.25" hidden="false" customHeight="false" outlineLevel="0" collapsed="false">
      <c r="A1815" s="8" t="n">
        <v>1814</v>
      </c>
      <c r="B1815" s="8" t="s">
        <v>73</v>
      </c>
      <c r="C1815" s="8" t="s">
        <v>16</v>
      </c>
      <c r="D1815" s="9" t="n">
        <v>44365</v>
      </c>
      <c r="E1815" s="10" t="n">
        <v>48208.98</v>
      </c>
      <c r="F1815" s="8" t="s">
        <v>11</v>
      </c>
      <c r="G1815" s="8" t="s">
        <v>36</v>
      </c>
      <c r="H1815" s="11" t="s">
        <v>37</v>
      </c>
      <c r="I1815" s="8" t="s">
        <v>19</v>
      </c>
    </row>
    <row r="1816" customFormat="false" ht="14.25" hidden="false" customHeight="false" outlineLevel="0" collapsed="false">
      <c r="A1816" s="8" t="n">
        <v>1815</v>
      </c>
      <c r="B1816" s="8" t="s">
        <v>73</v>
      </c>
      <c r="C1816" s="8" t="s">
        <v>16</v>
      </c>
      <c r="D1816" s="9" t="n">
        <v>44365</v>
      </c>
      <c r="E1816" s="10" t="n">
        <v>10414.51</v>
      </c>
      <c r="F1816" s="8" t="s">
        <v>11</v>
      </c>
      <c r="G1816" s="8" t="s">
        <v>12</v>
      </c>
      <c r="H1816" s="11" t="s">
        <v>13</v>
      </c>
      <c r="I1816" s="8" t="s">
        <v>19</v>
      </c>
    </row>
    <row r="1817" customFormat="false" ht="14.25" hidden="false" customHeight="false" outlineLevel="0" collapsed="false">
      <c r="A1817" s="8" t="n">
        <v>1816</v>
      </c>
      <c r="B1817" s="8" t="s">
        <v>73</v>
      </c>
      <c r="C1817" s="8" t="s">
        <v>16</v>
      </c>
      <c r="D1817" s="9" t="n">
        <v>44365</v>
      </c>
      <c r="E1817" s="10" t="n">
        <v>48301.46</v>
      </c>
      <c r="F1817" s="8" t="s">
        <v>11</v>
      </c>
      <c r="G1817" s="8" t="s">
        <v>30</v>
      </c>
      <c r="H1817" s="11" t="s">
        <v>31</v>
      </c>
      <c r="I1817" s="8" t="s">
        <v>26</v>
      </c>
    </row>
    <row r="1818" customFormat="false" ht="14.25" hidden="false" customHeight="false" outlineLevel="0" collapsed="false">
      <c r="A1818" s="8" t="n">
        <v>1817</v>
      </c>
      <c r="B1818" s="8" t="s">
        <v>73</v>
      </c>
      <c r="C1818" s="8" t="s">
        <v>16</v>
      </c>
      <c r="D1818" s="9" t="n">
        <v>44365</v>
      </c>
      <c r="E1818" s="10" t="n">
        <v>31018.71</v>
      </c>
      <c r="F1818" s="8" t="s">
        <v>11</v>
      </c>
      <c r="G1818" s="8" t="s">
        <v>12</v>
      </c>
      <c r="H1818" s="11" t="s">
        <v>13</v>
      </c>
      <c r="I1818" s="8" t="s">
        <v>14</v>
      </c>
    </row>
    <row r="1819" customFormat="false" ht="14.25" hidden="false" customHeight="false" outlineLevel="0" collapsed="false">
      <c r="A1819" s="8" t="n">
        <v>1818</v>
      </c>
      <c r="B1819" s="8" t="s">
        <v>73</v>
      </c>
      <c r="C1819" s="8" t="s">
        <v>16</v>
      </c>
      <c r="D1819" s="9" t="n">
        <v>44365</v>
      </c>
      <c r="E1819" s="10" t="n">
        <v>10118.26</v>
      </c>
      <c r="F1819" s="8" t="s">
        <v>11</v>
      </c>
      <c r="G1819" s="8" t="s">
        <v>12</v>
      </c>
      <c r="H1819" s="11" t="s">
        <v>13</v>
      </c>
      <c r="I1819" s="8" t="s">
        <v>14</v>
      </c>
    </row>
    <row r="1820" customFormat="false" ht="14.25" hidden="false" customHeight="false" outlineLevel="0" collapsed="false">
      <c r="A1820" s="8" t="n">
        <v>1819</v>
      </c>
      <c r="B1820" s="8" t="s">
        <v>73</v>
      </c>
      <c r="C1820" s="8" t="s">
        <v>21</v>
      </c>
      <c r="D1820" s="9" t="n">
        <v>44365</v>
      </c>
      <c r="E1820" s="10" t="n">
        <v>1909.44</v>
      </c>
      <c r="F1820" s="8" t="s">
        <v>11</v>
      </c>
      <c r="G1820" s="8" t="s">
        <v>12</v>
      </c>
      <c r="H1820" s="11" t="s">
        <v>13</v>
      </c>
      <c r="I1820" s="8" t="s">
        <v>14</v>
      </c>
    </row>
    <row r="1821" customFormat="false" ht="14.25" hidden="false" customHeight="false" outlineLevel="0" collapsed="false">
      <c r="A1821" s="8" t="n">
        <v>1820</v>
      </c>
      <c r="B1821" s="8" t="s">
        <v>20</v>
      </c>
      <c r="C1821" s="8" t="s">
        <v>21</v>
      </c>
      <c r="D1821" s="9" t="n">
        <v>44366</v>
      </c>
      <c r="E1821" s="10" t="n">
        <v>46354.78</v>
      </c>
      <c r="F1821" s="8" t="s">
        <v>11</v>
      </c>
      <c r="G1821" s="8" t="s">
        <v>17</v>
      </c>
      <c r="H1821" s="11" t="s">
        <v>18</v>
      </c>
      <c r="I1821" s="8" t="s">
        <v>26</v>
      </c>
    </row>
    <row r="1822" customFormat="false" ht="14.25" hidden="false" customHeight="false" outlineLevel="0" collapsed="false">
      <c r="A1822" s="8" t="n">
        <v>1821</v>
      </c>
      <c r="B1822" s="8" t="s">
        <v>128</v>
      </c>
      <c r="C1822" s="8" t="s">
        <v>28</v>
      </c>
      <c r="D1822" s="9" t="n">
        <v>44366</v>
      </c>
      <c r="E1822" s="10" t="n">
        <v>28661.28</v>
      </c>
      <c r="F1822" s="8" t="s">
        <v>11</v>
      </c>
      <c r="G1822" s="8" t="s">
        <v>12</v>
      </c>
      <c r="H1822" s="11" t="s">
        <v>13</v>
      </c>
      <c r="I1822" s="8" t="s">
        <v>14</v>
      </c>
    </row>
    <row r="1823" customFormat="false" ht="14.25" hidden="false" customHeight="false" outlineLevel="0" collapsed="false">
      <c r="A1823" s="8" t="n">
        <v>1822</v>
      </c>
      <c r="B1823" s="8" t="s">
        <v>65</v>
      </c>
      <c r="C1823" s="8" t="s">
        <v>10</v>
      </c>
      <c r="D1823" s="9" t="n">
        <v>44366</v>
      </c>
      <c r="E1823" s="10" t="n">
        <v>8872.93</v>
      </c>
      <c r="F1823" s="8" t="s">
        <v>11</v>
      </c>
      <c r="G1823" s="8" t="s">
        <v>12</v>
      </c>
      <c r="H1823" s="11" t="s">
        <v>13</v>
      </c>
      <c r="I1823" s="8" t="s">
        <v>14</v>
      </c>
    </row>
    <row r="1824" customFormat="false" ht="14.25" hidden="false" customHeight="false" outlineLevel="0" collapsed="false">
      <c r="A1824" s="8" t="n">
        <v>1823</v>
      </c>
      <c r="B1824" s="8" t="s">
        <v>124</v>
      </c>
      <c r="C1824" s="8" t="s">
        <v>10</v>
      </c>
      <c r="D1824" s="9" t="n">
        <v>44366</v>
      </c>
      <c r="E1824" s="10" t="n">
        <v>1909.44</v>
      </c>
      <c r="F1824" s="8" t="s">
        <v>11</v>
      </c>
      <c r="G1824" s="8" t="s">
        <v>36</v>
      </c>
      <c r="H1824" s="11" t="s">
        <v>37</v>
      </c>
      <c r="I1824" s="8" t="s">
        <v>14</v>
      </c>
    </row>
    <row r="1825" customFormat="false" ht="14.25" hidden="false" customHeight="false" outlineLevel="0" collapsed="false">
      <c r="A1825" s="8" t="n">
        <v>1824</v>
      </c>
      <c r="B1825" s="8" t="s">
        <v>126</v>
      </c>
      <c r="C1825" s="8" t="s">
        <v>21</v>
      </c>
      <c r="D1825" s="9" t="n">
        <v>44366</v>
      </c>
      <c r="E1825" s="10" t="n">
        <v>1909.44</v>
      </c>
      <c r="F1825" s="8" t="s">
        <v>11</v>
      </c>
      <c r="G1825" s="8" t="s">
        <v>17</v>
      </c>
      <c r="H1825" s="11" t="s">
        <v>18</v>
      </c>
      <c r="I1825" s="8" t="s">
        <v>14</v>
      </c>
    </row>
    <row r="1826" customFormat="false" ht="14.25" hidden="false" customHeight="false" outlineLevel="0" collapsed="false">
      <c r="A1826" s="8" t="n">
        <v>1825</v>
      </c>
      <c r="B1826" s="8" t="s">
        <v>83</v>
      </c>
      <c r="C1826" s="8" t="s">
        <v>10</v>
      </c>
      <c r="D1826" s="9" t="n">
        <v>44366</v>
      </c>
      <c r="E1826" s="10" t="n">
        <v>30689.51</v>
      </c>
      <c r="F1826" s="8" t="s">
        <v>11</v>
      </c>
      <c r="G1826" s="8" t="s">
        <v>17</v>
      </c>
      <c r="H1826" s="11" t="s">
        <v>18</v>
      </c>
      <c r="I1826" s="8" t="s">
        <v>19</v>
      </c>
    </row>
    <row r="1827" customFormat="false" ht="14.25" hidden="false" customHeight="false" outlineLevel="0" collapsed="false">
      <c r="A1827" s="8" t="n">
        <v>1826</v>
      </c>
      <c r="B1827" s="8" t="s">
        <v>191</v>
      </c>
      <c r="C1827" s="8" t="s">
        <v>28</v>
      </c>
      <c r="D1827" s="9" t="n">
        <v>44366</v>
      </c>
      <c r="E1827" s="10" t="n">
        <v>10022.91</v>
      </c>
      <c r="F1827" s="8" t="s">
        <v>11</v>
      </c>
      <c r="G1827" s="8" t="s">
        <v>12</v>
      </c>
      <c r="H1827" s="11" t="s">
        <v>13</v>
      </c>
      <c r="I1827" s="8" t="s">
        <v>24</v>
      </c>
    </row>
    <row r="1828" customFormat="false" ht="14.25" hidden="false" customHeight="false" outlineLevel="0" collapsed="false">
      <c r="A1828" s="8" t="n">
        <v>1827</v>
      </c>
      <c r="B1828" s="8" t="s">
        <v>192</v>
      </c>
      <c r="C1828" s="8" t="s">
        <v>28</v>
      </c>
      <c r="D1828" s="9" t="n">
        <v>44366</v>
      </c>
      <c r="E1828" s="10" t="n">
        <v>9627.83</v>
      </c>
      <c r="F1828" s="8" t="s">
        <v>11</v>
      </c>
      <c r="G1828" s="8" t="s">
        <v>36</v>
      </c>
      <c r="H1828" s="11" t="s">
        <v>37</v>
      </c>
      <c r="I1828" s="8" t="s">
        <v>14</v>
      </c>
    </row>
    <row r="1829" customFormat="false" ht="14.25" hidden="false" customHeight="false" outlineLevel="0" collapsed="false">
      <c r="A1829" s="8" t="n">
        <v>1828</v>
      </c>
      <c r="B1829" s="8" t="s">
        <v>193</v>
      </c>
      <c r="C1829" s="8" t="s">
        <v>10</v>
      </c>
      <c r="D1829" s="9" t="n">
        <v>44366</v>
      </c>
      <c r="E1829" s="10" t="n">
        <v>-13372.98</v>
      </c>
      <c r="F1829" s="8" t="s">
        <v>34</v>
      </c>
      <c r="G1829" s="8" t="s">
        <v>12</v>
      </c>
      <c r="H1829" s="11" t="s">
        <v>13</v>
      </c>
      <c r="I1829" s="8" t="s">
        <v>26</v>
      </c>
    </row>
    <row r="1830" customFormat="false" ht="14.25" hidden="false" customHeight="false" outlineLevel="0" collapsed="false">
      <c r="A1830" s="8" t="n">
        <v>1829</v>
      </c>
      <c r="B1830" s="8" t="s">
        <v>194</v>
      </c>
      <c r="C1830" s="8" t="s">
        <v>21</v>
      </c>
      <c r="D1830" s="9" t="n">
        <v>44366</v>
      </c>
      <c r="E1830" s="10" t="n">
        <v>-55308.61</v>
      </c>
      <c r="F1830" s="8" t="s">
        <v>34</v>
      </c>
      <c r="G1830" s="8" t="s">
        <v>17</v>
      </c>
      <c r="H1830" s="11" t="s">
        <v>18</v>
      </c>
      <c r="I1830" s="8" t="s">
        <v>26</v>
      </c>
    </row>
    <row r="1831" customFormat="false" ht="14.25" hidden="false" customHeight="false" outlineLevel="0" collapsed="false">
      <c r="A1831" s="8" t="n">
        <v>1830</v>
      </c>
      <c r="B1831" s="8" t="s">
        <v>195</v>
      </c>
      <c r="C1831" s="8" t="s">
        <v>16</v>
      </c>
      <c r="D1831" s="9" t="n">
        <v>44366</v>
      </c>
      <c r="E1831" s="10" t="n">
        <v>161241.6</v>
      </c>
      <c r="F1831" s="8" t="s">
        <v>11</v>
      </c>
      <c r="G1831" s="8" t="s">
        <v>17</v>
      </c>
      <c r="H1831" s="11" t="s">
        <v>18</v>
      </c>
      <c r="I1831" s="8" t="s">
        <v>19</v>
      </c>
    </row>
    <row r="1832" customFormat="false" ht="14.25" hidden="false" customHeight="false" outlineLevel="0" collapsed="false">
      <c r="A1832" s="8" t="n">
        <v>1831</v>
      </c>
      <c r="B1832" s="8" t="s">
        <v>196</v>
      </c>
      <c r="C1832" s="8" t="s">
        <v>16</v>
      </c>
      <c r="D1832" s="9" t="n">
        <v>44366</v>
      </c>
      <c r="E1832" s="10" t="n">
        <v>-8667090.74</v>
      </c>
      <c r="F1832" s="8" t="s">
        <v>34</v>
      </c>
      <c r="G1832" s="8" t="s">
        <v>17</v>
      </c>
      <c r="H1832" s="11" t="s">
        <v>18</v>
      </c>
      <c r="I1832" s="8" t="s">
        <v>26</v>
      </c>
    </row>
    <row r="1833" customFormat="false" ht="14.25" hidden="false" customHeight="false" outlineLevel="0" collapsed="false">
      <c r="A1833" s="8" t="n">
        <v>1832</v>
      </c>
      <c r="B1833" s="8" t="s">
        <v>197</v>
      </c>
      <c r="C1833" s="8" t="s">
        <v>10</v>
      </c>
      <c r="D1833" s="9" t="n">
        <v>44366</v>
      </c>
      <c r="E1833" s="10" t="n">
        <v>-1143.38</v>
      </c>
      <c r="F1833" s="8" t="s">
        <v>34</v>
      </c>
      <c r="G1833" s="8" t="s">
        <v>12</v>
      </c>
      <c r="H1833" s="11" t="s">
        <v>13</v>
      </c>
      <c r="I1833" s="8" t="s">
        <v>26</v>
      </c>
    </row>
    <row r="1834" customFormat="false" ht="14.25" hidden="false" customHeight="false" outlineLevel="0" collapsed="false">
      <c r="A1834" s="8" t="n">
        <v>1833</v>
      </c>
      <c r="B1834" s="8" t="s">
        <v>198</v>
      </c>
      <c r="C1834" s="8" t="s">
        <v>10</v>
      </c>
      <c r="D1834" s="9" t="n">
        <v>44366</v>
      </c>
      <c r="E1834" s="10" t="n">
        <v>-10066.74</v>
      </c>
      <c r="F1834" s="8" t="s">
        <v>34</v>
      </c>
      <c r="G1834" s="8" t="s">
        <v>22</v>
      </c>
      <c r="H1834" s="11" t="s">
        <v>23</v>
      </c>
      <c r="I1834" s="8" t="s">
        <v>26</v>
      </c>
    </row>
    <row r="1835" customFormat="false" ht="14.25" hidden="false" customHeight="false" outlineLevel="0" collapsed="false">
      <c r="A1835" s="8" t="n">
        <v>1834</v>
      </c>
      <c r="B1835" s="8" t="s">
        <v>199</v>
      </c>
      <c r="C1835" s="8" t="s">
        <v>21</v>
      </c>
      <c r="D1835" s="9" t="n">
        <v>44366</v>
      </c>
      <c r="E1835" s="10" t="n">
        <v>-3869.71</v>
      </c>
      <c r="F1835" s="8" t="s">
        <v>34</v>
      </c>
      <c r="G1835" s="8" t="s">
        <v>12</v>
      </c>
      <c r="H1835" s="11" t="s">
        <v>13</v>
      </c>
      <c r="I1835" s="8" t="s">
        <v>19</v>
      </c>
    </row>
    <row r="1836" customFormat="false" ht="14.25" hidden="false" customHeight="false" outlineLevel="0" collapsed="false">
      <c r="A1836" s="8" t="n">
        <v>1835</v>
      </c>
      <c r="B1836" s="8" t="s">
        <v>125</v>
      </c>
      <c r="C1836" s="8" t="s">
        <v>21</v>
      </c>
      <c r="D1836" s="9" t="n">
        <v>44366</v>
      </c>
      <c r="E1836" s="10" t="n">
        <v>-6968.68</v>
      </c>
      <c r="F1836" s="8" t="s">
        <v>34</v>
      </c>
      <c r="G1836" s="8" t="s">
        <v>22</v>
      </c>
      <c r="H1836" s="11" t="s">
        <v>23</v>
      </c>
      <c r="I1836" s="8" t="s">
        <v>14</v>
      </c>
    </row>
    <row r="1837" customFormat="false" ht="14.25" hidden="false" customHeight="false" outlineLevel="0" collapsed="false">
      <c r="A1837" s="8" t="n">
        <v>1836</v>
      </c>
      <c r="B1837" s="8" t="s">
        <v>200</v>
      </c>
      <c r="C1837" s="8" t="s">
        <v>21</v>
      </c>
      <c r="D1837" s="9" t="n">
        <v>44366</v>
      </c>
      <c r="E1837" s="10" t="n">
        <v>-11749.78</v>
      </c>
      <c r="F1837" s="8" t="s">
        <v>34</v>
      </c>
      <c r="G1837" s="8" t="s">
        <v>12</v>
      </c>
      <c r="H1837" s="11" t="s">
        <v>13</v>
      </c>
      <c r="I1837" s="8" t="s">
        <v>26</v>
      </c>
    </row>
    <row r="1838" customFormat="false" ht="14.25" hidden="false" customHeight="false" outlineLevel="0" collapsed="false">
      <c r="A1838" s="8" t="n">
        <v>1837</v>
      </c>
      <c r="B1838" s="8" t="s">
        <v>116</v>
      </c>
      <c r="C1838" s="8" t="s">
        <v>16</v>
      </c>
      <c r="D1838" s="9" t="n">
        <v>44366</v>
      </c>
      <c r="E1838" s="10" t="n">
        <v>-2741.97</v>
      </c>
      <c r="F1838" s="8" t="s">
        <v>34</v>
      </c>
      <c r="G1838" s="8" t="s">
        <v>12</v>
      </c>
      <c r="H1838" s="11" t="s">
        <v>13</v>
      </c>
      <c r="I1838" s="8" t="s">
        <v>19</v>
      </c>
    </row>
    <row r="1839" customFormat="false" ht="14.25" hidden="false" customHeight="false" outlineLevel="0" collapsed="false">
      <c r="A1839" s="8" t="n">
        <v>1838</v>
      </c>
      <c r="B1839" s="8" t="s">
        <v>201</v>
      </c>
      <c r="C1839" s="8" t="s">
        <v>16</v>
      </c>
      <c r="D1839" s="9" t="n">
        <v>44366</v>
      </c>
      <c r="E1839" s="10" t="n">
        <v>-36921.54</v>
      </c>
      <c r="F1839" s="8" t="s">
        <v>34</v>
      </c>
      <c r="G1839" s="8" t="s">
        <v>12</v>
      </c>
      <c r="H1839" s="11" t="s">
        <v>13</v>
      </c>
      <c r="I1839" s="8" t="s">
        <v>14</v>
      </c>
    </row>
    <row r="1840" customFormat="false" ht="14.25" hidden="false" customHeight="false" outlineLevel="0" collapsed="false">
      <c r="A1840" s="8" t="n">
        <v>1839</v>
      </c>
      <c r="B1840" s="8" t="s">
        <v>145</v>
      </c>
      <c r="C1840" s="8" t="s">
        <v>16</v>
      </c>
      <c r="D1840" s="9" t="n">
        <v>44366</v>
      </c>
      <c r="E1840" s="10" t="n">
        <v>-8818.04</v>
      </c>
      <c r="F1840" s="8" t="s">
        <v>34</v>
      </c>
      <c r="G1840" s="8" t="s">
        <v>30</v>
      </c>
      <c r="H1840" s="11" t="s">
        <v>31</v>
      </c>
      <c r="I1840" s="8" t="s">
        <v>24</v>
      </c>
    </row>
    <row r="1841" customFormat="false" ht="14.25" hidden="false" customHeight="false" outlineLevel="0" collapsed="false">
      <c r="A1841" s="8" t="n">
        <v>1840</v>
      </c>
      <c r="B1841" s="8" t="s">
        <v>29</v>
      </c>
      <c r="C1841" s="8" t="s">
        <v>10</v>
      </c>
      <c r="D1841" s="9" t="n">
        <v>44367</v>
      </c>
      <c r="E1841" s="10" t="n">
        <v>-8377.08</v>
      </c>
      <c r="F1841" s="8" t="s">
        <v>34</v>
      </c>
      <c r="G1841" s="8" t="s">
        <v>36</v>
      </c>
      <c r="H1841" s="11" t="s">
        <v>37</v>
      </c>
      <c r="I1841" s="8" t="s">
        <v>19</v>
      </c>
    </row>
    <row r="1842" customFormat="false" ht="14.25" hidden="false" customHeight="false" outlineLevel="0" collapsed="false">
      <c r="A1842" s="8" t="n">
        <v>1841</v>
      </c>
      <c r="B1842" s="8" t="s">
        <v>202</v>
      </c>
      <c r="C1842" s="8" t="s">
        <v>16</v>
      </c>
      <c r="D1842" s="9" t="n">
        <v>44367</v>
      </c>
      <c r="E1842" s="10" t="n">
        <v>-8720.81</v>
      </c>
      <c r="F1842" s="8" t="s">
        <v>34</v>
      </c>
      <c r="G1842" s="8" t="s">
        <v>17</v>
      </c>
      <c r="H1842" s="11" t="s">
        <v>18</v>
      </c>
      <c r="I1842" s="8" t="s">
        <v>24</v>
      </c>
    </row>
    <row r="1843" customFormat="false" ht="14.25" hidden="false" customHeight="false" outlineLevel="0" collapsed="false">
      <c r="A1843" s="8" t="n">
        <v>1842</v>
      </c>
      <c r="B1843" s="8" t="s">
        <v>203</v>
      </c>
      <c r="C1843" s="8" t="s">
        <v>10</v>
      </c>
      <c r="D1843" s="9" t="n">
        <v>44367</v>
      </c>
      <c r="E1843" s="10" t="n">
        <v>7552.76</v>
      </c>
      <c r="F1843" s="8" t="s">
        <v>11</v>
      </c>
      <c r="G1843" s="8" t="s">
        <v>12</v>
      </c>
      <c r="H1843" s="11" t="s">
        <v>13</v>
      </c>
      <c r="I1843" s="8" t="s">
        <v>26</v>
      </c>
    </row>
    <row r="1844" customFormat="false" ht="14.25" hidden="false" customHeight="false" outlineLevel="0" collapsed="false">
      <c r="A1844" s="8" t="n">
        <v>1843</v>
      </c>
      <c r="B1844" s="8" t="s">
        <v>204</v>
      </c>
      <c r="C1844" s="8" t="s">
        <v>10</v>
      </c>
      <c r="D1844" s="9" t="n">
        <v>44367</v>
      </c>
      <c r="E1844" s="10" t="n">
        <v>-3056.76</v>
      </c>
      <c r="F1844" s="8" t="s">
        <v>34</v>
      </c>
      <c r="G1844" s="8" t="s">
        <v>12</v>
      </c>
      <c r="H1844" s="11" t="s">
        <v>13</v>
      </c>
      <c r="I1844" s="8" t="s">
        <v>19</v>
      </c>
    </row>
    <row r="1845" customFormat="false" ht="14.25" hidden="false" customHeight="false" outlineLevel="0" collapsed="false">
      <c r="A1845" s="8" t="n">
        <v>1844</v>
      </c>
      <c r="B1845" s="8" t="s">
        <v>145</v>
      </c>
      <c r="C1845" s="8" t="s">
        <v>10</v>
      </c>
      <c r="D1845" s="9" t="n">
        <v>44367</v>
      </c>
      <c r="E1845" s="10" t="n">
        <v>-1662.19</v>
      </c>
      <c r="F1845" s="8" t="s">
        <v>34</v>
      </c>
      <c r="G1845" s="8" t="s">
        <v>36</v>
      </c>
      <c r="H1845" s="11" t="s">
        <v>37</v>
      </c>
      <c r="I1845" s="8" t="s">
        <v>26</v>
      </c>
    </row>
    <row r="1846" customFormat="false" ht="14.25" hidden="false" customHeight="false" outlineLevel="0" collapsed="false">
      <c r="A1846" s="8" t="n">
        <v>1845</v>
      </c>
      <c r="B1846" s="8" t="s">
        <v>145</v>
      </c>
      <c r="C1846" s="8" t="s">
        <v>21</v>
      </c>
      <c r="D1846" s="9" t="n">
        <v>44367</v>
      </c>
      <c r="E1846" s="10" t="n">
        <v>-2242.98</v>
      </c>
      <c r="F1846" s="8" t="s">
        <v>34</v>
      </c>
      <c r="G1846" s="8" t="s">
        <v>36</v>
      </c>
      <c r="H1846" s="11" t="s">
        <v>37</v>
      </c>
      <c r="I1846" s="8" t="s">
        <v>14</v>
      </c>
    </row>
    <row r="1847" customFormat="false" ht="14.25" hidden="false" customHeight="false" outlineLevel="0" collapsed="false">
      <c r="A1847" s="8" t="n">
        <v>1846</v>
      </c>
      <c r="B1847" s="8" t="s">
        <v>189</v>
      </c>
      <c r="C1847" s="8" t="s">
        <v>16</v>
      </c>
      <c r="D1847" s="9" t="n">
        <v>44368</v>
      </c>
      <c r="E1847" s="10" t="n">
        <v>-487.31</v>
      </c>
      <c r="F1847" s="8" t="s">
        <v>34</v>
      </c>
      <c r="G1847" s="8" t="s">
        <v>12</v>
      </c>
      <c r="H1847" s="11" t="s">
        <v>13</v>
      </c>
      <c r="I1847" s="8" t="s">
        <v>24</v>
      </c>
    </row>
    <row r="1848" customFormat="false" ht="14.25" hidden="false" customHeight="false" outlineLevel="0" collapsed="false">
      <c r="A1848" s="8" t="n">
        <v>1847</v>
      </c>
      <c r="B1848" s="8" t="s">
        <v>50</v>
      </c>
      <c r="C1848" s="8" t="s">
        <v>16</v>
      </c>
      <c r="D1848" s="9" t="n">
        <v>44368</v>
      </c>
      <c r="E1848" s="10" t="n">
        <v>-2856.63</v>
      </c>
      <c r="F1848" s="8" t="s">
        <v>34</v>
      </c>
      <c r="G1848" s="8" t="s">
        <v>12</v>
      </c>
      <c r="H1848" s="11" t="s">
        <v>13</v>
      </c>
      <c r="I1848" s="8" t="s">
        <v>26</v>
      </c>
    </row>
    <row r="1849" customFormat="false" ht="14.25" hidden="false" customHeight="false" outlineLevel="0" collapsed="false">
      <c r="A1849" s="8" t="n">
        <v>1848</v>
      </c>
      <c r="B1849" s="8" t="s">
        <v>129</v>
      </c>
      <c r="C1849" s="8" t="s">
        <v>16</v>
      </c>
      <c r="D1849" s="9" t="n">
        <v>44368</v>
      </c>
      <c r="E1849" s="10" t="n">
        <v>-1600.34</v>
      </c>
      <c r="F1849" s="8" t="s">
        <v>34</v>
      </c>
      <c r="G1849" s="8" t="s">
        <v>17</v>
      </c>
      <c r="H1849" s="11" t="s">
        <v>18</v>
      </c>
      <c r="I1849" s="8" t="s">
        <v>26</v>
      </c>
    </row>
    <row r="1850" customFormat="false" ht="14.25" hidden="false" customHeight="false" outlineLevel="0" collapsed="false">
      <c r="A1850" s="8" t="n">
        <v>1849</v>
      </c>
      <c r="B1850" s="8" t="s">
        <v>165</v>
      </c>
      <c r="C1850" s="8" t="s">
        <v>21</v>
      </c>
      <c r="D1850" s="9" t="n">
        <v>44368</v>
      </c>
      <c r="E1850" s="10" t="n">
        <v>-608.34</v>
      </c>
      <c r="F1850" s="8" t="s">
        <v>34</v>
      </c>
      <c r="G1850" s="8" t="s">
        <v>12</v>
      </c>
      <c r="H1850" s="11" t="s">
        <v>13</v>
      </c>
      <c r="I1850" s="8" t="s">
        <v>14</v>
      </c>
    </row>
    <row r="1851" customFormat="false" ht="14.25" hidden="false" customHeight="false" outlineLevel="0" collapsed="false">
      <c r="A1851" s="8" t="n">
        <v>1850</v>
      </c>
      <c r="B1851" s="8" t="s">
        <v>205</v>
      </c>
      <c r="C1851" s="8" t="s">
        <v>21</v>
      </c>
      <c r="D1851" s="9" t="n">
        <v>44368</v>
      </c>
      <c r="E1851" s="10" t="n">
        <v>-12812.87</v>
      </c>
      <c r="F1851" s="8" t="s">
        <v>34</v>
      </c>
      <c r="G1851" s="8" t="s">
        <v>36</v>
      </c>
      <c r="H1851" s="11" t="s">
        <v>37</v>
      </c>
      <c r="I1851" s="8" t="s">
        <v>26</v>
      </c>
    </row>
    <row r="1852" customFormat="false" ht="14.25" hidden="false" customHeight="false" outlineLevel="0" collapsed="false">
      <c r="A1852" s="8" t="n">
        <v>1851</v>
      </c>
      <c r="B1852" s="8" t="s">
        <v>206</v>
      </c>
      <c r="C1852" s="8" t="s">
        <v>10</v>
      </c>
      <c r="D1852" s="9" t="n">
        <v>44368</v>
      </c>
      <c r="E1852" s="10" t="n">
        <v>161998.95</v>
      </c>
      <c r="F1852" s="8" t="s">
        <v>11</v>
      </c>
      <c r="G1852" s="8" t="s">
        <v>12</v>
      </c>
      <c r="H1852" s="11" t="s">
        <v>13</v>
      </c>
      <c r="I1852" s="8" t="s">
        <v>26</v>
      </c>
    </row>
    <row r="1853" customFormat="false" ht="14.25" hidden="false" customHeight="false" outlineLevel="0" collapsed="false">
      <c r="A1853" s="8" t="n">
        <v>1852</v>
      </c>
      <c r="B1853" s="8" t="s">
        <v>145</v>
      </c>
      <c r="C1853" s="8" t="s">
        <v>10</v>
      </c>
      <c r="D1853" s="9" t="n">
        <v>44368</v>
      </c>
      <c r="E1853" s="10" t="n">
        <v>-10634.51</v>
      </c>
      <c r="F1853" s="8" t="s">
        <v>34</v>
      </c>
      <c r="G1853" s="8" t="s">
        <v>22</v>
      </c>
      <c r="H1853" s="11" t="s">
        <v>23</v>
      </c>
      <c r="I1853" s="8" t="s">
        <v>26</v>
      </c>
    </row>
    <row r="1854" customFormat="false" ht="14.25" hidden="false" customHeight="false" outlineLevel="0" collapsed="false">
      <c r="A1854" s="8" t="n">
        <v>1853</v>
      </c>
      <c r="B1854" s="8" t="s">
        <v>15</v>
      </c>
      <c r="C1854" s="8" t="s">
        <v>21</v>
      </c>
      <c r="D1854" s="9" t="n">
        <v>44368</v>
      </c>
      <c r="E1854" s="10" t="n">
        <v>2509.2</v>
      </c>
      <c r="F1854" s="8" t="s">
        <v>11</v>
      </c>
      <c r="G1854" s="8" t="s">
        <v>17</v>
      </c>
      <c r="H1854" s="11" t="s">
        <v>18</v>
      </c>
      <c r="I1854" s="8" t="s">
        <v>14</v>
      </c>
    </row>
    <row r="1855" customFormat="false" ht="14.25" hidden="false" customHeight="false" outlineLevel="0" collapsed="false">
      <c r="A1855" s="8" t="n">
        <v>1854</v>
      </c>
      <c r="B1855" s="8" t="s">
        <v>15</v>
      </c>
      <c r="C1855" s="8" t="s">
        <v>10</v>
      </c>
      <c r="D1855" s="9" t="n">
        <v>44368</v>
      </c>
      <c r="E1855" s="10" t="n">
        <v>2439.5</v>
      </c>
      <c r="F1855" s="8" t="s">
        <v>11</v>
      </c>
      <c r="G1855" s="8" t="s">
        <v>12</v>
      </c>
      <c r="H1855" s="11" t="s">
        <v>13</v>
      </c>
      <c r="I1855" s="8" t="s">
        <v>26</v>
      </c>
    </row>
    <row r="1856" customFormat="false" ht="14.25" hidden="false" customHeight="false" outlineLevel="0" collapsed="false">
      <c r="A1856" s="8" t="n">
        <v>1855</v>
      </c>
      <c r="B1856" s="8" t="s">
        <v>57</v>
      </c>
      <c r="C1856" s="8" t="s">
        <v>16</v>
      </c>
      <c r="D1856" s="9" t="n">
        <v>44369</v>
      </c>
      <c r="E1856" s="10" t="n">
        <v>2439.5</v>
      </c>
      <c r="F1856" s="8" t="s">
        <v>11</v>
      </c>
      <c r="G1856" s="8" t="s">
        <v>17</v>
      </c>
      <c r="H1856" s="11" t="s">
        <v>18</v>
      </c>
      <c r="I1856" s="8" t="s">
        <v>14</v>
      </c>
    </row>
    <row r="1857" customFormat="false" ht="14.25" hidden="false" customHeight="false" outlineLevel="0" collapsed="false">
      <c r="A1857" s="8" t="n">
        <v>1856</v>
      </c>
      <c r="B1857" s="8" t="s">
        <v>44</v>
      </c>
      <c r="C1857" s="8" t="s">
        <v>28</v>
      </c>
      <c r="D1857" s="9" t="n">
        <v>44369</v>
      </c>
      <c r="E1857" s="10" t="n">
        <v>2509.2</v>
      </c>
      <c r="F1857" s="8" t="s">
        <v>11</v>
      </c>
      <c r="G1857" s="8" t="s">
        <v>17</v>
      </c>
      <c r="H1857" s="11" t="s">
        <v>18</v>
      </c>
      <c r="I1857" s="8" t="s">
        <v>14</v>
      </c>
    </row>
    <row r="1858" customFormat="false" ht="14.25" hidden="false" customHeight="false" outlineLevel="0" collapsed="false">
      <c r="A1858" s="8" t="n">
        <v>1857</v>
      </c>
      <c r="B1858" s="8" t="s">
        <v>45</v>
      </c>
      <c r="C1858" s="8" t="s">
        <v>16</v>
      </c>
      <c r="D1858" s="9" t="n">
        <v>44369</v>
      </c>
      <c r="E1858" s="10" t="n">
        <v>2439.5</v>
      </c>
      <c r="F1858" s="8" t="s">
        <v>11</v>
      </c>
      <c r="G1858" s="8" t="s">
        <v>12</v>
      </c>
      <c r="H1858" s="11" t="s">
        <v>13</v>
      </c>
      <c r="I1858" s="8" t="s">
        <v>26</v>
      </c>
    </row>
    <row r="1859" customFormat="false" ht="14.25" hidden="false" customHeight="false" outlineLevel="0" collapsed="false">
      <c r="A1859" s="8" t="n">
        <v>1858</v>
      </c>
      <c r="B1859" s="8" t="s">
        <v>57</v>
      </c>
      <c r="C1859" s="8" t="s">
        <v>28</v>
      </c>
      <c r="D1859" s="9" t="n">
        <v>44369</v>
      </c>
      <c r="E1859" s="10" t="n">
        <v>3833.5</v>
      </c>
      <c r="F1859" s="8" t="s">
        <v>11</v>
      </c>
      <c r="G1859" s="8" t="s">
        <v>12</v>
      </c>
      <c r="H1859" s="11" t="s">
        <v>13</v>
      </c>
      <c r="I1859" s="8" t="s">
        <v>26</v>
      </c>
    </row>
    <row r="1860" customFormat="false" ht="14.25" hidden="false" customHeight="false" outlineLevel="0" collapsed="false">
      <c r="A1860" s="8" t="n">
        <v>1859</v>
      </c>
      <c r="B1860" s="8" t="s">
        <v>44</v>
      </c>
      <c r="C1860" s="8" t="s">
        <v>10</v>
      </c>
      <c r="D1860" s="9" t="n">
        <v>44369</v>
      </c>
      <c r="E1860" s="10" t="n">
        <v>2439.5</v>
      </c>
      <c r="F1860" s="8" t="s">
        <v>11</v>
      </c>
      <c r="G1860" s="8" t="s">
        <v>36</v>
      </c>
      <c r="H1860" s="11" t="s">
        <v>37</v>
      </c>
      <c r="I1860" s="8" t="s">
        <v>24</v>
      </c>
    </row>
    <row r="1861" customFormat="false" ht="14.25" hidden="false" customHeight="false" outlineLevel="0" collapsed="false">
      <c r="A1861" s="8" t="n">
        <v>1860</v>
      </c>
      <c r="B1861" s="8" t="s">
        <v>45</v>
      </c>
      <c r="C1861" s="8" t="s">
        <v>28</v>
      </c>
      <c r="D1861" s="9" t="n">
        <v>44369</v>
      </c>
      <c r="E1861" s="10" t="n">
        <v>3833.5</v>
      </c>
      <c r="F1861" s="8" t="s">
        <v>11</v>
      </c>
      <c r="G1861" s="8" t="s">
        <v>12</v>
      </c>
      <c r="H1861" s="11" t="s">
        <v>13</v>
      </c>
      <c r="I1861" s="8" t="s">
        <v>26</v>
      </c>
    </row>
    <row r="1862" customFormat="false" ht="14.25" hidden="false" customHeight="false" outlineLevel="0" collapsed="false">
      <c r="A1862" s="8" t="n">
        <v>1861</v>
      </c>
      <c r="B1862" s="8" t="s">
        <v>49</v>
      </c>
      <c r="C1862" s="8" t="s">
        <v>16</v>
      </c>
      <c r="D1862" s="9" t="n">
        <v>44369</v>
      </c>
      <c r="E1862" s="10" t="n">
        <v>133415.02</v>
      </c>
      <c r="F1862" s="8" t="s">
        <v>11</v>
      </c>
      <c r="G1862" s="8" t="s">
        <v>17</v>
      </c>
      <c r="H1862" s="11" t="s">
        <v>18</v>
      </c>
      <c r="I1862" s="8" t="s">
        <v>14</v>
      </c>
    </row>
    <row r="1863" customFormat="false" ht="14.25" hidden="false" customHeight="false" outlineLevel="0" collapsed="false">
      <c r="A1863" s="8" t="n">
        <v>1862</v>
      </c>
      <c r="B1863" s="8" t="s">
        <v>85</v>
      </c>
      <c r="C1863" s="8" t="s">
        <v>28</v>
      </c>
      <c r="D1863" s="9" t="n">
        <v>44372</v>
      </c>
      <c r="E1863" s="10" t="n">
        <v>-1972.78</v>
      </c>
      <c r="F1863" s="8" t="s">
        <v>34</v>
      </c>
      <c r="G1863" s="8" t="s">
        <v>12</v>
      </c>
      <c r="H1863" s="11" t="s">
        <v>13</v>
      </c>
      <c r="I1863" s="8" t="s">
        <v>24</v>
      </c>
    </row>
    <row r="1864" customFormat="false" ht="14.25" hidden="false" customHeight="false" outlineLevel="0" collapsed="false">
      <c r="A1864" s="8" t="n">
        <v>1863</v>
      </c>
      <c r="B1864" s="8" t="s">
        <v>77</v>
      </c>
      <c r="C1864" s="8" t="s">
        <v>16</v>
      </c>
      <c r="D1864" s="9" t="n">
        <v>44372</v>
      </c>
      <c r="E1864" s="10" t="n">
        <v>-1915.87</v>
      </c>
      <c r="F1864" s="8" t="s">
        <v>34</v>
      </c>
      <c r="G1864" s="8" t="s">
        <v>22</v>
      </c>
      <c r="H1864" s="11" t="s">
        <v>23</v>
      </c>
      <c r="I1864" s="8" t="s">
        <v>19</v>
      </c>
    </row>
    <row r="1865" customFormat="false" ht="14.25" hidden="false" customHeight="false" outlineLevel="0" collapsed="false">
      <c r="A1865" s="8" t="n">
        <v>1864</v>
      </c>
      <c r="B1865" s="8" t="s">
        <v>61</v>
      </c>
      <c r="C1865" s="8" t="s">
        <v>21</v>
      </c>
      <c r="D1865" s="9" t="n">
        <v>44372</v>
      </c>
      <c r="E1865" s="10" t="n">
        <v>-9658.11</v>
      </c>
      <c r="F1865" s="8" t="s">
        <v>34</v>
      </c>
      <c r="G1865" s="8" t="s">
        <v>17</v>
      </c>
      <c r="H1865" s="11" t="s">
        <v>18</v>
      </c>
      <c r="I1865" s="8" t="s">
        <v>24</v>
      </c>
    </row>
    <row r="1866" customFormat="false" ht="14.25" hidden="false" customHeight="false" outlineLevel="0" collapsed="false">
      <c r="A1866" s="8" t="n">
        <v>1865</v>
      </c>
      <c r="B1866" s="8" t="s">
        <v>62</v>
      </c>
      <c r="C1866" s="8" t="s">
        <v>21</v>
      </c>
      <c r="D1866" s="9" t="n">
        <v>44372</v>
      </c>
      <c r="E1866" s="10" t="n">
        <v>-3615.15</v>
      </c>
      <c r="F1866" s="8" t="s">
        <v>34</v>
      </c>
      <c r="G1866" s="8" t="s">
        <v>12</v>
      </c>
      <c r="H1866" s="11" t="s">
        <v>13</v>
      </c>
      <c r="I1866" s="8" t="s">
        <v>26</v>
      </c>
    </row>
    <row r="1867" customFormat="false" ht="14.25" hidden="false" customHeight="false" outlineLevel="0" collapsed="false">
      <c r="A1867" s="8" t="n">
        <v>1866</v>
      </c>
      <c r="B1867" s="8" t="s">
        <v>61</v>
      </c>
      <c r="C1867" s="8" t="s">
        <v>10</v>
      </c>
      <c r="D1867" s="9" t="n">
        <v>44372</v>
      </c>
      <c r="E1867" s="10" t="n">
        <v>-3184.55</v>
      </c>
      <c r="F1867" s="8" t="s">
        <v>34</v>
      </c>
      <c r="G1867" s="8" t="s">
        <v>12</v>
      </c>
      <c r="H1867" s="11" t="s">
        <v>13</v>
      </c>
      <c r="I1867" s="8" t="s">
        <v>26</v>
      </c>
    </row>
    <row r="1868" customFormat="false" ht="14.25" hidden="false" customHeight="false" outlineLevel="0" collapsed="false">
      <c r="A1868" s="8" t="n">
        <v>1867</v>
      </c>
      <c r="B1868" s="8" t="s">
        <v>62</v>
      </c>
      <c r="C1868" s="8" t="s">
        <v>10</v>
      </c>
      <c r="D1868" s="9" t="n">
        <v>44372</v>
      </c>
      <c r="E1868" s="10" t="n">
        <v>170292.67</v>
      </c>
      <c r="F1868" s="8" t="s">
        <v>11</v>
      </c>
      <c r="G1868" s="8" t="s">
        <v>22</v>
      </c>
      <c r="H1868" s="11" t="s">
        <v>23</v>
      </c>
      <c r="I1868" s="8" t="s">
        <v>26</v>
      </c>
    </row>
    <row r="1869" customFormat="false" ht="14.25" hidden="false" customHeight="false" outlineLevel="0" collapsed="false">
      <c r="A1869" s="8" t="n">
        <v>1868</v>
      </c>
      <c r="B1869" s="8" t="s">
        <v>61</v>
      </c>
      <c r="C1869" s="8" t="s">
        <v>28</v>
      </c>
      <c r="D1869" s="9" t="n">
        <v>44372</v>
      </c>
      <c r="E1869" s="10" t="n">
        <v>-7082.71</v>
      </c>
      <c r="F1869" s="8" t="s">
        <v>34</v>
      </c>
      <c r="G1869" s="8" t="s">
        <v>36</v>
      </c>
      <c r="H1869" s="11" t="s">
        <v>37</v>
      </c>
      <c r="I1869" s="8" t="s">
        <v>26</v>
      </c>
    </row>
    <row r="1870" customFormat="false" ht="14.25" hidden="false" customHeight="false" outlineLevel="0" collapsed="false">
      <c r="A1870" s="8" t="n">
        <v>1869</v>
      </c>
      <c r="B1870" s="8" t="s">
        <v>62</v>
      </c>
      <c r="C1870" s="8" t="s">
        <v>16</v>
      </c>
      <c r="D1870" s="9" t="n">
        <v>44372</v>
      </c>
      <c r="E1870" s="10" t="n">
        <v>-3045.63</v>
      </c>
      <c r="F1870" s="8" t="s">
        <v>34</v>
      </c>
      <c r="G1870" s="8" t="s">
        <v>17</v>
      </c>
      <c r="H1870" s="11" t="s">
        <v>18</v>
      </c>
      <c r="I1870" s="8" t="s">
        <v>26</v>
      </c>
    </row>
    <row r="1871" customFormat="false" ht="14.25" hidden="false" customHeight="false" outlineLevel="0" collapsed="false">
      <c r="A1871" s="8" t="n">
        <v>1870</v>
      </c>
      <c r="B1871" s="8" t="s">
        <v>61</v>
      </c>
      <c r="C1871" s="8" t="s">
        <v>21</v>
      </c>
      <c r="D1871" s="9" t="n">
        <v>44372</v>
      </c>
      <c r="E1871" s="10" t="n">
        <v>2110.13</v>
      </c>
      <c r="F1871" s="8" t="s">
        <v>11</v>
      </c>
      <c r="G1871" s="8" t="s">
        <v>17</v>
      </c>
      <c r="H1871" s="11" t="s">
        <v>18</v>
      </c>
      <c r="I1871" s="8" t="s">
        <v>14</v>
      </c>
    </row>
    <row r="1872" customFormat="false" ht="14.25" hidden="false" customHeight="false" outlineLevel="0" collapsed="false">
      <c r="A1872" s="8" t="n">
        <v>1871</v>
      </c>
      <c r="B1872" s="8" t="s">
        <v>62</v>
      </c>
      <c r="C1872" s="8" t="s">
        <v>28</v>
      </c>
      <c r="D1872" s="9" t="n">
        <v>44372</v>
      </c>
      <c r="E1872" s="10" t="n">
        <v>-2188.41</v>
      </c>
      <c r="F1872" s="8" t="s">
        <v>34</v>
      </c>
      <c r="G1872" s="8" t="s">
        <v>17</v>
      </c>
      <c r="H1872" s="11" t="s">
        <v>18</v>
      </c>
      <c r="I1872" s="8" t="s">
        <v>14</v>
      </c>
    </row>
    <row r="1873" customFormat="false" ht="14.25" hidden="false" customHeight="false" outlineLevel="0" collapsed="false">
      <c r="A1873" s="8" t="n">
        <v>1872</v>
      </c>
      <c r="B1873" s="8" t="s">
        <v>61</v>
      </c>
      <c r="C1873" s="8" t="s">
        <v>16</v>
      </c>
      <c r="D1873" s="9" t="n">
        <v>44372</v>
      </c>
      <c r="E1873" s="10" t="n">
        <v>-40383.35</v>
      </c>
      <c r="F1873" s="8" t="s">
        <v>34</v>
      </c>
      <c r="G1873" s="8" t="s">
        <v>12</v>
      </c>
      <c r="H1873" s="11" t="s">
        <v>13</v>
      </c>
      <c r="I1873" s="8" t="s">
        <v>14</v>
      </c>
    </row>
    <row r="1874" customFormat="false" ht="14.25" hidden="false" customHeight="false" outlineLevel="0" collapsed="false">
      <c r="A1874" s="8" t="n">
        <v>1873</v>
      </c>
      <c r="B1874" s="8" t="s">
        <v>62</v>
      </c>
      <c r="C1874" s="8" t="s">
        <v>21</v>
      </c>
      <c r="D1874" s="9" t="n">
        <v>44372</v>
      </c>
      <c r="E1874" s="10" t="n">
        <v>-41889.75</v>
      </c>
      <c r="F1874" s="8" t="s">
        <v>34</v>
      </c>
      <c r="G1874" s="8" t="s">
        <v>22</v>
      </c>
      <c r="H1874" s="11" t="s">
        <v>23</v>
      </c>
      <c r="I1874" s="8" t="s">
        <v>24</v>
      </c>
    </row>
    <row r="1875" customFormat="false" ht="14.25" hidden="false" customHeight="false" outlineLevel="0" collapsed="false">
      <c r="A1875" s="8" t="n">
        <v>1874</v>
      </c>
      <c r="B1875" s="8" t="s">
        <v>101</v>
      </c>
      <c r="C1875" s="8" t="s">
        <v>10</v>
      </c>
      <c r="D1875" s="9" t="n">
        <v>44373</v>
      </c>
      <c r="E1875" s="10" t="n">
        <v>-9328.38</v>
      </c>
      <c r="F1875" s="8" t="s">
        <v>34</v>
      </c>
      <c r="G1875" s="8" t="s">
        <v>22</v>
      </c>
      <c r="H1875" s="11" t="s">
        <v>23</v>
      </c>
      <c r="I1875" s="8" t="s">
        <v>24</v>
      </c>
    </row>
    <row r="1876" customFormat="false" ht="14.25" hidden="false" customHeight="false" outlineLevel="0" collapsed="false">
      <c r="A1876" s="8" t="n">
        <v>1875</v>
      </c>
      <c r="B1876" s="8" t="s">
        <v>165</v>
      </c>
      <c r="C1876" s="8" t="s">
        <v>21</v>
      </c>
      <c r="D1876" s="9" t="n">
        <v>44373</v>
      </c>
      <c r="E1876" s="10" t="n">
        <v>139711.6</v>
      </c>
      <c r="F1876" s="8" t="s">
        <v>11</v>
      </c>
      <c r="G1876" s="8" t="s">
        <v>17</v>
      </c>
      <c r="H1876" s="11" t="s">
        <v>18</v>
      </c>
      <c r="I1876" s="8" t="s">
        <v>14</v>
      </c>
    </row>
    <row r="1877" customFormat="false" ht="14.25" hidden="false" customHeight="false" outlineLevel="0" collapsed="false">
      <c r="A1877" s="8" t="n">
        <v>1876</v>
      </c>
      <c r="B1877" s="8" t="s">
        <v>162</v>
      </c>
      <c r="C1877" s="8" t="s">
        <v>28</v>
      </c>
      <c r="D1877" s="9" t="n">
        <v>44373</v>
      </c>
      <c r="E1877" s="10" t="n">
        <v>129254.79</v>
      </c>
      <c r="F1877" s="8" t="s">
        <v>11</v>
      </c>
      <c r="G1877" s="8" t="s">
        <v>17</v>
      </c>
      <c r="H1877" s="11" t="s">
        <v>18</v>
      </c>
      <c r="I1877" s="8" t="s">
        <v>14</v>
      </c>
    </row>
    <row r="1878" customFormat="false" ht="14.25" hidden="false" customHeight="false" outlineLevel="0" collapsed="false">
      <c r="A1878" s="8" t="n">
        <v>1877</v>
      </c>
      <c r="B1878" s="8" t="s">
        <v>171</v>
      </c>
      <c r="C1878" s="8" t="s">
        <v>21</v>
      </c>
      <c r="D1878" s="9" t="n">
        <v>44373</v>
      </c>
      <c r="E1878" s="10" t="n">
        <v>11456.64</v>
      </c>
      <c r="F1878" s="8" t="s">
        <v>11</v>
      </c>
      <c r="G1878" s="8" t="s">
        <v>22</v>
      </c>
      <c r="H1878" s="11" t="s">
        <v>23</v>
      </c>
      <c r="I1878" s="8" t="s">
        <v>14</v>
      </c>
    </row>
    <row r="1879" customFormat="false" ht="14.25" hidden="false" customHeight="false" outlineLevel="0" collapsed="false">
      <c r="A1879" s="8" t="n">
        <v>1878</v>
      </c>
      <c r="B1879" s="8" t="s">
        <v>73</v>
      </c>
      <c r="C1879" s="8" t="s">
        <v>10</v>
      </c>
      <c r="D1879" s="9" t="n">
        <v>44374</v>
      </c>
      <c r="E1879" s="10" t="n">
        <v>11456.64</v>
      </c>
      <c r="F1879" s="8" t="s">
        <v>11</v>
      </c>
      <c r="G1879" s="8" t="s">
        <v>36</v>
      </c>
      <c r="H1879" s="11" t="s">
        <v>37</v>
      </c>
      <c r="I1879" s="8" t="s">
        <v>26</v>
      </c>
    </row>
    <row r="1880" customFormat="false" ht="14.25" hidden="false" customHeight="false" outlineLevel="0" collapsed="false">
      <c r="A1880" s="8" t="n">
        <v>1879</v>
      </c>
      <c r="B1880" s="8" t="s">
        <v>73</v>
      </c>
      <c r="C1880" s="8" t="s">
        <v>21</v>
      </c>
      <c r="D1880" s="9" t="n">
        <v>44374</v>
      </c>
      <c r="E1880" s="10" t="n">
        <v>11456.64</v>
      </c>
      <c r="F1880" s="8" t="s">
        <v>11</v>
      </c>
      <c r="G1880" s="8" t="s">
        <v>17</v>
      </c>
      <c r="H1880" s="11" t="s">
        <v>18</v>
      </c>
      <c r="I1880" s="8" t="s">
        <v>26</v>
      </c>
    </row>
    <row r="1881" customFormat="false" ht="14.25" hidden="false" customHeight="false" outlineLevel="0" collapsed="false">
      <c r="A1881" s="8" t="n">
        <v>1880</v>
      </c>
      <c r="B1881" s="8" t="s">
        <v>39</v>
      </c>
      <c r="C1881" s="8" t="s">
        <v>21</v>
      </c>
      <c r="D1881" s="9" t="n">
        <v>44374</v>
      </c>
      <c r="E1881" s="10" t="n">
        <v>11456.64</v>
      </c>
      <c r="F1881" s="8" t="s">
        <v>11</v>
      </c>
      <c r="G1881" s="8" t="s">
        <v>36</v>
      </c>
      <c r="H1881" s="11" t="s">
        <v>37</v>
      </c>
      <c r="I1881" s="8" t="s">
        <v>19</v>
      </c>
    </row>
    <row r="1882" customFormat="false" ht="14.25" hidden="false" customHeight="false" outlineLevel="0" collapsed="false">
      <c r="A1882" s="8" t="n">
        <v>1881</v>
      </c>
      <c r="B1882" s="8" t="s">
        <v>39</v>
      </c>
      <c r="C1882" s="8" t="s">
        <v>16</v>
      </c>
      <c r="D1882" s="9" t="n">
        <v>44374</v>
      </c>
      <c r="E1882" s="10" t="n">
        <v>11456.64</v>
      </c>
      <c r="F1882" s="8" t="s">
        <v>11</v>
      </c>
      <c r="G1882" s="8" t="s">
        <v>12</v>
      </c>
      <c r="H1882" s="11" t="s">
        <v>13</v>
      </c>
      <c r="I1882" s="8" t="s">
        <v>26</v>
      </c>
    </row>
    <row r="1883" customFormat="false" ht="14.25" hidden="false" customHeight="false" outlineLevel="0" collapsed="false">
      <c r="A1883" s="8" t="n">
        <v>1882</v>
      </c>
      <c r="B1883" s="8" t="s">
        <v>73</v>
      </c>
      <c r="C1883" s="8" t="s">
        <v>16</v>
      </c>
      <c r="D1883" s="9" t="n">
        <v>44374</v>
      </c>
      <c r="E1883" s="10" t="n">
        <v>-17940.2</v>
      </c>
      <c r="F1883" s="8" t="s">
        <v>34</v>
      </c>
      <c r="G1883" s="8" t="s">
        <v>22</v>
      </c>
      <c r="H1883" s="11" t="s">
        <v>23</v>
      </c>
      <c r="I1883" s="8" t="s">
        <v>24</v>
      </c>
    </row>
    <row r="1884" customFormat="false" ht="14.25" hidden="false" customHeight="false" outlineLevel="0" collapsed="false">
      <c r="A1884" s="8" t="n">
        <v>1883</v>
      </c>
      <c r="B1884" s="8" t="s">
        <v>207</v>
      </c>
      <c r="C1884" s="8" t="s">
        <v>21</v>
      </c>
      <c r="D1884" s="9" t="n">
        <v>44375</v>
      </c>
      <c r="E1884" s="10" t="n">
        <v>-5894.49</v>
      </c>
      <c r="F1884" s="8" t="s">
        <v>34</v>
      </c>
      <c r="G1884" s="8" t="s">
        <v>30</v>
      </c>
      <c r="H1884" s="11" t="s">
        <v>31</v>
      </c>
      <c r="I1884" s="8" t="s">
        <v>14</v>
      </c>
    </row>
    <row r="1885" customFormat="false" ht="14.25" hidden="false" customHeight="false" outlineLevel="0" collapsed="false">
      <c r="A1885" s="8" t="n">
        <v>1884</v>
      </c>
      <c r="B1885" s="8" t="s">
        <v>49</v>
      </c>
      <c r="C1885" s="8" t="s">
        <v>21</v>
      </c>
      <c r="D1885" s="9" t="n">
        <v>44375</v>
      </c>
      <c r="E1885" s="10" t="n">
        <v>-7508.1</v>
      </c>
      <c r="F1885" s="8" t="s">
        <v>34</v>
      </c>
      <c r="G1885" s="8" t="s">
        <v>17</v>
      </c>
      <c r="H1885" s="11" t="s">
        <v>18</v>
      </c>
      <c r="I1885" s="8" t="s">
        <v>26</v>
      </c>
    </row>
    <row r="1886" customFormat="false" ht="14.25" hidden="false" customHeight="false" outlineLevel="0" collapsed="false">
      <c r="A1886" s="8" t="n">
        <v>1885</v>
      </c>
      <c r="B1886" s="8" t="s">
        <v>174</v>
      </c>
      <c r="C1886" s="8" t="s">
        <v>28</v>
      </c>
      <c r="D1886" s="9" t="n">
        <v>44376</v>
      </c>
      <c r="E1886" s="10" t="n">
        <v>-72160.62</v>
      </c>
      <c r="F1886" s="8" t="s">
        <v>34</v>
      </c>
      <c r="G1886" s="8" t="s">
        <v>12</v>
      </c>
      <c r="H1886" s="11" t="s">
        <v>13</v>
      </c>
      <c r="I1886" s="8" t="s">
        <v>26</v>
      </c>
    </row>
    <row r="1887" customFormat="false" ht="14.25" hidden="false" customHeight="false" outlineLevel="0" collapsed="false">
      <c r="A1887" s="8" t="n">
        <v>1886</v>
      </c>
      <c r="B1887" s="8" t="s">
        <v>190</v>
      </c>
      <c r="C1887" s="8" t="s">
        <v>10</v>
      </c>
      <c r="D1887" s="9" t="n">
        <v>44376</v>
      </c>
      <c r="E1887" s="10" t="n">
        <v>-13990.1</v>
      </c>
      <c r="F1887" s="8" t="s">
        <v>34</v>
      </c>
      <c r="G1887" s="8" t="s">
        <v>12</v>
      </c>
      <c r="H1887" s="11" t="s">
        <v>13</v>
      </c>
      <c r="I1887" s="8" t="s">
        <v>26</v>
      </c>
    </row>
    <row r="1888" customFormat="false" ht="14.25" hidden="false" customHeight="false" outlineLevel="0" collapsed="false">
      <c r="A1888" s="8" t="n">
        <v>1887</v>
      </c>
      <c r="B1888" s="8" t="s">
        <v>190</v>
      </c>
      <c r="C1888" s="8" t="s">
        <v>28</v>
      </c>
      <c r="D1888" s="9" t="n">
        <v>44376</v>
      </c>
      <c r="E1888" s="10" t="n">
        <v>-9288.44</v>
      </c>
      <c r="F1888" s="8" t="s">
        <v>34</v>
      </c>
      <c r="G1888" s="8" t="s">
        <v>12</v>
      </c>
      <c r="H1888" s="11" t="s">
        <v>13</v>
      </c>
      <c r="I1888" s="8" t="s">
        <v>14</v>
      </c>
    </row>
    <row r="1889" customFormat="false" ht="14.25" hidden="false" customHeight="false" outlineLevel="0" collapsed="false">
      <c r="A1889" s="8" t="n">
        <v>1888</v>
      </c>
      <c r="B1889" s="8" t="s">
        <v>208</v>
      </c>
      <c r="C1889" s="8" t="s">
        <v>10</v>
      </c>
      <c r="D1889" s="9" t="n">
        <v>44376</v>
      </c>
      <c r="E1889" s="10" t="n">
        <v>-29824.55</v>
      </c>
      <c r="F1889" s="8" t="s">
        <v>34</v>
      </c>
      <c r="G1889" s="8" t="s">
        <v>17</v>
      </c>
      <c r="H1889" s="11" t="s">
        <v>18</v>
      </c>
      <c r="I1889" s="8" t="s">
        <v>19</v>
      </c>
    </row>
    <row r="1890" customFormat="false" ht="14.25" hidden="false" customHeight="false" outlineLevel="0" collapsed="false">
      <c r="A1890" s="8" t="n">
        <v>1889</v>
      </c>
      <c r="B1890" s="8" t="s">
        <v>9</v>
      </c>
      <c r="C1890" s="8" t="s">
        <v>28</v>
      </c>
      <c r="D1890" s="9" t="n">
        <v>44376</v>
      </c>
      <c r="E1890" s="10" t="n">
        <v>-4875.75</v>
      </c>
      <c r="F1890" s="8" t="s">
        <v>34</v>
      </c>
      <c r="G1890" s="8" t="s">
        <v>12</v>
      </c>
      <c r="H1890" s="11" t="s">
        <v>13</v>
      </c>
      <c r="I1890" s="8" t="s">
        <v>24</v>
      </c>
    </row>
    <row r="1891" customFormat="false" ht="14.25" hidden="false" customHeight="false" outlineLevel="0" collapsed="false">
      <c r="A1891" s="8" t="n">
        <v>1890</v>
      </c>
      <c r="B1891" s="8" t="s">
        <v>20</v>
      </c>
      <c r="C1891" s="8" t="s">
        <v>16</v>
      </c>
      <c r="D1891" s="9" t="n">
        <v>44376</v>
      </c>
      <c r="E1891" s="10" t="n">
        <v>-21279.62</v>
      </c>
      <c r="F1891" s="8" t="s">
        <v>34</v>
      </c>
      <c r="G1891" s="8" t="s">
        <v>17</v>
      </c>
      <c r="H1891" s="11" t="s">
        <v>18</v>
      </c>
      <c r="I1891" s="8" t="s">
        <v>14</v>
      </c>
    </row>
    <row r="1892" customFormat="false" ht="14.25" hidden="false" customHeight="false" outlineLevel="0" collapsed="false">
      <c r="A1892" s="8" t="n">
        <v>1891</v>
      </c>
      <c r="B1892" s="8" t="s">
        <v>20</v>
      </c>
      <c r="C1892" s="8" t="s">
        <v>21</v>
      </c>
      <c r="D1892" s="9" t="n">
        <v>44376</v>
      </c>
      <c r="E1892" s="10" t="n">
        <v>-4800.15</v>
      </c>
      <c r="F1892" s="8" t="s">
        <v>34</v>
      </c>
      <c r="G1892" s="8" t="s">
        <v>17</v>
      </c>
      <c r="H1892" s="11" t="s">
        <v>18</v>
      </c>
      <c r="I1892" s="8" t="s">
        <v>26</v>
      </c>
    </row>
    <row r="1893" customFormat="false" ht="14.25" hidden="false" customHeight="false" outlineLevel="0" collapsed="false">
      <c r="A1893" s="8" t="n">
        <v>1892</v>
      </c>
      <c r="B1893" s="8" t="s">
        <v>20</v>
      </c>
      <c r="C1893" s="8" t="s">
        <v>16</v>
      </c>
      <c r="D1893" s="9" t="n">
        <v>44376</v>
      </c>
      <c r="E1893" s="10" t="n">
        <v>-1749.27</v>
      </c>
      <c r="F1893" s="8" t="s">
        <v>34</v>
      </c>
      <c r="G1893" s="8" t="s">
        <v>17</v>
      </c>
      <c r="H1893" s="11" t="s">
        <v>18</v>
      </c>
      <c r="I1893" s="8" t="s">
        <v>26</v>
      </c>
    </row>
    <row r="1894" customFormat="false" ht="14.25" hidden="false" customHeight="false" outlineLevel="0" collapsed="false">
      <c r="A1894" s="8" t="n">
        <v>1893</v>
      </c>
      <c r="B1894" s="8" t="s">
        <v>20</v>
      </c>
      <c r="C1894" s="8" t="s">
        <v>10</v>
      </c>
      <c r="D1894" s="9" t="n">
        <v>44376</v>
      </c>
      <c r="E1894" s="10" t="n">
        <v>-1299.1</v>
      </c>
      <c r="F1894" s="8" t="s">
        <v>34</v>
      </c>
      <c r="G1894" s="8" t="s">
        <v>12</v>
      </c>
      <c r="H1894" s="11" t="s">
        <v>13</v>
      </c>
      <c r="I1894" s="8" t="s">
        <v>14</v>
      </c>
    </row>
    <row r="1895" customFormat="false" ht="14.25" hidden="false" customHeight="false" outlineLevel="0" collapsed="false">
      <c r="A1895" s="8" t="n">
        <v>1894</v>
      </c>
      <c r="B1895" s="8" t="s">
        <v>15</v>
      </c>
      <c r="C1895" s="8" t="s">
        <v>10</v>
      </c>
      <c r="D1895" s="9" t="n">
        <v>44377</v>
      </c>
      <c r="E1895" s="10" t="n">
        <v>-7831.85</v>
      </c>
      <c r="F1895" s="8" t="s">
        <v>34</v>
      </c>
      <c r="G1895" s="8" t="s">
        <v>12</v>
      </c>
      <c r="H1895" s="11" t="s">
        <v>13</v>
      </c>
      <c r="I1895" s="8" t="s">
        <v>26</v>
      </c>
    </row>
    <row r="1896" customFormat="false" ht="14.25" hidden="false" customHeight="false" outlineLevel="0" collapsed="false">
      <c r="A1896" s="8" t="n">
        <v>1895</v>
      </c>
      <c r="B1896" s="8" t="s">
        <v>51</v>
      </c>
      <c r="C1896" s="8" t="s">
        <v>10</v>
      </c>
      <c r="D1896" s="9" t="n">
        <v>44377</v>
      </c>
      <c r="E1896" s="10" t="n">
        <v>-27154.12</v>
      </c>
      <c r="F1896" s="8" t="s">
        <v>34</v>
      </c>
      <c r="G1896" s="8" t="s">
        <v>17</v>
      </c>
      <c r="H1896" s="11" t="s">
        <v>18</v>
      </c>
      <c r="I1896" s="8" t="s">
        <v>14</v>
      </c>
    </row>
    <row r="1897" customFormat="false" ht="14.25" hidden="false" customHeight="false" outlineLevel="0" collapsed="false">
      <c r="A1897" s="8" t="n">
        <v>1896</v>
      </c>
      <c r="B1897" s="8" t="s">
        <v>51</v>
      </c>
      <c r="C1897" s="8" t="s">
        <v>10</v>
      </c>
      <c r="D1897" s="9" t="n">
        <v>44377</v>
      </c>
      <c r="E1897" s="10" t="n">
        <v>-1682.14</v>
      </c>
      <c r="F1897" s="8" t="s">
        <v>34</v>
      </c>
      <c r="G1897" s="8" t="s">
        <v>36</v>
      </c>
      <c r="H1897" s="11" t="s">
        <v>37</v>
      </c>
      <c r="I1897" s="8" t="s">
        <v>14</v>
      </c>
    </row>
    <row r="1898" customFormat="false" ht="14.25" hidden="false" customHeight="false" outlineLevel="0" collapsed="false">
      <c r="A1898" s="8" t="n">
        <v>1897</v>
      </c>
      <c r="B1898" s="8" t="s">
        <v>15</v>
      </c>
      <c r="C1898" s="8" t="s">
        <v>21</v>
      </c>
      <c r="D1898" s="9" t="n">
        <v>44377</v>
      </c>
      <c r="E1898" s="10" t="n">
        <v>8648.87</v>
      </c>
      <c r="F1898" s="8" t="s">
        <v>11</v>
      </c>
      <c r="G1898" s="8" t="s">
        <v>22</v>
      </c>
      <c r="H1898" s="11" t="s">
        <v>23</v>
      </c>
      <c r="I1898" s="8" t="s">
        <v>19</v>
      </c>
    </row>
    <row r="1899" customFormat="false" ht="14.25" hidden="false" customHeight="false" outlineLevel="0" collapsed="false">
      <c r="A1899" s="8" t="n">
        <v>1898</v>
      </c>
      <c r="B1899" s="8" t="s">
        <v>136</v>
      </c>
      <c r="C1899" s="8" t="s">
        <v>21</v>
      </c>
      <c r="D1899" s="9" t="n">
        <v>44377</v>
      </c>
      <c r="E1899" s="10" t="n">
        <v>8563.24</v>
      </c>
      <c r="F1899" s="8" t="s">
        <v>11</v>
      </c>
      <c r="G1899" s="8" t="s">
        <v>36</v>
      </c>
      <c r="H1899" s="11" t="s">
        <v>37</v>
      </c>
      <c r="I1899" s="8" t="s">
        <v>26</v>
      </c>
    </row>
    <row r="1900" customFormat="false" ht="14.25" hidden="false" customHeight="false" outlineLevel="0" collapsed="false">
      <c r="A1900" s="8" t="n">
        <v>1899</v>
      </c>
      <c r="B1900" s="8" t="s">
        <v>15</v>
      </c>
      <c r="C1900" s="8" t="s">
        <v>21</v>
      </c>
      <c r="D1900" s="9" t="n">
        <v>44377</v>
      </c>
      <c r="E1900" s="10" t="n">
        <v>9640.94</v>
      </c>
      <c r="F1900" s="8" t="s">
        <v>11</v>
      </c>
      <c r="G1900" s="8" t="s">
        <v>12</v>
      </c>
      <c r="H1900" s="11" t="s">
        <v>13</v>
      </c>
      <c r="I1900" s="8" t="s">
        <v>19</v>
      </c>
    </row>
    <row r="1901" customFormat="false" ht="14.25" hidden="false" customHeight="false" outlineLevel="0" collapsed="false">
      <c r="A1901" s="8" t="n">
        <v>1900</v>
      </c>
      <c r="B1901" s="8" t="s">
        <v>136</v>
      </c>
      <c r="C1901" s="8" t="s">
        <v>21</v>
      </c>
      <c r="D1901" s="9" t="n">
        <v>44377</v>
      </c>
      <c r="E1901" s="10" t="n">
        <v>165124.92</v>
      </c>
      <c r="F1901" s="8" t="s">
        <v>11</v>
      </c>
      <c r="G1901" s="8" t="s">
        <v>17</v>
      </c>
      <c r="H1901" s="11" t="s">
        <v>18</v>
      </c>
      <c r="I1901" s="8" t="s">
        <v>26</v>
      </c>
    </row>
    <row r="1902" customFormat="false" ht="14.25" hidden="false" customHeight="false" outlineLevel="0" collapsed="false">
      <c r="A1902" s="8" t="n">
        <v>1901</v>
      </c>
      <c r="B1902" s="8" t="s">
        <v>136</v>
      </c>
      <c r="C1902" s="8" t="s">
        <v>10</v>
      </c>
      <c r="D1902" s="9" t="n">
        <v>44377</v>
      </c>
      <c r="E1902" s="10" t="n">
        <v>8052.94</v>
      </c>
      <c r="F1902" s="8" t="s">
        <v>11</v>
      </c>
      <c r="G1902" s="8" t="s">
        <v>12</v>
      </c>
      <c r="H1902" s="11" t="s">
        <v>13</v>
      </c>
      <c r="I1902" s="8" t="s">
        <v>19</v>
      </c>
    </row>
    <row r="1903" customFormat="false" ht="14.25" hidden="false" customHeight="false" outlineLevel="0" collapsed="false">
      <c r="A1903" s="8" t="n">
        <v>1902</v>
      </c>
      <c r="B1903" s="8" t="s">
        <v>136</v>
      </c>
      <c r="C1903" s="8" t="s">
        <v>16</v>
      </c>
      <c r="D1903" s="9" t="n">
        <v>44377</v>
      </c>
      <c r="E1903" s="10" t="n">
        <v>9172.94</v>
      </c>
      <c r="F1903" s="8" t="s">
        <v>11</v>
      </c>
      <c r="G1903" s="8" t="s">
        <v>22</v>
      </c>
      <c r="H1903" s="11" t="s">
        <v>23</v>
      </c>
      <c r="I1903" s="8" t="s">
        <v>24</v>
      </c>
    </row>
    <row r="1904" customFormat="false" ht="14.25" hidden="false" customHeight="false" outlineLevel="0" collapsed="false">
      <c r="A1904" s="8" t="n">
        <v>1903</v>
      </c>
      <c r="B1904" s="8" t="s">
        <v>136</v>
      </c>
      <c r="C1904" s="8" t="s">
        <v>21</v>
      </c>
      <c r="D1904" s="9" t="n">
        <v>44377</v>
      </c>
      <c r="E1904" s="10" t="n">
        <v>704.59</v>
      </c>
      <c r="F1904" s="8" t="s">
        <v>11</v>
      </c>
      <c r="G1904" s="8" t="s">
        <v>17</v>
      </c>
      <c r="H1904" s="11" t="s">
        <v>18</v>
      </c>
      <c r="I1904" s="8" t="s">
        <v>26</v>
      </c>
    </row>
    <row r="1905" customFormat="false" ht="14.25" hidden="false" customHeight="false" outlineLevel="0" collapsed="false">
      <c r="A1905" s="8" t="n">
        <v>1904</v>
      </c>
      <c r="B1905" s="8" t="s">
        <v>160</v>
      </c>
      <c r="C1905" s="8" t="s">
        <v>10</v>
      </c>
      <c r="D1905" s="9" t="n">
        <v>44379</v>
      </c>
      <c r="E1905" s="10" t="n">
        <v>8330</v>
      </c>
      <c r="F1905" s="8" t="s">
        <v>11</v>
      </c>
      <c r="G1905" s="8" t="s">
        <v>12</v>
      </c>
      <c r="H1905" s="11" t="s">
        <v>13</v>
      </c>
      <c r="I1905" s="8" t="s">
        <v>26</v>
      </c>
    </row>
    <row r="1906" customFormat="false" ht="14.25" hidden="false" customHeight="false" outlineLevel="0" collapsed="false">
      <c r="A1906" s="8" t="n">
        <v>1905</v>
      </c>
      <c r="B1906" s="8" t="s">
        <v>165</v>
      </c>
      <c r="C1906" s="8" t="s">
        <v>10</v>
      </c>
      <c r="D1906" s="9" t="n">
        <v>44379</v>
      </c>
      <c r="E1906" s="10" t="n">
        <v>144796.25</v>
      </c>
      <c r="F1906" s="8" t="s">
        <v>11</v>
      </c>
      <c r="G1906" s="8" t="s">
        <v>22</v>
      </c>
      <c r="H1906" s="11" t="s">
        <v>23</v>
      </c>
      <c r="I1906" s="8" t="s">
        <v>14</v>
      </c>
    </row>
    <row r="1907" customFormat="false" ht="14.25" hidden="false" customHeight="false" outlineLevel="0" collapsed="false">
      <c r="A1907" s="8" t="n">
        <v>1906</v>
      </c>
      <c r="B1907" s="8" t="s">
        <v>190</v>
      </c>
      <c r="C1907" s="8" t="s">
        <v>16</v>
      </c>
      <c r="D1907" s="9" t="n">
        <v>44379</v>
      </c>
      <c r="E1907" s="10" t="n">
        <v>8330</v>
      </c>
      <c r="F1907" s="8" t="s">
        <v>11</v>
      </c>
      <c r="G1907" s="8" t="s">
        <v>12</v>
      </c>
      <c r="H1907" s="11" t="s">
        <v>13</v>
      </c>
      <c r="I1907" s="8" t="s">
        <v>26</v>
      </c>
    </row>
    <row r="1908" customFormat="false" ht="14.25" hidden="false" customHeight="false" outlineLevel="0" collapsed="false">
      <c r="A1908" s="8" t="n">
        <v>1907</v>
      </c>
      <c r="B1908" s="8" t="s">
        <v>209</v>
      </c>
      <c r="C1908" s="8" t="s">
        <v>28</v>
      </c>
      <c r="D1908" s="9" t="n">
        <v>44379</v>
      </c>
      <c r="E1908" s="10" t="n">
        <v>8330</v>
      </c>
      <c r="F1908" s="8" t="s">
        <v>11</v>
      </c>
      <c r="G1908" s="8" t="s">
        <v>30</v>
      </c>
      <c r="H1908" s="11" t="s">
        <v>31</v>
      </c>
      <c r="I1908" s="8" t="s">
        <v>19</v>
      </c>
    </row>
    <row r="1909" customFormat="false" ht="14.25" hidden="false" customHeight="false" outlineLevel="0" collapsed="false">
      <c r="A1909" s="8" t="n">
        <v>1908</v>
      </c>
      <c r="B1909" s="8" t="s">
        <v>210</v>
      </c>
      <c r="C1909" s="8" t="s">
        <v>10</v>
      </c>
      <c r="D1909" s="9" t="n">
        <v>44380</v>
      </c>
      <c r="E1909" s="10" t="n">
        <v>8330</v>
      </c>
      <c r="F1909" s="8" t="s">
        <v>11</v>
      </c>
      <c r="G1909" s="8" t="s">
        <v>12</v>
      </c>
      <c r="H1909" s="11" t="s">
        <v>13</v>
      </c>
      <c r="I1909" s="8" t="s">
        <v>14</v>
      </c>
    </row>
    <row r="1910" customFormat="false" ht="14.25" hidden="false" customHeight="false" outlineLevel="0" collapsed="false">
      <c r="A1910" s="8" t="n">
        <v>1909</v>
      </c>
      <c r="B1910" s="8" t="s">
        <v>172</v>
      </c>
      <c r="C1910" s="8" t="s">
        <v>10</v>
      </c>
      <c r="D1910" s="9" t="n">
        <v>44380</v>
      </c>
      <c r="E1910" s="10" t="n">
        <v>8330</v>
      </c>
      <c r="F1910" s="8" t="s">
        <v>11</v>
      </c>
      <c r="G1910" s="8" t="s">
        <v>30</v>
      </c>
      <c r="H1910" s="11" t="s">
        <v>31</v>
      </c>
      <c r="I1910" s="8" t="s">
        <v>26</v>
      </c>
    </row>
    <row r="1911" customFormat="false" ht="14.25" hidden="false" customHeight="false" outlineLevel="0" collapsed="false">
      <c r="A1911" s="8" t="n">
        <v>1910</v>
      </c>
      <c r="B1911" s="8" t="s">
        <v>173</v>
      </c>
      <c r="C1911" s="8" t="s">
        <v>16</v>
      </c>
      <c r="D1911" s="9" t="n">
        <v>44380</v>
      </c>
      <c r="E1911" s="10" t="n">
        <v>-52571.37</v>
      </c>
      <c r="F1911" s="8" t="s">
        <v>34</v>
      </c>
      <c r="G1911" s="8" t="s">
        <v>17</v>
      </c>
      <c r="H1911" s="11" t="s">
        <v>18</v>
      </c>
      <c r="I1911" s="8" t="s">
        <v>14</v>
      </c>
    </row>
    <row r="1912" customFormat="false" ht="14.25" hidden="false" customHeight="false" outlineLevel="0" collapsed="false">
      <c r="A1912" s="8" t="n">
        <v>1911</v>
      </c>
      <c r="B1912" s="8" t="s">
        <v>182</v>
      </c>
      <c r="C1912" s="8" t="s">
        <v>10</v>
      </c>
      <c r="D1912" s="9" t="n">
        <v>44380</v>
      </c>
      <c r="E1912" s="10" t="n">
        <v>-11858.88</v>
      </c>
      <c r="F1912" s="8" t="s">
        <v>34</v>
      </c>
      <c r="G1912" s="8" t="s">
        <v>17</v>
      </c>
      <c r="H1912" s="11" t="s">
        <v>18</v>
      </c>
      <c r="I1912" s="8" t="s">
        <v>14</v>
      </c>
    </row>
    <row r="1913" customFormat="false" ht="14.25" hidden="false" customHeight="false" outlineLevel="0" collapsed="false">
      <c r="A1913" s="8" t="n">
        <v>1912</v>
      </c>
      <c r="B1913" s="8" t="s">
        <v>154</v>
      </c>
      <c r="C1913" s="8" t="s">
        <v>10</v>
      </c>
      <c r="D1913" s="9" t="n">
        <v>44380</v>
      </c>
      <c r="E1913" s="10" t="n">
        <v>-30050.97</v>
      </c>
      <c r="F1913" s="8" t="s">
        <v>34</v>
      </c>
      <c r="G1913" s="8" t="s">
        <v>17</v>
      </c>
      <c r="H1913" s="11" t="s">
        <v>18</v>
      </c>
      <c r="I1913" s="8" t="s">
        <v>26</v>
      </c>
    </row>
    <row r="1914" customFormat="false" ht="14.25" hidden="false" customHeight="false" outlineLevel="0" collapsed="false">
      <c r="A1914" s="8" t="n">
        <v>1913</v>
      </c>
      <c r="B1914" s="8" t="s">
        <v>161</v>
      </c>
      <c r="C1914" s="8" t="s">
        <v>28</v>
      </c>
      <c r="D1914" s="9" t="n">
        <v>44380</v>
      </c>
      <c r="E1914" s="10" t="n">
        <v>-32881</v>
      </c>
      <c r="F1914" s="8" t="s">
        <v>34</v>
      </c>
      <c r="G1914" s="8" t="s">
        <v>17</v>
      </c>
      <c r="H1914" s="11" t="s">
        <v>18</v>
      </c>
      <c r="I1914" s="8" t="s">
        <v>26</v>
      </c>
    </row>
    <row r="1915" customFormat="false" ht="14.25" hidden="false" customHeight="false" outlineLevel="0" collapsed="false">
      <c r="A1915" s="8" t="n">
        <v>1914</v>
      </c>
      <c r="B1915" s="8" t="s">
        <v>178</v>
      </c>
      <c r="C1915" s="8" t="s">
        <v>16</v>
      </c>
      <c r="D1915" s="9" t="n">
        <v>44380</v>
      </c>
      <c r="E1915" s="10" t="n">
        <v>-29546.44</v>
      </c>
      <c r="F1915" s="8" t="s">
        <v>34</v>
      </c>
      <c r="G1915" s="8" t="s">
        <v>12</v>
      </c>
      <c r="H1915" s="11" t="s">
        <v>13</v>
      </c>
      <c r="I1915" s="8" t="s">
        <v>14</v>
      </c>
    </row>
    <row r="1916" customFormat="false" ht="14.25" hidden="false" customHeight="false" outlineLevel="0" collapsed="false">
      <c r="A1916" s="8" t="n">
        <v>1915</v>
      </c>
      <c r="B1916" s="8" t="s">
        <v>211</v>
      </c>
      <c r="C1916" s="8" t="s">
        <v>21</v>
      </c>
      <c r="D1916" s="9" t="n">
        <v>44380</v>
      </c>
      <c r="E1916" s="10" t="n">
        <v>-46308.26</v>
      </c>
      <c r="F1916" s="8" t="s">
        <v>34</v>
      </c>
      <c r="G1916" s="8" t="s">
        <v>12</v>
      </c>
      <c r="H1916" s="11" t="s">
        <v>13</v>
      </c>
      <c r="I1916" s="8" t="s">
        <v>14</v>
      </c>
    </row>
    <row r="1917" customFormat="false" ht="14.25" hidden="false" customHeight="false" outlineLevel="0" collapsed="false">
      <c r="A1917" s="8" t="n">
        <v>1916</v>
      </c>
      <c r="B1917" s="8" t="s">
        <v>85</v>
      </c>
      <c r="C1917" s="8" t="s">
        <v>21</v>
      </c>
      <c r="D1917" s="9" t="n">
        <v>44380</v>
      </c>
      <c r="E1917" s="10" t="n">
        <v>-23560.92</v>
      </c>
      <c r="F1917" s="8" t="s">
        <v>34</v>
      </c>
      <c r="G1917" s="8" t="s">
        <v>22</v>
      </c>
      <c r="H1917" s="11" t="s">
        <v>23</v>
      </c>
      <c r="I1917" s="8" t="s">
        <v>26</v>
      </c>
    </row>
    <row r="1918" customFormat="false" ht="14.25" hidden="false" customHeight="false" outlineLevel="0" collapsed="false">
      <c r="A1918" s="8" t="n">
        <v>1917</v>
      </c>
      <c r="B1918" s="8" t="s">
        <v>85</v>
      </c>
      <c r="C1918" s="8" t="s">
        <v>28</v>
      </c>
      <c r="D1918" s="9" t="n">
        <v>44380</v>
      </c>
      <c r="E1918" s="10" t="n">
        <v>-23471.6</v>
      </c>
      <c r="F1918" s="8" t="s">
        <v>34</v>
      </c>
      <c r="G1918" s="8" t="s">
        <v>36</v>
      </c>
      <c r="H1918" s="11" t="s">
        <v>37</v>
      </c>
      <c r="I1918" s="8" t="s">
        <v>26</v>
      </c>
    </row>
    <row r="1919" customFormat="false" ht="14.25" hidden="false" customHeight="false" outlineLevel="0" collapsed="false">
      <c r="A1919" s="8" t="n">
        <v>1918</v>
      </c>
      <c r="B1919" s="8" t="s">
        <v>181</v>
      </c>
      <c r="C1919" s="8" t="s">
        <v>28</v>
      </c>
      <c r="D1919" s="9" t="n">
        <v>44381</v>
      </c>
      <c r="E1919" s="10" t="n">
        <v>-34827.87</v>
      </c>
      <c r="F1919" s="8" t="s">
        <v>34</v>
      </c>
      <c r="G1919" s="8" t="s">
        <v>12</v>
      </c>
      <c r="H1919" s="11" t="s">
        <v>13</v>
      </c>
      <c r="I1919" s="8" t="s">
        <v>14</v>
      </c>
    </row>
    <row r="1920" customFormat="false" ht="14.25" hidden="false" customHeight="false" outlineLevel="0" collapsed="false">
      <c r="A1920" s="8" t="n">
        <v>1919</v>
      </c>
      <c r="B1920" s="8" t="s">
        <v>85</v>
      </c>
      <c r="C1920" s="8" t="s">
        <v>10</v>
      </c>
      <c r="D1920" s="9" t="n">
        <v>44383</v>
      </c>
      <c r="E1920" s="10" t="n">
        <v>-36762.99</v>
      </c>
      <c r="F1920" s="8" t="s">
        <v>34</v>
      </c>
      <c r="G1920" s="8" t="s">
        <v>36</v>
      </c>
      <c r="H1920" s="11" t="s">
        <v>37</v>
      </c>
      <c r="I1920" s="8" t="s">
        <v>26</v>
      </c>
    </row>
    <row r="1921" customFormat="false" ht="14.25" hidden="false" customHeight="false" outlineLevel="0" collapsed="false">
      <c r="A1921" s="8" t="n">
        <v>1920</v>
      </c>
      <c r="B1921" s="8" t="s">
        <v>145</v>
      </c>
      <c r="C1921" s="8" t="s">
        <v>16</v>
      </c>
      <c r="D1921" s="9" t="n">
        <v>44383</v>
      </c>
      <c r="E1921" s="10" t="n">
        <v>-30602.85</v>
      </c>
      <c r="F1921" s="8" t="s">
        <v>34</v>
      </c>
      <c r="G1921" s="8" t="s">
        <v>12</v>
      </c>
      <c r="H1921" s="11" t="s">
        <v>13</v>
      </c>
      <c r="I1921" s="8" t="s">
        <v>14</v>
      </c>
    </row>
    <row r="1922" customFormat="false" ht="14.25" hidden="false" customHeight="false" outlineLevel="0" collapsed="false">
      <c r="A1922" s="8" t="n">
        <v>1921</v>
      </c>
      <c r="B1922" s="8" t="s">
        <v>143</v>
      </c>
      <c r="C1922" s="8" t="s">
        <v>28</v>
      </c>
      <c r="D1922" s="9" t="n">
        <v>44383</v>
      </c>
      <c r="E1922" s="10" t="n">
        <v>-27710.87</v>
      </c>
      <c r="F1922" s="8" t="s">
        <v>34</v>
      </c>
      <c r="G1922" s="8" t="s">
        <v>17</v>
      </c>
      <c r="H1922" s="11" t="s">
        <v>18</v>
      </c>
      <c r="I1922" s="8" t="s">
        <v>14</v>
      </c>
    </row>
    <row r="1923" customFormat="false" ht="14.25" hidden="false" customHeight="false" outlineLevel="0" collapsed="false">
      <c r="A1923" s="8" t="n">
        <v>1922</v>
      </c>
      <c r="B1923" s="8" t="s">
        <v>143</v>
      </c>
      <c r="C1923" s="8" t="s">
        <v>16</v>
      </c>
      <c r="D1923" s="9" t="n">
        <v>44383</v>
      </c>
      <c r="E1923" s="10" t="n">
        <v>-29054.87</v>
      </c>
      <c r="F1923" s="8" t="s">
        <v>34</v>
      </c>
      <c r="G1923" s="8" t="s">
        <v>22</v>
      </c>
      <c r="H1923" s="11" t="s">
        <v>23</v>
      </c>
      <c r="I1923" s="8" t="s">
        <v>14</v>
      </c>
    </row>
    <row r="1924" customFormat="false" ht="14.25" hidden="false" customHeight="false" outlineLevel="0" collapsed="false">
      <c r="A1924" s="8" t="n">
        <v>1923</v>
      </c>
      <c r="B1924" s="8" t="s">
        <v>183</v>
      </c>
      <c r="C1924" s="8" t="s">
        <v>21</v>
      </c>
      <c r="D1924" s="9" t="n">
        <v>44386</v>
      </c>
      <c r="E1924" s="10" t="n">
        <v>-96356.19</v>
      </c>
      <c r="F1924" s="8" t="s">
        <v>34</v>
      </c>
      <c r="G1924" s="8" t="s">
        <v>22</v>
      </c>
      <c r="H1924" s="11" t="s">
        <v>23</v>
      </c>
      <c r="I1924" s="8" t="s">
        <v>26</v>
      </c>
    </row>
    <row r="1925" customFormat="false" ht="14.25" hidden="false" customHeight="false" outlineLevel="0" collapsed="false">
      <c r="A1925" s="8" t="n">
        <v>1924</v>
      </c>
      <c r="B1925" s="8" t="s">
        <v>188</v>
      </c>
      <c r="C1925" s="8" t="s">
        <v>10</v>
      </c>
      <c r="D1925" s="9" t="n">
        <v>44387</v>
      </c>
      <c r="E1925" s="10" t="n">
        <v>-17876.53</v>
      </c>
      <c r="F1925" s="8" t="s">
        <v>34</v>
      </c>
      <c r="G1925" s="8" t="s">
        <v>22</v>
      </c>
      <c r="H1925" s="11" t="s">
        <v>23</v>
      </c>
      <c r="I1925" s="8" t="s">
        <v>14</v>
      </c>
    </row>
    <row r="1926" customFormat="false" ht="14.25" hidden="false" customHeight="false" outlineLevel="0" collapsed="false">
      <c r="A1926" s="8" t="n">
        <v>1925</v>
      </c>
      <c r="B1926" s="8" t="s">
        <v>164</v>
      </c>
      <c r="C1926" s="8" t="s">
        <v>16</v>
      </c>
      <c r="D1926" s="9" t="n">
        <v>44387</v>
      </c>
      <c r="E1926" s="10" t="n">
        <v>-228.34</v>
      </c>
      <c r="F1926" s="8" t="s">
        <v>34</v>
      </c>
      <c r="G1926" s="8" t="s">
        <v>12</v>
      </c>
      <c r="H1926" s="11" t="s">
        <v>13</v>
      </c>
      <c r="I1926" s="8" t="s">
        <v>26</v>
      </c>
    </row>
    <row r="1927" customFormat="false" ht="14.25" hidden="false" customHeight="false" outlineLevel="0" collapsed="false">
      <c r="A1927" s="8" t="n">
        <v>1926</v>
      </c>
      <c r="B1927" s="8" t="s">
        <v>211</v>
      </c>
      <c r="C1927" s="8" t="s">
        <v>21</v>
      </c>
      <c r="D1927" s="9" t="n">
        <v>44387</v>
      </c>
      <c r="E1927" s="10" t="n">
        <v>-413.63</v>
      </c>
      <c r="F1927" s="8" t="s">
        <v>34</v>
      </c>
      <c r="G1927" s="8" t="s">
        <v>17</v>
      </c>
      <c r="H1927" s="11" t="s">
        <v>18</v>
      </c>
      <c r="I1927" s="8" t="s">
        <v>26</v>
      </c>
    </row>
    <row r="1928" customFormat="false" ht="14.25" hidden="false" customHeight="false" outlineLevel="0" collapsed="false">
      <c r="A1928" s="8" t="n">
        <v>1927</v>
      </c>
      <c r="B1928" s="8" t="s">
        <v>86</v>
      </c>
      <c r="C1928" s="8" t="s">
        <v>21</v>
      </c>
      <c r="D1928" s="9" t="n">
        <v>44387</v>
      </c>
      <c r="E1928" s="10" t="n">
        <v>-1731.8</v>
      </c>
      <c r="F1928" s="8" t="s">
        <v>34</v>
      </c>
      <c r="G1928" s="8" t="s">
        <v>12</v>
      </c>
      <c r="H1928" s="11" t="s">
        <v>13</v>
      </c>
      <c r="I1928" s="8" t="s">
        <v>14</v>
      </c>
    </row>
    <row r="1929" customFormat="false" ht="14.25" hidden="false" customHeight="false" outlineLevel="0" collapsed="false">
      <c r="A1929" s="8" t="n">
        <v>1928</v>
      </c>
      <c r="B1929" s="8" t="s">
        <v>73</v>
      </c>
      <c r="C1929" s="8" t="s">
        <v>10</v>
      </c>
      <c r="D1929" s="9" t="n">
        <v>44387</v>
      </c>
      <c r="E1929" s="10" t="n">
        <v>-21327.99</v>
      </c>
      <c r="F1929" s="8" t="s">
        <v>34</v>
      </c>
      <c r="G1929" s="8" t="s">
        <v>12</v>
      </c>
      <c r="H1929" s="11" t="s">
        <v>13</v>
      </c>
      <c r="I1929" s="8" t="s">
        <v>14</v>
      </c>
    </row>
    <row r="1930" customFormat="false" ht="14.25" hidden="false" customHeight="false" outlineLevel="0" collapsed="false">
      <c r="A1930" s="8" t="n">
        <v>1929</v>
      </c>
      <c r="B1930" s="8" t="s">
        <v>73</v>
      </c>
      <c r="C1930" s="8" t="s">
        <v>28</v>
      </c>
      <c r="D1930" s="9" t="n">
        <v>44387</v>
      </c>
      <c r="E1930" s="10" t="n">
        <v>-2380.07</v>
      </c>
      <c r="F1930" s="8" t="s">
        <v>34</v>
      </c>
      <c r="G1930" s="8" t="s">
        <v>12</v>
      </c>
      <c r="H1930" s="11" t="s">
        <v>13</v>
      </c>
      <c r="I1930" s="8" t="s">
        <v>24</v>
      </c>
    </row>
    <row r="1931" customFormat="false" ht="14.25" hidden="false" customHeight="false" outlineLevel="0" collapsed="false">
      <c r="A1931" s="8" t="n">
        <v>1930</v>
      </c>
      <c r="B1931" s="8" t="s">
        <v>73</v>
      </c>
      <c r="C1931" s="8" t="s">
        <v>28</v>
      </c>
      <c r="D1931" s="9" t="n">
        <v>44387</v>
      </c>
      <c r="E1931" s="10" t="n">
        <v>-47621.81</v>
      </c>
      <c r="F1931" s="8" t="s">
        <v>34</v>
      </c>
      <c r="G1931" s="8" t="s">
        <v>36</v>
      </c>
      <c r="H1931" s="11" t="s">
        <v>37</v>
      </c>
      <c r="I1931" s="8" t="s">
        <v>26</v>
      </c>
    </row>
    <row r="1932" customFormat="false" ht="14.25" hidden="false" customHeight="false" outlineLevel="0" collapsed="false">
      <c r="A1932" s="8" t="n">
        <v>1931</v>
      </c>
      <c r="B1932" s="8" t="s">
        <v>73</v>
      </c>
      <c r="C1932" s="8" t="s">
        <v>16</v>
      </c>
      <c r="D1932" s="9" t="n">
        <v>44387</v>
      </c>
      <c r="E1932" s="10" t="n">
        <v>-459519.24</v>
      </c>
      <c r="F1932" s="8" t="s">
        <v>34</v>
      </c>
      <c r="G1932" s="8" t="s">
        <v>12</v>
      </c>
      <c r="H1932" s="11" t="s">
        <v>13</v>
      </c>
      <c r="I1932" s="8" t="s">
        <v>26</v>
      </c>
    </row>
    <row r="1933" customFormat="false" ht="14.25" hidden="false" customHeight="false" outlineLevel="0" collapsed="false">
      <c r="A1933" s="8" t="n">
        <v>1932</v>
      </c>
      <c r="B1933" s="8" t="s">
        <v>73</v>
      </c>
      <c r="C1933" s="8" t="s">
        <v>28</v>
      </c>
      <c r="D1933" s="9" t="n">
        <v>44387</v>
      </c>
      <c r="E1933" s="10" t="n">
        <v>-37859.85</v>
      </c>
      <c r="F1933" s="8" t="s">
        <v>34</v>
      </c>
      <c r="G1933" s="8" t="s">
        <v>36</v>
      </c>
      <c r="H1933" s="11" t="s">
        <v>37</v>
      </c>
      <c r="I1933" s="8" t="s">
        <v>14</v>
      </c>
    </row>
    <row r="1934" customFormat="false" ht="14.25" hidden="false" customHeight="false" outlineLevel="0" collapsed="false">
      <c r="A1934" s="8" t="n">
        <v>1933</v>
      </c>
      <c r="B1934" s="8" t="s">
        <v>73</v>
      </c>
      <c r="C1934" s="8" t="s">
        <v>28</v>
      </c>
      <c r="D1934" s="9" t="n">
        <v>44387</v>
      </c>
      <c r="E1934" s="10" t="n">
        <v>-2217.15</v>
      </c>
      <c r="F1934" s="8" t="s">
        <v>34</v>
      </c>
      <c r="G1934" s="8" t="s">
        <v>36</v>
      </c>
      <c r="H1934" s="11" t="s">
        <v>37</v>
      </c>
      <c r="I1934" s="8" t="s">
        <v>19</v>
      </c>
    </row>
    <row r="1935" customFormat="false" ht="14.25" hidden="false" customHeight="false" outlineLevel="0" collapsed="false">
      <c r="A1935" s="8" t="n">
        <v>1934</v>
      </c>
      <c r="B1935" s="8" t="s">
        <v>149</v>
      </c>
      <c r="C1935" s="8" t="s">
        <v>16</v>
      </c>
      <c r="D1935" s="9" t="n">
        <v>44388</v>
      </c>
      <c r="E1935" s="10" t="n">
        <v>2762.32</v>
      </c>
      <c r="F1935" s="8" t="s">
        <v>11</v>
      </c>
      <c r="G1935" s="8" t="s">
        <v>12</v>
      </c>
      <c r="H1935" s="11" t="s">
        <v>13</v>
      </c>
      <c r="I1935" s="8" t="s">
        <v>14</v>
      </c>
    </row>
    <row r="1936" customFormat="false" ht="14.25" hidden="false" customHeight="false" outlineLevel="0" collapsed="false">
      <c r="A1936" s="8" t="n">
        <v>1935</v>
      </c>
      <c r="B1936" s="8" t="s">
        <v>150</v>
      </c>
      <c r="C1936" s="8" t="s">
        <v>10</v>
      </c>
      <c r="D1936" s="9" t="n">
        <v>44388</v>
      </c>
      <c r="E1936" s="10" t="n">
        <v>15980.3</v>
      </c>
      <c r="F1936" s="8" t="s">
        <v>11</v>
      </c>
      <c r="G1936" s="8" t="s">
        <v>36</v>
      </c>
      <c r="H1936" s="11" t="s">
        <v>37</v>
      </c>
      <c r="I1936" s="8" t="s">
        <v>14</v>
      </c>
    </row>
    <row r="1937" customFormat="false" ht="14.25" hidden="false" customHeight="false" outlineLevel="0" collapsed="false">
      <c r="A1937" s="8" t="n">
        <v>1936</v>
      </c>
      <c r="B1937" s="8" t="s">
        <v>176</v>
      </c>
      <c r="C1937" s="8" t="s">
        <v>28</v>
      </c>
      <c r="D1937" s="9" t="n">
        <v>44388</v>
      </c>
      <c r="E1937" s="10" t="n">
        <v>12937.19</v>
      </c>
      <c r="F1937" s="8" t="s">
        <v>11</v>
      </c>
      <c r="G1937" s="8" t="s">
        <v>12</v>
      </c>
      <c r="H1937" s="11" t="s">
        <v>13</v>
      </c>
      <c r="I1937" s="8" t="s">
        <v>24</v>
      </c>
    </row>
    <row r="1938" customFormat="false" ht="14.25" hidden="false" customHeight="false" outlineLevel="0" collapsed="false">
      <c r="A1938" s="8" t="n">
        <v>1937</v>
      </c>
      <c r="B1938" s="8" t="s">
        <v>165</v>
      </c>
      <c r="C1938" s="8" t="s">
        <v>21</v>
      </c>
      <c r="D1938" s="9" t="n">
        <v>44388</v>
      </c>
      <c r="E1938" s="10" t="n">
        <v>2850.83</v>
      </c>
      <c r="F1938" s="8" t="s">
        <v>11</v>
      </c>
      <c r="G1938" s="8" t="s">
        <v>36</v>
      </c>
      <c r="H1938" s="11" t="s">
        <v>37</v>
      </c>
      <c r="I1938" s="8" t="s">
        <v>14</v>
      </c>
    </row>
    <row r="1939" customFormat="false" ht="14.25" hidden="false" customHeight="false" outlineLevel="0" collapsed="false">
      <c r="A1939" s="8" t="n">
        <v>1938</v>
      </c>
      <c r="B1939" s="8" t="s">
        <v>164</v>
      </c>
      <c r="C1939" s="8" t="s">
        <v>21</v>
      </c>
      <c r="D1939" s="9" t="n">
        <v>44388</v>
      </c>
      <c r="E1939" s="10" t="n">
        <v>13726.31</v>
      </c>
      <c r="F1939" s="8" t="s">
        <v>11</v>
      </c>
      <c r="G1939" s="8" t="s">
        <v>12</v>
      </c>
      <c r="H1939" s="11" t="s">
        <v>13</v>
      </c>
      <c r="I1939" s="8" t="s">
        <v>26</v>
      </c>
    </row>
    <row r="1940" customFormat="false" ht="14.25" hidden="false" customHeight="false" outlineLevel="0" collapsed="false">
      <c r="A1940" s="8" t="n">
        <v>1939</v>
      </c>
      <c r="B1940" s="8" t="s">
        <v>77</v>
      </c>
      <c r="C1940" s="8" t="s">
        <v>28</v>
      </c>
      <c r="D1940" s="9" t="n">
        <v>44388</v>
      </c>
      <c r="E1940" s="10" t="n">
        <v>2355.05</v>
      </c>
      <c r="F1940" s="8" t="s">
        <v>11</v>
      </c>
      <c r="G1940" s="8" t="s">
        <v>36</v>
      </c>
      <c r="H1940" s="11" t="s">
        <v>37</v>
      </c>
      <c r="I1940" s="8" t="s">
        <v>14</v>
      </c>
    </row>
    <row r="1941" customFormat="false" ht="14.25" hidden="false" customHeight="false" outlineLevel="0" collapsed="false">
      <c r="A1941" s="8" t="n">
        <v>1940</v>
      </c>
      <c r="B1941" s="8" t="s">
        <v>143</v>
      </c>
      <c r="C1941" s="8" t="s">
        <v>28</v>
      </c>
      <c r="D1941" s="9" t="n">
        <v>44388</v>
      </c>
      <c r="E1941" s="10" t="n">
        <v>2452.43</v>
      </c>
      <c r="F1941" s="8" t="s">
        <v>11</v>
      </c>
      <c r="G1941" s="8" t="s">
        <v>12</v>
      </c>
      <c r="H1941" s="11" t="s">
        <v>13</v>
      </c>
      <c r="I1941" s="8" t="s">
        <v>26</v>
      </c>
    </row>
    <row r="1942" customFormat="false" ht="14.25" hidden="false" customHeight="false" outlineLevel="0" collapsed="false">
      <c r="A1942" s="8" t="n">
        <v>1941</v>
      </c>
      <c r="B1942" s="8" t="s">
        <v>212</v>
      </c>
      <c r="C1942" s="8" t="s">
        <v>28</v>
      </c>
      <c r="D1942" s="9" t="n">
        <v>44389</v>
      </c>
      <c r="E1942" s="10" t="n">
        <v>15509.01</v>
      </c>
      <c r="F1942" s="8" t="s">
        <v>11</v>
      </c>
      <c r="G1942" s="8" t="s">
        <v>12</v>
      </c>
      <c r="H1942" s="11" t="s">
        <v>13</v>
      </c>
      <c r="I1942" s="8" t="s">
        <v>26</v>
      </c>
    </row>
    <row r="1943" customFormat="false" ht="14.25" hidden="false" customHeight="false" outlineLevel="0" collapsed="false">
      <c r="A1943" s="8" t="n">
        <v>1942</v>
      </c>
      <c r="B1943" s="8" t="s">
        <v>145</v>
      </c>
      <c r="C1943" s="8" t="s">
        <v>10</v>
      </c>
      <c r="D1943" s="9" t="n">
        <v>44389</v>
      </c>
      <c r="E1943" s="10" t="n">
        <v>-66647.46</v>
      </c>
      <c r="F1943" s="8" t="s">
        <v>34</v>
      </c>
      <c r="G1943" s="8" t="s">
        <v>36</v>
      </c>
      <c r="H1943" s="11" t="s">
        <v>37</v>
      </c>
      <c r="I1943" s="8" t="s">
        <v>26</v>
      </c>
    </row>
    <row r="1944" customFormat="false" ht="14.25" hidden="false" customHeight="false" outlineLevel="0" collapsed="false">
      <c r="A1944" s="8" t="n">
        <v>1943</v>
      </c>
      <c r="B1944" s="8" t="s">
        <v>182</v>
      </c>
      <c r="C1944" s="8" t="s">
        <v>28</v>
      </c>
      <c r="D1944" s="9" t="n">
        <v>44390</v>
      </c>
      <c r="E1944" s="10" t="n">
        <v>-12260.4</v>
      </c>
      <c r="F1944" s="8" t="s">
        <v>34</v>
      </c>
      <c r="G1944" s="8" t="s">
        <v>17</v>
      </c>
      <c r="H1944" s="11" t="s">
        <v>18</v>
      </c>
      <c r="I1944" s="8" t="s">
        <v>24</v>
      </c>
    </row>
    <row r="1945" customFormat="false" ht="14.25" hidden="false" customHeight="false" outlineLevel="0" collapsed="false">
      <c r="A1945" s="8" t="n">
        <v>1944</v>
      </c>
      <c r="B1945" s="8" t="s">
        <v>213</v>
      </c>
      <c r="C1945" s="8" t="s">
        <v>21</v>
      </c>
      <c r="D1945" s="9" t="n">
        <v>44390</v>
      </c>
      <c r="E1945" s="10" t="n">
        <v>8371.56</v>
      </c>
      <c r="F1945" s="8" t="s">
        <v>11</v>
      </c>
      <c r="G1945" s="8" t="s">
        <v>12</v>
      </c>
      <c r="H1945" s="11" t="s">
        <v>13</v>
      </c>
      <c r="I1945" s="8" t="s">
        <v>26</v>
      </c>
    </row>
    <row r="1946" customFormat="false" ht="14.25" hidden="false" customHeight="false" outlineLevel="0" collapsed="false">
      <c r="A1946" s="8" t="n">
        <v>1945</v>
      </c>
      <c r="B1946" s="8" t="s">
        <v>170</v>
      </c>
      <c r="C1946" s="8" t="s">
        <v>28</v>
      </c>
      <c r="D1946" s="9" t="n">
        <v>44390</v>
      </c>
      <c r="E1946" s="10" t="n">
        <v>-37149.7</v>
      </c>
      <c r="F1946" s="8" t="s">
        <v>34</v>
      </c>
      <c r="G1946" s="8" t="s">
        <v>12</v>
      </c>
      <c r="H1946" s="11" t="s">
        <v>13</v>
      </c>
      <c r="I1946" s="8" t="s">
        <v>19</v>
      </c>
    </row>
    <row r="1947" customFormat="false" ht="14.25" hidden="false" customHeight="false" outlineLevel="0" collapsed="false">
      <c r="A1947" s="8" t="n">
        <v>1946</v>
      </c>
      <c r="B1947" s="8" t="s">
        <v>40</v>
      </c>
      <c r="C1947" s="8" t="s">
        <v>21</v>
      </c>
      <c r="D1947" s="9" t="n">
        <v>44390</v>
      </c>
      <c r="E1947" s="10" t="n">
        <v>-55054.72</v>
      </c>
      <c r="F1947" s="8" t="s">
        <v>34</v>
      </c>
      <c r="G1947" s="8" t="s">
        <v>22</v>
      </c>
      <c r="H1947" s="11" t="s">
        <v>23</v>
      </c>
      <c r="I1947" s="8" t="s">
        <v>26</v>
      </c>
    </row>
    <row r="1948" customFormat="false" ht="14.25" hidden="false" customHeight="false" outlineLevel="0" collapsed="false">
      <c r="A1948" s="8" t="n">
        <v>1947</v>
      </c>
      <c r="B1948" s="8" t="s">
        <v>39</v>
      </c>
      <c r="C1948" s="8" t="s">
        <v>21</v>
      </c>
      <c r="D1948" s="9" t="n">
        <v>44390</v>
      </c>
      <c r="E1948" s="10" t="n">
        <v>142797.7</v>
      </c>
      <c r="F1948" s="8" t="s">
        <v>11</v>
      </c>
      <c r="G1948" s="8" t="s">
        <v>22</v>
      </c>
      <c r="H1948" s="11" t="s">
        <v>23</v>
      </c>
      <c r="I1948" s="8" t="s">
        <v>14</v>
      </c>
    </row>
    <row r="1949" customFormat="false" ht="14.25" hidden="false" customHeight="false" outlineLevel="0" collapsed="false">
      <c r="A1949" s="8" t="n">
        <v>1948</v>
      </c>
      <c r="B1949" s="8" t="s">
        <v>39</v>
      </c>
      <c r="C1949" s="8" t="s">
        <v>28</v>
      </c>
      <c r="D1949" s="9" t="n">
        <v>44390</v>
      </c>
      <c r="E1949" s="10" t="n">
        <v>3673.24</v>
      </c>
      <c r="F1949" s="8" t="s">
        <v>11</v>
      </c>
      <c r="G1949" s="8" t="s">
        <v>30</v>
      </c>
      <c r="H1949" s="11" t="s">
        <v>31</v>
      </c>
      <c r="I1949" s="8" t="s">
        <v>14</v>
      </c>
    </row>
    <row r="1950" customFormat="false" ht="14.25" hidden="false" customHeight="false" outlineLevel="0" collapsed="false">
      <c r="A1950" s="8" t="n">
        <v>1949</v>
      </c>
      <c r="B1950" s="8" t="s">
        <v>143</v>
      </c>
      <c r="C1950" s="8" t="s">
        <v>16</v>
      </c>
      <c r="D1950" s="9" t="n">
        <v>44390</v>
      </c>
      <c r="E1950" s="10" t="n">
        <v>3441.44</v>
      </c>
      <c r="F1950" s="8" t="s">
        <v>11</v>
      </c>
      <c r="G1950" s="8" t="s">
        <v>12</v>
      </c>
      <c r="H1950" s="11" t="s">
        <v>13</v>
      </c>
      <c r="I1950" s="8" t="s">
        <v>26</v>
      </c>
    </row>
    <row r="1951" customFormat="false" ht="14.25" hidden="false" customHeight="false" outlineLevel="0" collapsed="false">
      <c r="A1951" s="8" t="n">
        <v>1950</v>
      </c>
      <c r="B1951" s="8" t="s">
        <v>143</v>
      </c>
      <c r="C1951" s="8" t="s">
        <v>16</v>
      </c>
      <c r="D1951" s="9" t="n">
        <v>44390</v>
      </c>
      <c r="E1951" s="10" t="n">
        <v>3560.63</v>
      </c>
      <c r="F1951" s="8" t="s">
        <v>11</v>
      </c>
      <c r="G1951" s="8" t="s">
        <v>12</v>
      </c>
      <c r="H1951" s="11" t="s">
        <v>13</v>
      </c>
      <c r="I1951" s="8" t="s">
        <v>26</v>
      </c>
    </row>
    <row r="1952" customFormat="false" ht="14.25" hidden="false" customHeight="false" outlineLevel="0" collapsed="false">
      <c r="A1952" s="8" t="n">
        <v>1951</v>
      </c>
      <c r="B1952" s="8" t="s">
        <v>179</v>
      </c>
      <c r="C1952" s="8" t="s">
        <v>28</v>
      </c>
      <c r="D1952" s="9" t="n">
        <v>44393</v>
      </c>
      <c r="E1952" s="10" t="n">
        <v>11296.39</v>
      </c>
      <c r="F1952" s="8" t="s">
        <v>11</v>
      </c>
      <c r="G1952" s="8" t="s">
        <v>17</v>
      </c>
      <c r="H1952" s="11" t="s">
        <v>18</v>
      </c>
      <c r="I1952" s="8" t="s">
        <v>14</v>
      </c>
    </row>
    <row r="1953" customFormat="false" ht="14.25" hidden="false" customHeight="false" outlineLevel="0" collapsed="false">
      <c r="A1953" s="8" t="n">
        <v>1952</v>
      </c>
      <c r="B1953" s="8" t="s">
        <v>119</v>
      </c>
      <c r="C1953" s="8" t="s">
        <v>21</v>
      </c>
      <c r="D1953" s="9" t="n">
        <v>44393</v>
      </c>
      <c r="E1953" s="10" t="n">
        <v>11984.4</v>
      </c>
      <c r="F1953" s="8" t="s">
        <v>11</v>
      </c>
      <c r="G1953" s="8" t="s">
        <v>17</v>
      </c>
      <c r="H1953" s="11" t="s">
        <v>18</v>
      </c>
      <c r="I1953" s="8" t="s">
        <v>26</v>
      </c>
    </row>
    <row r="1954" customFormat="false" ht="14.25" hidden="false" customHeight="false" outlineLevel="0" collapsed="false">
      <c r="A1954" s="8" t="n">
        <v>1953</v>
      </c>
      <c r="B1954" s="8" t="s">
        <v>214</v>
      </c>
      <c r="C1954" s="8" t="s">
        <v>16</v>
      </c>
      <c r="D1954" s="9" t="n">
        <v>44393</v>
      </c>
      <c r="E1954" s="10" t="n">
        <v>9910.15</v>
      </c>
      <c r="F1954" s="8" t="s">
        <v>11</v>
      </c>
      <c r="G1954" s="8" t="s">
        <v>17</v>
      </c>
      <c r="H1954" s="11" t="s">
        <v>18</v>
      </c>
      <c r="I1954" s="8" t="s">
        <v>14</v>
      </c>
    </row>
    <row r="1955" customFormat="false" ht="14.25" hidden="false" customHeight="false" outlineLevel="0" collapsed="false">
      <c r="A1955" s="8" t="n">
        <v>1954</v>
      </c>
      <c r="B1955" s="8" t="s">
        <v>215</v>
      </c>
      <c r="C1955" s="8" t="s">
        <v>28</v>
      </c>
      <c r="D1955" s="9" t="n">
        <v>44393</v>
      </c>
      <c r="E1955" s="10" t="n">
        <v>10849</v>
      </c>
      <c r="F1955" s="8" t="s">
        <v>11</v>
      </c>
      <c r="G1955" s="8" t="s">
        <v>12</v>
      </c>
      <c r="H1955" s="11" t="s">
        <v>13</v>
      </c>
      <c r="I1955" s="8" t="s">
        <v>19</v>
      </c>
    </row>
    <row r="1956" customFormat="false" ht="14.25" hidden="false" customHeight="false" outlineLevel="0" collapsed="false">
      <c r="A1956" s="8" t="n">
        <v>1955</v>
      </c>
      <c r="B1956" s="8" t="s">
        <v>131</v>
      </c>
      <c r="C1956" s="8" t="s">
        <v>21</v>
      </c>
      <c r="D1956" s="9" t="n">
        <v>44393</v>
      </c>
      <c r="E1956" s="10" t="n">
        <v>10752.19</v>
      </c>
      <c r="F1956" s="8" t="s">
        <v>11</v>
      </c>
      <c r="G1956" s="8" t="s">
        <v>12</v>
      </c>
      <c r="H1956" s="11" t="s">
        <v>13</v>
      </c>
      <c r="I1956" s="8" t="s">
        <v>14</v>
      </c>
    </row>
    <row r="1957" customFormat="false" ht="14.25" hidden="false" customHeight="false" outlineLevel="0" collapsed="false">
      <c r="A1957" s="8" t="n">
        <v>1956</v>
      </c>
      <c r="B1957" s="8" t="s">
        <v>216</v>
      </c>
      <c r="C1957" s="8" t="s">
        <v>10</v>
      </c>
      <c r="D1957" s="9" t="n">
        <v>44393</v>
      </c>
      <c r="E1957" s="10" t="n">
        <v>3737.76</v>
      </c>
      <c r="F1957" s="8" t="s">
        <v>11</v>
      </c>
      <c r="G1957" s="8" t="s">
        <v>12</v>
      </c>
      <c r="H1957" s="11" t="s">
        <v>13</v>
      </c>
      <c r="I1957" s="8" t="s">
        <v>19</v>
      </c>
    </row>
    <row r="1958" customFormat="false" ht="14.25" hidden="false" customHeight="false" outlineLevel="0" collapsed="false">
      <c r="A1958" s="8" t="n">
        <v>1957</v>
      </c>
      <c r="B1958" s="8" t="s">
        <v>217</v>
      </c>
      <c r="C1958" s="8" t="s">
        <v>16</v>
      </c>
      <c r="D1958" s="9" t="n">
        <v>44393</v>
      </c>
      <c r="E1958" s="10" t="n">
        <v>-9593.85</v>
      </c>
      <c r="F1958" s="8" t="s">
        <v>34</v>
      </c>
      <c r="G1958" s="8" t="s">
        <v>12</v>
      </c>
      <c r="H1958" s="11" t="s">
        <v>13</v>
      </c>
      <c r="I1958" s="8" t="s">
        <v>26</v>
      </c>
    </row>
    <row r="1959" customFormat="false" ht="14.25" hidden="false" customHeight="false" outlineLevel="0" collapsed="false">
      <c r="A1959" s="8" t="n">
        <v>1958</v>
      </c>
      <c r="B1959" s="8" t="s">
        <v>218</v>
      </c>
      <c r="C1959" s="8" t="s">
        <v>21</v>
      </c>
      <c r="D1959" s="9" t="n">
        <v>44393</v>
      </c>
      <c r="E1959" s="10" t="n">
        <v>-18327.12</v>
      </c>
      <c r="F1959" s="8" t="s">
        <v>34</v>
      </c>
      <c r="G1959" s="8" t="s">
        <v>12</v>
      </c>
      <c r="H1959" s="11" t="s">
        <v>13</v>
      </c>
      <c r="I1959" s="8" t="s">
        <v>26</v>
      </c>
    </row>
    <row r="1960" customFormat="false" ht="14.25" hidden="false" customHeight="false" outlineLevel="0" collapsed="false">
      <c r="A1960" s="8" t="n">
        <v>1959</v>
      </c>
      <c r="B1960" s="8" t="s">
        <v>219</v>
      </c>
      <c r="C1960" s="8" t="s">
        <v>16</v>
      </c>
      <c r="D1960" s="9" t="n">
        <v>44393</v>
      </c>
      <c r="E1960" s="10" t="n">
        <v>-9910.92</v>
      </c>
      <c r="F1960" s="8" t="s">
        <v>34</v>
      </c>
      <c r="G1960" s="8" t="s">
        <v>17</v>
      </c>
      <c r="H1960" s="11" t="s">
        <v>18</v>
      </c>
      <c r="I1960" s="8" t="s">
        <v>14</v>
      </c>
    </row>
    <row r="1961" customFormat="false" ht="14.25" hidden="false" customHeight="false" outlineLevel="0" collapsed="false">
      <c r="A1961" s="8" t="n">
        <v>1960</v>
      </c>
      <c r="B1961" s="8" t="s">
        <v>220</v>
      </c>
      <c r="C1961" s="8" t="s">
        <v>16</v>
      </c>
      <c r="D1961" s="9" t="n">
        <v>44393</v>
      </c>
      <c r="E1961" s="10" t="n">
        <v>-31200.61</v>
      </c>
      <c r="F1961" s="8" t="s">
        <v>34</v>
      </c>
      <c r="G1961" s="8" t="s">
        <v>17</v>
      </c>
      <c r="H1961" s="11" t="s">
        <v>18</v>
      </c>
      <c r="I1961" s="8" t="s">
        <v>26</v>
      </c>
    </row>
    <row r="1962" customFormat="false" ht="14.25" hidden="false" customHeight="false" outlineLevel="0" collapsed="false">
      <c r="A1962" s="8" t="n">
        <v>1961</v>
      </c>
      <c r="B1962" s="8" t="s">
        <v>85</v>
      </c>
      <c r="C1962" s="8" t="s">
        <v>28</v>
      </c>
      <c r="D1962" s="9" t="n">
        <v>44393</v>
      </c>
      <c r="E1962" s="10" t="n">
        <v>1821.74</v>
      </c>
      <c r="F1962" s="8" t="s">
        <v>11</v>
      </c>
      <c r="G1962" s="8" t="s">
        <v>22</v>
      </c>
      <c r="H1962" s="11" t="s">
        <v>23</v>
      </c>
      <c r="I1962" s="8" t="s">
        <v>24</v>
      </c>
    </row>
    <row r="1963" customFormat="false" ht="14.25" hidden="false" customHeight="false" outlineLevel="0" collapsed="false">
      <c r="A1963" s="8" t="n">
        <v>1962</v>
      </c>
      <c r="B1963" s="8" t="s">
        <v>221</v>
      </c>
      <c r="C1963" s="8" t="s">
        <v>16</v>
      </c>
      <c r="D1963" s="9" t="n">
        <v>44393</v>
      </c>
      <c r="E1963" s="10" t="n">
        <v>256906.12</v>
      </c>
      <c r="F1963" s="8" t="s">
        <v>11</v>
      </c>
      <c r="G1963" s="8" t="s">
        <v>36</v>
      </c>
      <c r="H1963" s="11" t="s">
        <v>37</v>
      </c>
      <c r="I1963" s="8" t="s">
        <v>14</v>
      </c>
    </row>
    <row r="1964" customFormat="false" ht="14.25" hidden="false" customHeight="false" outlineLevel="0" collapsed="false">
      <c r="A1964" s="8" t="n">
        <v>1963</v>
      </c>
      <c r="B1964" s="8" t="s">
        <v>143</v>
      </c>
      <c r="C1964" s="8" t="s">
        <v>21</v>
      </c>
      <c r="D1964" s="9" t="n">
        <v>44393</v>
      </c>
      <c r="E1964" s="10" t="n">
        <v>7318.5</v>
      </c>
      <c r="F1964" s="8" t="s">
        <v>11</v>
      </c>
      <c r="G1964" s="8" t="s">
        <v>12</v>
      </c>
      <c r="H1964" s="11" t="s">
        <v>13</v>
      </c>
      <c r="I1964" s="8" t="s">
        <v>14</v>
      </c>
    </row>
    <row r="1965" customFormat="false" ht="14.25" hidden="false" customHeight="false" outlineLevel="0" collapsed="false">
      <c r="A1965" s="8" t="n">
        <v>1964</v>
      </c>
      <c r="B1965" s="8" t="s">
        <v>189</v>
      </c>
      <c r="C1965" s="8" t="s">
        <v>21</v>
      </c>
      <c r="D1965" s="9" t="n">
        <v>44395</v>
      </c>
      <c r="E1965" s="10" t="n">
        <v>7318.5</v>
      </c>
      <c r="F1965" s="8" t="s">
        <v>11</v>
      </c>
      <c r="G1965" s="8" t="s">
        <v>36</v>
      </c>
      <c r="H1965" s="11" t="s">
        <v>37</v>
      </c>
      <c r="I1965" s="8" t="s">
        <v>26</v>
      </c>
    </row>
    <row r="1966" customFormat="false" ht="14.25" hidden="false" customHeight="false" outlineLevel="0" collapsed="false">
      <c r="A1966" s="8" t="n">
        <v>1965</v>
      </c>
      <c r="B1966" s="8" t="s">
        <v>222</v>
      </c>
      <c r="C1966" s="8" t="s">
        <v>16</v>
      </c>
      <c r="D1966" s="9" t="n">
        <v>44395</v>
      </c>
      <c r="E1966" s="10" t="n">
        <v>3485</v>
      </c>
      <c r="F1966" s="8" t="s">
        <v>11</v>
      </c>
      <c r="G1966" s="8" t="s">
        <v>36</v>
      </c>
      <c r="H1966" s="11" t="s">
        <v>37</v>
      </c>
      <c r="I1966" s="8" t="s">
        <v>14</v>
      </c>
    </row>
    <row r="1967" customFormat="false" ht="14.25" hidden="false" customHeight="false" outlineLevel="0" collapsed="false">
      <c r="A1967" s="8" t="n">
        <v>1966</v>
      </c>
      <c r="B1967" s="8" t="s">
        <v>173</v>
      </c>
      <c r="C1967" s="8" t="s">
        <v>10</v>
      </c>
      <c r="D1967" s="9" t="n">
        <v>44395</v>
      </c>
      <c r="E1967" s="10" t="n">
        <v>2439.5</v>
      </c>
      <c r="F1967" s="8" t="s">
        <v>11</v>
      </c>
      <c r="G1967" s="8" t="s">
        <v>12</v>
      </c>
      <c r="H1967" s="11" t="s">
        <v>13</v>
      </c>
      <c r="I1967" s="8" t="s">
        <v>26</v>
      </c>
    </row>
    <row r="1968" customFormat="false" ht="14.25" hidden="false" customHeight="false" outlineLevel="0" collapsed="false">
      <c r="A1968" s="8" t="n">
        <v>1967</v>
      </c>
      <c r="B1968" s="8" t="s">
        <v>145</v>
      </c>
      <c r="C1968" s="8" t="s">
        <v>21</v>
      </c>
      <c r="D1968" s="9" t="n">
        <v>44395</v>
      </c>
      <c r="E1968" s="10" t="n">
        <v>3485</v>
      </c>
      <c r="F1968" s="8" t="s">
        <v>11</v>
      </c>
      <c r="G1968" s="8" t="s">
        <v>12</v>
      </c>
      <c r="H1968" s="11" t="s">
        <v>13</v>
      </c>
      <c r="I1968" s="8" t="s">
        <v>14</v>
      </c>
    </row>
    <row r="1969" customFormat="false" ht="14.25" hidden="false" customHeight="false" outlineLevel="0" collapsed="false">
      <c r="A1969" s="8" t="n">
        <v>1968</v>
      </c>
      <c r="B1969" s="8" t="s">
        <v>143</v>
      </c>
      <c r="C1969" s="8" t="s">
        <v>21</v>
      </c>
      <c r="D1969" s="9" t="n">
        <v>44395</v>
      </c>
      <c r="E1969" s="10" t="n">
        <v>2857.7</v>
      </c>
      <c r="F1969" s="8" t="s">
        <v>11</v>
      </c>
      <c r="G1969" s="8" t="s">
        <v>12</v>
      </c>
      <c r="H1969" s="11" t="s">
        <v>13</v>
      </c>
      <c r="I1969" s="8" t="s">
        <v>19</v>
      </c>
    </row>
    <row r="1970" customFormat="false" ht="14.25" hidden="false" customHeight="false" outlineLevel="0" collapsed="false">
      <c r="A1970" s="8" t="n">
        <v>1969</v>
      </c>
      <c r="B1970" s="8" t="s">
        <v>15</v>
      </c>
      <c r="C1970" s="8" t="s">
        <v>28</v>
      </c>
      <c r="D1970" s="9" t="n">
        <v>44396</v>
      </c>
      <c r="E1970" s="10" t="n">
        <v>2857.7</v>
      </c>
      <c r="F1970" s="8" t="s">
        <v>11</v>
      </c>
      <c r="G1970" s="8" t="s">
        <v>22</v>
      </c>
      <c r="H1970" s="11" t="s">
        <v>23</v>
      </c>
      <c r="I1970" s="8" t="s">
        <v>14</v>
      </c>
    </row>
    <row r="1971" customFormat="false" ht="14.25" hidden="false" customHeight="false" outlineLevel="0" collapsed="false">
      <c r="A1971" s="8" t="n">
        <v>1970</v>
      </c>
      <c r="B1971" s="8" t="s">
        <v>15</v>
      </c>
      <c r="C1971" s="8" t="s">
        <v>10</v>
      </c>
      <c r="D1971" s="9" t="n">
        <v>44396</v>
      </c>
      <c r="E1971" s="10" t="n">
        <v>133796.95</v>
      </c>
      <c r="F1971" s="8" t="s">
        <v>11</v>
      </c>
      <c r="G1971" s="8" t="s">
        <v>17</v>
      </c>
      <c r="H1971" s="11" t="s">
        <v>18</v>
      </c>
      <c r="I1971" s="8" t="s">
        <v>24</v>
      </c>
    </row>
    <row r="1972" customFormat="false" ht="14.25" hidden="false" customHeight="false" outlineLevel="0" collapsed="false">
      <c r="A1972" s="8" t="n">
        <v>1971</v>
      </c>
      <c r="B1972" s="8" t="s">
        <v>32</v>
      </c>
      <c r="C1972" s="8" t="s">
        <v>21</v>
      </c>
      <c r="D1972" s="9" t="n">
        <v>44396</v>
      </c>
      <c r="E1972" s="10" t="n">
        <v>3485</v>
      </c>
      <c r="F1972" s="8" t="s">
        <v>11</v>
      </c>
      <c r="G1972" s="8" t="s">
        <v>36</v>
      </c>
      <c r="H1972" s="11" t="s">
        <v>37</v>
      </c>
      <c r="I1972" s="8" t="s">
        <v>26</v>
      </c>
    </row>
    <row r="1973" customFormat="false" ht="14.25" hidden="false" customHeight="false" outlineLevel="0" collapsed="false">
      <c r="A1973" s="8" t="n">
        <v>1972</v>
      </c>
      <c r="B1973" s="8" t="s">
        <v>32</v>
      </c>
      <c r="C1973" s="8" t="s">
        <v>16</v>
      </c>
      <c r="D1973" s="9" t="n">
        <v>44396</v>
      </c>
      <c r="E1973" s="10" t="n">
        <v>2439.5</v>
      </c>
      <c r="F1973" s="8" t="s">
        <v>11</v>
      </c>
      <c r="G1973" s="8" t="s">
        <v>30</v>
      </c>
      <c r="H1973" s="11" t="s">
        <v>31</v>
      </c>
      <c r="I1973" s="8" t="s">
        <v>14</v>
      </c>
    </row>
    <row r="1974" customFormat="false" ht="14.25" hidden="false" customHeight="false" outlineLevel="0" collapsed="false">
      <c r="A1974" s="8" t="n">
        <v>1973</v>
      </c>
      <c r="B1974" s="8" t="s">
        <v>81</v>
      </c>
      <c r="C1974" s="8" t="s">
        <v>21</v>
      </c>
      <c r="D1974" s="9" t="n">
        <v>44396</v>
      </c>
      <c r="E1974" s="10" t="n">
        <v>3561.67</v>
      </c>
      <c r="F1974" s="8" t="s">
        <v>11</v>
      </c>
      <c r="G1974" s="8" t="s">
        <v>30</v>
      </c>
      <c r="H1974" s="11" t="s">
        <v>31</v>
      </c>
      <c r="I1974" s="8" t="s">
        <v>14</v>
      </c>
    </row>
    <row r="1975" customFormat="false" ht="14.25" hidden="false" customHeight="false" outlineLevel="0" collapsed="false">
      <c r="A1975" s="8" t="n">
        <v>1974</v>
      </c>
      <c r="B1975" s="8" t="s">
        <v>81</v>
      </c>
      <c r="C1975" s="8" t="s">
        <v>16</v>
      </c>
      <c r="D1975" s="9" t="n">
        <v>44396</v>
      </c>
      <c r="E1975" s="10" t="n">
        <v>3952.43</v>
      </c>
      <c r="F1975" s="8" t="s">
        <v>11</v>
      </c>
      <c r="G1975" s="8" t="s">
        <v>17</v>
      </c>
      <c r="H1975" s="11" t="s">
        <v>18</v>
      </c>
      <c r="I1975" s="8" t="s">
        <v>24</v>
      </c>
    </row>
    <row r="1976" customFormat="false" ht="14.25" hidden="false" customHeight="false" outlineLevel="0" collapsed="false">
      <c r="A1976" s="8" t="n">
        <v>1975</v>
      </c>
      <c r="B1976" s="8" t="s">
        <v>81</v>
      </c>
      <c r="C1976" s="8" t="s">
        <v>16</v>
      </c>
      <c r="D1976" s="9" t="n">
        <v>44396</v>
      </c>
      <c r="E1976" s="10" t="n">
        <v>3845.4</v>
      </c>
      <c r="F1976" s="8" t="s">
        <v>11</v>
      </c>
      <c r="G1976" s="8" t="s">
        <v>12</v>
      </c>
      <c r="H1976" s="11" t="s">
        <v>13</v>
      </c>
      <c r="I1976" s="8" t="s">
        <v>26</v>
      </c>
    </row>
    <row r="1977" customFormat="false" ht="14.25" hidden="false" customHeight="false" outlineLevel="0" collapsed="false">
      <c r="A1977" s="8" t="n">
        <v>1976</v>
      </c>
      <c r="B1977" s="8" t="s">
        <v>81</v>
      </c>
      <c r="C1977" s="8" t="s">
        <v>16</v>
      </c>
      <c r="D1977" s="9" t="n">
        <v>44396</v>
      </c>
      <c r="E1977" s="10" t="n">
        <v>-5947.62</v>
      </c>
      <c r="F1977" s="8" t="s">
        <v>34</v>
      </c>
      <c r="G1977" s="8" t="s">
        <v>36</v>
      </c>
      <c r="H1977" s="11" t="s">
        <v>37</v>
      </c>
      <c r="I1977" s="8" t="s">
        <v>26</v>
      </c>
    </row>
    <row r="1978" customFormat="false" ht="14.25" hidden="false" customHeight="false" outlineLevel="0" collapsed="false">
      <c r="A1978" s="8" t="n">
        <v>1977</v>
      </c>
      <c r="B1978" s="8" t="s">
        <v>81</v>
      </c>
      <c r="C1978" s="8" t="s">
        <v>21</v>
      </c>
      <c r="D1978" s="9" t="n">
        <v>44396</v>
      </c>
      <c r="E1978" s="10" t="n">
        <v>-6435.52</v>
      </c>
      <c r="F1978" s="8" t="s">
        <v>34</v>
      </c>
      <c r="G1978" s="8" t="s">
        <v>12</v>
      </c>
      <c r="H1978" s="11" t="s">
        <v>13</v>
      </c>
      <c r="I1978" s="8" t="s">
        <v>26</v>
      </c>
    </row>
    <row r="1979" customFormat="false" ht="14.25" hidden="false" customHeight="false" outlineLevel="0" collapsed="false">
      <c r="A1979" s="8" t="n">
        <v>1978</v>
      </c>
      <c r="B1979" s="8" t="s">
        <v>81</v>
      </c>
      <c r="C1979" s="8" t="s">
        <v>28</v>
      </c>
      <c r="D1979" s="9" t="n">
        <v>44396</v>
      </c>
      <c r="E1979" s="10" t="n">
        <v>-6122.55</v>
      </c>
      <c r="F1979" s="8" t="s">
        <v>34</v>
      </c>
      <c r="G1979" s="8" t="s">
        <v>17</v>
      </c>
      <c r="H1979" s="11" t="s">
        <v>18</v>
      </c>
      <c r="I1979" s="8" t="s">
        <v>14</v>
      </c>
    </row>
    <row r="1980" customFormat="false" ht="14.25" hidden="false" customHeight="false" outlineLevel="0" collapsed="false">
      <c r="A1980" s="8" t="n">
        <v>1979</v>
      </c>
      <c r="B1980" s="8" t="s">
        <v>81</v>
      </c>
      <c r="C1980" s="8" t="s">
        <v>21</v>
      </c>
      <c r="D1980" s="9" t="n">
        <v>44396</v>
      </c>
      <c r="E1980" s="10" t="n">
        <v>-5935.13</v>
      </c>
      <c r="F1980" s="8" t="s">
        <v>34</v>
      </c>
      <c r="G1980" s="8" t="s">
        <v>36</v>
      </c>
      <c r="H1980" s="11" t="s">
        <v>37</v>
      </c>
      <c r="I1980" s="8" t="s">
        <v>26</v>
      </c>
    </row>
    <row r="1981" customFormat="false" ht="14.25" hidden="false" customHeight="false" outlineLevel="0" collapsed="false">
      <c r="A1981" s="8" t="n">
        <v>1980</v>
      </c>
      <c r="B1981" s="8" t="s">
        <v>81</v>
      </c>
      <c r="C1981" s="8" t="s">
        <v>28</v>
      </c>
      <c r="D1981" s="9" t="n">
        <v>44396</v>
      </c>
      <c r="E1981" s="10" t="n">
        <v>-6129.69</v>
      </c>
      <c r="F1981" s="8" t="s">
        <v>34</v>
      </c>
      <c r="G1981" s="8" t="s">
        <v>22</v>
      </c>
      <c r="H1981" s="11" t="s">
        <v>23</v>
      </c>
      <c r="I1981" s="8" t="s">
        <v>14</v>
      </c>
    </row>
    <row r="1982" customFormat="false" ht="14.25" hidden="false" customHeight="false" outlineLevel="0" collapsed="false">
      <c r="A1982" s="8" t="n">
        <v>1981</v>
      </c>
      <c r="B1982" s="8" t="s">
        <v>81</v>
      </c>
      <c r="C1982" s="8" t="s">
        <v>10</v>
      </c>
      <c r="D1982" s="9" t="n">
        <v>44396</v>
      </c>
      <c r="E1982" s="10" t="n">
        <v>-5709.03</v>
      </c>
      <c r="F1982" s="8" t="s">
        <v>34</v>
      </c>
      <c r="G1982" s="8" t="s">
        <v>30</v>
      </c>
      <c r="H1982" s="11" t="s">
        <v>31</v>
      </c>
      <c r="I1982" s="8" t="s">
        <v>14</v>
      </c>
    </row>
    <row r="1983" customFormat="false" ht="14.25" hidden="false" customHeight="false" outlineLevel="0" collapsed="false">
      <c r="A1983" s="8" t="n">
        <v>1982</v>
      </c>
      <c r="B1983" s="8" t="s">
        <v>81</v>
      </c>
      <c r="C1983" s="8" t="s">
        <v>21</v>
      </c>
      <c r="D1983" s="9" t="n">
        <v>44396</v>
      </c>
      <c r="E1983" s="10" t="n">
        <v>-6005.93</v>
      </c>
      <c r="F1983" s="8" t="s">
        <v>34</v>
      </c>
      <c r="G1983" s="8" t="s">
        <v>12</v>
      </c>
      <c r="H1983" s="11" t="s">
        <v>13</v>
      </c>
      <c r="I1983" s="8" t="s">
        <v>19</v>
      </c>
    </row>
    <row r="1984" customFormat="false" ht="14.25" hidden="false" customHeight="false" outlineLevel="0" collapsed="false">
      <c r="A1984" s="8" t="n">
        <v>1983</v>
      </c>
      <c r="B1984" s="8" t="s">
        <v>145</v>
      </c>
      <c r="C1984" s="8" t="s">
        <v>28</v>
      </c>
      <c r="D1984" s="9" t="n">
        <v>44397</v>
      </c>
      <c r="E1984" s="10" t="n">
        <v>-14034.2</v>
      </c>
      <c r="F1984" s="8" t="s">
        <v>34</v>
      </c>
      <c r="G1984" s="8" t="s">
        <v>22</v>
      </c>
      <c r="H1984" s="11" t="s">
        <v>23</v>
      </c>
      <c r="I1984" s="8" t="s">
        <v>26</v>
      </c>
    </row>
    <row r="1985" customFormat="false" ht="14.25" hidden="false" customHeight="false" outlineLevel="0" collapsed="false">
      <c r="A1985" s="8" t="n">
        <v>1984</v>
      </c>
      <c r="B1985" s="8" t="s">
        <v>39</v>
      </c>
      <c r="C1985" s="8" t="s">
        <v>21</v>
      </c>
      <c r="D1985" s="9" t="n">
        <v>44397</v>
      </c>
      <c r="E1985" s="10" t="n">
        <v>130337.35</v>
      </c>
      <c r="F1985" s="8" t="s">
        <v>11</v>
      </c>
      <c r="G1985" s="8" t="s">
        <v>17</v>
      </c>
      <c r="H1985" s="11" t="s">
        <v>18</v>
      </c>
      <c r="I1985" s="8" t="s">
        <v>14</v>
      </c>
    </row>
    <row r="1986" customFormat="false" ht="14.25" hidden="false" customHeight="false" outlineLevel="0" collapsed="false">
      <c r="A1986" s="8" t="n">
        <v>1985</v>
      </c>
      <c r="B1986" s="8" t="s">
        <v>223</v>
      </c>
      <c r="C1986" s="8" t="s">
        <v>16</v>
      </c>
      <c r="D1986" s="9" t="n">
        <v>44400</v>
      </c>
      <c r="E1986" s="10" t="n">
        <v>14519.36</v>
      </c>
      <c r="F1986" s="8" t="s">
        <v>11</v>
      </c>
      <c r="G1986" s="8" t="s">
        <v>17</v>
      </c>
      <c r="H1986" s="11" t="s">
        <v>18</v>
      </c>
      <c r="I1986" s="8" t="s">
        <v>14</v>
      </c>
    </row>
    <row r="1987" customFormat="false" ht="14.25" hidden="false" customHeight="false" outlineLevel="0" collapsed="false">
      <c r="A1987" s="8" t="n">
        <v>1986</v>
      </c>
      <c r="B1987" s="8" t="s">
        <v>224</v>
      </c>
      <c r="C1987" s="8" t="s">
        <v>21</v>
      </c>
      <c r="D1987" s="9" t="n">
        <v>44400</v>
      </c>
      <c r="E1987" s="10" t="n">
        <v>14519.36</v>
      </c>
      <c r="F1987" s="8" t="s">
        <v>11</v>
      </c>
      <c r="G1987" s="8" t="s">
        <v>17</v>
      </c>
      <c r="H1987" s="11" t="s">
        <v>18</v>
      </c>
      <c r="I1987" s="8" t="s">
        <v>19</v>
      </c>
    </row>
    <row r="1988" customFormat="false" ht="14.25" hidden="false" customHeight="false" outlineLevel="0" collapsed="false">
      <c r="A1988" s="8" t="n">
        <v>1987</v>
      </c>
      <c r="B1988" s="8" t="s">
        <v>225</v>
      </c>
      <c r="C1988" s="8" t="s">
        <v>16</v>
      </c>
      <c r="D1988" s="9" t="n">
        <v>44400</v>
      </c>
      <c r="E1988" s="10" t="n">
        <v>184784.57</v>
      </c>
      <c r="F1988" s="8" t="s">
        <v>11</v>
      </c>
      <c r="G1988" s="8" t="s">
        <v>12</v>
      </c>
      <c r="H1988" s="11" t="s">
        <v>13</v>
      </c>
      <c r="I1988" s="8" t="s">
        <v>14</v>
      </c>
    </row>
    <row r="1989" customFormat="false" ht="14.25" hidden="false" customHeight="false" outlineLevel="0" collapsed="false">
      <c r="A1989" s="8" t="n">
        <v>1988</v>
      </c>
      <c r="B1989" s="8" t="s">
        <v>226</v>
      </c>
      <c r="C1989" s="8" t="s">
        <v>16</v>
      </c>
      <c r="D1989" s="9" t="n">
        <v>44400</v>
      </c>
      <c r="E1989" s="10" t="n">
        <v>14519.36</v>
      </c>
      <c r="F1989" s="8" t="s">
        <v>11</v>
      </c>
      <c r="G1989" s="8" t="s">
        <v>36</v>
      </c>
      <c r="H1989" s="11" t="s">
        <v>37</v>
      </c>
      <c r="I1989" s="8" t="s">
        <v>14</v>
      </c>
    </row>
    <row r="1990" customFormat="false" ht="14.25" hidden="false" customHeight="false" outlineLevel="0" collapsed="false">
      <c r="A1990" s="8" t="n">
        <v>1989</v>
      </c>
      <c r="B1990" s="8" t="s">
        <v>227</v>
      </c>
      <c r="C1990" s="8" t="s">
        <v>16</v>
      </c>
      <c r="D1990" s="9" t="n">
        <v>44400</v>
      </c>
      <c r="E1990" s="10" t="n">
        <v>-1895.39</v>
      </c>
      <c r="F1990" s="8" t="s">
        <v>34</v>
      </c>
      <c r="G1990" s="8" t="s">
        <v>36</v>
      </c>
      <c r="H1990" s="11" t="s">
        <v>37</v>
      </c>
      <c r="I1990" s="8" t="s">
        <v>24</v>
      </c>
    </row>
    <row r="1991" customFormat="false" ht="14.25" hidden="false" customHeight="false" outlineLevel="0" collapsed="false">
      <c r="A1991" s="8" t="n">
        <v>1990</v>
      </c>
      <c r="B1991" s="8" t="s">
        <v>228</v>
      </c>
      <c r="C1991" s="8" t="s">
        <v>10</v>
      </c>
      <c r="D1991" s="9" t="n">
        <v>44400</v>
      </c>
      <c r="E1991" s="10" t="n">
        <v>-6932.45</v>
      </c>
      <c r="F1991" s="8" t="s">
        <v>34</v>
      </c>
      <c r="G1991" s="8" t="s">
        <v>17</v>
      </c>
      <c r="H1991" s="11" t="s">
        <v>18</v>
      </c>
      <c r="I1991" s="8" t="s">
        <v>14</v>
      </c>
    </row>
    <row r="1992" customFormat="false" ht="14.25" hidden="false" customHeight="false" outlineLevel="0" collapsed="false">
      <c r="A1992" s="8" t="n">
        <v>1991</v>
      </c>
      <c r="B1992" s="8" t="s">
        <v>229</v>
      </c>
      <c r="C1992" s="8" t="s">
        <v>21</v>
      </c>
      <c r="D1992" s="9" t="n">
        <v>44400</v>
      </c>
      <c r="E1992" s="10" t="n">
        <v>-4807.39</v>
      </c>
      <c r="F1992" s="8" t="s">
        <v>34</v>
      </c>
      <c r="G1992" s="8" t="s">
        <v>12</v>
      </c>
      <c r="H1992" s="11" t="s">
        <v>13</v>
      </c>
      <c r="I1992" s="8" t="s">
        <v>14</v>
      </c>
    </row>
    <row r="1993" customFormat="false" ht="14.25" hidden="false" customHeight="false" outlineLevel="0" collapsed="false">
      <c r="A1993" s="8" t="n">
        <v>1992</v>
      </c>
      <c r="B1993" s="8" t="s">
        <v>230</v>
      </c>
      <c r="C1993" s="8" t="s">
        <v>16</v>
      </c>
      <c r="D1993" s="9" t="n">
        <v>44400</v>
      </c>
      <c r="E1993" s="10" t="n">
        <v>-3047.21</v>
      </c>
      <c r="F1993" s="8" t="s">
        <v>34</v>
      </c>
      <c r="G1993" s="8" t="s">
        <v>17</v>
      </c>
      <c r="H1993" s="11" t="s">
        <v>18</v>
      </c>
      <c r="I1993" s="8" t="s">
        <v>24</v>
      </c>
    </row>
    <row r="1994" customFormat="false" ht="14.25" hidden="false" customHeight="false" outlineLevel="0" collapsed="false">
      <c r="A1994" s="8" t="n">
        <v>1993</v>
      </c>
      <c r="B1994" s="8" t="s">
        <v>231</v>
      </c>
      <c r="C1994" s="8" t="s">
        <v>10</v>
      </c>
      <c r="D1994" s="9" t="n">
        <v>44400</v>
      </c>
      <c r="E1994" s="10" t="n">
        <v>-2860.31</v>
      </c>
      <c r="F1994" s="8" t="s">
        <v>34</v>
      </c>
      <c r="G1994" s="8" t="s">
        <v>36</v>
      </c>
      <c r="H1994" s="11" t="s">
        <v>37</v>
      </c>
      <c r="I1994" s="8" t="s">
        <v>26</v>
      </c>
    </row>
    <row r="1995" customFormat="false" ht="14.25" hidden="false" customHeight="false" outlineLevel="0" collapsed="false">
      <c r="A1995" s="8" t="n">
        <v>1994</v>
      </c>
      <c r="B1995" s="8" t="s">
        <v>232</v>
      </c>
      <c r="C1995" s="8" t="s">
        <v>21</v>
      </c>
      <c r="D1995" s="9" t="n">
        <v>44400</v>
      </c>
      <c r="E1995" s="10" t="n">
        <v>-183.44</v>
      </c>
      <c r="F1995" s="8" t="s">
        <v>34</v>
      </c>
      <c r="G1995" s="8" t="s">
        <v>12</v>
      </c>
      <c r="H1995" s="11" t="s">
        <v>13</v>
      </c>
      <c r="I1995" s="8" t="s">
        <v>19</v>
      </c>
    </row>
    <row r="1996" customFormat="false" ht="14.25" hidden="false" customHeight="false" outlineLevel="0" collapsed="false">
      <c r="A1996" s="8" t="n">
        <v>1995</v>
      </c>
      <c r="B1996" s="8" t="s">
        <v>233</v>
      </c>
      <c r="C1996" s="8" t="s">
        <v>16</v>
      </c>
      <c r="D1996" s="9" t="n">
        <v>44401</v>
      </c>
      <c r="E1996" s="10" t="n">
        <v>-2769.66</v>
      </c>
      <c r="F1996" s="8" t="s">
        <v>34</v>
      </c>
      <c r="G1996" s="8" t="s">
        <v>12</v>
      </c>
      <c r="H1996" s="11" t="s">
        <v>13</v>
      </c>
      <c r="I1996" s="8" t="s">
        <v>14</v>
      </c>
    </row>
    <row r="1997" customFormat="false" ht="14.25" hidden="false" customHeight="false" outlineLevel="0" collapsed="false">
      <c r="A1997" s="8" t="n">
        <v>1996</v>
      </c>
      <c r="B1997" s="8" t="s">
        <v>66</v>
      </c>
      <c r="C1997" s="8" t="s">
        <v>21</v>
      </c>
      <c r="D1997" s="9" t="n">
        <v>44401</v>
      </c>
      <c r="E1997" s="10" t="n">
        <v>-14244.3</v>
      </c>
      <c r="F1997" s="8" t="s">
        <v>34</v>
      </c>
      <c r="G1997" s="8" t="s">
        <v>17</v>
      </c>
      <c r="H1997" s="11" t="s">
        <v>18</v>
      </c>
      <c r="I1997" s="8" t="s">
        <v>26</v>
      </c>
    </row>
    <row r="1998" customFormat="false" ht="14.25" hidden="false" customHeight="false" outlineLevel="0" collapsed="false">
      <c r="A1998" s="8" t="n">
        <v>1997</v>
      </c>
      <c r="B1998" s="8" t="s">
        <v>75</v>
      </c>
      <c r="C1998" s="8" t="s">
        <v>16</v>
      </c>
      <c r="D1998" s="9" t="n">
        <v>44401</v>
      </c>
      <c r="E1998" s="10" t="n">
        <v>-98349.41</v>
      </c>
      <c r="F1998" s="8" t="s">
        <v>34</v>
      </c>
      <c r="G1998" s="8" t="s">
        <v>12</v>
      </c>
      <c r="H1998" s="11" t="s">
        <v>13</v>
      </c>
      <c r="I1998" s="8" t="s">
        <v>19</v>
      </c>
    </row>
    <row r="1999" customFormat="false" ht="14.25" hidden="false" customHeight="false" outlineLevel="0" collapsed="false">
      <c r="A1999" s="8" t="n">
        <v>1998</v>
      </c>
      <c r="B1999" s="8" t="s">
        <v>66</v>
      </c>
      <c r="C1999" s="8" t="s">
        <v>21</v>
      </c>
      <c r="D1999" s="9" t="n">
        <v>44401</v>
      </c>
      <c r="E1999" s="10" t="n">
        <v>-27883.03</v>
      </c>
      <c r="F1999" s="8" t="s">
        <v>34</v>
      </c>
      <c r="G1999" s="8" t="s">
        <v>30</v>
      </c>
      <c r="H1999" s="11" t="s">
        <v>31</v>
      </c>
      <c r="I1999" s="8" t="s">
        <v>24</v>
      </c>
    </row>
    <row r="2000" customFormat="false" ht="14.25" hidden="false" customHeight="false" outlineLevel="0" collapsed="false">
      <c r="A2000" s="8" t="n">
        <v>1999</v>
      </c>
      <c r="B2000" s="8" t="s">
        <v>39</v>
      </c>
      <c r="C2000" s="8" t="s">
        <v>21</v>
      </c>
      <c r="D2000" s="9" t="n">
        <v>44401</v>
      </c>
      <c r="E2000" s="10" t="n">
        <v>-28192.61</v>
      </c>
      <c r="F2000" s="8" t="s">
        <v>34</v>
      </c>
      <c r="G2000" s="8" t="s">
        <v>22</v>
      </c>
      <c r="H2000" s="11" t="s">
        <v>23</v>
      </c>
      <c r="I2000" s="8" t="s">
        <v>14</v>
      </c>
    </row>
    <row r="2001" customFormat="false" ht="14.25" hidden="false" customHeight="false" outlineLevel="0" collapsed="false">
      <c r="A2001" s="8" t="n">
        <v>2000</v>
      </c>
      <c r="B2001" s="8" t="s">
        <v>66</v>
      </c>
      <c r="C2001" s="8" t="s">
        <v>10</v>
      </c>
      <c r="D2001" s="9" t="n">
        <v>44401</v>
      </c>
      <c r="E2001" s="10" t="n">
        <v>21250</v>
      </c>
      <c r="F2001" s="8" t="s">
        <v>11</v>
      </c>
      <c r="G2001" s="8" t="s">
        <v>17</v>
      </c>
      <c r="H2001" s="11" t="s">
        <v>18</v>
      </c>
      <c r="I2001" s="8" t="s">
        <v>24</v>
      </c>
    </row>
    <row r="2002" customFormat="false" ht="14.25" hidden="false" customHeight="false" outlineLevel="0" collapsed="false">
      <c r="A2002" s="8" t="n">
        <v>2001</v>
      </c>
      <c r="B2002" s="8" t="s">
        <v>66</v>
      </c>
      <c r="C2002" s="8" t="s">
        <v>10</v>
      </c>
      <c r="D2002" s="9" t="n">
        <v>44401</v>
      </c>
      <c r="E2002" s="10" t="n">
        <v>21250</v>
      </c>
      <c r="F2002" s="8" t="s">
        <v>11</v>
      </c>
      <c r="G2002" s="8" t="s">
        <v>30</v>
      </c>
      <c r="H2002" s="11" t="s">
        <v>31</v>
      </c>
      <c r="I2002" s="8" t="s">
        <v>24</v>
      </c>
    </row>
    <row r="2003" customFormat="false" ht="14.25" hidden="false" customHeight="false" outlineLevel="0" collapsed="false">
      <c r="A2003" s="8" t="n">
        <v>2002</v>
      </c>
      <c r="B2003" s="8" t="s">
        <v>66</v>
      </c>
      <c r="C2003" s="8" t="s">
        <v>10</v>
      </c>
      <c r="D2003" s="9" t="n">
        <v>44401</v>
      </c>
      <c r="E2003" s="10" t="n">
        <v>21250</v>
      </c>
      <c r="F2003" s="8" t="s">
        <v>11</v>
      </c>
      <c r="G2003" s="8" t="s">
        <v>22</v>
      </c>
      <c r="H2003" s="11" t="s">
        <v>23</v>
      </c>
      <c r="I2003" s="8" t="s">
        <v>26</v>
      </c>
    </row>
    <row r="2004" customFormat="false" ht="14.25" hidden="false" customHeight="false" outlineLevel="0" collapsed="false">
      <c r="A2004" s="8" t="n">
        <v>2003</v>
      </c>
      <c r="B2004" s="8" t="s">
        <v>66</v>
      </c>
      <c r="C2004" s="8" t="s">
        <v>21</v>
      </c>
      <c r="D2004" s="9" t="n">
        <v>44401</v>
      </c>
      <c r="E2004" s="10" t="n">
        <v>-737.14</v>
      </c>
      <c r="F2004" s="8" t="s">
        <v>34</v>
      </c>
      <c r="G2004" s="8" t="s">
        <v>17</v>
      </c>
      <c r="H2004" s="11" t="s">
        <v>18</v>
      </c>
      <c r="I2004" s="8" t="s">
        <v>14</v>
      </c>
    </row>
    <row r="2005" customFormat="false" ht="14.25" hidden="false" customHeight="false" outlineLevel="0" collapsed="false">
      <c r="A2005" s="8" t="n">
        <v>2004</v>
      </c>
      <c r="B2005" s="8" t="s">
        <v>66</v>
      </c>
      <c r="C2005" s="8" t="s">
        <v>28</v>
      </c>
      <c r="D2005" s="9" t="n">
        <v>44401</v>
      </c>
      <c r="E2005" s="10" t="n">
        <v>-6991.46</v>
      </c>
      <c r="F2005" s="8" t="s">
        <v>34</v>
      </c>
      <c r="G2005" s="8" t="s">
        <v>17</v>
      </c>
      <c r="H2005" s="11" t="s">
        <v>18</v>
      </c>
      <c r="I2005" s="8" t="s">
        <v>14</v>
      </c>
    </row>
    <row r="2006" customFormat="false" ht="14.25" hidden="false" customHeight="false" outlineLevel="0" collapsed="false">
      <c r="A2006" s="8" t="n">
        <v>2005</v>
      </c>
      <c r="B2006" s="8" t="s">
        <v>66</v>
      </c>
      <c r="C2006" s="8" t="s">
        <v>21</v>
      </c>
      <c r="D2006" s="9" t="n">
        <v>44401</v>
      </c>
      <c r="E2006" s="10" t="n">
        <v>-9425.36</v>
      </c>
      <c r="F2006" s="8" t="s">
        <v>34</v>
      </c>
      <c r="G2006" s="8" t="s">
        <v>12</v>
      </c>
      <c r="H2006" s="11" t="s">
        <v>13</v>
      </c>
      <c r="I2006" s="8" t="s">
        <v>26</v>
      </c>
    </row>
    <row r="2007" customFormat="false" ht="14.25" hidden="false" customHeight="false" outlineLevel="0" collapsed="false">
      <c r="A2007" s="8" t="n">
        <v>2006</v>
      </c>
      <c r="B2007" s="8" t="s">
        <v>66</v>
      </c>
      <c r="C2007" s="8" t="s">
        <v>21</v>
      </c>
      <c r="D2007" s="9" t="n">
        <v>44401</v>
      </c>
      <c r="E2007" s="10" t="n">
        <v>-150.4</v>
      </c>
      <c r="F2007" s="8" t="s">
        <v>34</v>
      </c>
      <c r="G2007" s="8" t="s">
        <v>12</v>
      </c>
      <c r="H2007" s="11" t="s">
        <v>13</v>
      </c>
      <c r="I2007" s="8" t="s">
        <v>26</v>
      </c>
    </row>
    <row r="2008" customFormat="false" ht="14.25" hidden="false" customHeight="false" outlineLevel="0" collapsed="false">
      <c r="A2008" s="8" t="n">
        <v>2007</v>
      </c>
      <c r="B2008" s="8" t="s">
        <v>66</v>
      </c>
      <c r="C2008" s="8" t="s">
        <v>10</v>
      </c>
      <c r="D2008" s="9" t="n">
        <v>44401</v>
      </c>
      <c r="E2008" s="10" t="n">
        <v>-28426.16</v>
      </c>
      <c r="F2008" s="8" t="s">
        <v>34</v>
      </c>
      <c r="G2008" s="8" t="s">
        <v>36</v>
      </c>
      <c r="H2008" s="11" t="s">
        <v>37</v>
      </c>
      <c r="I2008" s="8" t="s">
        <v>26</v>
      </c>
    </row>
    <row r="2009" customFormat="false" ht="14.25" hidden="false" customHeight="false" outlineLevel="0" collapsed="false">
      <c r="A2009" s="8" t="n">
        <v>2008</v>
      </c>
      <c r="B2009" s="8" t="s">
        <v>41</v>
      </c>
      <c r="C2009" s="8" t="s">
        <v>28</v>
      </c>
      <c r="D2009" s="9" t="n">
        <v>44402</v>
      </c>
      <c r="E2009" s="10" t="n">
        <v>145490.38</v>
      </c>
      <c r="F2009" s="8" t="s">
        <v>11</v>
      </c>
      <c r="G2009" s="8" t="s">
        <v>17</v>
      </c>
      <c r="H2009" s="11" t="s">
        <v>18</v>
      </c>
      <c r="I2009" s="8" t="s">
        <v>14</v>
      </c>
    </row>
    <row r="2010" customFormat="false" ht="14.25" hidden="false" customHeight="false" outlineLevel="0" collapsed="false">
      <c r="A2010" s="8" t="n">
        <v>2009</v>
      </c>
      <c r="B2010" s="8" t="s">
        <v>145</v>
      </c>
      <c r="C2010" s="8" t="s">
        <v>21</v>
      </c>
      <c r="D2010" s="9" t="n">
        <v>44402</v>
      </c>
      <c r="E2010" s="10" t="n">
        <v>141167.45</v>
      </c>
      <c r="F2010" s="8" t="s">
        <v>11</v>
      </c>
      <c r="G2010" s="8" t="s">
        <v>36</v>
      </c>
      <c r="H2010" s="11" t="s">
        <v>37</v>
      </c>
      <c r="I2010" s="8" t="s">
        <v>14</v>
      </c>
    </row>
    <row r="2011" customFormat="false" ht="14.25" hidden="false" customHeight="false" outlineLevel="0" collapsed="false">
      <c r="A2011" s="8" t="n">
        <v>2010</v>
      </c>
      <c r="B2011" s="8" t="s">
        <v>52</v>
      </c>
      <c r="C2011" s="8" t="s">
        <v>16</v>
      </c>
      <c r="D2011" s="9" t="n">
        <v>44402</v>
      </c>
      <c r="E2011" s="10" t="n">
        <v>163523.64</v>
      </c>
      <c r="F2011" s="8" t="s">
        <v>11</v>
      </c>
      <c r="G2011" s="8" t="s">
        <v>12</v>
      </c>
      <c r="H2011" s="11" t="s">
        <v>13</v>
      </c>
      <c r="I2011" s="8" t="s">
        <v>26</v>
      </c>
    </row>
    <row r="2012" customFormat="false" ht="14.25" hidden="false" customHeight="false" outlineLevel="0" collapsed="false">
      <c r="A2012" s="8" t="n">
        <v>2011</v>
      </c>
      <c r="B2012" s="8" t="s">
        <v>52</v>
      </c>
      <c r="C2012" s="8" t="s">
        <v>10</v>
      </c>
      <c r="D2012" s="9" t="n">
        <v>44402</v>
      </c>
      <c r="E2012" s="10" t="n">
        <v>-23064.9</v>
      </c>
      <c r="F2012" s="8" t="s">
        <v>34</v>
      </c>
      <c r="G2012" s="8" t="s">
        <v>36</v>
      </c>
      <c r="H2012" s="11" t="s">
        <v>37</v>
      </c>
      <c r="I2012" s="8" t="s">
        <v>14</v>
      </c>
    </row>
    <row r="2013" customFormat="false" ht="14.25" hidden="false" customHeight="false" outlineLevel="0" collapsed="false">
      <c r="A2013" s="8" t="n">
        <v>2012</v>
      </c>
      <c r="B2013" s="8" t="s">
        <v>52</v>
      </c>
      <c r="C2013" s="8" t="s">
        <v>10</v>
      </c>
      <c r="D2013" s="9" t="n">
        <v>44402</v>
      </c>
      <c r="E2013" s="10" t="n">
        <v>-11143.27</v>
      </c>
      <c r="F2013" s="8" t="s">
        <v>34</v>
      </c>
      <c r="G2013" s="8" t="s">
        <v>12</v>
      </c>
      <c r="H2013" s="11" t="s">
        <v>13</v>
      </c>
      <c r="I2013" s="8" t="s">
        <v>26</v>
      </c>
    </row>
    <row r="2014" customFormat="false" ht="14.25" hidden="false" customHeight="false" outlineLevel="0" collapsed="false">
      <c r="A2014" s="8" t="n">
        <v>2013</v>
      </c>
      <c r="B2014" s="8" t="s">
        <v>117</v>
      </c>
      <c r="C2014" s="8" t="s">
        <v>21</v>
      </c>
      <c r="D2014" s="9" t="n">
        <v>44403</v>
      </c>
      <c r="E2014" s="10" t="n">
        <v>15346.59</v>
      </c>
      <c r="F2014" s="8" t="s">
        <v>11</v>
      </c>
      <c r="G2014" s="8" t="s">
        <v>12</v>
      </c>
      <c r="H2014" s="11" t="s">
        <v>13</v>
      </c>
      <c r="I2014" s="8" t="s">
        <v>14</v>
      </c>
    </row>
    <row r="2015" customFormat="false" ht="14.25" hidden="false" customHeight="false" outlineLevel="0" collapsed="false">
      <c r="A2015" s="8" t="n">
        <v>2014</v>
      </c>
      <c r="B2015" s="8" t="s">
        <v>174</v>
      </c>
      <c r="C2015" s="8" t="s">
        <v>16</v>
      </c>
      <c r="D2015" s="9" t="n">
        <v>44404</v>
      </c>
      <c r="E2015" s="10" t="n">
        <v>17897.69</v>
      </c>
      <c r="F2015" s="8" t="s">
        <v>11</v>
      </c>
      <c r="G2015" s="8" t="s">
        <v>17</v>
      </c>
      <c r="H2015" s="11" t="s">
        <v>18</v>
      </c>
      <c r="I2015" s="8" t="s">
        <v>26</v>
      </c>
    </row>
    <row r="2016" customFormat="false" ht="14.25" hidden="false" customHeight="false" outlineLevel="0" collapsed="false">
      <c r="A2016" s="8" t="n">
        <v>2015</v>
      </c>
      <c r="B2016" s="8" t="s">
        <v>213</v>
      </c>
      <c r="C2016" s="8" t="s">
        <v>10</v>
      </c>
      <c r="D2016" s="9" t="n">
        <v>44404</v>
      </c>
      <c r="E2016" s="10" t="n">
        <v>15909.89</v>
      </c>
      <c r="F2016" s="8" t="s">
        <v>11</v>
      </c>
      <c r="G2016" s="8" t="s">
        <v>17</v>
      </c>
      <c r="H2016" s="11" t="s">
        <v>18</v>
      </c>
      <c r="I2016" s="8" t="s">
        <v>24</v>
      </c>
    </row>
    <row r="2017" customFormat="false" ht="14.25" hidden="false" customHeight="false" outlineLevel="0" collapsed="false">
      <c r="A2017" s="8" t="n">
        <v>2016</v>
      </c>
      <c r="B2017" s="8" t="s">
        <v>145</v>
      </c>
      <c r="C2017" s="8" t="s">
        <v>28</v>
      </c>
      <c r="D2017" s="9" t="n">
        <v>44404</v>
      </c>
      <c r="E2017" s="10" t="n">
        <v>16228.27</v>
      </c>
      <c r="F2017" s="8" t="s">
        <v>11</v>
      </c>
      <c r="G2017" s="8" t="s">
        <v>30</v>
      </c>
      <c r="H2017" s="11" t="s">
        <v>31</v>
      </c>
      <c r="I2017" s="8" t="s">
        <v>14</v>
      </c>
    </row>
    <row r="2018" customFormat="false" ht="14.25" hidden="false" customHeight="false" outlineLevel="0" collapsed="false">
      <c r="A2018" s="8" t="n">
        <v>2017</v>
      </c>
      <c r="B2018" s="8" t="s">
        <v>183</v>
      </c>
      <c r="C2018" s="8" t="s">
        <v>16</v>
      </c>
      <c r="D2018" s="9" t="n">
        <v>44407</v>
      </c>
      <c r="E2018" s="10" t="n">
        <v>15078.71</v>
      </c>
      <c r="F2018" s="8" t="s">
        <v>11</v>
      </c>
      <c r="G2018" s="8" t="s">
        <v>12</v>
      </c>
      <c r="H2018" s="11" t="s">
        <v>13</v>
      </c>
      <c r="I2018" s="8" t="s">
        <v>24</v>
      </c>
    </row>
    <row r="2019" customFormat="false" ht="14.25" hidden="false" customHeight="false" outlineLevel="0" collapsed="false">
      <c r="A2019" s="8" t="n">
        <v>2018</v>
      </c>
      <c r="B2019" s="8" t="s">
        <v>160</v>
      </c>
      <c r="C2019" s="8" t="s">
        <v>21</v>
      </c>
      <c r="D2019" s="9" t="n">
        <v>44407</v>
      </c>
      <c r="E2019" s="10" t="n">
        <v>15279.54</v>
      </c>
      <c r="F2019" s="8" t="s">
        <v>11</v>
      </c>
      <c r="G2019" s="8" t="s">
        <v>36</v>
      </c>
      <c r="H2019" s="11" t="s">
        <v>37</v>
      </c>
      <c r="I2019" s="8" t="s">
        <v>14</v>
      </c>
    </row>
    <row r="2020" customFormat="false" ht="14.25" hidden="false" customHeight="false" outlineLevel="0" collapsed="false">
      <c r="A2020" s="8" t="n">
        <v>2019</v>
      </c>
      <c r="B2020" s="8" t="s">
        <v>179</v>
      </c>
      <c r="C2020" s="8" t="s">
        <v>28</v>
      </c>
      <c r="D2020" s="9" t="n">
        <v>44407</v>
      </c>
      <c r="E2020" s="10" t="n">
        <v>15114.57</v>
      </c>
      <c r="F2020" s="8" t="s">
        <v>11</v>
      </c>
      <c r="G2020" s="8" t="s">
        <v>12</v>
      </c>
      <c r="H2020" s="11" t="s">
        <v>13</v>
      </c>
      <c r="I2020" s="8" t="s">
        <v>14</v>
      </c>
    </row>
    <row r="2021" customFormat="false" ht="14.25" hidden="false" customHeight="false" outlineLevel="0" collapsed="false">
      <c r="A2021" s="8" t="n">
        <v>2020</v>
      </c>
      <c r="B2021" s="8" t="s">
        <v>171</v>
      </c>
      <c r="C2021" s="8" t="s">
        <v>16</v>
      </c>
      <c r="D2021" s="9" t="n">
        <v>44407</v>
      </c>
      <c r="E2021" s="10" t="n">
        <v>17492.21</v>
      </c>
      <c r="F2021" s="8" t="s">
        <v>11</v>
      </c>
      <c r="G2021" s="8" t="s">
        <v>12</v>
      </c>
      <c r="H2021" s="11" t="s">
        <v>13</v>
      </c>
      <c r="I2021" s="8" t="s">
        <v>14</v>
      </c>
    </row>
    <row r="2022" customFormat="false" ht="14.25" hidden="false" customHeight="false" outlineLevel="0" collapsed="false">
      <c r="A2022" s="8" t="n">
        <v>2021</v>
      </c>
      <c r="B2022" s="8" t="s">
        <v>211</v>
      </c>
      <c r="C2022" s="8" t="s">
        <v>21</v>
      </c>
      <c r="D2022" s="9" t="n">
        <v>44407</v>
      </c>
      <c r="E2022" s="10" t="n">
        <v>15135.12</v>
      </c>
      <c r="F2022" s="8" t="s">
        <v>11</v>
      </c>
      <c r="G2022" s="8" t="s">
        <v>17</v>
      </c>
      <c r="H2022" s="11" t="s">
        <v>18</v>
      </c>
      <c r="I2022" s="8" t="s">
        <v>19</v>
      </c>
    </row>
    <row r="2023" customFormat="false" ht="14.25" hidden="false" customHeight="false" outlineLevel="0" collapsed="false">
      <c r="A2023" s="8" t="n">
        <v>2022</v>
      </c>
      <c r="B2023" s="8" t="s">
        <v>207</v>
      </c>
      <c r="C2023" s="8" t="s">
        <v>10</v>
      </c>
      <c r="D2023" s="9" t="n">
        <v>44407</v>
      </c>
      <c r="E2023" s="10" t="n">
        <v>14795</v>
      </c>
      <c r="F2023" s="8" t="s">
        <v>11</v>
      </c>
      <c r="G2023" s="8" t="s">
        <v>12</v>
      </c>
      <c r="H2023" s="11" t="s">
        <v>13</v>
      </c>
      <c r="I2023" s="8" t="s">
        <v>14</v>
      </c>
    </row>
    <row r="2024" customFormat="false" ht="14.25" hidden="false" customHeight="false" outlineLevel="0" collapsed="false">
      <c r="A2024" s="8" t="n">
        <v>2023</v>
      </c>
      <c r="B2024" s="8" t="s">
        <v>85</v>
      </c>
      <c r="C2024" s="8" t="s">
        <v>16</v>
      </c>
      <c r="D2024" s="9" t="n">
        <v>44407</v>
      </c>
      <c r="E2024" s="10" t="n">
        <v>16068.9</v>
      </c>
      <c r="F2024" s="8" t="s">
        <v>11</v>
      </c>
      <c r="G2024" s="8" t="s">
        <v>36</v>
      </c>
      <c r="H2024" s="11" t="s">
        <v>37</v>
      </c>
      <c r="I2024" s="8" t="s">
        <v>26</v>
      </c>
    </row>
    <row r="2025" customFormat="false" ht="14.25" hidden="false" customHeight="false" outlineLevel="0" collapsed="false">
      <c r="A2025" s="8" t="n">
        <v>2024</v>
      </c>
      <c r="B2025" s="8" t="s">
        <v>40</v>
      </c>
      <c r="C2025" s="8" t="s">
        <v>21</v>
      </c>
      <c r="D2025" s="9" t="n">
        <v>44407</v>
      </c>
      <c r="E2025" s="10" t="n">
        <v>8831.52</v>
      </c>
      <c r="F2025" s="8" t="s">
        <v>11</v>
      </c>
      <c r="G2025" s="8" t="s">
        <v>36</v>
      </c>
      <c r="H2025" s="11" t="s">
        <v>37</v>
      </c>
      <c r="I2025" s="8" t="s">
        <v>26</v>
      </c>
    </row>
    <row r="2026" customFormat="false" ht="14.25" hidden="false" customHeight="false" outlineLevel="0" collapsed="false">
      <c r="A2026" s="8" t="n">
        <v>2025</v>
      </c>
      <c r="B2026" s="8" t="s">
        <v>15</v>
      </c>
      <c r="C2026" s="8" t="s">
        <v>28</v>
      </c>
      <c r="D2026" s="9" t="n">
        <v>44407</v>
      </c>
      <c r="E2026" s="10" t="n">
        <v>13127.19</v>
      </c>
      <c r="F2026" s="8" t="s">
        <v>11</v>
      </c>
      <c r="G2026" s="8" t="s">
        <v>36</v>
      </c>
      <c r="H2026" s="11" t="s">
        <v>37</v>
      </c>
      <c r="I2026" s="8" t="s">
        <v>19</v>
      </c>
    </row>
    <row r="2027" customFormat="false" ht="14.25" hidden="false" customHeight="false" outlineLevel="0" collapsed="false">
      <c r="A2027" s="8" t="n">
        <v>2026</v>
      </c>
      <c r="B2027" s="8" t="s">
        <v>58</v>
      </c>
      <c r="C2027" s="8" t="s">
        <v>16</v>
      </c>
      <c r="D2027" s="9" t="n">
        <v>44407</v>
      </c>
      <c r="E2027" s="10" t="n">
        <v>13179.98</v>
      </c>
      <c r="F2027" s="8" t="s">
        <v>11</v>
      </c>
      <c r="G2027" s="8" t="s">
        <v>17</v>
      </c>
      <c r="H2027" s="11" t="s">
        <v>18</v>
      </c>
      <c r="I2027" s="8" t="s">
        <v>26</v>
      </c>
    </row>
    <row r="2028" customFormat="false" ht="14.25" hidden="false" customHeight="false" outlineLevel="0" collapsed="false">
      <c r="A2028" s="8" t="n">
        <v>2027</v>
      </c>
      <c r="B2028" s="8" t="s">
        <v>61</v>
      </c>
      <c r="C2028" s="8" t="s">
        <v>10</v>
      </c>
      <c r="D2028" s="9" t="n">
        <v>44407</v>
      </c>
      <c r="E2028" s="10" t="n">
        <v>12079.26</v>
      </c>
      <c r="F2028" s="8" t="s">
        <v>11</v>
      </c>
      <c r="G2028" s="8" t="s">
        <v>12</v>
      </c>
      <c r="H2028" s="11" t="s">
        <v>13</v>
      </c>
      <c r="I2028" s="8" t="s">
        <v>26</v>
      </c>
    </row>
    <row r="2029" customFormat="false" ht="14.25" hidden="false" customHeight="false" outlineLevel="0" collapsed="false">
      <c r="A2029" s="8" t="n">
        <v>2028</v>
      </c>
      <c r="B2029" s="8" t="s">
        <v>62</v>
      </c>
      <c r="C2029" s="8" t="s">
        <v>28</v>
      </c>
      <c r="D2029" s="9" t="n">
        <v>44407</v>
      </c>
      <c r="E2029" s="10" t="n">
        <v>13120.2</v>
      </c>
      <c r="F2029" s="8" t="s">
        <v>11</v>
      </c>
      <c r="G2029" s="8" t="s">
        <v>17</v>
      </c>
      <c r="H2029" s="11" t="s">
        <v>18</v>
      </c>
      <c r="I2029" s="8" t="s">
        <v>19</v>
      </c>
    </row>
    <row r="2030" customFormat="false" ht="14.25" hidden="false" customHeight="false" outlineLevel="0" collapsed="false">
      <c r="A2030" s="8" t="n">
        <v>2029</v>
      </c>
      <c r="B2030" s="8" t="s">
        <v>61</v>
      </c>
      <c r="C2030" s="8" t="s">
        <v>21</v>
      </c>
      <c r="D2030" s="9" t="n">
        <v>44407</v>
      </c>
      <c r="E2030" s="10" t="n">
        <v>13273.4</v>
      </c>
      <c r="F2030" s="8" t="s">
        <v>11</v>
      </c>
      <c r="G2030" s="8" t="s">
        <v>17</v>
      </c>
      <c r="H2030" s="11" t="s">
        <v>18</v>
      </c>
      <c r="I2030" s="8" t="s">
        <v>14</v>
      </c>
    </row>
    <row r="2031" customFormat="false" ht="14.25" hidden="false" customHeight="false" outlineLevel="0" collapsed="false">
      <c r="A2031" s="8" t="n">
        <v>2030</v>
      </c>
      <c r="B2031" s="8" t="s">
        <v>62</v>
      </c>
      <c r="C2031" s="8" t="s">
        <v>28</v>
      </c>
      <c r="D2031" s="9" t="n">
        <v>44407</v>
      </c>
      <c r="E2031" s="10" t="n">
        <v>12143.42</v>
      </c>
      <c r="F2031" s="8" t="s">
        <v>11</v>
      </c>
      <c r="G2031" s="8" t="s">
        <v>12</v>
      </c>
      <c r="H2031" s="11" t="s">
        <v>13</v>
      </c>
      <c r="I2031" s="8" t="s">
        <v>14</v>
      </c>
    </row>
    <row r="2032" customFormat="false" ht="14.25" hidden="false" customHeight="false" outlineLevel="0" collapsed="false">
      <c r="A2032" s="8" t="n">
        <v>2031</v>
      </c>
      <c r="B2032" s="8" t="s">
        <v>58</v>
      </c>
      <c r="C2032" s="8" t="s">
        <v>16</v>
      </c>
      <c r="D2032" s="9" t="n">
        <v>44407</v>
      </c>
      <c r="E2032" s="10" t="n">
        <v>13313.33</v>
      </c>
      <c r="F2032" s="8" t="s">
        <v>11</v>
      </c>
      <c r="G2032" s="8" t="s">
        <v>12</v>
      </c>
      <c r="H2032" s="11" t="s">
        <v>13</v>
      </c>
      <c r="I2032" s="8" t="s">
        <v>14</v>
      </c>
    </row>
    <row r="2033" customFormat="false" ht="14.25" hidden="false" customHeight="false" outlineLevel="0" collapsed="false">
      <c r="A2033" s="8" t="n">
        <v>2032</v>
      </c>
      <c r="B2033" s="8" t="s">
        <v>58</v>
      </c>
      <c r="C2033" s="8" t="s">
        <v>21</v>
      </c>
      <c r="D2033" s="9" t="n">
        <v>44407</v>
      </c>
      <c r="E2033" s="10" t="n">
        <v>12444.73</v>
      </c>
      <c r="F2033" s="8" t="s">
        <v>11</v>
      </c>
      <c r="G2033" s="8" t="s">
        <v>12</v>
      </c>
      <c r="H2033" s="11" t="s">
        <v>13</v>
      </c>
      <c r="I2033" s="8" t="s">
        <v>14</v>
      </c>
    </row>
    <row r="2034" customFormat="false" ht="14.25" hidden="false" customHeight="false" outlineLevel="0" collapsed="false">
      <c r="A2034" s="8" t="n">
        <v>2033</v>
      </c>
      <c r="B2034" s="8" t="s">
        <v>61</v>
      </c>
      <c r="C2034" s="8" t="s">
        <v>10</v>
      </c>
      <c r="D2034" s="9" t="n">
        <v>44407</v>
      </c>
      <c r="E2034" s="10" t="n">
        <v>13122.43</v>
      </c>
      <c r="F2034" s="8" t="s">
        <v>11</v>
      </c>
      <c r="G2034" s="8" t="s">
        <v>22</v>
      </c>
      <c r="H2034" s="11" t="s">
        <v>23</v>
      </c>
      <c r="I2034" s="8" t="s">
        <v>19</v>
      </c>
    </row>
    <row r="2035" customFormat="false" ht="14.25" hidden="false" customHeight="false" outlineLevel="0" collapsed="false">
      <c r="A2035" s="8" t="n">
        <v>2034</v>
      </c>
      <c r="B2035" s="8" t="s">
        <v>62</v>
      </c>
      <c r="C2035" s="8" t="s">
        <v>21</v>
      </c>
      <c r="D2035" s="9" t="n">
        <v>44407</v>
      </c>
      <c r="E2035" s="10" t="n">
        <v>13243.77</v>
      </c>
      <c r="F2035" s="8" t="s">
        <v>11</v>
      </c>
      <c r="G2035" s="8" t="s">
        <v>12</v>
      </c>
      <c r="H2035" s="11" t="s">
        <v>13</v>
      </c>
      <c r="I2035" s="8" t="s">
        <v>26</v>
      </c>
    </row>
    <row r="2036" customFormat="false" ht="14.25" hidden="false" customHeight="false" outlineLevel="0" collapsed="false">
      <c r="A2036" s="8" t="n">
        <v>2035</v>
      </c>
      <c r="B2036" s="8" t="s">
        <v>61</v>
      </c>
      <c r="C2036" s="8" t="s">
        <v>28</v>
      </c>
      <c r="D2036" s="9" t="n">
        <v>44407</v>
      </c>
      <c r="E2036" s="10" t="n">
        <v>-6197.52</v>
      </c>
      <c r="F2036" s="8" t="s">
        <v>34</v>
      </c>
      <c r="G2036" s="8" t="s">
        <v>36</v>
      </c>
      <c r="H2036" s="11" t="s">
        <v>37</v>
      </c>
      <c r="I2036" s="8" t="s">
        <v>14</v>
      </c>
    </row>
    <row r="2037" customFormat="false" ht="14.25" hidden="false" customHeight="false" outlineLevel="0" collapsed="false">
      <c r="A2037" s="8" t="n">
        <v>2036</v>
      </c>
      <c r="B2037" s="8" t="s">
        <v>62</v>
      </c>
      <c r="C2037" s="8" t="s">
        <v>21</v>
      </c>
      <c r="D2037" s="9" t="n">
        <v>44407</v>
      </c>
      <c r="E2037" s="10" t="n">
        <v>23258.42</v>
      </c>
      <c r="F2037" s="8" t="s">
        <v>11</v>
      </c>
      <c r="G2037" s="8" t="s">
        <v>17</v>
      </c>
      <c r="H2037" s="11" t="s">
        <v>18</v>
      </c>
      <c r="I2037" s="8" t="s">
        <v>26</v>
      </c>
    </row>
    <row r="2038" customFormat="false" ht="14.25" hidden="false" customHeight="false" outlineLevel="0" collapsed="false">
      <c r="A2038" s="8" t="n">
        <v>2037</v>
      </c>
      <c r="B2038" s="8" t="s">
        <v>58</v>
      </c>
      <c r="C2038" s="8" t="s">
        <v>28</v>
      </c>
      <c r="D2038" s="9" t="n">
        <v>44407</v>
      </c>
      <c r="E2038" s="10" t="n">
        <v>151353.79</v>
      </c>
      <c r="F2038" s="8" t="s">
        <v>11</v>
      </c>
      <c r="G2038" s="8" t="s">
        <v>36</v>
      </c>
      <c r="H2038" s="11" t="s">
        <v>37</v>
      </c>
      <c r="I2038" s="8" t="s">
        <v>14</v>
      </c>
    </row>
    <row r="2039" customFormat="false" ht="14.25" hidden="false" customHeight="false" outlineLevel="0" collapsed="false">
      <c r="A2039" s="8" t="n">
        <v>2038</v>
      </c>
      <c r="B2039" s="8" t="s">
        <v>62</v>
      </c>
      <c r="C2039" s="8" t="s">
        <v>10</v>
      </c>
      <c r="D2039" s="9" t="n">
        <v>44407</v>
      </c>
      <c r="E2039" s="10" t="n">
        <v>25444.35</v>
      </c>
      <c r="F2039" s="8" t="s">
        <v>11</v>
      </c>
      <c r="G2039" s="8" t="s">
        <v>12</v>
      </c>
      <c r="H2039" s="11" t="s">
        <v>13</v>
      </c>
      <c r="I2039" s="8" t="s">
        <v>14</v>
      </c>
    </row>
    <row r="2040" customFormat="false" ht="14.25" hidden="false" customHeight="false" outlineLevel="0" collapsed="false">
      <c r="A2040" s="8" t="n">
        <v>2039</v>
      </c>
      <c r="B2040" s="8" t="s">
        <v>58</v>
      </c>
      <c r="C2040" s="8" t="s">
        <v>16</v>
      </c>
      <c r="D2040" s="9" t="n">
        <v>44407</v>
      </c>
      <c r="E2040" s="10" t="n">
        <v>27280.56</v>
      </c>
      <c r="F2040" s="8" t="s">
        <v>11</v>
      </c>
      <c r="G2040" s="8" t="s">
        <v>12</v>
      </c>
      <c r="H2040" s="11" t="s">
        <v>13</v>
      </c>
      <c r="I2040" s="8" t="s">
        <v>14</v>
      </c>
    </row>
    <row r="2041" customFormat="false" ht="14.25" hidden="false" customHeight="false" outlineLevel="0" collapsed="false">
      <c r="A2041" s="8" t="n">
        <v>2040</v>
      </c>
      <c r="B2041" s="8" t="s">
        <v>50</v>
      </c>
      <c r="C2041" s="8" t="s">
        <v>16</v>
      </c>
      <c r="D2041" s="9" t="n">
        <v>44408</v>
      </c>
      <c r="E2041" s="10" t="n">
        <v>11706.24</v>
      </c>
      <c r="F2041" s="8" t="s">
        <v>11</v>
      </c>
      <c r="G2041" s="8" t="s">
        <v>30</v>
      </c>
      <c r="H2041" s="11" t="s">
        <v>31</v>
      </c>
      <c r="I2041" s="8" t="s">
        <v>26</v>
      </c>
    </row>
    <row r="2042" customFormat="false" ht="14.25" hidden="false" customHeight="false" outlineLevel="0" collapsed="false">
      <c r="A2042" s="8" t="n">
        <v>2041</v>
      </c>
      <c r="B2042" s="8" t="s">
        <v>181</v>
      </c>
      <c r="C2042" s="8" t="s">
        <v>28</v>
      </c>
      <c r="D2042" s="9" t="n">
        <v>44408</v>
      </c>
      <c r="E2042" s="10" t="n">
        <v>11966.91</v>
      </c>
      <c r="F2042" s="8" t="s">
        <v>11</v>
      </c>
      <c r="G2042" s="8" t="s">
        <v>17</v>
      </c>
      <c r="H2042" s="11" t="s">
        <v>18</v>
      </c>
      <c r="I2042" s="8" t="s">
        <v>26</v>
      </c>
    </row>
    <row r="2043" customFormat="false" ht="14.25" hidden="false" customHeight="false" outlineLevel="0" collapsed="false">
      <c r="A2043" s="8" t="n">
        <v>2042</v>
      </c>
      <c r="B2043" s="8" t="s">
        <v>173</v>
      </c>
      <c r="C2043" s="8" t="s">
        <v>28</v>
      </c>
      <c r="D2043" s="9" t="n">
        <v>44408</v>
      </c>
      <c r="E2043" s="10" t="n">
        <v>132642.92</v>
      </c>
      <c r="F2043" s="8" t="s">
        <v>11</v>
      </c>
      <c r="G2043" s="8" t="s">
        <v>12</v>
      </c>
      <c r="H2043" s="11" t="s">
        <v>13</v>
      </c>
      <c r="I2043" s="8" t="s">
        <v>19</v>
      </c>
    </row>
    <row r="2044" customFormat="false" ht="14.25" hidden="false" customHeight="false" outlineLevel="0" collapsed="false">
      <c r="A2044" s="8" t="n">
        <v>2043</v>
      </c>
      <c r="B2044" s="8" t="s">
        <v>188</v>
      </c>
      <c r="C2044" s="8" t="s">
        <v>28</v>
      </c>
      <c r="D2044" s="9" t="n">
        <v>44408</v>
      </c>
      <c r="E2044" s="10" t="n">
        <v>10693.19</v>
      </c>
      <c r="F2044" s="8" t="s">
        <v>11</v>
      </c>
      <c r="G2044" s="8" t="s">
        <v>17</v>
      </c>
      <c r="H2044" s="11" t="s">
        <v>18</v>
      </c>
      <c r="I2044" s="8" t="s">
        <v>26</v>
      </c>
    </row>
    <row r="2045" customFormat="false" ht="14.25" hidden="false" customHeight="false" outlineLevel="0" collapsed="false">
      <c r="A2045" s="8" t="n">
        <v>2044</v>
      </c>
      <c r="B2045" s="8" t="s">
        <v>153</v>
      </c>
      <c r="C2045" s="8" t="s">
        <v>16</v>
      </c>
      <c r="D2045" s="9" t="n">
        <v>44408</v>
      </c>
      <c r="E2045" s="10" t="n">
        <v>12585.09</v>
      </c>
      <c r="F2045" s="8" t="s">
        <v>11</v>
      </c>
      <c r="G2045" s="8" t="s">
        <v>12</v>
      </c>
      <c r="H2045" s="11" t="s">
        <v>13</v>
      </c>
      <c r="I2045" s="8" t="s">
        <v>14</v>
      </c>
    </row>
    <row r="2046" customFormat="false" ht="14.25" hidden="false" customHeight="false" outlineLevel="0" collapsed="false">
      <c r="A2046" s="8" t="n">
        <v>2045</v>
      </c>
      <c r="B2046" s="8" t="s">
        <v>178</v>
      </c>
      <c r="C2046" s="8" t="s">
        <v>21</v>
      </c>
      <c r="D2046" s="9" t="n">
        <v>44408</v>
      </c>
      <c r="E2046" s="10" t="n">
        <v>33295.03</v>
      </c>
      <c r="F2046" s="8" t="s">
        <v>11</v>
      </c>
      <c r="G2046" s="8" t="s">
        <v>12</v>
      </c>
      <c r="H2046" s="11" t="s">
        <v>13</v>
      </c>
      <c r="I2046" s="8" t="s">
        <v>14</v>
      </c>
    </row>
    <row r="2047" customFormat="false" ht="14.25" hidden="false" customHeight="false" outlineLevel="0" collapsed="false">
      <c r="A2047" s="8" t="n">
        <v>2046</v>
      </c>
      <c r="B2047" s="8" t="s">
        <v>51</v>
      </c>
      <c r="C2047" s="8" t="s">
        <v>10</v>
      </c>
      <c r="D2047" s="9" t="n">
        <v>44408</v>
      </c>
      <c r="E2047" s="10" t="n">
        <v>11456.64</v>
      </c>
      <c r="F2047" s="8" t="s">
        <v>11</v>
      </c>
      <c r="G2047" s="8" t="s">
        <v>17</v>
      </c>
      <c r="H2047" s="11" t="s">
        <v>18</v>
      </c>
      <c r="I2047" s="8" t="s">
        <v>26</v>
      </c>
    </row>
    <row r="2048" customFormat="false" ht="14.25" hidden="false" customHeight="false" outlineLevel="0" collapsed="false">
      <c r="A2048" s="8" t="n">
        <v>2047</v>
      </c>
      <c r="B2048" s="8" t="s">
        <v>143</v>
      </c>
      <c r="C2048" s="8" t="s">
        <v>28</v>
      </c>
      <c r="D2048" s="9" t="n">
        <v>44408</v>
      </c>
      <c r="E2048" s="10" t="n">
        <v>16585.97</v>
      </c>
      <c r="F2048" s="8" t="s">
        <v>11</v>
      </c>
      <c r="G2048" s="8" t="s">
        <v>36</v>
      </c>
      <c r="H2048" s="11" t="s">
        <v>37</v>
      </c>
      <c r="I2048" s="8" t="s">
        <v>26</v>
      </c>
    </row>
    <row r="2049" customFormat="false" ht="14.25" hidden="false" customHeight="false" outlineLevel="0" collapsed="false">
      <c r="A2049" s="8" t="n">
        <v>2048</v>
      </c>
      <c r="B2049" s="8" t="s">
        <v>32</v>
      </c>
      <c r="C2049" s="8" t="s">
        <v>16</v>
      </c>
      <c r="D2049" s="9" t="n">
        <v>44408</v>
      </c>
      <c r="E2049" s="10" t="n">
        <v>11456.64</v>
      </c>
      <c r="F2049" s="8" t="s">
        <v>11</v>
      </c>
      <c r="G2049" s="8" t="s">
        <v>36</v>
      </c>
      <c r="H2049" s="11" t="s">
        <v>37</v>
      </c>
      <c r="I2049" s="8" t="s">
        <v>19</v>
      </c>
    </row>
    <row r="2050" customFormat="false" ht="14.25" hidden="false" customHeight="false" outlineLevel="0" collapsed="false">
      <c r="A2050" s="8" t="n">
        <v>2049</v>
      </c>
      <c r="B2050" s="8" t="s">
        <v>32</v>
      </c>
      <c r="C2050" s="8" t="s">
        <v>28</v>
      </c>
      <c r="D2050" s="9" t="n">
        <v>44408</v>
      </c>
      <c r="E2050" s="10" t="n">
        <v>11862.27</v>
      </c>
      <c r="F2050" s="8" t="s">
        <v>11</v>
      </c>
      <c r="G2050" s="8" t="s">
        <v>36</v>
      </c>
      <c r="H2050" s="11" t="s">
        <v>37</v>
      </c>
      <c r="I2050" s="8" t="s">
        <v>14</v>
      </c>
    </row>
    <row r="2051" customFormat="false" ht="14.25" hidden="false" customHeight="false" outlineLevel="0" collapsed="false">
      <c r="A2051" s="8" t="n">
        <v>2050</v>
      </c>
      <c r="B2051" s="8" t="s">
        <v>73</v>
      </c>
      <c r="C2051" s="8" t="s">
        <v>16</v>
      </c>
      <c r="D2051" s="9" t="n">
        <v>44408</v>
      </c>
      <c r="E2051" s="10" t="n">
        <v>11456.64</v>
      </c>
      <c r="F2051" s="8" t="s">
        <v>11</v>
      </c>
      <c r="G2051" s="8" t="s">
        <v>36</v>
      </c>
      <c r="H2051" s="11" t="s">
        <v>37</v>
      </c>
      <c r="I2051" s="8" t="s">
        <v>26</v>
      </c>
    </row>
    <row r="2052" customFormat="false" ht="14.25" hidden="false" customHeight="false" outlineLevel="0" collapsed="false">
      <c r="A2052" s="8" t="n">
        <v>2051</v>
      </c>
      <c r="B2052" s="8" t="s">
        <v>73</v>
      </c>
      <c r="C2052" s="8" t="s">
        <v>10</v>
      </c>
      <c r="D2052" s="9" t="n">
        <v>44408</v>
      </c>
      <c r="E2052" s="10" t="n">
        <v>6655.91</v>
      </c>
      <c r="F2052" s="8" t="s">
        <v>11</v>
      </c>
      <c r="G2052" s="8" t="s">
        <v>36</v>
      </c>
      <c r="H2052" s="11" t="s">
        <v>37</v>
      </c>
      <c r="I2052" s="8" t="s">
        <v>19</v>
      </c>
    </row>
    <row r="2053" customFormat="false" ht="14.25" hidden="false" customHeight="false" outlineLevel="0" collapsed="false">
      <c r="A2053" s="8" t="n">
        <v>2052</v>
      </c>
      <c r="B2053" s="8" t="s">
        <v>100</v>
      </c>
      <c r="C2053" s="8" t="s">
        <v>10</v>
      </c>
      <c r="D2053" s="9" t="n">
        <v>44408</v>
      </c>
      <c r="E2053" s="10" t="n">
        <v>17945.91</v>
      </c>
      <c r="F2053" s="8" t="s">
        <v>11</v>
      </c>
      <c r="G2053" s="8" t="s">
        <v>30</v>
      </c>
      <c r="H2053" s="11" t="s">
        <v>31</v>
      </c>
      <c r="I2053" s="8" t="s">
        <v>14</v>
      </c>
    </row>
    <row r="2054" customFormat="false" ht="14.25" hidden="false" customHeight="false" outlineLevel="0" collapsed="false">
      <c r="A2054" s="8" t="n">
        <v>2053</v>
      </c>
      <c r="B2054" s="8" t="s">
        <v>73</v>
      </c>
      <c r="C2054" s="8" t="s">
        <v>21</v>
      </c>
      <c r="D2054" s="9" t="n">
        <v>44408</v>
      </c>
      <c r="E2054" s="10" t="n">
        <v>11456.64</v>
      </c>
      <c r="F2054" s="8" t="s">
        <v>11</v>
      </c>
      <c r="G2054" s="8" t="s">
        <v>17</v>
      </c>
      <c r="H2054" s="11" t="s">
        <v>18</v>
      </c>
      <c r="I2054" s="8" t="s">
        <v>19</v>
      </c>
    </row>
    <row r="2055" customFormat="false" ht="14.25" hidden="false" customHeight="false" outlineLevel="0" collapsed="false">
      <c r="A2055" s="8" t="n">
        <v>2054</v>
      </c>
      <c r="B2055" s="8" t="s">
        <v>73</v>
      </c>
      <c r="C2055" s="8" t="s">
        <v>28</v>
      </c>
      <c r="D2055" s="9" t="n">
        <v>44408</v>
      </c>
      <c r="E2055" s="10" t="n">
        <v>7253.42</v>
      </c>
      <c r="F2055" s="8" t="s">
        <v>11</v>
      </c>
      <c r="G2055" s="8" t="s">
        <v>12</v>
      </c>
      <c r="H2055" s="11" t="s">
        <v>13</v>
      </c>
      <c r="I2055" s="8" t="s">
        <v>14</v>
      </c>
    </row>
    <row r="2056" customFormat="false" ht="14.25" hidden="false" customHeight="false" outlineLevel="0" collapsed="false">
      <c r="A2056" s="8" t="n">
        <v>2055</v>
      </c>
      <c r="B2056" s="8" t="s">
        <v>100</v>
      </c>
      <c r="C2056" s="8" t="s">
        <v>10</v>
      </c>
      <c r="D2056" s="9" t="n">
        <v>44408</v>
      </c>
      <c r="E2056" s="10" t="n">
        <v>7253.42</v>
      </c>
      <c r="F2056" s="8" t="s">
        <v>11</v>
      </c>
      <c r="G2056" s="8" t="s">
        <v>12</v>
      </c>
      <c r="H2056" s="11" t="s">
        <v>13</v>
      </c>
      <c r="I2056" s="8" t="s">
        <v>14</v>
      </c>
    </row>
    <row r="2057" customFormat="false" ht="14.25" hidden="false" customHeight="false" outlineLevel="0" collapsed="false">
      <c r="A2057" s="8" t="n">
        <v>2056</v>
      </c>
      <c r="B2057" s="8" t="s">
        <v>100</v>
      </c>
      <c r="C2057" s="8" t="s">
        <v>16</v>
      </c>
      <c r="D2057" s="9" t="n">
        <v>44408</v>
      </c>
      <c r="E2057" s="10" t="n">
        <v>18325.45</v>
      </c>
      <c r="F2057" s="8" t="s">
        <v>11</v>
      </c>
      <c r="G2057" s="8" t="s">
        <v>30</v>
      </c>
      <c r="H2057" s="11" t="s">
        <v>31</v>
      </c>
      <c r="I2057" s="8" t="s">
        <v>26</v>
      </c>
    </row>
    <row r="2058" customFormat="false" ht="14.25" hidden="false" customHeight="false" outlineLevel="0" collapsed="false">
      <c r="A2058" s="8" t="n">
        <v>2057</v>
      </c>
      <c r="B2058" s="8" t="s">
        <v>73</v>
      </c>
      <c r="C2058" s="8" t="s">
        <v>16</v>
      </c>
      <c r="D2058" s="9" t="n">
        <v>44408</v>
      </c>
      <c r="E2058" s="10" t="n">
        <v>11456.64</v>
      </c>
      <c r="F2058" s="8" t="s">
        <v>11</v>
      </c>
      <c r="G2058" s="8" t="s">
        <v>12</v>
      </c>
      <c r="H2058" s="11" t="s">
        <v>13</v>
      </c>
      <c r="I2058" s="8" t="s">
        <v>14</v>
      </c>
    </row>
    <row r="2059" customFormat="false" ht="14.25" hidden="false" customHeight="false" outlineLevel="0" collapsed="false">
      <c r="A2059" s="8" t="n">
        <v>2058</v>
      </c>
      <c r="B2059" s="8" t="s">
        <v>73</v>
      </c>
      <c r="C2059" s="8" t="s">
        <v>10</v>
      </c>
      <c r="D2059" s="9" t="n">
        <v>44408</v>
      </c>
      <c r="E2059" s="10" t="n">
        <v>18488.69</v>
      </c>
      <c r="F2059" s="8" t="s">
        <v>11</v>
      </c>
      <c r="G2059" s="8" t="s">
        <v>17</v>
      </c>
      <c r="H2059" s="11" t="s">
        <v>18</v>
      </c>
      <c r="I2059" s="8" t="s">
        <v>26</v>
      </c>
    </row>
    <row r="2060" customFormat="false" ht="14.25" hidden="false" customHeight="false" outlineLevel="0" collapsed="false">
      <c r="A2060" s="8" t="n">
        <v>2059</v>
      </c>
      <c r="B2060" s="8" t="s">
        <v>100</v>
      </c>
      <c r="C2060" s="8" t="s">
        <v>28</v>
      </c>
      <c r="D2060" s="9" t="n">
        <v>44408</v>
      </c>
      <c r="E2060" s="10" t="n">
        <v>7253.42</v>
      </c>
      <c r="F2060" s="8" t="s">
        <v>11</v>
      </c>
      <c r="G2060" s="8" t="s">
        <v>12</v>
      </c>
      <c r="H2060" s="11" t="s">
        <v>13</v>
      </c>
      <c r="I2060" s="8" t="s">
        <v>24</v>
      </c>
    </row>
    <row r="2061" customFormat="false" ht="14.25" hidden="false" customHeight="false" outlineLevel="0" collapsed="false">
      <c r="A2061" s="8" t="n">
        <v>2060</v>
      </c>
      <c r="B2061" s="8" t="s">
        <v>100</v>
      </c>
      <c r="C2061" s="8" t="s">
        <v>10</v>
      </c>
      <c r="D2061" s="9" t="n">
        <v>44408</v>
      </c>
      <c r="E2061" s="10" t="n">
        <v>7253.42</v>
      </c>
      <c r="F2061" s="8" t="s">
        <v>11</v>
      </c>
      <c r="G2061" s="8" t="s">
        <v>12</v>
      </c>
      <c r="H2061" s="11" t="s">
        <v>13</v>
      </c>
      <c r="I2061" s="8" t="s">
        <v>14</v>
      </c>
    </row>
    <row r="2062" customFormat="false" ht="14.25" hidden="false" customHeight="false" outlineLevel="0" collapsed="false">
      <c r="A2062" s="8" t="n">
        <v>2061</v>
      </c>
      <c r="B2062" s="8" t="s">
        <v>100</v>
      </c>
      <c r="C2062" s="8" t="s">
        <v>16</v>
      </c>
      <c r="D2062" s="9" t="n">
        <v>44408</v>
      </c>
      <c r="E2062" s="10" t="n">
        <v>17957.02</v>
      </c>
      <c r="F2062" s="8" t="s">
        <v>11</v>
      </c>
      <c r="G2062" s="8" t="s">
        <v>12</v>
      </c>
      <c r="H2062" s="11" t="s">
        <v>13</v>
      </c>
      <c r="I2062" s="8" t="s">
        <v>14</v>
      </c>
    </row>
    <row r="2063" customFormat="false" ht="14.25" hidden="false" customHeight="false" outlineLevel="0" collapsed="false">
      <c r="A2063" s="8" t="n">
        <v>2062</v>
      </c>
      <c r="B2063" s="8" t="s">
        <v>100</v>
      </c>
      <c r="C2063" s="8" t="s">
        <v>10</v>
      </c>
      <c r="D2063" s="9" t="n">
        <v>44408</v>
      </c>
      <c r="E2063" s="10" t="n">
        <v>20418.37</v>
      </c>
      <c r="F2063" s="8" t="s">
        <v>11</v>
      </c>
      <c r="G2063" s="8" t="s">
        <v>22</v>
      </c>
      <c r="H2063" s="11" t="s">
        <v>23</v>
      </c>
      <c r="I2063" s="8" t="s">
        <v>19</v>
      </c>
    </row>
    <row r="2064" customFormat="false" ht="14.25" hidden="false" customHeight="false" outlineLevel="0" collapsed="false">
      <c r="A2064" s="8" t="n">
        <v>2063</v>
      </c>
      <c r="B2064" s="8" t="s">
        <v>100</v>
      </c>
      <c r="C2064" s="8" t="s">
        <v>28</v>
      </c>
      <c r="D2064" s="9" t="n">
        <v>44408</v>
      </c>
      <c r="E2064" s="10" t="n">
        <v>7253.42</v>
      </c>
      <c r="F2064" s="8" t="s">
        <v>11</v>
      </c>
      <c r="G2064" s="8" t="s">
        <v>12</v>
      </c>
      <c r="H2064" s="11" t="s">
        <v>13</v>
      </c>
      <c r="I2064" s="8" t="s">
        <v>24</v>
      </c>
    </row>
    <row r="2065" customFormat="false" ht="14.25" hidden="false" customHeight="false" outlineLevel="0" collapsed="false">
      <c r="A2065" s="8" t="n">
        <v>2064</v>
      </c>
      <c r="B2065" s="8" t="s">
        <v>100</v>
      </c>
      <c r="C2065" s="8" t="s">
        <v>21</v>
      </c>
      <c r="D2065" s="9" t="n">
        <v>44408</v>
      </c>
      <c r="E2065" s="10" t="n">
        <v>7413</v>
      </c>
      <c r="F2065" s="8" t="s">
        <v>11</v>
      </c>
      <c r="G2065" s="8" t="s">
        <v>30</v>
      </c>
      <c r="H2065" s="11" t="s">
        <v>31</v>
      </c>
      <c r="I2065" s="8" t="s">
        <v>19</v>
      </c>
    </row>
    <row r="2066" customFormat="false" ht="14.25" hidden="false" customHeight="false" outlineLevel="0" collapsed="false">
      <c r="A2066" s="8" t="n">
        <v>2065</v>
      </c>
      <c r="B2066" s="8" t="s">
        <v>145</v>
      </c>
      <c r="C2066" s="8" t="s">
        <v>16</v>
      </c>
      <c r="D2066" s="9" t="n">
        <v>44409</v>
      </c>
      <c r="E2066" s="10" t="n">
        <v>7413</v>
      </c>
      <c r="F2066" s="8" t="s">
        <v>11</v>
      </c>
      <c r="G2066" s="8" t="s">
        <v>30</v>
      </c>
      <c r="H2066" s="11" t="s">
        <v>31</v>
      </c>
      <c r="I2066" s="8" t="s">
        <v>26</v>
      </c>
    </row>
    <row r="2067" customFormat="false" ht="14.25" hidden="false" customHeight="false" outlineLevel="0" collapsed="false">
      <c r="A2067" s="8" t="n">
        <v>2066</v>
      </c>
      <c r="B2067" s="8" t="s">
        <v>210</v>
      </c>
      <c r="C2067" s="8" t="s">
        <v>21</v>
      </c>
      <c r="D2067" s="9" t="n">
        <v>44410</v>
      </c>
      <c r="E2067" s="10" t="n">
        <v>7266.86</v>
      </c>
      <c r="F2067" s="8" t="s">
        <v>11</v>
      </c>
      <c r="G2067" s="8" t="s">
        <v>36</v>
      </c>
      <c r="H2067" s="11" t="s">
        <v>37</v>
      </c>
      <c r="I2067" s="8" t="s">
        <v>26</v>
      </c>
    </row>
    <row r="2068" customFormat="false" ht="14.25" hidden="false" customHeight="false" outlineLevel="0" collapsed="false">
      <c r="A2068" s="8" t="n">
        <v>2067</v>
      </c>
      <c r="B2068" s="8" t="s">
        <v>234</v>
      </c>
      <c r="C2068" s="8" t="s">
        <v>10</v>
      </c>
      <c r="D2068" s="9" t="n">
        <v>44410</v>
      </c>
      <c r="E2068" s="10" t="n">
        <v>34397.94</v>
      </c>
      <c r="F2068" s="8" t="s">
        <v>11</v>
      </c>
      <c r="G2068" s="8" t="s">
        <v>30</v>
      </c>
      <c r="H2068" s="11" t="s">
        <v>31</v>
      </c>
      <c r="I2068" s="8" t="s">
        <v>14</v>
      </c>
    </row>
    <row r="2069" customFormat="false" ht="14.25" hidden="false" customHeight="false" outlineLevel="0" collapsed="false">
      <c r="A2069" s="8" t="n">
        <v>2068</v>
      </c>
      <c r="B2069" s="8" t="s">
        <v>86</v>
      </c>
      <c r="C2069" s="8" t="s">
        <v>10</v>
      </c>
      <c r="D2069" s="9" t="n">
        <v>44410</v>
      </c>
      <c r="E2069" s="10" t="n">
        <v>4165.17</v>
      </c>
      <c r="F2069" s="8" t="s">
        <v>11</v>
      </c>
      <c r="G2069" s="8" t="s">
        <v>12</v>
      </c>
      <c r="H2069" s="11" t="s">
        <v>13</v>
      </c>
      <c r="I2069" s="8" t="s">
        <v>26</v>
      </c>
    </row>
    <row r="2070" customFormat="false" ht="14.25" hidden="false" customHeight="false" outlineLevel="0" collapsed="false">
      <c r="A2070" s="8" t="n">
        <v>2069</v>
      </c>
      <c r="B2070" s="8" t="s">
        <v>143</v>
      </c>
      <c r="C2070" s="8" t="s">
        <v>21</v>
      </c>
      <c r="D2070" s="9" t="n">
        <v>44410</v>
      </c>
      <c r="E2070" s="10" t="n">
        <v>21447.84</v>
      </c>
      <c r="F2070" s="8" t="s">
        <v>11</v>
      </c>
      <c r="G2070" s="8" t="s">
        <v>17</v>
      </c>
      <c r="H2070" s="11" t="s">
        <v>18</v>
      </c>
      <c r="I2070" s="8" t="s">
        <v>14</v>
      </c>
    </row>
    <row r="2071" customFormat="false" ht="14.25" hidden="false" customHeight="false" outlineLevel="0" collapsed="false">
      <c r="A2071" s="8" t="n">
        <v>2070</v>
      </c>
      <c r="B2071" s="8" t="s">
        <v>222</v>
      </c>
      <c r="C2071" s="8" t="s">
        <v>28</v>
      </c>
      <c r="D2071" s="9" t="n">
        <v>44411</v>
      </c>
      <c r="E2071" s="10" t="n">
        <v>131988.43</v>
      </c>
      <c r="F2071" s="8" t="s">
        <v>11</v>
      </c>
      <c r="G2071" s="8" t="s">
        <v>17</v>
      </c>
      <c r="H2071" s="11" t="s">
        <v>18</v>
      </c>
      <c r="I2071" s="8" t="s">
        <v>14</v>
      </c>
    </row>
    <row r="2072" customFormat="false" ht="14.25" hidden="false" customHeight="false" outlineLevel="0" collapsed="false">
      <c r="A2072" s="8" t="n">
        <v>2071</v>
      </c>
      <c r="B2072" s="8" t="s">
        <v>222</v>
      </c>
      <c r="C2072" s="8" t="s">
        <v>16</v>
      </c>
      <c r="D2072" s="9" t="n">
        <v>44411</v>
      </c>
      <c r="E2072" s="10" t="n">
        <v>34797.21</v>
      </c>
      <c r="F2072" s="8" t="s">
        <v>11</v>
      </c>
      <c r="G2072" s="8" t="s">
        <v>36</v>
      </c>
      <c r="H2072" s="11" t="s">
        <v>37</v>
      </c>
      <c r="I2072" s="8" t="s">
        <v>26</v>
      </c>
    </row>
    <row r="2073" customFormat="false" ht="14.25" hidden="false" customHeight="false" outlineLevel="0" collapsed="false">
      <c r="A2073" s="8" t="n">
        <v>2072</v>
      </c>
      <c r="B2073" s="8" t="s">
        <v>130</v>
      </c>
      <c r="C2073" s="8" t="s">
        <v>21</v>
      </c>
      <c r="D2073" s="9" t="n">
        <v>44411</v>
      </c>
      <c r="E2073" s="10" t="n">
        <v>21933.78</v>
      </c>
      <c r="F2073" s="8" t="s">
        <v>11</v>
      </c>
      <c r="G2073" s="8" t="s">
        <v>12</v>
      </c>
      <c r="H2073" s="11" t="s">
        <v>13</v>
      </c>
      <c r="I2073" s="8" t="s">
        <v>14</v>
      </c>
    </row>
    <row r="2074" customFormat="false" ht="14.25" hidden="false" customHeight="false" outlineLevel="0" collapsed="false">
      <c r="A2074" s="8" t="n">
        <v>2073</v>
      </c>
      <c r="B2074" s="8" t="s">
        <v>130</v>
      </c>
      <c r="C2074" s="8" t="s">
        <v>16</v>
      </c>
      <c r="D2074" s="9" t="n">
        <v>44411</v>
      </c>
      <c r="E2074" s="10" t="n">
        <v>4603.87</v>
      </c>
      <c r="F2074" s="8" t="s">
        <v>11</v>
      </c>
      <c r="G2074" s="8" t="s">
        <v>12</v>
      </c>
      <c r="H2074" s="11" t="s">
        <v>13</v>
      </c>
      <c r="I2074" s="8" t="s">
        <v>24</v>
      </c>
    </row>
    <row r="2075" customFormat="false" ht="14.25" hidden="false" customHeight="false" outlineLevel="0" collapsed="false">
      <c r="A2075" s="8" t="n">
        <v>2074</v>
      </c>
      <c r="B2075" s="8" t="s">
        <v>143</v>
      </c>
      <c r="C2075" s="8" t="s">
        <v>28</v>
      </c>
      <c r="D2075" s="9" t="n">
        <v>44411</v>
      </c>
      <c r="E2075" s="10" t="n">
        <v>7254.69</v>
      </c>
      <c r="F2075" s="8" t="s">
        <v>11</v>
      </c>
      <c r="G2075" s="8" t="s">
        <v>17</v>
      </c>
      <c r="H2075" s="11" t="s">
        <v>18</v>
      </c>
      <c r="I2075" s="8" t="s">
        <v>14</v>
      </c>
    </row>
    <row r="2076" customFormat="false" ht="14.25" hidden="false" customHeight="false" outlineLevel="0" collapsed="false">
      <c r="A2076" s="8" t="n">
        <v>2075</v>
      </c>
      <c r="B2076" s="8" t="s">
        <v>143</v>
      </c>
      <c r="C2076" s="8" t="s">
        <v>28</v>
      </c>
      <c r="D2076" s="9" t="n">
        <v>44411</v>
      </c>
      <c r="E2076" s="10" t="n">
        <v>7554.46</v>
      </c>
      <c r="F2076" s="8" t="s">
        <v>11</v>
      </c>
      <c r="G2076" s="8" t="s">
        <v>17</v>
      </c>
      <c r="H2076" s="11" t="s">
        <v>18</v>
      </c>
      <c r="I2076" s="8" t="s">
        <v>26</v>
      </c>
    </row>
    <row r="2077" customFormat="false" ht="14.25" hidden="false" customHeight="false" outlineLevel="0" collapsed="false">
      <c r="A2077" s="8" t="n">
        <v>2076</v>
      </c>
      <c r="B2077" s="8" t="s">
        <v>86</v>
      </c>
      <c r="C2077" s="8" t="s">
        <v>28</v>
      </c>
      <c r="D2077" s="9" t="n">
        <v>44412</v>
      </c>
      <c r="E2077" s="10" t="n">
        <v>33445.86</v>
      </c>
      <c r="F2077" s="8" t="s">
        <v>11</v>
      </c>
      <c r="G2077" s="8" t="s">
        <v>12</v>
      </c>
      <c r="H2077" s="11" t="s">
        <v>13</v>
      </c>
      <c r="I2077" s="8" t="s">
        <v>14</v>
      </c>
    </row>
    <row r="2078" customFormat="false" ht="14.25" hidden="false" customHeight="false" outlineLevel="0" collapsed="false">
      <c r="A2078" s="8" t="n">
        <v>2077</v>
      </c>
      <c r="B2078" s="8" t="s">
        <v>161</v>
      </c>
      <c r="C2078" s="8" t="s">
        <v>16</v>
      </c>
      <c r="D2078" s="9" t="n">
        <v>44414</v>
      </c>
      <c r="E2078" s="10" t="n">
        <v>21914.43</v>
      </c>
      <c r="F2078" s="8" t="s">
        <v>11</v>
      </c>
      <c r="G2078" s="8" t="s">
        <v>36</v>
      </c>
      <c r="H2078" s="11" t="s">
        <v>37</v>
      </c>
      <c r="I2078" s="8" t="s">
        <v>26</v>
      </c>
    </row>
    <row r="2079" customFormat="false" ht="14.25" hidden="false" customHeight="false" outlineLevel="0" collapsed="false">
      <c r="A2079" s="8" t="n">
        <v>2078</v>
      </c>
      <c r="B2079" s="8" t="s">
        <v>170</v>
      </c>
      <c r="C2079" s="8" t="s">
        <v>21</v>
      </c>
      <c r="D2079" s="9" t="n">
        <v>44414</v>
      </c>
      <c r="E2079" s="10" t="n">
        <v>4332.02</v>
      </c>
      <c r="F2079" s="8" t="s">
        <v>11</v>
      </c>
      <c r="G2079" s="8" t="s">
        <v>12</v>
      </c>
      <c r="H2079" s="11" t="s">
        <v>13</v>
      </c>
      <c r="I2079" s="8" t="s">
        <v>14</v>
      </c>
    </row>
    <row r="2080" customFormat="false" ht="14.25" hidden="false" customHeight="false" outlineLevel="0" collapsed="false">
      <c r="A2080" s="8" t="n">
        <v>2079</v>
      </c>
      <c r="B2080" s="8" t="s">
        <v>77</v>
      </c>
      <c r="C2080" s="8" t="s">
        <v>28</v>
      </c>
      <c r="D2080" s="9" t="n">
        <v>44414</v>
      </c>
      <c r="E2080" s="10" t="n">
        <v>6909.96</v>
      </c>
      <c r="F2080" s="8" t="s">
        <v>11</v>
      </c>
      <c r="G2080" s="8" t="s">
        <v>36</v>
      </c>
      <c r="H2080" s="11" t="s">
        <v>37</v>
      </c>
      <c r="I2080" s="8" t="s">
        <v>14</v>
      </c>
    </row>
    <row r="2081" customFormat="false" ht="14.25" hidden="false" customHeight="false" outlineLevel="0" collapsed="false">
      <c r="A2081" s="8" t="n">
        <v>2080</v>
      </c>
      <c r="B2081" s="8" t="s">
        <v>40</v>
      </c>
      <c r="C2081" s="8" t="s">
        <v>10</v>
      </c>
      <c r="D2081" s="9" t="n">
        <v>44414</v>
      </c>
      <c r="E2081" s="10" t="n">
        <v>11474.57</v>
      </c>
      <c r="F2081" s="8" t="s">
        <v>11</v>
      </c>
      <c r="G2081" s="8" t="s">
        <v>36</v>
      </c>
      <c r="H2081" s="11" t="s">
        <v>37</v>
      </c>
      <c r="I2081" s="8" t="s">
        <v>14</v>
      </c>
    </row>
    <row r="2082" customFormat="false" ht="14.25" hidden="false" customHeight="false" outlineLevel="0" collapsed="false">
      <c r="A2082" s="8" t="n">
        <v>2081</v>
      </c>
      <c r="B2082" s="8" t="s">
        <v>85</v>
      </c>
      <c r="C2082" s="8" t="s">
        <v>16</v>
      </c>
      <c r="D2082" s="9" t="n">
        <v>44415</v>
      </c>
      <c r="E2082" s="10" t="n">
        <v>179878.68</v>
      </c>
      <c r="F2082" s="8" t="s">
        <v>11</v>
      </c>
      <c r="G2082" s="8" t="s">
        <v>17</v>
      </c>
      <c r="H2082" s="11" t="s">
        <v>18</v>
      </c>
      <c r="I2082" s="8" t="s">
        <v>14</v>
      </c>
    </row>
    <row r="2083" customFormat="false" ht="14.25" hidden="false" customHeight="false" outlineLevel="0" collapsed="false">
      <c r="A2083" s="8" t="n">
        <v>2082</v>
      </c>
      <c r="B2083" s="8" t="s">
        <v>49</v>
      </c>
      <c r="C2083" s="8" t="s">
        <v>28</v>
      </c>
      <c r="D2083" s="9" t="n">
        <v>44415</v>
      </c>
      <c r="E2083" s="10" t="n">
        <v>23029.34</v>
      </c>
      <c r="F2083" s="8" t="s">
        <v>11</v>
      </c>
      <c r="G2083" s="8" t="s">
        <v>12</v>
      </c>
      <c r="H2083" s="11" t="s">
        <v>13</v>
      </c>
      <c r="I2083" s="8" t="s">
        <v>19</v>
      </c>
    </row>
    <row r="2084" customFormat="false" ht="14.25" hidden="false" customHeight="false" outlineLevel="0" collapsed="false">
      <c r="A2084" s="8" t="n">
        <v>2083</v>
      </c>
      <c r="B2084" s="8" t="s">
        <v>73</v>
      </c>
      <c r="C2084" s="8" t="s">
        <v>28</v>
      </c>
      <c r="D2084" s="9" t="n">
        <v>44416</v>
      </c>
      <c r="E2084" s="10" t="n">
        <v>7706.07</v>
      </c>
      <c r="F2084" s="8" t="s">
        <v>11</v>
      </c>
      <c r="G2084" s="8" t="s">
        <v>12</v>
      </c>
      <c r="H2084" s="11" t="s">
        <v>13</v>
      </c>
      <c r="I2084" s="8" t="s">
        <v>26</v>
      </c>
    </row>
    <row r="2085" customFormat="false" ht="14.25" hidden="false" customHeight="false" outlineLevel="0" collapsed="false">
      <c r="A2085" s="8" t="n">
        <v>2084</v>
      </c>
      <c r="B2085" s="8" t="s">
        <v>165</v>
      </c>
      <c r="C2085" s="8" t="s">
        <v>28</v>
      </c>
      <c r="D2085" s="9" t="n">
        <v>44416</v>
      </c>
      <c r="E2085" s="10" t="n">
        <v>36273.02</v>
      </c>
      <c r="F2085" s="8" t="s">
        <v>11</v>
      </c>
      <c r="G2085" s="8" t="s">
        <v>22</v>
      </c>
      <c r="H2085" s="11" t="s">
        <v>23</v>
      </c>
      <c r="I2085" s="8" t="s">
        <v>26</v>
      </c>
    </row>
    <row r="2086" customFormat="false" ht="14.25" hidden="false" customHeight="false" outlineLevel="0" collapsed="false">
      <c r="A2086" s="8" t="n">
        <v>2085</v>
      </c>
      <c r="B2086" s="8" t="s">
        <v>174</v>
      </c>
      <c r="C2086" s="8" t="s">
        <v>16</v>
      </c>
      <c r="D2086" s="9" t="n">
        <v>44416</v>
      </c>
      <c r="E2086" s="10" t="n">
        <v>8508.92</v>
      </c>
      <c r="F2086" s="8" t="s">
        <v>11</v>
      </c>
      <c r="G2086" s="8" t="s">
        <v>36</v>
      </c>
      <c r="H2086" s="11" t="s">
        <v>37</v>
      </c>
      <c r="I2086" s="8" t="s">
        <v>14</v>
      </c>
    </row>
    <row r="2087" customFormat="false" ht="14.25" hidden="false" customHeight="false" outlineLevel="0" collapsed="false">
      <c r="A2087" s="8" t="n">
        <v>2086</v>
      </c>
      <c r="B2087" s="8" t="s">
        <v>164</v>
      </c>
      <c r="C2087" s="8" t="s">
        <v>16</v>
      </c>
      <c r="D2087" s="9" t="n">
        <v>44416</v>
      </c>
      <c r="E2087" s="10" t="n">
        <v>23029.34</v>
      </c>
      <c r="F2087" s="8" t="s">
        <v>11</v>
      </c>
      <c r="G2087" s="8" t="s">
        <v>12</v>
      </c>
      <c r="H2087" s="11" t="s">
        <v>13</v>
      </c>
      <c r="I2087" s="8" t="s">
        <v>14</v>
      </c>
    </row>
    <row r="2088" customFormat="false" ht="14.25" hidden="false" customHeight="false" outlineLevel="0" collapsed="false">
      <c r="A2088" s="8" t="n">
        <v>2087</v>
      </c>
      <c r="B2088" s="8" t="s">
        <v>172</v>
      </c>
      <c r="C2088" s="8" t="s">
        <v>28</v>
      </c>
      <c r="D2088" s="9" t="n">
        <v>44416</v>
      </c>
      <c r="E2088" s="10" t="n">
        <v>4214.72</v>
      </c>
      <c r="F2088" s="8" t="s">
        <v>11</v>
      </c>
      <c r="G2088" s="8" t="s">
        <v>22</v>
      </c>
      <c r="H2088" s="11" t="s">
        <v>23</v>
      </c>
      <c r="I2088" s="8" t="s">
        <v>19</v>
      </c>
    </row>
    <row r="2089" customFormat="false" ht="14.25" hidden="false" customHeight="false" outlineLevel="0" collapsed="false">
      <c r="A2089" s="8" t="n">
        <v>2088</v>
      </c>
      <c r="B2089" s="8" t="s">
        <v>190</v>
      </c>
      <c r="C2089" s="8" t="s">
        <v>21</v>
      </c>
      <c r="D2089" s="9" t="n">
        <v>44416</v>
      </c>
      <c r="E2089" s="10" t="n">
        <v>22558.97</v>
      </c>
      <c r="F2089" s="8" t="s">
        <v>11</v>
      </c>
      <c r="G2089" s="8" t="s">
        <v>12</v>
      </c>
      <c r="H2089" s="11" t="s">
        <v>13</v>
      </c>
      <c r="I2089" s="8" t="s">
        <v>24</v>
      </c>
    </row>
    <row r="2090" customFormat="false" ht="14.25" hidden="false" customHeight="false" outlineLevel="0" collapsed="false">
      <c r="A2090" s="8" t="n">
        <v>2089</v>
      </c>
      <c r="B2090" s="8" t="s">
        <v>235</v>
      </c>
      <c r="C2090" s="8" t="s">
        <v>16</v>
      </c>
      <c r="D2090" s="9" t="n">
        <v>44416</v>
      </c>
      <c r="E2090" s="10" t="n">
        <v>11714.62</v>
      </c>
      <c r="F2090" s="8" t="s">
        <v>11</v>
      </c>
      <c r="G2090" s="8" t="s">
        <v>12</v>
      </c>
      <c r="H2090" s="11" t="s">
        <v>13</v>
      </c>
      <c r="I2090" s="8" t="s">
        <v>26</v>
      </c>
    </row>
    <row r="2091" customFormat="false" ht="14.25" hidden="false" customHeight="false" outlineLevel="0" collapsed="false">
      <c r="A2091" s="8" t="n">
        <v>2090</v>
      </c>
      <c r="B2091" s="8" t="s">
        <v>49</v>
      </c>
      <c r="C2091" s="8" t="s">
        <v>10</v>
      </c>
      <c r="D2091" s="9" t="n">
        <v>44416</v>
      </c>
      <c r="E2091" s="10" t="n">
        <v>147903.54</v>
      </c>
      <c r="F2091" s="8" t="s">
        <v>11</v>
      </c>
      <c r="G2091" s="8" t="s">
        <v>12</v>
      </c>
      <c r="H2091" s="11" t="s">
        <v>13</v>
      </c>
      <c r="I2091" s="8" t="s">
        <v>24</v>
      </c>
    </row>
    <row r="2092" customFormat="false" ht="14.25" hidden="false" customHeight="false" outlineLevel="0" collapsed="false">
      <c r="A2092" s="8" t="n">
        <v>2091</v>
      </c>
      <c r="B2092" s="8" t="s">
        <v>150</v>
      </c>
      <c r="C2092" s="8" t="s">
        <v>28</v>
      </c>
      <c r="D2092" s="9" t="n">
        <v>44417</v>
      </c>
      <c r="E2092" s="10" t="n">
        <v>8415.62</v>
      </c>
      <c r="F2092" s="8" t="s">
        <v>11</v>
      </c>
      <c r="G2092" s="8" t="s">
        <v>30</v>
      </c>
      <c r="H2092" s="11" t="s">
        <v>31</v>
      </c>
      <c r="I2092" s="8" t="s">
        <v>26</v>
      </c>
    </row>
    <row r="2093" customFormat="false" ht="14.25" hidden="false" customHeight="false" outlineLevel="0" collapsed="false">
      <c r="A2093" s="8" t="n">
        <v>2092</v>
      </c>
      <c r="B2093" s="8" t="s">
        <v>222</v>
      </c>
      <c r="C2093" s="8" t="s">
        <v>28</v>
      </c>
      <c r="D2093" s="9" t="n">
        <v>44417</v>
      </c>
      <c r="E2093" s="10" t="n">
        <v>23029.34</v>
      </c>
      <c r="F2093" s="8" t="s">
        <v>11</v>
      </c>
      <c r="G2093" s="8" t="s">
        <v>12</v>
      </c>
      <c r="H2093" s="11" t="s">
        <v>13</v>
      </c>
      <c r="I2093" s="8" t="s">
        <v>26</v>
      </c>
    </row>
    <row r="2094" customFormat="false" ht="14.25" hidden="false" customHeight="false" outlineLevel="0" collapsed="false">
      <c r="A2094" s="8" t="n">
        <v>2093</v>
      </c>
      <c r="B2094" s="8" t="s">
        <v>162</v>
      </c>
      <c r="C2094" s="8" t="s">
        <v>16</v>
      </c>
      <c r="D2094" s="9" t="n">
        <v>44418</v>
      </c>
      <c r="E2094" s="10" t="n">
        <v>11024.32</v>
      </c>
      <c r="F2094" s="8" t="s">
        <v>11</v>
      </c>
      <c r="G2094" s="8" t="s">
        <v>36</v>
      </c>
      <c r="H2094" s="11" t="s">
        <v>37</v>
      </c>
      <c r="I2094" s="8" t="s">
        <v>26</v>
      </c>
    </row>
    <row r="2095" customFormat="false" ht="14.25" hidden="false" customHeight="false" outlineLevel="0" collapsed="false">
      <c r="A2095" s="8" t="n">
        <v>2094</v>
      </c>
      <c r="B2095" s="8" t="s">
        <v>208</v>
      </c>
      <c r="C2095" s="8" t="s">
        <v>16</v>
      </c>
      <c r="D2095" s="9" t="n">
        <v>44418</v>
      </c>
      <c r="E2095" s="10" t="n">
        <v>4004.79</v>
      </c>
      <c r="F2095" s="8" t="s">
        <v>11</v>
      </c>
      <c r="G2095" s="8" t="s">
        <v>12</v>
      </c>
      <c r="H2095" s="11" t="s">
        <v>13</v>
      </c>
      <c r="I2095" s="8" t="s">
        <v>19</v>
      </c>
    </row>
    <row r="2096" customFormat="false" ht="14.25" hidden="false" customHeight="false" outlineLevel="0" collapsed="false">
      <c r="A2096" s="8" t="n">
        <v>2095</v>
      </c>
      <c r="B2096" s="8" t="s">
        <v>145</v>
      </c>
      <c r="C2096" s="8" t="s">
        <v>16</v>
      </c>
      <c r="D2096" s="9" t="n">
        <v>44418</v>
      </c>
      <c r="E2096" s="10" t="n">
        <v>19435.42</v>
      </c>
      <c r="F2096" s="8" t="s">
        <v>11</v>
      </c>
      <c r="G2096" s="8" t="s">
        <v>12</v>
      </c>
      <c r="H2096" s="11" t="s">
        <v>13</v>
      </c>
      <c r="I2096" s="8" t="s">
        <v>14</v>
      </c>
    </row>
    <row r="2097" customFormat="false" ht="14.25" hidden="false" customHeight="false" outlineLevel="0" collapsed="false">
      <c r="A2097" s="8" t="n">
        <v>2096</v>
      </c>
      <c r="B2097" s="8" t="s">
        <v>15</v>
      </c>
      <c r="C2097" s="8" t="s">
        <v>16</v>
      </c>
      <c r="D2097" s="9" t="n">
        <v>44418</v>
      </c>
      <c r="E2097" s="10" t="n">
        <v>23029.34</v>
      </c>
      <c r="F2097" s="8" t="s">
        <v>11</v>
      </c>
      <c r="G2097" s="8" t="s">
        <v>36</v>
      </c>
      <c r="H2097" s="11" t="s">
        <v>37</v>
      </c>
      <c r="I2097" s="8" t="s">
        <v>26</v>
      </c>
    </row>
    <row r="2098" customFormat="false" ht="14.25" hidden="false" customHeight="false" outlineLevel="0" collapsed="false">
      <c r="A2098" s="8" t="n">
        <v>2097</v>
      </c>
      <c r="B2098" s="8" t="s">
        <v>143</v>
      </c>
      <c r="C2098" s="8" t="s">
        <v>28</v>
      </c>
      <c r="D2098" s="9" t="n">
        <v>44418</v>
      </c>
      <c r="E2098" s="10" t="n">
        <v>23029.34</v>
      </c>
      <c r="F2098" s="8" t="s">
        <v>11</v>
      </c>
      <c r="G2098" s="8" t="s">
        <v>12</v>
      </c>
      <c r="H2098" s="11" t="s">
        <v>13</v>
      </c>
      <c r="I2098" s="8" t="s">
        <v>24</v>
      </c>
    </row>
    <row r="2099" customFormat="false" ht="14.25" hidden="false" customHeight="false" outlineLevel="0" collapsed="false">
      <c r="A2099" s="8" t="n">
        <v>2098</v>
      </c>
      <c r="B2099" s="8" t="s">
        <v>143</v>
      </c>
      <c r="C2099" s="8" t="s">
        <v>16</v>
      </c>
      <c r="D2099" s="9" t="n">
        <v>44418</v>
      </c>
      <c r="E2099" s="10" t="n">
        <v>23029.31</v>
      </c>
      <c r="F2099" s="8" t="s">
        <v>11</v>
      </c>
      <c r="G2099" s="8" t="s">
        <v>17</v>
      </c>
      <c r="H2099" s="11" t="s">
        <v>18</v>
      </c>
      <c r="I2099" s="8" t="s">
        <v>19</v>
      </c>
    </row>
    <row r="2100" customFormat="false" ht="14.25" hidden="false" customHeight="false" outlineLevel="0" collapsed="false">
      <c r="A2100" s="8" t="n">
        <v>2099</v>
      </c>
      <c r="B2100" s="8" t="s">
        <v>143</v>
      </c>
      <c r="C2100" s="8" t="s">
        <v>10</v>
      </c>
      <c r="D2100" s="9" t="n">
        <v>44418</v>
      </c>
      <c r="E2100" s="10" t="n">
        <v>6889.97</v>
      </c>
      <c r="F2100" s="8" t="s">
        <v>11</v>
      </c>
      <c r="G2100" s="8" t="s">
        <v>36</v>
      </c>
      <c r="H2100" s="11" t="s">
        <v>37</v>
      </c>
      <c r="I2100" s="8" t="s">
        <v>26</v>
      </c>
    </row>
    <row r="2101" customFormat="false" ht="14.25" hidden="false" customHeight="false" outlineLevel="0" collapsed="false">
      <c r="A2101" s="8" t="n">
        <v>2100</v>
      </c>
      <c r="B2101" s="8" t="s">
        <v>143</v>
      </c>
      <c r="C2101" s="8" t="s">
        <v>16</v>
      </c>
      <c r="D2101" s="9" t="n">
        <v>44418</v>
      </c>
      <c r="E2101" s="10" t="n">
        <v>1401.93</v>
      </c>
      <c r="F2101" s="8" t="s">
        <v>11</v>
      </c>
      <c r="G2101" s="8" t="s">
        <v>12</v>
      </c>
      <c r="H2101" s="11" t="s">
        <v>13</v>
      </c>
      <c r="I2101" s="8" t="s">
        <v>26</v>
      </c>
    </row>
    <row r="2102" customFormat="false" ht="14.25" hidden="false" customHeight="false" outlineLevel="0" collapsed="false">
      <c r="A2102" s="8" t="n">
        <v>2101</v>
      </c>
      <c r="B2102" s="8" t="s">
        <v>136</v>
      </c>
      <c r="C2102" s="8" t="s">
        <v>10</v>
      </c>
      <c r="D2102" s="9" t="n">
        <v>44419</v>
      </c>
      <c r="E2102" s="10" t="n">
        <v>5121.86</v>
      </c>
      <c r="F2102" s="8" t="s">
        <v>11</v>
      </c>
      <c r="G2102" s="8" t="s">
        <v>22</v>
      </c>
      <c r="H2102" s="11" t="s">
        <v>23</v>
      </c>
      <c r="I2102" s="8" t="s">
        <v>24</v>
      </c>
    </row>
    <row r="2103" customFormat="false" ht="14.25" hidden="false" customHeight="false" outlineLevel="0" collapsed="false">
      <c r="A2103" s="8" t="n">
        <v>2102</v>
      </c>
      <c r="B2103" s="8" t="s">
        <v>136</v>
      </c>
      <c r="C2103" s="8" t="s">
        <v>21</v>
      </c>
      <c r="D2103" s="9" t="n">
        <v>44419</v>
      </c>
      <c r="E2103" s="10" t="n">
        <v>-5797.19</v>
      </c>
      <c r="F2103" s="8" t="s">
        <v>34</v>
      </c>
      <c r="G2103" s="8" t="s">
        <v>12</v>
      </c>
      <c r="H2103" s="11" t="s">
        <v>13</v>
      </c>
      <c r="I2103" s="8" t="s">
        <v>24</v>
      </c>
    </row>
    <row r="2104" customFormat="false" ht="14.25" hidden="false" customHeight="false" outlineLevel="0" collapsed="false">
      <c r="A2104" s="8" t="n">
        <v>2103</v>
      </c>
      <c r="B2104" s="8" t="s">
        <v>136</v>
      </c>
      <c r="C2104" s="8" t="s">
        <v>10</v>
      </c>
      <c r="D2104" s="9" t="n">
        <v>44419</v>
      </c>
      <c r="E2104" s="10" t="n">
        <v>-150.36</v>
      </c>
      <c r="F2104" s="8" t="s">
        <v>34</v>
      </c>
      <c r="G2104" s="8" t="s">
        <v>36</v>
      </c>
      <c r="H2104" s="11" t="s">
        <v>37</v>
      </c>
      <c r="I2104" s="8" t="s">
        <v>26</v>
      </c>
    </row>
    <row r="2105" customFormat="false" ht="14.25" hidden="false" customHeight="false" outlineLevel="0" collapsed="false">
      <c r="A2105" s="8" t="n">
        <v>2104</v>
      </c>
      <c r="B2105" s="8" t="s">
        <v>136</v>
      </c>
      <c r="C2105" s="8" t="s">
        <v>10</v>
      </c>
      <c r="D2105" s="9" t="n">
        <v>44419</v>
      </c>
      <c r="E2105" s="10" t="n">
        <v>-2581.78</v>
      </c>
      <c r="F2105" s="8" t="s">
        <v>34</v>
      </c>
      <c r="G2105" s="8" t="s">
        <v>17</v>
      </c>
      <c r="H2105" s="11" t="s">
        <v>18</v>
      </c>
      <c r="I2105" s="8" t="s">
        <v>24</v>
      </c>
    </row>
    <row r="2106" customFormat="false" ht="14.25" hidden="false" customHeight="false" outlineLevel="0" collapsed="false">
      <c r="A2106" s="8" t="n">
        <v>2105</v>
      </c>
      <c r="B2106" s="8" t="s">
        <v>136</v>
      </c>
      <c r="C2106" s="8" t="s">
        <v>16</v>
      </c>
      <c r="D2106" s="9" t="n">
        <v>44419</v>
      </c>
      <c r="E2106" s="10" t="n">
        <v>-2924.99</v>
      </c>
      <c r="F2106" s="8" t="s">
        <v>34</v>
      </c>
      <c r="G2106" s="8" t="s">
        <v>12</v>
      </c>
      <c r="H2106" s="11" t="s">
        <v>13</v>
      </c>
      <c r="I2106" s="8" t="s">
        <v>24</v>
      </c>
    </row>
    <row r="2107" customFormat="false" ht="14.25" hidden="false" customHeight="false" outlineLevel="0" collapsed="false">
      <c r="A2107" s="8" t="n">
        <v>2106</v>
      </c>
      <c r="B2107" s="8" t="s">
        <v>85</v>
      </c>
      <c r="C2107" s="8" t="s">
        <v>21</v>
      </c>
      <c r="D2107" s="9" t="n">
        <v>44421</v>
      </c>
      <c r="E2107" s="10" t="n">
        <v>-3205.27</v>
      </c>
      <c r="F2107" s="8" t="s">
        <v>34</v>
      </c>
      <c r="G2107" s="8" t="s">
        <v>12</v>
      </c>
      <c r="H2107" s="11" t="s">
        <v>13</v>
      </c>
      <c r="I2107" s="8" t="s">
        <v>14</v>
      </c>
    </row>
    <row r="2108" customFormat="false" ht="14.25" hidden="false" customHeight="false" outlineLevel="0" collapsed="false">
      <c r="A2108" s="8" t="n">
        <v>2107</v>
      </c>
      <c r="B2108" s="8" t="s">
        <v>170</v>
      </c>
      <c r="C2108" s="8" t="s">
        <v>16</v>
      </c>
      <c r="D2108" s="9" t="n">
        <v>44422</v>
      </c>
      <c r="E2108" s="10" t="n">
        <v>-5973.21</v>
      </c>
      <c r="F2108" s="8" t="s">
        <v>34</v>
      </c>
      <c r="G2108" s="8" t="s">
        <v>36</v>
      </c>
      <c r="H2108" s="11" t="s">
        <v>37</v>
      </c>
      <c r="I2108" s="8" t="s">
        <v>26</v>
      </c>
    </row>
    <row r="2109" customFormat="false" ht="14.25" hidden="false" customHeight="false" outlineLevel="0" collapsed="false">
      <c r="A2109" s="8" t="n">
        <v>2108</v>
      </c>
      <c r="B2109" s="8" t="s">
        <v>170</v>
      </c>
      <c r="C2109" s="8" t="s">
        <v>16</v>
      </c>
      <c r="D2109" s="9" t="n">
        <v>44422</v>
      </c>
      <c r="E2109" s="10" t="n">
        <v>-2616.15</v>
      </c>
      <c r="F2109" s="8" t="s">
        <v>34</v>
      </c>
      <c r="G2109" s="8" t="s">
        <v>12</v>
      </c>
      <c r="H2109" s="11" t="s">
        <v>13</v>
      </c>
      <c r="I2109" s="8" t="s">
        <v>26</v>
      </c>
    </row>
    <row r="2110" customFormat="false" ht="14.25" hidden="false" customHeight="false" outlineLevel="0" collapsed="false">
      <c r="A2110" s="8" t="n">
        <v>2109</v>
      </c>
      <c r="B2110" s="8" t="s">
        <v>50</v>
      </c>
      <c r="C2110" s="8" t="s">
        <v>28</v>
      </c>
      <c r="D2110" s="9" t="n">
        <v>44422</v>
      </c>
      <c r="E2110" s="10" t="n">
        <v>-7374.12</v>
      </c>
      <c r="F2110" s="8" t="s">
        <v>34</v>
      </c>
      <c r="G2110" s="8" t="s">
        <v>12</v>
      </c>
      <c r="H2110" s="11" t="s">
        <v>13</v>
      </c>
      <c r="I2110" s="8" t="s">
        <v>14</v>
      </c>
    </row>
    <row r="2111" customFormat="false" ht="14.25" hidden="false" customHeight="false" outlineLevel="0" collapsed="false">
      <c r="A2111" s="8" t="n">
        <v>2110</v>
      </c>
      <c r="B2111" s="8" t="s">
        <v>189</v>
      </c>
      <c r="C2111" s="8" t="s">
        <v>16</v>
      </c>
      <c r="D2111" s="9" t="n">
        <v>44422</v>
      </c>
      <c r="E2111" s="10" t="n">
        <v>-1771.14</v>
      </c>
      <c r="F2111" s="8" t="s">
        <v>34</v>
      </c>
      <c r="G2111" s="8" t="s">
        <v>36</v>
      </c>
      <c r="H2111" s="11" t="s">
        <v>37</v>
      </c>
      <c r="I2111" s="8" t="s">
        <v>14</v>
      </c>
    </row>
    <row r="2112" customFormat="false" ht="14.25" hidden="false" customHeight="false" outlineLevel="0" collapsed="false">
      <c r="A2112" s="8" t="n">
        <v>2111</v>
      </c>
      <c r="B2112" s="8" t="s">
        <v>40</v>
      </c>
      <c r="C2112" s="8" t="s">
        <v>28</v>
      </c>
      <c r="D2112" s="9" t="n">
        <v>44422</v>
      </c>
      <c r="E2112" s="10" t="n">
        <v>-2500.12</v>
      </c>
      <c r="F2112" s="8" t="s">
        <v>34</v>
      </c>
      <c r="G2112" s="8" t="s">
        <v>36</v>
      </c>
      <c r="H2112" s="11" t="s">
        <v>37</v>
      </c>
      <c r="I2112" s="8" t="s">
        <v>19</v>
      </c>
    </row>
    <row r="2113" customFormat="false" ht="14.25" hidden="false" customHeight="false" outlineLevel="0" collapsed="false">
      <c r="A2113" s="8" t="n">
        <v>2112</v>
      </c>
      <c r="B2113" s="8" t="s">
        <v>85</v>
      </c>
      <c r="C2113" s="8" t="s">
        <v>16</v>
      </c>
      <c r="D2113" s="9" t="n">
        <v>44422</v>
      </c>
      <c r="E2113" s="10" t="n">
        <v>-11414.06</v>
      </c>
      <c r="F2113" s="8" t="s">
        <v>34</v>
      </c>
      <c r="G2113" s="8" t="s">
        <v>30</v>
      </c>
      <c r="H2113" s="11" t="s">
        <v>31</v>
      </c>
      <c r="I2113" s="8" t="s">
        <v>14</v>
      </c>
    </row>
    <row r="2114" customFormat="false" ht="14.25" hidden="false" customHeight="false" outlineLevel="0" collapsed="false">
      <c r="A2114" s="8" t="n">
        <v>2113</v>
      </c>
      <c r="B2114" s="8" t="s">
        <v>170</v>
      </c>
      <c r="C2114" s="8" t="s">
        <v>10</v>
      </c>
      <c r="D2114" s="9" t="n">
        <v>44423</v>
      </c>
      <c r="E2114" s="10" t="n">
        <v>-38148.18</v>
      </c>
      <c r="F2114" s="8" t="s">
        <v>34</v>
      </c>
      <c r="G2114" s="8" t="s">
        <v>12</v>
      </c>
      <c r="H2114" s="11" t="s">
        <v>13</v>
      </c>
      <c r="I2114" s="8" t="s">
        <v>14</v>
      </c>
    </row>
    <row r="2115" customFormat="false" ht="14.25" hidden="false" customHeight="false" outlineLevel="0" collapsed="false">
      <c r="A2115" s="8" t="n">
        <v>2114</v>
      </c>
      <c r="B2115" s="8" t="s">
        <v>170</v>
      </c>
      <c r="C2115" s="8" t="s">
        <v>16</v>
      </c>
      <c r="D2115" s="9" t="n">
        <v>44423</v>
      </c>
      <c r="E2115" s="10" t="n">
        <v>-37748.62</v>
      </c>
      <c r="F2115" s="8" t="s">
        <v>34</v>
      </c>
      <c r="G2115" s="8" t="s">
        <v>36</v>
      </c>
      <c r="H2115" s="11" t="s">
        <v>37</v>
      </c>
      <c r="I2115" s="8" t="s">
        <v>14</v>
      </c>
    </row>
    <row r="2116" customFormat="false" ht="14.25" hidden="false" customHeight="false" outlineLevel="0" collapsed="false">
      <c r="A2116" s="8" t="n">
        <v>2115</v>
      </c>
      <c r="B2116" s="8" t="s">
        <v>236</v>
      </c>
      <c r="C2116" s="8" t="s">
        <v>28</v>
      </c>
      <c r="D2116" s="9" t="n">
        <v>44423</v>
      </c>
      <c r="E2116" s="10" t="n">
        <v>10925.14</v>
      </c>
      <c r="F2116" s="8" t="s">
        <v>11</v>
      </c>
      <c r="G2116" s="8" t="s">
        <v>12</v>
      </c>
      <c r="H2116" s="11" t="s">
        <v>13</v>
      </c>
      <c r="I2116" s="8" t="s">
        <v>26</v>
      </c>
    </row>
    <row r="2117" customFormat="false" ht="14.25" hidden="false" customHeight="false" outlineLevel="0" collapsed="false">
      <c r="A2117" s="8" t="n">
        <v>2116</v>
      </c>
      <c r="B2117" s="8" t="s">
        <v>237</v>
      </c>
      <c r="C2117" s="8" t="s">
        <v>28</v>
      </c>
      <c r="D2117" s="9" t="n">
        <v>44423</v>
      </c>
      <c r="E2117" s="10" t="n">
        <v>-329.07</v>
      </c>
      <c r="F2117" s="8" t="s">
        <v>34</v>
      </c>
      <c r="G2117" s="8" t="s">
        <v>12</v>
      </c>
      <c r="H2117" s="11" t="s">
        <v>13</v>
      </c>
      <c r="I2117" s="8" t="s">
        <v>19</v>
      </c>
    </row>
    <row r="2118" customFormat="false" ht="14.25" hidden="false" customHeight="false" outlineLevel="0" collapsed="false">
      <c r="A2118" s="8" t="n">
        <v>2117</v>
      </c>
      <c r="B2118" s="8" t="s">
        <v>238</v>
      </c>
      <c r="C2118" s="8" t="s">
        <v>16</v>
      </c>
      <c r="D2118" s="9" t="n">
        <v>44423</v>
      </c>
      <c r="E2118" s="10" t="n">
        <v>-8445.92</v>
      </c>
      <c r="F2118" s="8" t="s">
        <v>34</v>
      </c>
      <c r="G2118" s="8" t="s">
        <v>12</v>
      </c>
      <c r="H2118" s="11" t="s">
        <v>13</v>
      </c>
      <c r="I2118" s="8" t="s">
        <v>14</v>
      </c>
    </row>
    <row r="2119" customFormat="false" ht="14.25" hidden="false" customHeight="false" outlineLevel="0" collapsed="false">
      <c r="A2119" s="8" t="n">
        <v>2118</v>
      </c>
      <c r="B2119" s="8" t="s">
        <v>238</v>
      </c>
      <c r="C2119" s="8" t="s">
        <v>16</v>
      </c>
      <c r="D2119" s="9" t="n">
        <v>44423</v>
      </c>
      <c r="E2119" s="10" t="n">
        <v>-7067.17</v>
      </c>
      <c r="F2119" s="8" t="s">
        <v>34</v>
      </c>
      <c r="G2119" s="8" t="s">
        <v>17</v>
      </c>
      <c r="H2119" s="11" t="s">
        <v>18</v>
      </c>
      <c r="I2119" s="8" t="s">
        <v>19</v>
      </c>
    </row>
    <row r="2120" customFormat="false" ht="14.25" hidden="false" customHeight="false" outlineLevel="0" collapsed="false">
      <c r="A2120" s="8" t="n">
        <v>2119</v>
      </c>
      <c r="B2120" s="8" t="s">
        <v>239</v>
      </c>
      <c r="C2120" s="8" t="s">
        <v>10</v>
      </c>
      <c r="D2120" s="9" t="n">
        <v>44423</v>
      </c>
      <c r="E2120" s="10" t="n">
        <v>-2417.94</v>
      </c>
      <c r="F2120" s="8" t="s">
        <v>34</v>
      </c>
      <c r="G2120" s="8" t="s">
        <v>12</v>
      </c>
      <c r="H2120" s="11" t="s">
        <v>13</v>
      </c>
      <c r="I2120" s="8" t="s">
        <v>26</v>
      </c>
    </row>
    <row r="2121" customFormat="false" ht="14.25" hidden="false" customHeight="false" outlineLevel="0" collapsed="false">
      <c r="A2121" s="8" t="n">
        <v>2120</v>
      </c>
      <c r="B2121" s="8" t="s">
        <v>240</v>
      </c>
      <c r="C2121" s="8" t="s">
        <v>21</v>
      </c>
      <c r="D2121" s="9" t="n">
        <v>44423</v>
      </c>
      <c r="E2121" s="10" t="n">
        <v>-6154.72</v>
      </c>
      <c r="F2121" s="8" t="s">
        <v>34</v>
      </c>
      <c r="G2121" s="8" t="s">
        <v>17</v>
      </c>
      <c r="H2121" s="11" t="s">
        <v>18</v>
      </c>
      <c r="I2121" s="8" t="s">
        <v>19</v>
      </c>
    </row>
    <row r="2122" customFormat="false" ht="14.25" hidden="false" customHeight="false" outlineLevel="0" collapsed="false">
      <c r="A2122" s="8" t="n">
        <v>2121</v>
      </c>
      <c r="B2122" s="8" t="s">
        <v>240</v>
      </c>
      <c r="C2122" s="8" t="s">
        <v>16</v>
      </c>
      <c r="D2122" s="9" t="n">
        <v>44423</v>
      </c>
      <c r="E2122" s="10" t="n">
        <v>-1696.45</v>
      </c>
      <c r="F2122" s="8" t="s">
        <v>34</v>
      </c>
      <c r="G2122" s="8" t="s">
        <v>12</v>
      </c>
      <c r="H2122" s="11" t="s">
        <v>13</v>
      </c>
      <c r="I2122" s="8" t="s">
        <v>26</v>
      </c>
    </row>
    <row r="2123" customFormat="false" ht="14.25" hidden="false" customHeight="false" outlineLevel="0" collapsed="false">
      <c r="A2123" s="8" t="n">
        <v>2122</v>
      </c>
      <c r="B2123" s="8" t="s">
        <v>241</v>
      </c>
      <c r="C2123" s="8" t="s">
        <v>16</v>
      </c>
      <c r="D2123" s="9" t="n">
        <v>44423</v>
      </c>
      <c r="E2123" s="10" t="n">
        <v>-1423.24</v>
      </c>
      <c r="F2123" s="8" t="s">
        <v>34</v>
      </c>
      <c r="G2123" s="8" t="s">
        <v>36</v>
      </c>
      <c r="H2123" s="11" t="s">
        <v>37</v>
      </c>
      <c r="I2123" s="8" t="s">
        <v>14</v>
      </c>
    </row>
    <row r="2124" customFormat="false" ht="14.25" hidden="false" customHeight="false" outlineLevel="0" collapsed="false">
      <c r="A2124" s="8" t="n">
        <v>2123</v>
      </c>
      <c r="B2124" s="8" t="s">
        <v>242</v>
      </c>
      <c r="C2124" s="8" t="s">
        <v>28</v>
      </c>
      <c r="D2124" s="9" t="n">
        <v>44423</v>
      </c>
      <c r="E2124" s="10" t="n">
        <v>-1744.65</v>
      </c>
      <c r="F2124" s="8" t="s">
        <v>34</v>
      </c>
      <c r="G2124" s="8" t="s">
        <v>36</v>
      </c>
      <c r="H2124" s="11" t="s">
        <v>37</v>
      </c>
      <c r="I2124" s="8" t="s">
        <v>24</v>
      </c>
    </row>
    <row r="2125" customFormat="false" ht="14.25" hidden="false" customHeight="false" outlineLevel="0" collapsed="false">
      <c r="A2125" s="8" t="n">
        <v>2124</v>
      </c>
      <c r="B2125" s="8" t="s">
        <v>243</v>
      </c>
      <c r="C2125" s="8" t="s">
        <v>10</v>
      </c>
      <c r="D2125" s="9" t="n">
        <v>44423</v>
      </c>
      <c r="E2125" s="10" t="n">
        <v>-279.41</v>
      </c>
      <c r="F2125" s="8" t="s">
        <v>34</v>
      </c>
      <c r="G2125" s="8" t="s">
        <v>22</v>
      </c>
      <c r="H2125" s="11" t="s">
        <v>23</v>
      </c>
      <c r="I2125" s="8" t="s">
        <v>14</v>
      </c>
    </row>
    <row r="2126" customFormat="false" ht="14.25" hidden="false" customHeight="false" outlineLevel="0" collapsed="false">
      <c r="A2126" s="8" t="n">
        <v>2125</v>
      </c>
      <c r="B2126" s="8" t="s">
        <v>244</v>
      </c>
      <c r="C2126" s="8" t="s">
        <v>16</v>
      </c>
      <c r="D2126" s="9" t="n">
        <v>44423</v>
      </c>
      <c r="E2126" s="10" t="n">
        <v>-11377.94</v>
      </c>
      <c r="F2126" s="8" t="s">
        <v>34</v>
      </c>
      <c r="G2126" s="8" t="s">
        <v>36</v>
      </c>
      <c r="H2126" s="11" t="s">
        <v>37</v>
      </c>
      <c r="I2126" s="8" t="s">
        <v>26</v>
      </c>
    </row>
    <row r="2127" customFormat="false" ht="14.25" hidden="false" customHeight="false" outlineLevel="0" collapsed="false">
      <c r="A2127" s="8" t="n">
        <v>2126</v>
      </c>
      <c r="B2127" s="8" t="s">
        <v>32</v>
      </c>
      <c r="C2127" s="8" t="s">
        <v>21</v>
      </c>
      <c r="D2127" s="9" t="n">
        <v>44423</v>
      </c>
      <c r="E2127" s="10" t="n">
        <v>-1462.16</v>
      </c>
      <c r="F2127" s="8" t="s">
        <v>34</v>
      </c>
      <c r="G2127" s="8" t="s">
        <v>22</v>
      </c>
      <c r="H2127" s="11" t="s">
        <v>23</v>
      </c>
      <c r="I2127" s="8" t="s">
        <v>26</v>
      </c>
    </row>
    <row r="2128" customFormat="false" ht="14.25" hidden="false" customHeight="false" outlineLevel="0" collapsed="false">
      <c r="A2128" s="8" t="n">
        <v>2127</v>
      </c>
      <c r="B2128" s="8" t="s">
        <v>20</v>
      </c>
      <c r="C2128" s="8" t="s">
        <v>21</v>
      </c>
      <c r="D2128" s="9" t="n">
        <v>44423</v>
      </c>
      <c r="E2128" s="10" t="n">
        <v>-6069</v>
      </c>
      <c r="F2128" s="8" t="s">
        <v>34</v>
      </c>
      <c r="G2128" s="8" t="s">
        <v>17</v>
      </c>
      <c r="H2128" s="11" t="s">
        <v>18</v>
      </c>
      <c r="I2128" s="8" t="s">
        <v>26</v>
      </c>
    </row>
    <row r="2129" customFormat="false" ht="14.25" hidden="false" customHeight="false" outlineLevel="0" collapsed="false">
      <c r="A2129" s="8" t="n">
        <v>2128</v>
      </c>
      <c r="B2129" s="8" t="s">
        <v>20</v>
      </c>
      <c r="C2129" s="8" t="s">
        <v>16</v>
      </c>
      <c r="D2129" s="9" t="n">
        <v>44423</v>
      </c>
      <c r="E2129" s="10" t="n">
        <v>-8845.83</v>
      </c>
      <c r="F2129" s="8" t="s">
        <v>34</v>
      </c>
      <c r="G2129" s="8" t="s">
        <v>17</v>
      </c>
      <c r="H2129" s="11" t="s">
        <v>18</v>
      </c>
      <c r="I2129" s="8" t="s">
        <v>14</v>
      </c>
    </row>
    <row r="2130" customFormat="false" ht="14.25" hidden="false" customHeight="false" outlineLevel="0" collapsed="false">
      <c r="A2130" s="8" t="n">
        <v>2129</v>
      </c>
      <c r="B2130" s="8" t="s">
        <v>20</v>
      </c>
      <c r="C2130" s="8" t="s">
        <v>10</v>
      </c>
      <c r="D2130" s="9" t="n">
        <v>44423</v>
      </c>
      <c r="E2130" s="10" t="n">
        <v>-5726.28</v>
      </c>
      <c r="F2130" s="8" t="s">
        <v>34</v>
      </c>
      <c r="G2130" s="8" t="s">
        <v>12</v>
      </c>
      <c r="H2130" s="11" t="s">
        <v>13</v>
      </c>
      <c r="I2130" s="8" t="s">
        <v>26</v>
      </c>
    </row>
    <row r="2131" customFormat="false" ht="14.25" hidden="false" customHeight="false" outlineLevel="0" collapsed="false">
      <c r="A2131" s="8" t="n">
        <v>2130</v>
      </c>
      <c r="B2131" s="8" t="s">
        <v>20</v>
      </c>
      <c r="C2131" s="8" t="s">
        <v>10</v>
      </c>
      <c r="D2131" s="9" t="n">
        <v>44423</v>
      </c>
      <c r="E2131" s="10" t="n">
        <v>-91697.94</v>
      </c>
      <c r="F2131" s="8" t="s">
        <v>34</v>
      </c>
      <c r="G2131" s="8" t="s">
        <v>36</v>
      </c>
      <c r="H2131" s="11" t="s">
        <v>37</v>
      </c>
      <c r="I2131" s="8" t="s">
        <v>14</v>
      </c>
    </row>
    <row r="2132" customFormat="false" ht="14.25" hidden="false" customHeight="false" outlineLevel="0" collapsed="false">
      <c r="A2132" s="8" t="n">
        <v>2131</v>
      </c>
      <c r="B2132" s="8" t="s">
        <v>245</v>
      </c>
      <c r="C2132" s="8" t="s">
        <v>28</v>
      </c>
      <c r="D2132" s="9" t="n">
        <v>44424</v>
      </c>
      <c r="E2132" s="10" t="n">
        <v>-300118</v>
      </c>
      <c r="F2132" s="8" t="s">
        <v>34</v>
      </c>
      <c r="G2132" s="8" t="s">
        <v>12</v>
      </c>
      <c r="H2132" s="11" t="s">
        <v>13</v>
      </c>
      <c r="I2132" s="8" t="s">
        <v>14</v>
      </c>
    </row>
    <row r="2133" customFormat="false" ht="14.25" hidden="false" customHeight="false" outlineLevel="0" collapsed="false">
      <c r="A2133" s="8" t="n">
        <v>2132</v>
      </c>
      <c r="B2133" s="8" t="s">
        <v>232</v>
      </c>
      <c r="C2133" s="8" t="s">
        <v>21</v>
      </c>
      <c r="D2133" s="9" t="n">
        <v>44424</v>
      </c>
      <c r="E2133" s="10" t="n">
        <v>-9067.98</v>
      </c>
      <c r="F2133" s="8" t="s">
        <v>34</v>
      </c>
      <c r="G2133" s="8" t="s">
        <v>22</v>
      </c>
      <c r="H2133" s="11" t="s">
        <v>23</v>
      </c>
      <c r="I2133" s="8" t="s">
        <v>14</v>
      </c>
    </row>
    <row r="2134" customFormat="false" ht="14.25" hidden="false" customHeight="false" outlineLevel="0" collapsed="false">
      <c r="A2134" s="8" t="n">
        <v>2133</v>
      </c>
      <c r="B2134" s="8" t="s">
        <v>129</v>
      </c>
      <c r="C2134" s="8" t="s">
        <v>21</v>
      </c>
      <c r="D2134" s="9" t="n">
        <v>44424</v>
      </c>
      <c r="E2134" s="10" t="n">
        <v>-21190.16</v>
      </c>
      <c r="F2134" s="8" t="s">
        <v>34</v>
      </c>
      <c r="G2134" s="8" t="s">
        <v>12</v>
      </c>
      <c r="H2134" s="11" t="s">
        <v>13</v>
      </c>
      <c r="I2134" s="8" t="s">
        <v>26</v>
      </c>
    </row>
    <row r="2135" customFormat="false" ht="14.25" hidden="false" customHeight="false" outlineLevel="0" collapsed="false">
      <c r="A2135" s="8" t="n">
        <v>2134</v>
      </c>
      <c r="B2135" s="8" t="s">
        <v>15</v>
      </c>
      <c r="C2135" s="8" t="s">
        <v>16</v>
      </c>
      <c r="D2135" s="9" t="n">
        <v>44424</v>
      </c>
      <c r="E2135" s="10" t="n">
        <v>-4711.42</v>
      </c>
      <c r="F2135" s="8" t="s">
        <v>34</v>
      </c>
      <c r="G2135" s="8" t="s">
        <v>12</v>
      </c>
      <c r="H2135" s="11" t="s">
        <v>13</v>
      </c>
      <c r="I2135" s="8" t="s">
        <v>19</v>
      </c>
    </row>
    <row r="2136" customFormat="false" ht="14.25" hidden="false" customHeight="false" outlineLevel="0" collapsed="false">
      <c r="A2136" s="8" t="n">
        <v>2135</v>
      </c>
      <c r="B2136" s="8" t="s">
        <v>245</v>
      </c>
      <c r="C2136" s="8" t="s">
        <v>10</v>
      </c>
      <c r="D2136" s="9" t="n">
        <v>44425</v>
      </c>
      <c r="E2136" s="10" t="n">
        <v>-22255.66</v>
      </c>
      <c r="F2136" s="8" t="s">
        <v>34</v>
      </c>
      <c r="G2136" s="8" t="s">
        <v>12</v>
      </c>
      <c r="H2136" s="11" t="s">
        <v>13</v>
      </c>
      <c r="I2136" s="8" t="s">
        <v>14</v>
      </c>
    </row>
    <row r="2137" customFormat="false" ht="14.25" hidden="false" customHeight="false" outlineLevel="0" collapsed="false">
      <c r="A2137" s="8" t="n">
        <v>2136</v>
      </c>
      <c r="B2137" s="8" t="s">
        <v>245</v>
      </c>
      <c r="C2137" s="8" t="s">
        <v>16</v>
      </c>
      <c r="D2137" s="9" t="n">
        <v>44425</v>
      </c>
      <c r="E2137" s="10" t="n">
        <v>-16841.37</v>
      </c>
      <c r="F2137" s="8" t="s">
        <v>34</v>
      </c>
      <c r="G2137" s="8" t="s">
        <v>17</v>
      </c>
      <c r="H2137" s="11" t="s">
        <v>18</v>
      </c>
      <c r="I2137" s="8" t="s">
        <v>26</v>
      </c>
    </row>
    <row r="2138" customFormat="false" ht="14.25" hidden="false" customHeight="false" outlineLevel="0" collapsed="false">
      <c r="A2138" s="8" t="n">
        <v>2137</v>
      </c>
      <c r="B2138" s="8" t="s">
        <v>50</v>
      </c>
      <c r="C2138" s="8" t="s">
        <v>21</v>
      </c>
      <c r="D2138" s="9" t="n">
        <v>44425</v>
      </c>
      <c r="E2138" s="10" t="n">
        <v>-4217.57</v>
      </c>
      <c r="F2138" s="8" t="s">
        <v>34</v>
      </c>
      <c r="G2138" s="8" t="s">
        <v>17</v>
      </c>
      <c r="H2138" s="11" t="s">
        <v>18</v>
      </c>
      <c r="I2138" s="8" t="s">
        <v>26</v>
      </c>
    </row>
    <row r="2139" customFormat="false" ht="14.25" hidden="false" customHeight="false" outlineLevel="0" collapsed="false">
      <c r="A2139" s="8" t="n">
        <v>2138</v>
      </c>
      <c r="B2139" s="8" t="s">
        <v>246</v>
      </c>
      <c r="C2139" s="8" t="s">
        <v>10</v>
      </c>
      <c r="D2139" s="9" t="n">
        <v>44425</v>
      </c>
      <c r="E2139" s="10" t="n">
        <v>-6052.9</v>
      </c>
      <c r="F2139" s="8" t="s">
        <v>34</v>
      </c>
      <c r="G2139" s="8" t="s">
        <v>17</v>
      </c>
      <c r="H2139" s="11" t="s">
        <v>18</v>
      </c>
      <c r="I2139" s="8" t="s">
        <v>14</v>
      </c>
    </row>
    <row r="2140" customFormat="false" ht="14.25" hidden="false" customHeight="false" outlineLevel="0" collapsed="false">
      <c r="A2140" s="8" t="n">
        <v>2139</v>
      </c>
      <c r="B2140" s="8" t="s">
        <v>227</v>
      </c>
      <c r="C2140" s="8" t="s">
        <v>10</v>
      </c>
      <c r="D2140" s="9" t="n">
        <v>44425</v>
      </c>
      <c r="E2140" s="10" t="n">
        <v>-2131.43</v>
      </c>
      <c r="F2140" s="8" t="s">
        <v>34</v>
      </c>
      <c r="G2140" s="8" t="s">
        <v>22</v>
      </c>
      <c r="H2140" s="11" t="s">
        <v>23</v>
      </c>
      <c r="I2140" s="8" t="s">
        <v>14</v>
      </c>
    </row>
    <row r="2141" customFormat="false" ht="14.25" hidden="false" customHeight="false" outlineLevel="0" collapsed="false">
      <c r="A2141" s="8" t="n">
        <v>2140</v>
      </c>
      <c r="B2141" s="8" t="s">
        <v>228</v>
      </c>
      <c r="C2141" s="8" t="s">
        <v>21</v>
      </c>
      <c r="D2141" s="9" t="n">
        <v>44425</v>
      </c>
      <c r="E2141" s="10" t="n">
        <v>-6872.39</v>
      </c>
      <c r="F2141" s="8" t="s">
        <v>34</v>
      </c>
      <c r="G2141" s="8" t="s">
        <v>12</v>
      </c>
      <c r="H2141" s="11" t="s">
        <v>13</v>
      </c>
      <c r="I2141" s="8" t="s">
        <v>14</v>
      </c>
    </row>
    <row r="2142" customFormat="false" ht="14.25" hidden="false" customHeight="false" outlineLevel="0" collapsed="false">
      <c r="A2142" s="8" t="n">
        <v>2141</v>
      </c>
      <c r="B2142" s="8" t="s">
        <v>229</v>
      </c>
      <c r="C2142" s="8" t="s">
        <v>21</v>
      </c>
      <c r="D2142" s="9" t="n">
        <v>44425</v>
      </c>
      <c r="E2142" s="10" t="n">
        <v>141063.96</v>
      </c>
      <c r="F2142" s="8" t="s">
        <v>11</v>
      </c>
      <c r="G2142" s="8" t="s">
        <v>12</v>
      </c>
      <c r="H2142" s="11" t="s">
        <v>13</v>
      </c>
      <c r="I2142" s="8" t="s">
        <v>14</v>
      </c>
    </row>
    <row r="2143" customFormat="false" ht="14.25" hidden="false" customHeight="false" outlineLevel="0" collapsed="false">
      <c r="A2143" s="8" t="n">
        <v>2142</v>
      </c>
      <c r="B2143" s="8" t="s">
        <v>229</v>
      </c>
      <c r="C2143" s="8" t="s">
        <v>28</v>
      </c>
      <c r="D2143" s="9" t="n">
        <v>44425</v>
      </c>
      <c r="E2143" s="10" t="n">
        <v>179343.19</v>
      </c>
      <c r="F2143" s="8" t="s">
        <v>11</v>
      </c>
      <c r="G2143" s="8" t="s">
        <v>22</v>
      </c>
      <c r="H2143" s="11" t="s">
        <v>23</v>
      </c>
      <c r="I2143" s="8" t="s">
        <v>19</v>
      </c>
    </row>
    <row r="2144" customFormat="false" ht="14.25" hidden="false" customHeight="false" outlineLevel="0" collapsed="false">
      <c r="A2144" s="8" t="n">
        <v>2143</v>
      </c>
      <c r="B2144" s="8" t="s">
        <v>230</v>
      </c>
      <c r="C2144" s="8" t="s">
        <v>28</v>
      </c>
      <c r="D2144" s="9" t="n">
        <v>44425</v>
      </c>
      <c r="E2144" s="10" t="n">
        <v>744.11</v>
      </c>
      <c r="F2144" s="8" t="s">
        <v>11</v>
      </c>
      <c r="G2144" s="8" t="s">
        <v>36</v>
      </c>
      <c r="H2144" s="11" t="s">
        <v>37</v>
      </c>
      <c r="I2144" s="8" t="s">
        <v>26</v>
      </c>
    </row>
    <row r="2145" customFormat="false" ht="14.25" hidden="false" customHeight="false" outlineLevel="0" collapsed="false">
      <c r="A2145" s="8" t="n">
        <v>2144</v>
      </c>
      <c r="B2145" s="8" t="s">
        <v>223</v>
      </c>
      <c r="C2145" s="8" t="s">
        <v>28</v>
      </c>
      <c r="D2145" s="9" t="n">
        <v>44425</v>
      </c>
      <c r="E2145" s="10" t="n">
        <v>-6865.78</v>
      </c>
      <c r="F2145" s="8" t="s">
        <v>34</v>
      </c>
      <c r="G2145" s="8" t="s">
        <v>17</v>
      </c>
      <c r="H2145" s="11" t="s">
        <v>18</v>
      </c>
      <c r="I2145" s="8" t="s">
        <v>24</v>
      </c>
    </row>
    <row r="2146" customFormat="false" ht="14.25" hidden="false" customHeight="false" outlineLevel="0" collapsed="false">
      <c r="A2146" s="8" t="n">
        <v>2145</v>
      </c>
      <c r="B2146" s="8" t="s">
        <v>233</v>
      </c>
      <c r="C2146" s="8" t="s">
        <v>21</v>
      </c>
      <c r="D2146" s="9" t="n">
        <v>44425</v>
      </c>
      <c r="E2146" s="10" t="n">
        <v>-3077.66</v>
      </c>
      <c r="F2146" s="8" t="s">
        <v>34</v>
      </c>
      <c r="G2146" s="8" t="s">
        <v>36</v>
      </c>
      <c r="H2146" s="11" t="s">
        <v>37</v>
      </c>
      <c r="I2146" s="8" t="s">
        <v>26</v>
      </c>
    </row>
    <row r="2147" customFormat="false" ht="14.25" hidden="false" customHeight="false" outlineLevel="0" collapsed="false">
      <c r="A2147" s="8" t="n">
        <v>2146</v>
      </c>
      <c r="B2147" s="8" t="s">
        <v>231</v>
      </c>
      <c r="C2147" s="8" t="s">
        <v>16</v>
      </c>
      <c r="D2147" s="9" t="n">
        <v>44425</v>
      </c>
      <c r="E2147" s="10" t="n">
        <v>-22648.78</v>
      </c>
      <c r="F2147" s="8" t="s">
        <v>34</v>
      </c>
      <c r="G2147" s="8" t="s">
        <v>22</v>
      </c>
      <c r="H2147" s="11" t="s">
        <v>23</v>
      </c>
      <c r="I2147" s="8" t="s">
        <v>26</v>
      </c>
    </row>
    <row r="2148" customFormat="false" ht="14.25" hidden="false" customHeight="false" outlineLevel="0" collapsed="false">
      <c r="A2148" s="8" t="n">
        <v>2147</v>
      </c>
      <c r="B2148" s="8" t="s">
        <v>225</v>
      </c>
      <c r="C2148" s="8" t="s">
        <v>28</v>
      </c>
      <c r="D2148" s="9" t="n">
        <v>44425</v>
      </c>
      <c r="E2148" s="10" t="n">
        <v>-1627.47</v>
      </c>
      <c r="F2148" s="8" t="s">
        <v>34</v>
      </c>
      <c r="G2148" s="8" t="s">
        <v>22</v>
      </c>
      <c r="H2148" s="11" t="s">
        <v>23</v>
      </c>
      <c r="I2148" s="8" t="s">
        <v>26</v>
      </c>
    </row>
    <row r="2149" customFormat="false" ht="14.25" hidden="false" customHeight="false" outlineLevel="0" collapsed="false">
      <c r="A2149" s="8" t="n">
        <v>2148</v>
      </c>
      <c r="B2149" s="8" t="s">
        <v>226</v>
      </c>
      <c r="C2149" s="8" t="s">
        <v>28</v>
      </c>
      <c r="D2149" s="9" t="n">
        <v>44425</v>
      </c>
      <c r="E2149" s="10" t="n">
        <v>-32501</v>
      </c>
      <c r="F2149" s="8" t="s">
        <v>34</v>
      </c>
      <c r="G2149" s="8" t="s">
        <v>36</v>
      </c>
      <c r="H2149" s="11" t="s">
        <v>37</v>
      </c>
      <c r="I2149" s="8" t="s">
        <v>14</v>
      </c>
    </row>
    <row r="2150" customFormat="false" ht="14.25" hidden="false" customHeight="false" outlineLevel="0" collapsed="false">
      <c r="A2150" s="8" t="n">
        <v>2149</v>
      </c>
      <c r="B2150" s="8" t="s">
        <v>153</v>
      </c>
      <c r="C2150" s="8" t="s">
        <v>28</v>
      </c>
      <c r="D2150" s="9" t="n">
        <v>44428</v>
      </c>
      <c r="E2150" s="10" t="n">
        <v>-50829.66</v>
      </c>
      <c r="F2150" s="8" t="s">
        <v>34</v>
      </c>
      <c r="G2150" s="8" t="s">
        <v>17</v>
      </c>
      <c r="H2150" s="11" t="s">
        <v>18</v>
      </c>
      <c r="I2150" s="8" t="s">
        <v>14</v>
      </c>
    </row>
    <row r="2151" customFormat="false" ht="14.25" hidden="false" customHeight="false" outlineLevel="0" collapsed="false">
      <c r="A2151" s="8" t="n">
        <v>2150</v>
      </c>
      <c r="B2151" s="8" t="s">
        <v>176</v>
      </c>
      <c r="C2151" s="8" t="s">
        <v>28</v>
      </c>
      <c r="D2151" s="9" t="n">
        <v>44428</v>
      </c>
      <c r="E2151" s="10" t="n">
        <v>-9770.81</v>
      </c>
      <c r="F2151" s="8" t="s">
        <v>34</v>
      </c>
      <c r="G2151" s="8" t="s">
        <v>22</v>
      </c>
      <c r="H2151" s="11" t="s">
        <v>23</v>
      </c>
      <c r="I2151" s="8" t="s">
        <v>19</v>
      </c>
    </row>
    <row r="2152" customFormat="false" ht="14.25" hidden="false" customHeight="false" outlineLevel="0" collapsed="false">
      <c r="A2152" s="8" t="n">
        <v>2151</v>
      </c>
      <c r="B2152" s="8" t="s">
        <v>172</v>
      </c>
      <c r="C2152" s="8" t="s">
        <v>21</v>
      </c>
      <c r="D2152" s="9" t="n">
        <v>44428</v>
      </c>
      <c r="E2152" s="10" t="n">
        <v>-8711.01</v>
      </c>
      <c r="F2152" s="8" t="s">
        <v>34</v>
      </c>
      <c r="G2152" s="8" t="s">
        <v>12</v>
      </c>
      <c r="H2152" s="11" t="s">
        <v>13</v>
      </c>
      <c r="I2152" s="8" t="s">
        <v>19</v>
      </c>
    </row>
    <row r="2153" customFormat="false" ht="14.25" hidden="false" customHeight="false" outlineLevel="0" collapsed="false">
      <c r="A2153" s="8" t="n">
        <v>2152</v>
      </c>
      <c r="B2153" s="8" t="s">
        <v>85</v>
      </c>
      <c r="C2153" s="8" t="s">
        <v>21</v>
      </c>
      <c r="D2153" s="9" t="n">
        <v>44428</v>
      </c>
      <c r="E2153" s="10" t="n">
        <v>-2249</v>
      </c>
      <c r="F2153" s="8" t="s">
        <v>34</v>
      </c>
      <c r="G2153" s="8" t="s">
        <v>12</v>
      </c>
      <c r="H2153" s="11" t="s">
        <v>13</v>
      </c>
      <c r="I2153" s="8" t="s">
        <v>19</v>
      </c>
    </row>
    <row r="2154" customFormat="false" ht="14.25" hidden="false" customHeight="false" outlineLevel="0" collapsed="false">
      <c r="A2154" s="8" t="n">
        <v>2153</v>
      </c>
      <c r="B2154" s="8" t="s">
        <v>40</v>
      </c>
      <c r="C2154" s="8" t="s">
        <v>28</v>
      </c>
      <c r="D2154" s="9" t="n">
        <v>44428</v>
      </c>
      <c r="E2154" s="10" t="n">
        <v>-4412.94</v>
      </c>
      <c r="F2154" s="8" t="s">
        <v>34</v>
      </c>
      <c r="G2154" s="8" t="s">
        <v>36</v>
      </c>
      <c r="H2154" s="11" t="s">
        <v>37</v>
      </c>
      <c r="I2154" s="8" t="s">
        <v>14</v>
      </c>
    </row>
    <row r="2155" customFormat="false" ht="14.25" hidden="false" customHeight="false" outlineLevel="0" collapsed="false">
      <c r="A2155" s="8" t="n">
        <v>2154</v>
      </c>
      <c r="B2155" s="8" t="s">
        <v>15</v>
      </c>
      <c r="C2155" s="8" t="s">
        <v>28</v>
      </c>
      <c r="D2155" s="9" t="n">
        <v>44428</v>
      </c>
      <c r="E2155" s="10" t="n">
        <v>-14836.64</v>
      </c>
      <c r="F2155" s="8" t="s">
        <v>34</v>
      </c>
      <c r="G2155" s="8" t="s">
        <v>17</v>
      </c>
      <c r="H2155" s="11" t="s">
        <v>18</v>
      </c>
      <c r="I2155" s="8" t="s">
        <v>19</v>
      </c>
    </row>
    <row r="2156" customFormat="false" ht="14.25" hidden="false" customHeight="false" outlineLevel="0" collapsed="false">
      <c r="A2156" s="8" t="n">
        <v>2155</v>
      </c>
      <c r="B2156" s="8" t="s">
        <v>15</v>
      </c>
      <c r="C2156" s="8" t="s">
        <v>10</v>
      </c>
      <c r="D2156" s="9" t="n">
        <v>44428</v>
      </c>
      <c r="E2156" s="10" t="n">
        <v>-781.24</v>
      </c>
      <c r="F2156" s="8" t="s">
        <v>34</v>
      </c>
      <c r="G2156" s="8" t="s">
        <v>17</v>
      </c>
      <c r="H2156" s="11" t="s">
        <v>18</v>
      </c>
      <c r="I2156" s="8" t="s">
        <v>19</v>
      </c>
    </row>
    <row r="2157" customFormat="false" ht="14.25" hidden="false" customHeight="false" outlineLevel="0" collapsed="false">
      <c r="A2157" s="8" t="n">
        <v>2156</v>
      </c>
      <c r="B2157" s="8" t="s">
        <v>15</v>
      </c>
      <c r="C2157" s="8" t="s">
        <v>21</v>
      </c>
      <c r="D2157" s="9" t="n">
        <v>44428</v>
      </c>
      <c r="E2157" s="10" t="n">
        <v>-521179.89</v>
      </c>
      <c r="F2157" s="8" t="s">
        <v>34</v>
      </c>
      <c r="G2157" s="8" t="s">
        <v>36</v>
      </c>
      <c r="H2157" s="11" t="s">
        <v>37</v>
      </c>
      <c r="I2157" s="8" t="s">
        <v>14</v>
      </c>
    </row>
    <row r="2158" customFormat="false" ht="14.25" hidden="false" customHeight="false" outlineLevel="0" collapsed="false">
      <c r="A2158" s="8" t="n">
        <v>2157</v>
      </c>
      <c r="B2158" s="8" t="s">
        <v>173</v>
      </c>
      <c r="C2158" s="8" t="s">
        <v>10</v>
      </c>
      <c r="D2158" s="9" t="n">
        <v>44429</v>
      </c>
      <c r="E2158" s="10" t="n">
        <v>-978.99</v>
      </c>
      <c r="F2158" s="8" t="s">
        <v>34</v>
      </c>
      <c r="G2158" s="8" t="s">
        <v>22</v>
      </c>
      <c r="H2158" s="11" t="s">
        <v>23</v>
      </c>
      <c r="I2158" s="8" t="s">
        <v>26</v>
      </c>
    </row>
    <row r="2159" customFormat="false" ht="14.25" hidden="false" customHeight="false" outlineLevel="0" collapsed="false">
      <c r="A2159" s="8" t="n">
        <v>2158</v>
      </c>
      <c r="B2159" s="8" t="s">
        <v>209</v>
      </c>
      <c r="C2159" s="8" t="s">
        <v>16</v>
      </c>
      <c r="D2159" s="9" t="n">
        <v>44429</v>
      </c>
      <c r="E2159" s="10" t="n">
        <v>-43794.8</v>
      </c>
      <c r="F2159" s="8" t="s">
        <v>34</v>
      </c>
      <c r="G2159" s="8" t="s">
        <v>12</v>
      </c>
      <c r="H2159" s="11" t="s">
        <v>13</v>
      </c>
      <c r="I2159" s="8" t="s">
        <v>14</v>
      </c>
    </row>
    <row r="2160" customFormat="false" ht="14.25" hidden="false" customHeight="false" outlineLevel="0" collapsed="false">
      <c r="A2160" s="8" t="n">
        <v>2159</v>
      </c>
      <c r="B2160" s="8" t="s">
        <v>224</v>
      </c>
      <c r="C2160" s="8" t="s">
        <v>21</v>
      </c>
      <c r="D2160" s="9" t="n">
        <v>44429</v>
      </c>
      <c r="E2160" s="10" t="n">
        <v>-36172.36</v>
      </c>
      <c r="F2160" s="8" t="s">
        <v>34</v>
      </c>
      <c r="G2160" s="8" t="s">
        <v>12</v>
      </c>
      <c r="H2160" s="11" t="s">
        <v>13</v>
      </c>
      <c r="I2160" s="8" t="s">
        <v>24</v>
      </c>
    </row>
    <row r="2161" customFormat="false" ht="14.25" hidden="false" customHeight="false" outlineLevel="0" collapsed="false">
      <c r="A2161" s="8" t="n">
        <v>2160</v>
      </c>
      <c r="B2161" s="8" t="s">
        <v>61</v>
      </c>
      <c r="C2161" s="8" t="s">
        <v>16</v>
      </c>
      <c r="D2161" s="9" t="n">
        <v>44429</v>
      </c>
      <c r="E2161" s="10" t="n">
        <v>-23386.48</v>
      </c>
      <c r="F2161" s="8" t="s">
        <v>34</v>
      </c>
      <c r="G2161" s="8" t="s">
        <v>12</v>
      </c>
      <c r="H2161" s="11" t="s">
        <v>13</v>
      </c>
      <c r="I2161" s="8" t="s">
        <v>26</v>
      </c>
    </row>
    <row r="2162" customFormat="false" ht="14.25" hidden="false" customHeight="false" outlineLevel="0" collapsed="false">
      <c r="A2162" s="8" t="n">
        <v>2161</v>
      </c>
      <c r="B2162" s="8" t="s">
        <v>62</v>
      </c>
      <c r="C2162" s="8" t="s">
        <v>16</v>
      </c>
      <c r="D2162" s="9" t="n">
        <v>44429</v>
      </c>
      <c r="E2162" s="10" t="n">
        <v>157047.46</v>
      </c>
      <c r="F2162" s="8" t="s">
        <v>11</v>
      </c>
      <c r="G2162" s="8" t="s">
        <v>17</v>
      </c>
      <c r="H2162" s="11" t="s">
        <v>18</v>
      </c>
      <c r="I2162" s="8" t="s">
        <v>14</v>
      </c>
    </row>
    <row r="2163" customFormat="false" ht="14.25" hidden="false" customHeight="false" outlineLevel="0" collapsed="false">
      <c r="A2163" s="8" t="n">
        <v>2162</v>
      </c>
      <c r="B2163" s="8" t="s">
        <v>33</v>
      </c>
      <c r="C2163" s="8" t="s">
        <v>16</v>
      </c>
      <c r="D2163" s="9" t="n">
        <v>44429</v>
      </c>
      <c r="E2163" s="10" t="n">
        <v>-1892.14</v>
      </c>
      <c r="F2163" s="8" t="s">
        <v>34</v>
      </c>
      <c r="G2163" s="8" t="s">
        <v>12</v>
      </c>
      <c r="H2163" s="11" t="s">
        <v>13</v>
      </c>
      <c r="I2163" s="8" t="s">
        <v>14</v>
      </c>
    </row>
    <row r="2164" customFormat="false" ht="14.25" hidden="false" customHeight="false" outlineLevel="0" collapsed="false">
      <c r="A2164" s="8" t="n">
        <v>2163</v>
      </c>
      <c r="B2164" s="8" t="s">
        <v>61</v>
      </c>
      <c r="C2164" s="8" t="s">
        <v>10</v>
      </c>
      <c r="D2164" s="9" t="n">
        <v>44429</v>
      </c>
      <c r="E2164" s="10" t="n">
        <v>-691.15</v>
      </c>
      <c r="F2164" s="8" t="s">
        <v>34</v>
      </c>
      <c r="G2164" s="8" t="s">
        <v>17</v>
      </c>
      <c r="H2164" s="11" t="s">
        <v>18</v>
      </c>
      <c r="I2164" s="8" t="s">
        <v>24</v>
      </c>
    </row>
    <row r="2165" customFormat="false" ht="14.25" hidden="false" customHeight="false" outlineLevel="0" collapsed="false">
      <c r="A2165" s="8" t="n">
        <v>2164</v>
      </c>
      <c r="B2165" s="8" t="s">
        <v>62</v>
      </c>
      <c r="C2165" s="8" t="s">
        <v>10</v>
      </c>
      <c r="D2165" s="9" t="n">
        <v>44429</v>
      </c>
      <c r="E2165" s="10" t="n">
        <v>72778.3</v>
      </c>
      <c r="F2165" s="8" t="s">
        <v>11</v>
      </c>
      <c r="G2165" s="8" t="s">
        <v>17</v>
      </c>
      <c r="H2165" s="11" t="s">
        <v>18</v>
      </c>
      <c r="I2165" s="8" t="s">
        <v>19</v>
      </c>
    </row>
    <row r="2166" customFormat="false" ht="14.25" hidden="false" customHeight="false" outlineLevel="0" collapsed="false">
      <c r="A2166" s="8" t="n">
        <v>2165</v>
      </c>
      <c r="B2166" s="8" t="s">
        <v>33</v>
      </c>
      <c r="C2166" s="8" t="s">
        <v>21</v>
      </c>
      <c r="D2166" s="9" t="n">
        <v>44429</v>
      </c>
      <c r="E2166" s="10" t="n">
        <v>3485</v>
      </c>
      <c r="F2166" s="8" t="s">
        <v>11</v>
      </c>
      <c r="G2166" s="8" t="s">
        <v>36</v>
      </c>
      <c r="H2166" s="11" t="s">
        <v>37</v>
      </c>
      <c r="I2166" s="8" t="s">
        <v>24</v>
      </c>
    </row>
    <row r="2167" customFormat="false" ht="14.25" hidden="false" customHeight="false" outlineLevel="0" collapsed="false">
      <c r="A2167" s="8" t="n">
        <v>2166</v>
      </c>
      <c r="B2167" s="8" t="s">
        <v>61</v>
      </c>
      <c r="C2167" s="8" t="s">
        <v>10</v>
      </c>
      <c r="D2167" s="9" t="n">
        <v>44429</v>
      </c>
      <c r="E2167" s="10" t="n">
        <v>3485</v>
      </c>
      <c r="F2167" s="8" t="s">
        <v>11</v>
      </c>
      <c r="G2167" s="8" t="s">
        <v>17</v>
      </c>
      <c r="H2167" s="11" t="s">
        <v>18</v>
      </c>
      <c r="I2167" s="8" t="s">
        <v>26</v>
      </c>
    </row>
    <row r="2168" customFormat="false" ht="14.25" hidden="false" customHeight="false" outlineLevel="0" collapsed="false">
      <c r="A2168" s="8" t="n">
        <v>2167</v>
      </c>
      <c r="B2168" s="8" t="s">
        <v>62</v>
      </c>
      <c r="C2168" s="8" t="s">
        <v>21</v>
      </c>
      <c r="D2168" s="9" t="n">
        <v>44429</v>
      </c>
      <c r="E2168" s="10" t="n">
        <v>148192.91</v>
      </c>
      <c r="F2168" s="8" t="s">
        <v>11</v>
      </c>
      <c r="G2168" s="8" t="s">
        <v>17</v>
      </c>
      <c r="H2168" s="11" t="s">
        <v>18</v>
      </c>
      <c r="I2168" s="8" t="s">
        <v>14</v>
      </c>
    </row>
    <row r="2169" customFormat="false" ht="14.25" hidden="false" customHeight="false" outlineLevel="0" collapsed="false">
      <c r="A2169" s="8" t="n">
        <v>2168</v>
      </c>
      <c r="B2169" s="8" t="s">
        <v>33</v>
      </c>
      <c r="C2169" s="8" t="s">
        <v>16</v>
      </c>
      <c r="D2169" s="9" t="n">
        <v>44429</v>
      </c>
      <c r="E2169" s="10" t="n">
        <v>-5502.04</v>
      </c>
      <c r="F2169" s="8" t="s">
        <v>34</v>
      </c>
      <c r="G2169" s="8" t="s">
        <v>12</v>
      </c>
      <c r="H2169" s="11" t="s">
        <v>13</v>
      </c>
      <c r="I2169" s="8" t="s">
        <v>14</v>
      </c>
    </row>
    <row r="2170" customFormat="false" ht="14.25" hidden="false" customHeight="false" outlineLevel="0" collapsed="false">
      <c r="A2170" s="8" t="n">
        <v>2169</v>
      </c>
      <c r="B2170" s="8" t="s">
        <v>61</v>
      </c>
      <c r="C2170" s="8" t="s">
        <v>28</v>
      </c>
      <c r="D2170" s="9" t="n">
        <v>44429</v>
      </c>
      <c r="E2170" s="10" t="n">
        <v>-36773.14</v>
      </c>
      <c r="F2170" s="8" t="s">
        <v>34</v>
      </c>
      <c r="G2170" s="8" t="s">
        <v>17</v>
      </c>
      <c r="H2170" s="11" t="s">
        <v>18</v>
      </c>
      <c r="I2170" s="8" t="s">
        <v>26</v>
      </c>
    </row>
    <row r="2171" customFormat="false" ht="14.25" hidden="false" customHeight="false" outlineLevel="0" collapsed="false">
      <c r="A2171" s="8" t="n">
        <v>2170</v>
      </c>
      <c r="B2171" s="8" t="s">
        <v>62</v>
      </c>
      <c r="C2171" s="8" t="s">
        <v>10</v>
      </c>
      <c r="D2171" s="9" t="n">
        <v>44429</v>
      </c>
      <c r="E2171" s="10" t="n">
        <v>-226.52</v>
      </c>
      <c r="F2171" s="8" t="s">
        <v>34</v>
      </c>
      <c r="G2171" s="8" t="s">
        <v>12</v>
      </c>
      <c r="H2171" s="11" t="s">
        <v>13</v>
      </c>
      <c r="I2171" s="8" t="s">
        <v>14</v>
      </c>
    </row>
    <row r="2172" customFormat="false" ht="14.25" hidden="false" customHeight="false" outlineLevel="0" collapsed="false">
      <c r="A2172" s="8" t="n">
        <v>2171</v>
      </c>
      <c r="B2172" s="8" t="s">
        <v>33</v>
      </c>
      <c r="C2172" s="8" t="s">
        <v>10</v>
      </c>
      <c r="D2172" s="9" t="n">
        <v>44429</v>
      </c>
      <c r="E2172" s="10" t="n">
        <v>-7422.03</v>
      </c>
      <c r="F2172" s="8" t="s">
        <v>34</v>
      </c>
      <c r="G2172" s="8" t="s">
        <v>17</v>
      </c>
      <c r="H2172" s="11" t="s">
        <v>18</v>
      </c>
      <c r="I2172" s="8" t="s">
        <v>24</v>
      </c>
    </row>
    <row r="2173" customFormat="false" ht="14.25" hidden="false" customHeight="false" outlineLevel="0" collapsed="false">
      <c r="A2173" s="8" t="n">
        <v>2172</v>
      </c>
      <c r="B2173" s="8" t="s">
        <v>33</v>
      </c>
      <c r="C2173" s="8" t="s">
        <v>16</v>
      </c>
      <c r="D2173" s="9" t="n">
        <v>44429</v>
      </c>
      <c r="E2173" s="10" t="n">
        <v>-7271.08</v>
      </c>
      <c r="F2173" s="8" t="s">
        <v>34</v>
      </c>
      <c r="G2173" s="8" t="s">
        <v>36</v>
      </c>
      <c r="H2173" s="11" t="s">
        <v>37</v>
      </c>
      <c r="I2173" s="8" t="s">
        <v>26</v>
      </c>
    </row>
    <row r="2174" customFormat="false" ht="14.25" hidden="false" customHeight="false" outlineLevel="0" collapsed="false">
      <c r="A2174" s="8" t="n">
        <v>2173</v>
      </c>
      <c r="B2174" s="8" t="s">
        <v>33</v>
      </c>
      <c r="C2174" s="8" t="s">
        <v>28</v>
      </c>
      <c r="D2174" s="9" t="n">
        <v>44429</v>
      </c>
      <c r="E2174" s="10" t="n">
        <v>-1059</v>
      </c>
      <c r="F2174" s="8" t="s">
        <v>34</v>
      </c>
      <c r="G2174" s="8" t="s">
        <v>12</v>
      </c>
      <c r="H2174" s="11" t="s">
        <v>13</v>
      </c>
      <c r="I2174" s="8" t="s">
        <v>19</v>
      </c>
    </row>
    <row r="2175" customFormat="false" ht="14.25" hidden="false" customHeight="false" outlineLevel="0" collapsed="false">
      <c r="A2175" s="8" t="n">
        <v>2174</v>
      </c>
      <c r="B2175" s="8" t="s">
        <v>33</v>
      </c>
      <c r="C2175" s="8" t="s">
        <v>16</v>
      </c>
      <c r="D2175" s="9" t="n">
        <v>44429</v>
      </c>
      <c r="E2175" s="10" t="n">
        <v>139720.52</v>
      </c>
      <c r="F2175" s="8" t="s">
        <v>11</v>
      </c>
      <c r="G2175" s="8" t="s">
        <v>17</v>
      </c>
      <c r="H2175" s="11" t="s">
        <v>18</v>
      </c>
      <c r="I2175" s="8" t="s">
        <v>19</v>
      </c>
    </row>
    <row r="2176" customFormat="false" ht="14.25" hidden="false" customHeight="false" outlineLevel="0" collapsed="false">
      <c r="A2176" s="8" t="n">
        <v>2175</v>
      </c>
      <c r="B2176" s="8" t="s">
        <v>33</v>
      </c>
      <c r="C2176" s="8" t="s">
        <v>10</v>
      </c>
      <c r="D2176" s="9" t="n">
        <v>44429</v>
      </c>
      <c r="E2176" s="10" t="n">
        <v>2096.66</v>
      </c>
      <c r="F2176" s="8" t="s">
        <v>11</v>
      </c>
      <c r="G2176" s="8" t="s">
        <v>30</v>
      </c>
      <c r="H2176" s="11" t="s">
        <v>31</v>
      </c>
      <c r="I2176" s="8" t="s">
        <v>19</v>
      </c>
    </row>
    <row r="2177" customFormat="false" ht="14.25" hidden="false" customHeight="false" outlineLevel="0" collapsed="false">
      <c r="A2177" s="8" t="n">
        <v>2176</v>
      </c>
      <c r="B2177" s="8" t="s">
        <v>33</v>
      </c>
      <c r="C2177" s="8" t="s">
        <v>10</v>
      </c>
      <c r="D2177" s="9" t="n">
        <v>44429</v>
      </c>
      <c r="E2177" s="10" t="n">
        <v>2096.66</v>
      </c>
      <c r="F2177" s="8" t="s">
        <v>11</v>
      </c>
      <c r="G2177" s="8" t="s">
        <v>12</v>
      </c>
      <c r="H2177" s="11" t="s">
        <v>13</v>
      </c>
      <c r="I2177" s="8" t="s">
        <v>26</v>
      </c>
    </row>
    <row r="2178" customFormat="false" ht="14.25" hidden="false" customHeight="false" outlineLevel="0" collapsed="false">
      <c r="A2178" s="8" t="n">
        <v>2177</v>
      </c>
      <c r="B2178" s="8" t="s">
        <v>149</v>
      </c>
      <c r="C2178" s="8" t="s">
        <v>10</v>
      </c>
      <c r="D2178" s="9" t="n">
        <v>44430</v>
      </c>
      <c r="E2178" s="10" t="n">
        <v>177207.58</v>
      </c>
      <c r="F2178" s="8" t="s">
        <v>11</v>
      </c>
      <c r="G2178" s="8" t="s">
        <v>12</v>
      </c>
      <c r="H2178" s="11" t="s">
        <v>13</v>
      </c>
      <c r="I2178" s="8" t="s">
        <v>14</v>
      </c>
    </row>
    <row r="2179" customFormat="false" ht="14.25" hidden="false" customHeight="false" outlineLevel="0" collapsed="false">
      <c r="A2179" s="8" t="n">
        <v>2178</v>
      </c>
      <c r="B2179" s="8" t="s">
        <v>86</v>
      </c>
      <c r="C2179" s="8" t="s">
        <v>21</v>
      </c>
      <c r="D2179" s="9" t="n">
        <v>44430</v>
      </c>
      <c r="E2179" s="10" t="n">
        <v>2096.66</v>
      </c>
      <c r="F2179" s="8" t="s">
        <v>11</v>
      </c>
      <c r="G2179" s="8" t="s">
        <v>12</v>
      </c>
      <c r="H2179" s="11" t="s">
        <v>13</v>
      </c>
      <c r="I2179" s="8" t="s">
        <v>26</v>
      </c>
    </row>
    <row r="2180" customFormat="false" ht="14.25" hidden="false" customHeight="false" outlineLevel="0" collapsed="false">
      <c r="A2180" s="8" t="n">
        <v>2179</v>
      </c>
      <c r="B2180" s="8" t="s">
        <v>15</v>
      </c>
      <c r="C2180" s="8" t="s">
        <v>28</v>
      </c>
      <c r="D2180" s="9" t="n">
        <v>44430</v>
      </c>
      <c r="E2180" s="10" t="n">
        <v>2096.66</v>
      </c>
      <c r="F2180" s="8" t="s">
        <v>11</v>
      </c>
      <c r="G2180" s="8" t="s">
        <v>12</v>
      </c>
      <c r="H2180" s="11" t="s">
        <v>13</v>
      </c>
      <c r="I2180" s="8" t="s">
        <v>14</v>
      </c>
    </row>
    <row r="2181" customFormat="false" ht="14.25" hidden="false" customHeight="false" outlineLevel="0" collapsed="false">
      <c r="A2181" s="8" t="n">
        <v>2180</v>
      </c>
      <c r="B2181" s="8" t="s">
        <v>39</v>
      </c>
      <c r="C2181" s="8" t="s">
        <v>10</v>
      </c>
      <c r="D2181" s="9" t="n">
        <v>44430</v>
      </c>
      <c r="E2181" s="10" t="n">
        <v>2096.66</v>
      </c>
      <c r="F2181" s="8" t="s">
        <v>11</v>
      </c>
      <c r="G2181" s="8" t="s">
        <v>12</v>
      </c>
      <c r="H2181" s="11" t="s">
        <v>13</v>
      </c>
      <c r="I2181" s="8" t="s">
        <v>14</v>
      </c>
    </row>
    <row r="2182" customFormat="false" ht="14.25" hidden="false" customHeight="false" outlineLevel="0" collapsed="false">
      <c r="A2182" s="8" t="n">
        <v>2181</v>
      </c>
      <c r="B2182" s="8" t="s">
        <v>180</v>
      </c>
      <c r="C2182" s="8" t="s">
        <v>21</v>
      </c>
      <c r="D2182" s="9" t="n">
        <v>44431</v>
      </c>
      <c r="E2182" s="10" t="n">
        <v>2096.66</v>
      </c>
      <c r="F2182" s="8" t="s">
        <v>11</v>
      </c>
      <c r="G2182" s="8" t="s">
        <v>12</v>
      </c>
      <c r="H2182" s="11" t="s">
        <v>13</v>
      </c>
      <c r="I2182" s="8" t="s">
        <v>24</v>
      </c>
    </row>
    <row r="2183" customFormat="false" ht="14.25" hidden="false" customHeight="false" outlineLevel="0" collapsed="false">
      <c r="A2183" s="8" t="n">
        <v>2182</v>
      </c>
      <c r="B2183" s="8" t="s">
        <v>39</v>
      </c>
      <c r="C2183" s="8" t="s">
        <v>21</v>
      </c>
      <c r="D2183" s="9" t="n">
        <v>44431</v>
      </c>
      <c r="E2183" s="10" t="n">
        <v>2096.66</v>
      </c>
      <c r="F2183" s="8" t="s">
        <v>11</v>
      </c>
      <c r="G2183" s="8" t="s">
        <v>17</v>
      </c>
      <c r="H2183" s="11" t="s">
        <v>18</v>
      </c>
      <c r="I2183" s="8" t="s">
        <v>19</v>
      </c>
    </row>
    <row r="2184" customFormat="false" ht="14.25" hidden="false" customHeight="false" outlineLevel="0" collapsed="false">
      <c r="A2184" s="8" t="n">
        <v>2183</v>
      </c>
      <c r="B2184" s="8" t="s">
        <v>39</v>
      </c>
      <c r="C2184" s="8" t="s">
        <v>21</v>
      </c>
      <c r="D2184" s="9" t="n">
        <v>44431</v>
      </c>
      <c r="E2184" s="10" t="n">
        <v>-3166.24</v>
      </c>
      <c r="F2184" s="8" t="s">
        <v>34</v>
      </c>
      <c r="G2184" s="8" t="s">
        <v>12</v>
      </c>
      <c r="H2184" s="11" t="s">
        <v>13</v>
      </c>
      <c r="I2184" s="8" t="s">
        <v>19</v>
      </c>
    </row>
    <row r="2185" customFormat="false" ht="14.25" hidden="false" customHeight="false" outlineLevel="0" collapsed="false">
      <c r="A2185" s="8" t="n">
        <v>2184</v>
      </c>
      <c r="B2185" s="8" t="s">
        <v>66</v>
      </c>
      <c r="C2185" s="8" t="s">
        <v>21</v>
      </c>
      <c r="D2185" s="9" t="n">
        <v>44433</v>
      </c>
      <c r="E2185" s="10" t="n">
        <v>136861.56</v>
      </c>
      <c r="F2185" s="8" t="s">
        <v>11</v>
      </c>
      <c r="G2185" s="8" t="s">
        <v>36</v>
      </c>
      <c r="H2185" s="11" t="s">
        <v>37</v>
      </c>
      <c r="I2185" s="8" t="s">
        <v>26</v>
      </c>
    </row>
    <row r="2186" customFormat="false" ht="14.25" hidden="false" customHeight="false" outlineLevel="0" collapsed="false">
      <c r="A2186" s="8" t="n">
        <v>2185</v>
      </c>
      <c r="B2186" s="8" t="s">
        <v>66</v>
      </c>
      <c r="C2186" s="8" t="s">
        <v>21</v>
      </c>
      <c r="D2186" s="9" t="n">
        <v>44433</v>
      </c>
      <c r="E2186" s="10" t="n">
        <v>-1313.8</v>
      </c>
      <c r="F2186" s="8" t="s">
        <v>34</v>
      </c>
      <c r="G2186" s="8" t="s">
        <v>22</v>
      </c>
      <c r="H2186" s="11" t="s">
        <v>23</v>
      </c>
      <c r="I2186" s="8" t="s">
        <v>26</v>
      </c>
    </row>
    <row r="2187" customFormat="false" ht="14.25" hidden="false" customHeight="false" outlineLevel="0" collapsed="false">
      <c r="A2187" s="8" t="n">
        <v>2186</v>
      </c>
      <c r="B2187" s="8" t="s">
        <v>66</v>
      </c>
      <c r="C2187" s="8" t="s">
        <v>28</v>
      </c>
      <c r="D2187" s="9" t="n">
        <v>44433</v>
      </c>
      <c r="E2187" s="10" t="n">
        <v>-504.39</v>
      </c>
      <c r="F2187" s="8" t="s">
        <v>34</v>
      </c>
      <c r="G2187" s="8" t="s">
        <v>17</v>
      </c>
      <c r="H2187" s="11" t="s">
        <v>18</v>
      </c>
      <c r="I2187" s="8" t="s">
        <v>24</v>
      </c>
    </row>
    <row r="2188" customFormat="false" ht="14.25" hidden="false" customHeight="false" outlineLevel="0" collapsed="false">
      <c r="A2188" s="8" t="n">
        <v>2187</v>
      </c>
      <c r="B2188" s="8" t="s">
        <v>66</v>
      </c>
      <c r="C2188" s="8" t="s">
        <v>28</v>
      </c>
      <c r="D2188" s="9" t="n">
        <v>44433</v>
      </c>
      <c r="E2188" s="10" t="n">
        <v>-8756.41</v>
      </c>
      <c r="F2188" s="8" t="s">
        <v>34</v>
      </c>
      <c r="G2188" s="8" t="s">
        <v>12</v>
      </c>
      <c r="H2188" s="11" t="s">
        <v>13</v>
      </c>
      <c r="I2188" s="8" t="s">
        <v>19</v>
      </c>
    </row>
    <row r="2189" customFormat="false" ht="14.25" hidden="false" customHeight="false" outlineLevel="0" collapsed="false">
      <c r="A2189" s="8" t="n">
        <v>2188</v>
      </c>
      <c r="B2189" s="8" t="s">
        <v>66</v>
      </c>
      <c r="C2189" s="8" t="s">
        <v>16</v>
      </c>
      <c r="D2189" s="9" t="n">
        <v>44433</v>
      </c>
      <c r="E2189" s="10" t="n">
        <v>205854.56</v>
      </c>
      <c r="F2189" s="8" t="s">
        <v>11</v>
      </c>
      <c r="G2189" s="8" t="s">
        <v>17</v>
      </c>
      <c r="H2189" s="11" t="s">
        <v>18</v>
      </c>
      <c r="I2189" s="8" t="s">
        <v>14</v>
      </c>
    </row>
    <row r="2190" customFormat="false" ht="14.25" hidden="false" customHeight="false" outlineLevel="0" collapsed="false">
      <c r="A2190" s="8" t="n">
        <v>2189</v>
      </c>
      <c r="B2190" s="8" t="s">
        <v>66</v>
      </c>
      <c r="C2190" s="8" t="s">
        <v>10</v>
      </c>
      <c r="D2190" s="9" t="n">
        <v>44433</v>
      </c>
      <c r="E2190" s="10" t="n">
        <v>120230.46</v>
      </c>
      <c r="F2190" s="8" t="s">
        <v>11</v>
      </c>
      <c r="G2190" s="8" t="s">
        <v>17</v>
      </c>
      <c r="H2190" s="11" t="s">
        <v>18</v>
      </c>
      <c r="I2190" s="8" t="s">
        <v>14</v>
      </c>
    </row>
    <row r="2191" customFormat="false" ht="14.25" hidden="false" customHeight="false" outlineLevel="0" collapsed="false">
      <c r="A2191" s="8" t="n">
        <v>2190</v>
      </c>
      <c r="B2191" s="8" t="s">
        <v>66</v>
      </c>
      <c r="C2191" s="8" t="s">
        <v>21</v>
      </c>
      <c r="D2191" s="9" t="n">
        <v>44433</v>
      </c>
      <c r="E2191" s="10" t="n">
        <v>-24697.4</v>
      </c>
      <c r="F2191" s="8" t="s">
        <v>34</v>
      </c>
      <c r="G2191" s="8" t="s">
        <v>12</v>
      </c>
      <c r="H2191" s="11" t="s">
        <v>13</v>
      </c>
      <c r="I2191" s="8" t="s">
        <v>14</v>
      </c>
    </row>
    <row r="2192" customFormat="false" ht="14.25" hidden="false" customHeight="false" outlineLevel="0" collapsed="false">
      <c r="A2192" s="8" t="n">
        <v>2191</v>
      </c>
      <c r="B2192" s="8" t="s">
        <v>66</v>
      </c>
      <c r="C2192" s="8" t="s">
        <v>16</v>
      </c>
      <c r="D2192" s="9" t="n">
        <v>44433</v>
      </c>
      <c r="E2192" s="10" t="n">
        <v>-14227.54</v>
      </c>
      <c r="F2192" s="8" t="s">
        <v>34</v>
      </c>
      <c r="G2192" s="8" t="s">
        <v>17</v>
      </c>
      <c r="H2192" s="11" t="s">
        <v>18</v>
      </c>
      <c r="I2192" s="8" t="s">
        <v>26</v>
      </c>
    </row>
    <row r="2193" customFormat="false" ht="14.25" hidden="false" customHeight="false" outlineLevel="0" collapsed="false">
      <c r="A2193" s="8" t="n">
        <v>2192</v>
      </c>
      <c r="B2193" s="8" t="s">
        <v>66</v>
      </c>
      <c r="C2193" s="8" t="s">
        <v>21</v>
      </c>
      <c r="D2193" s="9" t="n">
        <v>44433</v>
      </c>
      <c r="E2193" s="10" t="n">
        <v>-6360.59</v>
      </c>
      <c r="F2193" s="8" t="s">
        <v>34</v>
      </c>
      <c r="G2193" s="8" t="s">
        <v>12</v>
      </c>
      <c r="H2193" s="11" t="s">
        <v>13</v>
      </c>
      <c r="I2193" s="8" t="s">
        <v>14</v>
      </c>
    </row>
    <row r="2194" customFormat="false" ht="14.25" hidden="false" customHeight="false" outlineLevel="0" collapsed="false">
      <c r="A2194" s="8" t="n">
        <v>2193</v>
      </c>
      <c r="B2194" s="8" t="s">
        <v>66</v>
      </c>
      <c r="C2194" s="8" t="s">
        <v>21</v>
      </c>
      <c r="D2194" s="9" t="n">
        <v>44433</v>
      </c>
      <c r="E2194" s="10" t="n">
        <v>-8056.65</v>
      </c>
      <c r="F2194" s="8" t="s">
        <v>34</v>
      </c>
      <c r="G2194" s="8" t="s">
        <v>12</v>
      </c>
      <c r="H2194" s="11" t="s">
        <v>13</v>
      </c>
      <c r="I2194" s="8" t="s">
        <v>26</v>
      </c>
    </row>
    <row r="2195" customFormat="false" ht="14.25" hidden="false" customHeight="false" outlineLevel="0" collapsed="false">
      <c r="A2195" s="8" t="n">
        <v>2194</v>
      </c>
      <c r="B2195" s="8" t="s">
        <v>164</v>
      </c>
      <c r="C2195" s="8" t="s">
        <v>16</v>
      </c>
      <c r="D2195" s="9" t="n">
        <v>44435</v>
      </c>
      <c r="E2195" s="10" t="n">
        <v>-11134.97</v>
      </c>
      <c r="F2195" s="8" t="s">
        <v>34</v>
      </c>
      <c r="G2195" s="8" t="s">
        <v>17</v>
      </c>
      <c r="H2195" s="11" t="s">
        <v>18</v>
      </c>
      <c r="I2195" s="8" t="s">
        <v>26</v>
      </c>
    </row>
    <row r="2196" customFormat="false" ht="14.25" hidden="false" customHeight="false" outlineLevel="0" collapsed="false">
      <c r="A2196" s="8" t="n">
        <v>2195</v>
      </c>
      <c r="B2196" s="8" t="s">
        <v>50</v>
      </c>
      <c r="C2196" s="8" t="s">
        <v>21</v>
      </c>
      <c r="D2196" s="9" t="n">
        <v>44435</v>
      </c>
      <c r="E2196" s="10" t="n">
        <v>-12701.43</v>
      </c>
      <c r="F2196" s="8" t="s">
        <v>34</v>
      </c>
      <c r="G2196" s="8" t="s">
        <v>12</v>
      </c>
      <c r="H2196" s="11" t="s">
        <v>13</v>
      </c>
      <c r="I2196" s="8" t="s">
        <v>19</v>
      </c>
    </row>
    <row r="2197" customFormat="false" ht="14.25" hidden="false" customHeight="false" outlineLevel="0" collapsed="false">
      <c r="A2197" s="8" t="n">
        <v>2196</v>
      </c>
      <c r="B2197" s="8" t="s">
        <v>247</v>
      </c>
      <c r="C2197" s="8" t="s">
        <v>16</v>
      </c>
      <c r="D2197" s="9" t="n">
        <v>44435</v>
      </c>
      <c r="E2197" s="10" t="n">
        <v>149093.41</v>
      </c>
      <c r="F2197" s="8" t="s">
        <v>11</v>
      </c>
      <c r="G2197" s="8" t="s">
        <v>12</v>
      </c>
      <c r="H2197" s="11" t="s">
        <v>13</v>
      </c>
      <c r="I2197" s="8" t="s">
        <v>26</v>
      </c>
    </row>
    <row r="2198" customFormat="false" ht="14.25" hidden="false" customHeight="false" outlineLevel="0" collapsed="false">
      <c r="A2198" s="8" t="n">
        <v>2197</v>
      </c>
      <c r="B2198" s="8" t="s">
        <v>86</v>
      </c>
      <c r="C2198" s="8" t="s">
        <v>21</v>
      </c>
      <c r="D2198" s="9" t="n">
        <v>44435</v>
      </c>
      <c r="E2198" s="10" t="n">
        <v>3485</v>
      </c>
      <c r="F2198" s="8" t="s">
        <v>11</v>
      </c>
      <c r="G2198" s="8" t="s">
        <v>36</v>
      </c>
      <c r="H2198" s="11" t="s">
        <v>37</v>
      </c>
      <c r="I2198" s="8" t="s">
        <v>26</v>
      </c>
    </row>
    <row r="2199" customFormat="false" ht="14.25" hidden="false" customHeight="false" outlineLevel="0" collapsed="false">
      <c r="A2199" s="8" t="n">
        <v>2198</v>
      </c>
      <c r="B2199" s="8" t="s">
        <v>143</v>
      </c>
      <c r="C2199" s="8" t="s">
        <v>10</v>
      </c>
      <c r="D2199" s="9" t="n">
        <v>44435</v>
      </c>
      <c r="E2199" s="10" t="n">
        <v>7667</v>
      </c>
      <c r="F2199" s="8" t="s">
        <v>11</v>
      </c>
      <c r="G2199" s="8" t="s">
        <v>12</v>
      </c>
      <c r="H2199" s="11" t="s">
        <v>13</v>
      </c>
      <c r="I2199" s="8" t="s">
        <v>14</v>
      </c>
    </row>
    <row r="2200" customFormat="false" ht="14.25" hidden="false" customHeight="false" outlineLevel="0" collapsed="false">
      <c r="A2200" s="8" t="n">
        <v>2199</v>
      </c>
      <c r="B2200" s="8" t="s">
        <v>51</v>
      </c>
      <c r="C2200" s="8" t="s">
        <v>21</v>
      </c>
      <c r="D2200" s="9" t="n">
        <v>44435</v>
      </c>
      <c r="E2200" s="10" t="n">
        <v>3485</v>
      </c>
      <c r="F2200" s="8" t="s">
        <v>11</v>
      </c>
      <c r="G2200" s="8" t="s">
        <v>12</v>
      </c>
      <c r="H2200" s="11" t="s">
        <v>13</v>
      </c>
      <c r="I2200" s="8" t="s">
        <v>19</v>
      </c>
    </row>
    <row r="2201" customFormat="false" ht="14.25" hidden="false" customHeight="false" outlineLevel="0" collapsed="false">
      <c r="A2201" s="8" t="n">
        <v>2200</v>
      </c>
      <c r="B2201" s="8" t="s">
        <v>160</v>
      </c>
      <c r="C2201" s="8" t="s">
        <v>28</v>
      </c>
      <c r="D2201" s="9" t="n">
        <v>44436</v>
      </c>
      <c r="E2201" s="10" t="n">
        <v>7667</v>
      </c>
      <c r="F2201" s="8" t="s">
        <v>11</v>
      </c>
      <c r="G2201" s="8" t="s">
        <v>12</v>
      </c>
      <c r="H2201" s="11" t="s">
        <v>13</v>
      </c>
      <c r="I2201" s="8" t="s">
        <v>26</v>
      </c>
    </row>
    <row r="2202" customFormat="false" ht="14.25" hidden="false" customHeight="false" outlineLevel="0" collapsed="false">
      <c r="A2202" s="8" t="n">
        <v>2201</v>
      </c>
      <c r="B2202" s="8" t="s">
        <v>39</v>
      </c>
      <c r="C2202" s="8" t="s">
        <v>21</v>
      </c>
      <c r="D2202" s="9" t="n">
        <v>44436</v>
      </c>
      <c r="E2202" s="10" t="n">
        <v>4299.1</v>
      </c>
      <c r="F2202" s="8" t="s">
        <v>11</v>
      </c>
      <c r="G2202" s="8" t="s">
        <v>36</v>
      </c>
      <c r="H2202" s="11" t="s">
        <v>37</v>
      </c>
      <c r="I2202" s="8" t="s">
        <v>26</v>
      </c>
    </row>
    <row r="2203" customFormat="false" ht="14.25" hidden="false" customHeight="false" outlineLevel="0" collapsed="false">
      <c r="A2203" s="8" t="n">
        <v>2202</v>
      </c>
      <c r="B2203" s="8" t="s">
        <v>49</v>
      </c>
      <c r="C2203" s="8" t="s">
        <v>16</v>
      </c>
      <c r="D2203" s="9" t="n">
        <v>44436</v>
      </c>
      <c r="E2203" s="10" t="n">
        <v>18172.72</v>
      </c>
      <c r="F2203" s="8" t="s">
        <v>11</v>
      </c>
      <c r="G2203" s="8" t="s">
        <v>30</v>
      </c>
      <c r="H2203" s="11" t="s">
        <v>31</v>
      </c>
      <c r="I2203" s="8" t="s">
        <v>24</v>
      </c>
    </row>
    <row r="2204" customFormat="false" ht="14.25" hidden="false" customHeight="false" outlineLevel="0" collapsed="false">
      <c r="A2204" s="8" t="n">
        <v>2203</v>
      </c>
      <c r="B2204" s="8" t="s">
        <v>207</v>
      </c>
      <c r="C2204" s="8" t="s">
        <v>28</v>
      </c>
      <c r="D2204" s="9" t="n">
        <v>44437</v>
      </c>
      <c r="E2204" s="10" t="n">
        <v>13051.1</v>
      </c>
      <c r="F2204" s="8" t="s">
        <v>11</v>
      </c>
      <c r="G2204" s="8" t="s">
        <v>36</v>
      </c>
      <c r="H2204" s="11" t="s">
        <v>37</v>
      </c>
      <c r="I2204" s="8" t="s">
        <v>26</v>
      </c>
    </row>
    <row r="2205" customFormat="false" ht="14.25" hidden="false" customHeight="false" outlineLevel="0" collapsed="false">
      <c r="A2205" s="8" t="n">
        <v>2204</v>
      </c>
      <c r="B2205" s="8" t="s">
        <v>174</v>
      </c>
      <c r="C2205" s="8" t="s">
        <v>28</v>
      </c>
      <c r="D2205" s="9" t="n">
        <v>44437</v>
      </c>
      <c r="E2205" s="10" t="n">
        <v>4315.82</v>
      </c>
      <c r="F2205" s="8" t="s">
        <v>11</v>
      </c>
      <c r="G2205" s="8" t="s">
        <v>36</v>
      </c>
      <c r="H2205" s="11" t="s">
        <v>37</v>
      </c>
      <c r="I2205" s="8" t="s">
        <v>26</v>
      </c>
    </row>
    <row r="2206" customFormat="false" ht="14.25" hidden="false" customHeight="false" outlineLevel="0" collapsed="false">
      <c r="A2206" s="8" t="n">
        <v>2205</v>
      </c>
      <c r="B2206" s="8" t="s">
        <v>171</v>
      </c>
      <c r="C2206" s="8" t="s">
        <v>10</v>
      </c>
      <c r="D2206" s="9" t="n">
        <v>44437</v>
      </c>
      <c r="E2206" s="10" t="n">
        <v>152517.24</v>
      </c>
      <c r="F2206" s="8" t="s">
        <v>11</v>
      </c>
      <c r="G2206" s="8" t="s">
        <v>12</v>
      </c>
      <c r="H2206" s="11" t="s">
        <v>13</v>
      </c>
      <c r="I2206" s="8" t="s">
        <v>24</v>
      </c>
    </row>
    <row r="2207" customFormat="false" ht="14.25" hidden="false" customHeight="false" outlineLevel="0" collapsed="false">
      <c r="A2207" s="8" t="n">
        <v>2206</v>
      </c>
      <c r="B2207" s="8" t="s">
        <v>235</v>
      </c>
      <c r="C2207" s="8" t="s">
        <v>21</v>
      </c>
      <c r="D2207" s="9" t="n">
        <v>44437</v>
      </c>
      <c r="E2207" s="10" t="n">
        <v>1274.97</v>
      </c>
      <c r="F2207" s="8" t="s">
        <v>11</v>
      </c>
      <c r="G2207" s="8" t="s">
        <v>12</v>
      </c>
      <c r="H2207" s="11" t="s">
        <v>13</v>
      </c>
      <c r="I2207" s="8" t="s">
        <v>14</v>
      </c>
    </row>
    <row r="2208" customFormat="false" ht="14.25" hidden="false" customHeight="false" outlineLevel="0" collapsed="false">
      <c r="A2208" s="8" t="n">
        <v>2207</v>
      </c>
      <c r="B2208" s="8" t="s">
        <v>182</v>
      </c>
      <c r="C2208" s="8" t="s">
        <v>16</v>
      </c>
      <c r="D2208" s="9" t="n">
        <v>44437</v>
      </c>
      <c r="E2208" s="10" t="n">
        <v>8259.2</v>
      </c>
      <c r="F2208" s="8" t="s">
        <v>11</v>
      </c>
      <c r="G2208" s="8" t="s">
        <v>36</v>
      </c>
      <c r="H2208" s="11" t="s">
        <v>37</v>
      </c>
      <c r="I2208" s="8" t="s">
        <v>26</v>
      </c>
    </row>
    <row r="2209" customFormat="false" ht="14.25" hidden="false" customHeight="false" outlineLevel="0" collapsed="false">
      <c r="A2209" s="8" t="n">
        <v>2208</v>
      </c>
      <c r="B2209" s="8" t="s">
        <v>15</v>
      </c>
      <c r="C2209" s="8" t="s">
        <v>16</v>
      </c>
      <c r="D2209" s="9" t="n">
        <v>44437</v>
      </c>
      <c r="E2209" s="10" t="n">
        <v>-12987.03</v>
      </c>
      <c r="F2209" s="8" t="s">
        <v>34</v>
      </c>
      <c r="G2209" s="8" t="s">
        <v>12</v>
      </c>
      <c r="H2209" s="11" t="s">
        <v>13</v>
      </c>
      <c r="I2209" s="8" t="s">
        <v>14</v>
      </c>
    </row>
    <row r="2210" customFormat="false" ht="14.25" hidden="false" customHeight="false" outlineLevel="0" collapsed="false">
      <c r="A2210" s="8" t="n">
        <v>2209</v>
      </c>
      <c r="B2210" s="8" t="s">
        <v>33</v>
      </c>
      <c r="C2210" s="8" t="s">
        <v>16</v>
      </c>
      <c r="D2210" s="9" t="n">
        <v>44437</v>
      </c>
      <c r="E2210" s="10" t="n">
        <v>-6717.31</v>
      </c>
      <c r="F2210" s="8" t="s">
        <v>34</v>
      </c>
      <c r="G2210" s="8" t="s">
        <v>30</v>
      </c>
      <c r="H2210" s="11" t="s">
        <v>31</v>
      </c>
      <c r="I2210" s="8" t="s">
        <v>14</v>
      </c>
    </row>
    <row r="2211" customFormat="false" ht="14.25" hidden="false" customHeight="false" outlineLevel="0" collapsed="false">
      <c r="A2211" s="8" t="n">
        <v>2210</v>
      </c>
      <c r="B2211" s="8" t="s">
        <v>33</v>
      </c>
      <c r="C2211" s="8" t="s">
        <v>16</v>
      </c>
      <c r="D2211" s="9" t="n">
        <v>44437</v>
      </c>
      <c r="E2211" s="10" t="n">
        <v>-68761.25</v>
      </c>
      <c r="F2211" s="8" t="s">
        <v>34</v>
      </c>
      <c r="G2211" s="8" t="s">
        <v>30</v>
      </c>
      <c r="H2211" s="11" t="s">
        <v>31</v>
      </c>
      <c r="I2211" s="8" t="s">
        <v>14</v>
      </c>
    </row>
    <row r="2212" customFormat="false" ht="14.25" hidden="false" customHeight="false" outlineLevel="0" collapsed="false">
      <c r="A2212" s="8" t="n">
        <v>2211</v>
      </c>
      <c r="B2212" s="8" t="s">
        <v>39</v>
      </c>
      <c r="C2212" s="8" t="s">
        <v>10</v>
      </c>
      <c r="D2212" s="9" t="n">
        <v>44437</v>
      </c>
      <c r="E2212" s="10" t="n">
        <v>-32327.09</v>
      </c>
      <c r="F2212" s="8" t="s">
        <v>34</v>
      </c>
      <c r="G2212" s="8" t="s">
        <v>36</v>
      </c>
      <c r="H2212" s="11" t="s">
        <v>37</v>
      </c>
      <c r="I2212" s="8" t="s">
        <v>19</v>
      </c>
    </row>
    <row r="2213" customFormat="false" ht="14.25" hidden="false" customHeight="false" outlineLevel="0" collapsed="false">
      <c r="A2213" s="8" t="n">
        <v>2212</v>
      </c>
      <c r="B2213" s="8" t="s">
        <v>39</v>
      </c>
      <c r="C2213" s="8" t="s">
        <v>28</v>
      </c>
      <c r="D2213" s="9" t="n">
        <v>44437</v>
      </c>
      <c r="E2213" s="10" t="n">
        <v>-29011.47</v>
      </c>
      <c r="F2213" s="8" t="s">
        <v>34</v>
      </c>
      <c r="G2213" s="8" t="s">
        <v>17</v>
      </c>
      <c r="H2213" s="11" t="s">
        <v>18</v>
      </c>
      <c r="I2213" s="8" t="s">
        <v>24</v>
      </c>
    </row>
    <row r="2214" customFormat="false" ht="14.25" hidden="false" customHeight="false" outlineLevel="0" collapsed="false">
      <c r="A2214" s="8" t="n">
        <v>2213</v>
      </c>
      <c r="B2214" s="8" t="s">
        <v>49</v>
      </c>
      <c r="C2214" s="8" t="s">
        <v>28</v>
      </c>
      <c r="D2214" s="9" t="n">
        <v>44437</v>
      </c>
      <c r="E2214" s="10" t="n">
        <v>-28703.61</v>
      </c>
      <c r="F2214" s="8" t="s">
        <v>34</v>
      </c>
      <c r="G2214" s="8" t="s">
        <v>17</v>
      </c>
      <c r="H2214" s="11" t="s">
        <v>18</v>
      </c>
      <c r="I2214" s="8" t="s">
        <v>24</v>
      </c>
    </row>
    <row r="2215" customFormat="false" ht="14.25" hidden="false" customHeight="false" outlineLevel="0" collapsed="false">
      <c r="A2215" s="8" t="n">
        <v>2214</v>
      </c>
      <c r="B2215" s="8" t="s">
        <v>33</v>
      </c>
      <c r="C2215" s="8" t="s">
        <v>28</v>
      </c>
      <c r="D2215" s="9" t="n">
        <v>44437</v>
      </c>
      <c r="E2215" s="10" t="n">
        <v>130560</v>
      </c>
      <c r="F2215" s="8" t="s">
        <v>11</v>
      </c>
      <c r="G2215" s="8" t="s">
        <v>17</v>
      </c>
      <c r="H2215" s="11" t="s">
        <v>18</v>
      </c>
      <c r="I2215" s="8" t="s">
        <v>14</v>
      </c>
    </row>
    <row r="2216" customFormat="false" ht="14.25" hidden="false" customHeight="false" outlineLevel="0" collapsed="false">
      <c r="A2216" s="8" t="n">
        <v>2215</v>
      </c>
      <c r="B2216" s="8" t="s">
        <v>33</v>
      </c>
      <c r="C2216" s="8" t="s">
        <v>21</v>
      </c>
      <c r="D2216" s="9" t="n">
        <v>44437</v>
      </c>
      <c r="E2216" s="10" t="n">
        <v>69972</v>
      </c>
      <c r="F2216" s="8" t="s">
        <v>11</v>
      </c>
      <c r="G2216" s="8" t="s">
        <v>12</v>
      </c>
      <c r="H2216" s="11" t="s">
        <v>13</v>
      </c>
      <c r="I2216" s="8" t="s">
        <v>14</v>
      </c>
    </row>
    <row r="2217" customFormat="false" ht="14.25" hidden="false" customHeight="false" outlineLevel="0" collapsed="false">
      <c r="A2217" s="8" t="n">
        <v>2216</v>
      </c>
      <c r="B2217" s="8" t="s">
        <v>33</v>
      </c>
      <c r="C2217" s="8" t="s">
        <v>10</v>
      </c>
      <c r="D2217" s="9" t="n">
        <v>44437</v>
      </c>
      <c r="E2217" s="10" t="n">
        <v>132714.24</v>
      </c>
      <c r="F2217" s="8" t="s">
        <v>11</v>
      </c>
      <c r="G2217" s="8" t="s">
        <v>22</v>
      </c>
      <c r="H2217" s="11" t="s">
        <v>23</v>
      </c>
      <c r="I2217" s="8" t="s">
        <v>14</v>
      </c>
    </row>
    <row r="2218" customFormat="false" ht="14.25" hidden="false" customHeight="false" outlineLevel="0" collapsed="false">
      <c r="A2218" s="8" t="n">
        <v>2217</v>
      </c>
      <c r="B2218" s="8" t="s">
        <v>33</v>
      </c>
      <c r="C2218" s="8" t="s">
        <v>10</v>
      </c>
      <c r="D2218" s="9" t="n">
        <v>44437</v>
      </c>
      <c r="E2218" s="10" t="n">
        <v>147700.6</v>
      </c>
      <c r="F2218" s="8" t="s">
        <v>11</v>
      </c>
      <c r="G2218" s="8" t="s">
        <v>22</v>
      </c>
      <c r="H2218" s="11" t="s">
        <v>23</v>
      </c>
      <c r="I2218" s="8" t="s">
        <v>24</v>
      </c>
    </row>
    <row r="2219" customFormat="false" ht="14.25" hidden="false" customHeight="false" outlineLevel="0" collapsed="false">
      <c r="A2219" s="8" t="n">
        <v>2218</v>
      </c>
      <c r="B2219" s="8" t="s">
        <v>33</v>
      </c>
      <c r="C2219" s="8" t="s">
        <v>16</v>
      </c>
      <c r="D2219" s="9" t="n">
        <v>44437</v>
      </c>
      <c r="E2219" s="10" t="n">
        <v>-5989.13</v>
      </c>
      <c r="F2219" s="8" t="s">
        <v>34</v>
      </c>
      <c r="G2219" s="8" t="s">
        <v>12</v>
      </c>
      <c r="H2219" s="11" t="s">
        <v>13</v>
      </c>
      <c r="I2219" s="8" t="s">
        <v>14</v>
      </c>
    </row>
    <row r="2220" customFormat="false" ht="14.25" hidden="false" customHeight="false" outlineLevel="0" collapsed="false">
      <c r="A2220" s="8" t="n">
        <v>2219</v>
      </c>
      <c r="B2220" s="8" t="s">
        <v>33</v>
      </c>
      <c r="C2220" s="8" t="s">
        <v>21</v>
      </c>
      <c r="D2220" s="9" t="n">
        <v>44437</v>
      </c>
      <c r="E2220" s="10" t="n">
        <v>-6065.26</v>
      </c>
      <c r="F2220" s="8" t="s">
        <v>34</v>
      </c>
      <c r="G2220" s="8" t="s">
        <v>30</v>
      </c>
      <c r="H2220" s="11" t="s">
        <v>31</v>
      </c>
      <c r="I2220" s="8" t="s">
        <v>14</v>
      </c>
    </row>
    <row r="2221" customFormat="false" ht="14.25" hidden="false" customHeight="false" outlineLevel="0" collapsed="false">
      <c r="A2221" s="8" t="n">
        <v>2220</v>
      </c>
      <c r="B2221" s="8" t="s">
        <v>33</v>
      </c>
      <c r="C2221" s="8" t="s">
        <v>10</v>
      </c>
      <c r="D2221" s="9" t="n">
        <v>44437</v>
      </c>
      <c r="E2221" s="10" t="n">
        <v>-7721.91</v>
      </c>
      <c r="F2221" s="8" t="s">
        <v>34</v>
      </c>
      <c r="G2221" s="8" t="s">
        <v>36</v>
      </c>
      <c r="H2221" s="11" t="s">
        <v>37</v>
      </c>
      <c r="I2221" s="8" t="s">
        <v>14</v>
      </c>
    </row>
    <row r="2222" customFormat="false" ht="14.25" hidden="false" customHeight="false" outlineLevel="0" collapsed="false">
      <c r="A2222" s="8" t="n">
        <v>2221</v>
      </c>
      <c r="B2222" s="8" t="s">
        <v>162</v>
      </c>
      <c r="C2222" s="8" t="s">
        <v>16</v>
      </c>
      <c r="D2222" s="9" t="n">
        <v>44438</v>
      </c>
      <c r="E2222" s="10" t="n">
        <v>-1524.18</v>
      </c>
      <c r="F2222" s="8" t="s">
        <v>34</v>
      </c>
      <c r="G2222" s="8" t="s">
        <v>17</v>
      </c>
      <c r="H2222" s="11" t="s">
        <v>18</v>
      </c>
      <c r="I2222" s="8" t="s">
        <v>14</v>
      </c>
    </row>
    <row r="2223" customFormat="false" ht="14.25" hidden="false" customHeight="false" outlineLevel="0" collapsed="false">
      <c r="A2223" s="8" t="n">
        <v>2222</v>
      </c>
      <c r="B2223" s="8" t="s">
        <v>32</v>
      </c>
      <c r="C2223" s="8" t="s">
        <v>21</v>
      </c>
      <c r="D2223" s="9" t="n">
        <v>44438</v>
      </c>
      <c r="E2223" s="10" t="n">
        <v>-15987.41</v>
      </c>
      <c r="F2223" s="8" t="s">
        <v>34</v>
      </c>
      <c r="G2223" s="8" t="s">
        <v>12</v>
      </c>
      <c r="H2223" s="11" t="s">
        <v>13</v>
      </c>
      <c r="I2223" s="8" t="s">
        <v>14</v>
      </c>
    </row>
    <row r="2224" customFormat="false" ht="14.25" hidden="false" customHeight="false" outlineLevel="0" collapsed="false">
      <c r="A2224" s="8" t="n">
        <v>2223</v>
      </c>
      <c r="B2224" s="8" t="s">
        <v>81</v>
      </c>
      <c r="C2224" s="8" t="s">
        <v>10</v>
      </c>
      <c r="D2224" s="9" t="n">
        <v>44438</v>
      </c>
      <c r="E2224" s="10" t="n">
        <v>-484174.57</v>
      </c>
      <c r="F2224" s="8" t="s">
        <v>34</v>
      </c>
      <c r="G2224" s="8" t="s">
        <v>36</v>
      </c>
      <c r="H2224" s="11" t="s">
        <v>37</v>
      </c>
      <c r="I2224" s="8" t="s">
        <v>26</v>
      </c>
    </row>
    <row r="2225" customFormat="false" ht="14.25" hidden="false" customHeight="false" outlineLevel="0" collapsed="false">
      <c r="A2225" s="8" t="n">
        <v>2224</v>
      </c>
      <c r="B2225" s="8" t="s">
        <v>81</v>
      </c>
      <c r="C2225" s="8" t="s">
        <v>10</v>
      </c>
      <c r="D2225" s="9" t="n">
        <v>44438</v>
      </c>
      <c r="E2225" s="10" t="n">
        <v>130419.67</v>
      </c>
      <c r="F2225" s="8" t="s">
        <v>11</v>
      </c>
      <c r="G2225" s="8" t="s">
        <v>30</v>
      </c>
      <c r="H2225" s="11" t="s">
        <v>31</v>
      </c>
      <c r="I2225" s="8" t="s">
        <v>14</v>
      </c>
    </row>
    <row r="2226" customFormat="false" ht="14.25" hidden="false" customHeight="false" outlineLevel="0" collapsed="false">
      <c r="A2226" s="8" t="n">
        <v>2225</v>
      </c>
      <c r="B2226" s="8" t="s">
        <v>81</v>
      </c>
      <c r="C2226" s="8" t="s">
        <v>21</v>
      </c>
      <c r="D2226" s="9" t="n">
        <v>44438</v>
      </c>
      <c r="E2226" s="10" t="n">
        <v>-308503.69</v>
      </c>
      <c r="F2226" s="8" t="s">
        <v>34</v>
      </c>
      <c r="G2226" s="8" t="s">
        <v>12</v>
      </c>
      <c r="H2226" s="11" t="s">
        <v>13</v>
      </c>
      <c r="I2226" s="8" t="s">
        <v>19</v>
      </c>
    </row>
    <row r="2227" customFormat="false" ht="14.25" hidden="false" customHeight="false" outlineLevel="0" collapsed="false">
      <c r="A2227" s="8" t="n">
        <v>2226</v>
      </c>
      <c r="B2227" s="8" t="s">
        <v>81</v>
      </c>
      <c r="C2227" s="8" t="s">
        <v>10</v>
      </c>
      <c r="D2227" s="9" t="n">
        <v>44438</v>
      </c>
      <c r="E2227" s="10" t="n">
        <v>-7207.1</v>
      </c>
      <c r="F2227" s="8" t="s">
        <v>34</v>
      </c>
      <c r="G2227" s="8" t="s">
        <v>36</v>
      </c>
      <c r="H2227" s="11" t="s">
        <v>37</v>
      </c>
      <c r="I2227" s="8" t="s">
        <v>24</v>
      </c>
    </row>
    <row r="2228" customFormat="false" ht="14.25" hidden="false" customHeight="false" outlineLevel="0" collapsed="false">
      <c r="A2228" s="8" t="n">
        <v>2227</v>
      </c>
      <c r="B2228" s="8" t="s">
        <v>81</v>
      </c>
      <c r="C2228" s="8" t="s">
        <v>28</v>
      </c>
      <c r="D2228" s="9" t="n">
        <v>44438</v>
      </c>
      <c r="E2228" s="10" t="n">
        <v>21749.12</v>
      </c>
      <c r="F2228" s="8" t="s">
        <v>11</v>
      </c>
      <c r="G2228" s="8" t="s">
        <v>12</v>
      </c>
      <c r="H2228" s="11" t="s">
        <v>13</v>
      </c>
      <c r="I2228" s="8" t="s">
        <v>14</v>
      </c>
    </row>
    <row r="2229" customFormat="false" ht="14.25" hidden="false" customHeight="false" outlineLevel="0" collapsed="false">
      <c r="A2229" s="8" t="n">
        <v>2228</v>
      </c>
      <c r="B2229" s="8" t="s">
        <v>81</v>
      </c>
      <c r="C2229" s="8" t="s">
        <v>16</v>
      </c>
      <c r="D2229" s="9" t="n">
        <v>44438</v>
      </c>
      <c r="E2229" s="10" t="n">
        <v>21749.12</v>
      </c>
      <c r="F2229" s="8" t="s">
        <v>11</v>
      </c>
      <c r="G2229" s="8" t="s">
        <v>12</v>
      </c>
      <c r="H2229" s="11" t="s">
        <v>13</v>
      </c>
      <c r="I2229" s="8" t="s">
        <v>14</v>
      </c>
    </row>
    <row r="2230" customFormat="false" ht="14.25" hidden="false" customHeight="false" outlineLevel="0" collapsed="false">
      <c r="A2230" s="8" t="n">
        <v>2229</v>
      </c>
      <c r="B2230" s="8" t="s">
        <v>178</v>
      </c>
      <c r="C2230" s="8" t="s">
        <v>16</v>
      </c>
      <c r="D2230" s="9" t="n">
        <v>44439</v>
      </c>
      <c r="E2230" s="10" t="n">
        <v>21749.12</v>
      </c>
      <c r="F2230" s="8" t="s">
        <v>11</v>
      </c>
      <c r="G2230" s="8" t="s">
        <v>12</v>
      </c>
      <c r="H2230" s="11" t="s">
        <v>13</v>
      </c>
      <c r="I2230" s="8" t="s">
        <v>26</v>
      </c>
    </row>
    <row r="2231" customFormat="false" ht="14.25" hidden="false" customHeight="false" outlineLevel="0" collapsed="false">
      <c r="A2231" s="8" t="n">
        <v>2230</v>
      </c>
      <c r="B2231" s="8" t="s">
        <v>164</v>
      </c>
      <c r="C2231" s="8" t="s">
        <v>21</v>
      </c>
      <c r="D2231" s="9" t="n">
        <v>44439</v>
      </c>
      <c r="E2231" s="10" t="n">
        <v>3485</v>
      </c>
      <c r="F2231" s="8" t="s">
        <v>11</v>
      </c>
      <c r="G2231" s="8" t="s">
        <v>12</v>
      </c>
      <c r="H2231" s="11" t="s">
        <v>13</v>
      </c>
      <c r="I2231" s="8" t="s">
        <v>14</v>
      </c>
    </row>
    <row r="2232" customFormat="false" ht="14.25" hidden="false" customHeight="false" outlineLevel="0" collapsed="false">
      <c r="A2232" s="8" t="n">
        <v>2231</v>
      </c>
      <c r="B2232" s="8" t="s">
        <v>172</v>
      </c>
      <c r="C2232" s="8" t="s">
        <v>28</v>
      </c>
      <c r="D2232" s="9" t="n">
        <v>44439</v>
      </c>
      <c r="E2232" s="10" t="n">
        <v>3485</v>
      </c>
      <c r="F2232" s="8" t="s">
        <v>11</v>
      </c>
      <c r="G2232" s="8" t="s">
        <v>36</v>
      </c>
      <c r="H2232" s="11" t="s">
        <v>37</v>
      </c>
      <c r="I2232" s="8" t="s">
        <v>19</v>
      </c>
    </row>
    <row r="2233" customFormat="false" ht="14.25" hidden="false" customHeight="false" outlineLevel="0" collapsed="false">
      <c r="A2233" s="8" t="n">
        <v>2232</v>
      </c>
      <c r="B2233" s="8" t="s">
        <v>51</v>
      </c>
      <c r="C2233" s="8" t="s">
        <v>16</v>
      </c>
      <c r="D2233" s="9" t="n">
        <v>44439</v>
      </c>
      <c r="E2233" s="10" t="n">
        <v>6621.5</v>
      </c>
      <c r="F2233" s="8" t="s">
        <v>11</v>
      </c>
      <c r="G2233" s="8" t="s">
        <v>12</v>
      </c>
      <c r="H2233" s="11" t="s">
        <v>13</v>
      </c>
      <c r="I2233" s="8" t="s">
        <v>14</v>
      </c>
    </row>
    <row r="2234" customFormat="false" ht="14.25" hidden="false" customHeight="false" outlineLevel="0" collapsed="false">
      <c r="A2234" s="8" t="n">
        <v>2233</v>
      </c>
      <c r="B2234" s="8" t="s">
        <v>32</v>
      </c>
      <c r="C2234" s="8" t="s">
        <v>10</v>
      </c>
      <c r="D2234" s="9" t="n">
        <v>44439</v>
      </c>
      <c r="E2234" s="10" t="n">
        <v>3485</v>
      </c>
      <c r="F2234" s="8" t="s">
        <v>11</v>
      </c>
      <c r="G2234" s="8" t="s">
        <v>17</v>
      </c>
      <c r="H2234" s="11" t="s">
        <v>18</v>
      </c>
      <c r="I2234" s="8" t="s">
        <v>14</v>
      </c>
    </row>
    <row r="2235" customFormat="false" ht="14.25" hidden="false" customHeight="false" outlineLevel="0" collapsed="false">
      <c r="A2235" s="8" t="n">
        <v>2234</v>
      </c>
      <c r="B2235" s="8" t="s">
        <v>62</v>
      </c>
      <c r="C2235" s="8" t="s">
        <v>16</v>
      </c>
      <c r="D2235" s="9" t="n">
        <v>44439</v>
      </c>
      <c r="E2235" s="10" t="n">
        <v>5576</v>
      </c>
      <c r="F2235" s="8" t="s">
        <v>11</v>
      </c>
      <c r="G2235" s="8" t="s">
        <v>22</v>
      </c>
      <c r="H2235" s="11" t="s">
        <v>23</v>
      </c>
      <c r="I2235" s="8" t="s">
        <v>26</v>
      </c>
    </row>
    <row r="2236" customFormat="false" ht="14.25" hidden="false" customHeight="false" outlineLevel="0" collapsed="false">
      <c r="A2236" s="8" t="n">
        <v>2235</v>
      </c>
      <c r="B2236" s="8" t="s">
        <v>136</v>
      </c>
      <c r="C2236" s="8" t="s">
        <v>10</v>
      </c>
      <c r="D2236" s="9" t="n">
        <v>44439</v>
      </c>
      <c r="E2236" s="10" t="n">
        <v>5576</v>
      </c>
      <c r="F2236" s="8" t="s">
        <v>11</v>
      </c>
      <c r="G2236" s="8" t="s">
        <v>36</v>
      </c>
      <c r="H2236" s="11" t="s">
        <v>37</v>
      </c>
      <c r="I2236" s="8" t="s">
        <v>26</v>
      </c>
    </row>
    <row r="2237" customFormat="false" ht="14.25" hidden="false" customHeight="false" outlineLevel="0" collapsed="false">
      <c r="A2237" s="8" t="n">
        <v>2236</v>
      </c>
      <c r="B2237" s="8" t="s">
        <v>32</v>
      </c>
      <c r="C2237" s="8" t="s">
        <v>21</v>
      </c>
      <c r="D2237" s="9" t="n">
        <v>44439</v>
      </c>
      <c r="E2237" s="10" t="n">
        <v>3485</v>
      </c>
      <c r="F2237" s="8" t="s">
        <v>11</v>
      </c>
      <c r="G2237" s="8" t="s">
        <v>12</v>
      </c>
      <c r="H2237" s="11" t="s">
        <v>13</v>
      </c>
      <c r="I2237" s="8" t="s">
        <v>19</v>
      </c>
    </row>
    <row r="2238" customFormat="false" ht="14.25" hidden="false" customHeight="false" outlineLevel="0" collapsed="false">
      <c r="A2238" s="8" t="n">
        <v>2237</v>
      </c>
      <c r="B2238" s="8" t="s">
        <v>136</v>
      </c>
      <c r="C2238" s="8" t="s">
        <v>16</v>
      </c>
      <c r="D2238" s="9" t="n">
        <v>44439</v>
      </c>
      <c r="E2238" s="10" t="n">
        <v>8580.77</v>
      </c>
      <c r="F2238" s="8" t="s">
        <v>11</v>
      </c>
      <c r="G2238" s="8" t="s">
        <v>12</v>
      </c>
      <c r="H2238" s="11" t="s">
        <v>13</v>
      </c>
      <c r="I2238" s="8" t="s">
        <v>14</v>
      </c>
    </row>
    <row r="2239" customFormat="false" ht="14.25" hidden="false" customHeight="false" outlineLevel="0" collapsed="false">
      <c r="A2239" s="8" t="n">
        <v>2238</v>
      </c>
      <c r="B2239" s="8" t="s">
        <v>20</v>
      </c>
      <c r="C2239" s="8" t="s">
        <v>16</v>
      </c>
      <c r="D2239" s="9" t="n">
        <v>44439</v>
      </c>
      <c r="E2239" s="10" t="n">
        <v>6621.5</v>
      </c>
      <c r="F2239" s="8" t="s">
        <v>11</v>
      </c>
      <c r="G2239" s="8" t="s">
        <v>36</v>
      </c>
      <c r="H2239" s="11" t="s">
        <v>37</v>
      </c>
      <c r="I2239" s="8" t="s">
        <v>26</v>
      </c>
    </row>
    <row r="2240" customFormat="false" ht="14.25" hidden="false" customHeight="false" outlineLevel="0" collapsed="false">
      <c r="A2240" s="8" t="n">
        <v>2239</v>
      </c>
      <c r="B2240" s="8" t="s">
        <v>62</v>
      </c>
      <c r="C2240" s="8" t="s">
        <v>10</v>
      </c>
      <c r="D2240" s="9" t="n">
        <v>44439</v>
      </c>
      <c r="E2240" s="10" t="n">
        <v>3485</v>
      </c>
      <c r="F2240" s="8" t="s">
        <v>11</v>
      </c>
      <c r="G2240" s="8" t="s">
        <v>30</v>
      </c>
      <c r="H2240" s="11" t="s">
        <v>31</v>
      </c>
      <c r="I2240" s="8" t="s">
        <v>14</v>
      </c>
    </row>
    <row r="2241" customFormat="false" ht="14.25" hidden="false" customHeight="false" outlineLevel="0" collapsed="false">
      <c r="A2241" s="8" t="n">
        <v>2240</v>
      </c>
      <c r="B2241" s="8" t="s">
        <v>20</v>
      </c>
      <c r="C2241" s="8" t="s">
        <v>10</v>
      </c>
      <c r="D2241" s="9" t="n">
        <v>44439</v>
      </c>
      <c r="E2241" s="10" t="n">
        <v>3485</v>
      </c>
      <c r="F2241" s="8" t="s">
        <v>11</v>
      </c>
      <c r="G2241" s="8" t="s">
        <v>30</v>
      </c>
      <c r="H2241" s="11" t="s">
        <v>31</v>
      </c>
      <c r="I2241" s="8" t="s">
        <v>19</v>
      </c>
    </row>
    <row r="2242" customFormat="false" ht="14.25" hidden="false" customHeight="false" outlineLevel="0" collapsed="false">
      <c r="A2242" s="8" t="n">
        <v>2241</v>
      </c>
      <c r="B2242" s="8" t="s">
        <v>73</v>
      </c>
      <c r="C2242" s="8" t="s">
        <v>28</v>
      </c>
      <c r="D2242" s="9" t="n">
        <v>44439</v>
      </c>
      <c r="E2242" s="10" t="n">
        <v>3948.51</v>
      </c>
      <c r="F2242" s="8" t="s">
        <v>11</v>
      </c>
      <c r="G2242" s="8" t="s">
        <v>36</v>
      </c>
      <c r="H2242" s="11" t="s">
        <v>37</v>
      </c>
      <c r="I2242" s="8" t="s">
        <v>26</v>
      </c>
    </row>
    <row r="2243" customFormat="false" ht="14.25" hidden="false" customHeight="false" outlineLevel="0" collapsed="false">
      <c r="A2243" s="8" t="n">
        <v>2242</v>
      </c>
      <c r="B2243" s="8" t="s">
        <v>62</v>
      </c>
      <c r="C2243" s="8" t="s">
        <v>16</v>
      </c>
      <c r="D2243" s="9" t="n">
        <v>44439</v>
      </c>
      <c r="E2243" s="10" t="n">
        <v>3944.68</v>
      </c>
      <c r="F2243" s="8" t="s">
        <v>11</v>
      </c>
      <c r="G2243" s="8" t="s">
        <v>36</v>
      </c>
      <c r="H2243" s="11" t="s">
        <v>37</v>
      </c>
      <c r="I2243" s="8" t="s">
        <v>26</v>
      </c>
    </row>
    <row r="2244" customFormat="false" ht="14.25" hidden="false" customHeight="false" outlineLevel="0" collapsed="false">
      <c r="A2244" s="8" t="n">
        <v>2243</v>
      </c>
      <c r="B2244" s="8" t="s">
        <v>136</v>
      </c>
      <c r="C2244" s="8" t="s">
        <v>10</v>
      </c>
      <c r="D2244" s="9" t="n">
        <v>44439</v>
      </c>
      <c r="E2244" s="10" t="n">
        <v>-20864.41</v>
      </c>
      <c r="F2244" s="8" t="s">
        <v>34</v>
      </c>
      <c r="G2244" s="8" t="s">
        <v>12</v>
      </c>
      <c r="H2244" s="11" t="s">
        <v>13</v>
      </c>
      <c r="I2244" s="8" t="s">
        <v>14</v>
      </c>
    </row>
    <row r="2245" customFormat="false" ht="14.25" hidden="false" customHeight="false" outlineLevel="0" collapsed="false">
      <c r="A2245" s="8" t="n">
        <v>2244</v>
      </c>
      <c r="B2245" s="8" t="s">
        <v>20</v>
      </c>
      <c r="C2245" s="8" t="s">
        <v>10</v>
      </c>
      <c r="D2245" s="9" t="n">
        <v>44439</v>
      </c>
      <c r="E2245" s="10" t="n">
        <v>-5947.62</v>
      </c>
      <c r="F2245" s="8" t="s">
        <v>34</v>
      </c>
      <c r="G2245" s="8" t="s">
        <v>17</v>
      </c>
      <c r="H2245" s="11" t="s">
        <v>18</v>
      </c>
      <c r="I2245" s="8" t="s">
        <v>26</v>
      </c>
    </row>
    <row r="2246" customFormat="false" ht="14.25" hidden="false" customHeight="false" outlineLevel="0" collapsed="false">
      <c r="A2246" s="8" t="n">
        <v>2245</v>
      </c>
      <c r="B2246" s="8" t="s">
        <v>73</v>
      </c>
      <c r="C2246" s="8" t="s">
        <v>28</v>
      </c>
      <c r="D2246" s="9" t="n">
        <v>44439</v>
      </c>
      <c r="E2246" s="10" t="n">
        <v>-5540.64</v>
      </c>
      <c r="F2246" s="8" t="s">
        <v>34</v>
      </c>
      <c r="G2246" s="8" t="s">
        <v>22</v>
      </c>
      <c r="H2246" s="11" t="s">
        <v>23</v>
      </c>
      <c r="I2246" s="8" t="s">
        <v>14</v>
      </c>
    </row>
    <row r="2247" customFormat="false" ht="14.25" hidden="false" customHeight="false" outlineLevel="0" collapsed="false">
      <c r="A2247" s="8" t="n">
        <v>2246</v>
      </c>
      <c r="B2247" s="8" t="s">
        <v>62</v>
      </c>
      <c r="C2247" s="8" t="s">
        <v>21</v>
      </c>
      <c r="D2247" s="9" t="n">
        <v>44439</v>
      </c>
      <c r="E2247" s="10" t="n">
        <v>-5886.93</v>
      </c>
      <c r="F2247" s="8" t="s">
        <v>34</v>
      </c>
      <c r="G2247" s="8" t="s">
        <v>12</v>
      </c>
      <c r="H2247" s="11" t="s">
        <v>13</v>
      </c>
      <c r="I2247" s="8" t="s">
        <v>19</v>
      </c>
    </row>
    <row r="2248" customFormat="false" ht="14.25" hidden="false" customHeight="false" outlineLevel="0" collapsed="false">
      <c r="A2248" s="8" t="n">
        <v>2247</v>
      </c>
      <c r="B2248" s="8" t="s">
        <v>136</v>
      </c>
      <c r="C2248" s="8" t="s">
        <v>16</v>
      </c>
      <c r="D2248" s="9" t="n">
        <v>44439</v>
      </c>
      <c r="E2248" s="10" t="n">
        <v>-5709.03</v>
      </c>
      <c r="F2248" s="8" t="s">
        <v>34</v>
      </c>
      <c r="G2248" s="8" t="s">
        <v>22</v>
      </c>
      <c r="H2248" s="11" t="s">
        <v>23</v>
      </c>
      <c r="I2248" s="8" t="s">
        <v>26</v>
      </c>
    </row>
    <row r="2249" customFormat="false" ht="14.25" hidden="false" customHeight="false" outlineLevel="0" collapsed="false">
      <c r="A2249" s="8" t="n">
        <v>2248</v>
      </c>
      <c r="B2249" s="8" t="s">
        <v>136</v>
      </c>
      <c r="C2249" s="8" t="s">
        <v>21</v>
      </c>
      <c r="D2249" s="9" t="n">
        <v>44439</v>
      </c>
      <c r="E2249" s="10" t="n">
        <v>-5426.4</v>
      </c>
      <c r="F2249" s="8" t="s">
        <v>34</v>
      </c>
      <c r="G2249" s="8" t="s">
        <v>22</v>
      </c>
      <c r="H2249" s="11" t="s">
        <v>23</v>
      </c>
      <c r="I2249" s="8" t="s">
        <v>26</v>
      </c>
    </row>
    <row r="2250" customFormat="false" ht="14.25" hidden="false" customHeight="false" outlineLevel="0" collapsed="false">
      <c r="A2250" s="8" t="n">
        <v>2249</v>
      </c>
      <c r="B2250" s="8" t="s">
        <v>73</v>
      </c>
      <c r="C2250" s="8" t="s">
        <v>28</v>
      </c>
      <c r="D2250" s="9" t="n">
        <v>44439</v>
      </c>
      <c r="E2250" s="10" t="n">
        <v>-5769.19</v>
      </c>
      <c r="F2250" s="8" t="s">
        <v>34</v>
      </c>
      <c r="G2250" s="8" t="s">
        <v>17</v>
      </c>
      <c r="H2250" s="11" t="s">
        <v>18</v>
      </c>
      <c r="I2250" s="8" t="s">
        <v>14</v>
      </c>
    </row>
    <row r="2251" customFormat="false" ht="14.25" hidden="false" customHeight="false" outlineLevel="0" collapsed="false">
      <c r="A2251" s="8" t="n">
        <v>2250</v>
      </c>
      <c r="B2251" s="8" t="s">
        <v>62</v>
      </c>
      <c r="C2251" s="8" t="s">
        <v>16</v>
      </c>
      <c r="D2251" s="9" t="n">
        <v>44439</v>
      </c>
      <c r="E2251" s="10" t="n">
        <v>-5822.08</v>
      </c>
      <c r="F2251" s="8" t="s">
        <v>34</v>
      </c>
      <c r="G2251" s="8" t="s">
        <v>17</v>
      </c>
      <c r="H2251" s="11" t="s">
        <v>18</v>
      </c>
      <c r="I2251" s="8" t="s">
        <v>14</v>
      </c>
    </row>
    <row r="2252" customFormat="false" ht="14.25" hidden="false" customHeight="false" outlineLevel="0" collapsed="false">
      <c r="A2252" s="8" t="n">
        <v>2251</v>
      </c>
      <c r="B2252" s="8" t="s">
        <v>62</v>
      </c>
      <c r="C2252" s="8" t="s">
        <v>10</v>
      </c>
      <c r="D2252" s="9" t="n">
        <v>44439</v>
      </c>
      <c r="E2252" s="10" t="n">
        <v>-5652.5</v>
      </c>
      <c r="F2252" s="8" t="s">
        <v>34</v>
      </c>
      <c r="G2252" s="8" t="s">
        <v>30</v>
      </c>
      <c r="H2252" s="11" t="s">
        <v>31</v>
      </c>
      <c r="I2252" s="8" t="s">
        <v>26</v>
      </c>
    </row>
    <row r="2253" customFormat="false" ht="14.25" hidden="false" customHeight="false" outlineLevel="0" collapsed="false">
      <c r="A2253" s="8" t="n">
        <v>2252</v>
      </c>
      <c r="B2253" s="8" t="s">
        <v>183</v>
      </c>
      <c r="C2253" s="8" t="s">
        <v>10</v>
      </c>
      <c r="D2253" s="9" t="n">
        <v>44443</v>
      </c>
      <c r="E2253" s="10" t="n">
        <v>-5826.24</v>
      </c>
      <c r="F2253" s="8" t="s">
        <v>34</v>
      </c>
      <c r="G2253" s="8" t="s">
        <v>22</v>
      </c>
      <c r="H2253" s="11" t="s">
        <v>23</v>
      </c>
      <c r="I2253" s="8" t="s">
        <v>26</v>
      </c>
    </row>
    <row r="2254" customFormat="false" ht="14.25" hidden="false" customHeight="false" outlineLevel="0" collapsed="false">
      <c r="A2254" s="8" t="n">
        <v>2253</v>
      </c>
      <c r="B2254" s="8" t="s">
        <v>85</v>
      </c>
      <c r="C2254" s="8" t="s">
        <v>21</v>
      </c>
      <c r="D2254" s="9" t="n">
        <v>44443</v>
      </c>
      <c r="E2254" s="10" t="n">
        <v>-1393.21</v>
      </c>
      <c r="F2254" s="8" t="s">
        <v>34</v>
      </c>
      <c r="G2254" s="8" t="s">
        <v>17</v>
      </c>
      <c r="H2254" s="11" t="s">
        <v>18</v>
      </c>
      <c r="I2254" s="8" t="s">
        <v>19</v>
      </c>
    </row>
    <row r="2255" customFormat="false" ht="14.25" hidden="false" customHeight="false" outlineLevel="0" collapsed="false">
      <c r="A2255" s="8" t="n">
        <v>2254</v>
      </c>
      <c r="B2255" s="8" t="s">
        <v>41</v>
      </c>
      <c r="C2255" s="8" t="s">
        <v>21</v>
      </c>
      <c r="D2255" s="9" t="n">
        <v>44444</v>
      </c>
      <c r="E2255" s="10" t="n">
        <v>149607.16</v>
      </c>
      <c r="F2255" s="8" t="s">
        <v>11</v>
      </c>
      <c r="G2255" s="8" t="s">
        <v>22</v>
      </c>
      <c r="H2255" s="11" t="s">
        <v>23</v>
      </c>
      <c r="I2255" s="8" t="s">
        <v>14</v>
      </c>
    </row>
    <row r="2256" customFormat="false" ht="14.25" hidden="false" customHeight="false" outlineLevel="0" collapsed="false">
      <c r="A2256" s="8" t="n">
        <v>2255</v>
      </c>
      <c r="B2256" s="8" t="s">
        <v>50</v>
      </c>
      <c r="C2256" s="8" t="s">
        <v>21</v>
      </c>
      <c r="D2256" s="9" t="n">
        <v>44445</v>
      </c>
      <c r="E2256" s="10" t="n">
        <v>-3030.02</v>
      </c>
      <c r="F2256" s="8" t="s">
        <v>34</v>
      </c>
      <c r="G2256" s="8" t="s">
        <v>12</v>
      </c>
      <c r="H2256" s="11" t="s">
        <v>13</v>
      </c>
      <c r="I2256" s="8" t="s">
        <v>26</v>
      </c>
    </row>
    <row r="2257" customFormat="false" ht="14.25" hidden="false" customHeight="false" outlineLevel="0" collapsed="false">
      <c r="A2257" s="8" t="n">
        <v>2256</v>
      </c>
      <c r="B2257" s="8" t="s">
        <v>149</v>
      </c>
      <c r="C2257" s="8" t="s">
        <v>21</v>
      </c>
      <c r="D2257" s="9" t="n">
        <v>44445</v>
      </c>
      <c r="E2257" s="10" t="n">
        <v>-3797.08</v>
      </c>
      <c r="F2257" s="8" t="s">
        <v>34</v>
      </c>
      <c r="G2257" s="8" t="s">
        <v>17</v>
      </c>
      <c r="H2257" s="11" t="s">
        <v>18</v>
      </c>
      <c r="I2257" s="8" t="s">
        <v>26</v>
      </c>
    </row>
    <row r="2258" customFormat="false" ht="14.25" hidden="false" customHeight="false" outlineLevel="0" collapsed="false">
      <c r="A2258" s="8" t="n">
        <v>2257</v>
      </c>
      <c r="B2258" s="8" t="s">
        <v>150</v>
      </c>
      <c r="C2258" s="8" t="s">
        <v>28</v>
      </c>
      <c r="D2258" s="9" t="n">
        <v>44445</v>
      </c>
      <c r="E2258" s="10" t="n">
        <v>-28095.34</v>
      </c>
      <c r="F2258" s="8" t="s">
        <v>34</v>
      </c>
      <c r="G2258" s="8" t="s">
        <v>17</v>
      </c>
      <c r="H2258" s="11" t="s">
        <v>18</v>
      </c>
      <c r="I2258" s="8" t="s">
        <v>14</v>
      </c>
    </row>
    <row r="2259" customFormat="false" ht="14.25" hidden="false" customHeight="false" outlineLevel="0" collapsed="false">
      <c r="A2259" s="8" t="n">
        <v>2258</v>
      </c>
      <c r="B2259" s="8" t="s">
        <v>164</v>
      </c>
      <c r="C2259" s="8" t="s">
        <v>21</v>
      </c>
      <c r="D2259" s="9" t="n">
        <v>44445</v>
      </c>
      <c r="E2259" s="10" t="n">
        <v>2426.62</v>
      </c>
      <c r="F2259" s="8" t="s">
        <v>11</v>
      </c>
      <c r="G2259" s="8" t="s">
        <v>12</v>
      </c>
      <c r="H2259" s="11" t="s">
        <v>13</v>
      </c>
      <c r="I2259" s="8" t="s">
        <v>19</v>
      </c>
    </row>
    <row r="2260" customFormat="false" ht="14.25" hidden="false" customHeight="false" outlineLevel="0" collapsed="false">
      <c r="A2260" s="8" t="n">
        <v>2259</v>
      </c>
      <c r="B2260" s="8" t="s">
        <v>190</v>
      </c>
      <c r="C2260" s="8" t="s">
        <v>28</v>
      </c>
      <c r="D2260" s="9" t="n">
        <v>44445</v>
      </c>
      <c r="E2260" s="10" t="n">
        <v>146873.63</v>
      </c>
      <c r="F2260" s="8" t="s">
        <v>11</v>
      </c>
      <c r="G2260" s="8" t="s">
        <v>17</v>
      </c>
      <c r="H2260" s="11" t="s">
        <v>18</v>
      </c>
      <c r="I2260" s="8" t="s">
        <v>24</v>
      </c>
    </row>
    <row r="2261" customFormat="false" ht="14.25" hidden="false" customHeight="false" outlineLevel="0" collapsed="false">
      <c r="A2261" s="8" t="n">
        <v>2260</v>
      </c>
      <c r="B2261" s="8" t="s">
        <v>248</v>
      </c>
      <c r="C2261" s="8" t="s">
        <v>16</v>
      </c>
      <c r="D2261" s="9" t="n">
        <v>44445</v>
      </c>
      <c r="E2261" s="10" t="n">
        <v>13790.4</v>
      </c>
      <c r="F2261" s="8" t="s">
        <v>11</v>
      </c>
      <c r="G2261" s="8" t="s">
        <v>36</v>
      </c>
      <c r="H2261" s="11" t="s">
        <v>37</v>
      </c>
      <c r="I2261" s="8" t="s">
        <v>14</v>
      </c>
    </row>
    <row r="2262" customFormat="false" ht="14.25" hidden="false" customHeight="false" outlineLevel="0" collapsed="false">
      <c r="A2262" s="8" t="n">
        <v>2261</v>
      </c>
      <c r="B2262" s="8" t="s">
        <v>249</v>
      </c>
      <c r="C2262" s="8" t="s">
        <v>16</v>
      </c>
      <c r="D2262" s="9" t="n">
        <v>44445</v>
      </c>
      <c r="E2262" s="10" t="n">
        <v>13790.4</v>
      </c>
      <c r="F2262" s="8" t="s">
        <v>11</v>
      </c>
      <c r="G2262" s="8" t="s">
        <v>12</v>
      </c>
      <c r="H2262" s="11" t="s">
        <v>13</v>
      </c>
      <c r="I2262" s="8" t="s">
        <v>26</v>
      </c>
    </row>
    <row r="2263" customFormat="false" ht="14.25" hidden="false" customHeight="false" outlineLevel="0" collapsed="false">
      <c r="A2263" s="8" t="n">
        <v>2262</v>
      </c>
      <c r="B2263" s="8" t="s">
        <v>40</v>
      </c>
      <c r="C2263" s="8" t="s">
        <v>28</v>
      </c>
      <c r="D2263" s="9" t="n">
        <v>44445</v>
      </c>
      <c r="E2263" s="10" t="n">
        <v>13790.4</v>
      </c>
      <c r="F2263" s="8" t="s">
        <v>11</v>
      </c>
      <c r="G2263" s="8" t="s">
        <v>17</v>
      </c>
      <c r="H2263" s="11" t="s">
        <v>18</v>
      </c>
      <c r="I2263" s="8" t="s">
        <v>26</v>
      </c>
    </row>
    <row r="2264" customFormat="false" ht="14.25" hidden="false" customHeight="false" outlineLevel="0" collapsed="false">
      <c r="A2264" s="8" t="n">
        <v>2263</v>
      </c>
      <c r="B2264" s="8" t="s">
        <v>39</v>
      </c>
      <c r="C2264" s="8" t="s">
        <v>21</v>
      </c>
      <c r="D2264" s="9" t="n">
        <v>44445</v>
      </c>
      <c r="E2264" s="10" t="n">
        <v>0</v>
      </c>
      <c r="F2264" s="8" t="s">
        <v>34</v>
      </c>
      <c r="G2264" s="8" t="s">
        <v>12</v>
      </c>
      <c r="H2264" s="11" t="s">
        <v>13</v>
      </c>
      <c r="I2264" s="8" t="s">
        <v>26</v>
      </c>
    </row>
    <row r="2265" customFormat="false" ht="14.25" hidden="false" customHeight="false" outlineLevel="0" collapsed="false">
      <c r="A2265" s="8" t="n">
        <v>2264</v>
      </c>
      <c r="B2265" s="8" t="s">
        <v>85</v>
      </c>
      <c r="C2265" s="8" t="s">
        <v>21</v>
      </c>
      <c r="D2265" s="9" t="n">
        <v>44446</v>
      </c>
      <c r="E2265" s="10" t="n">
        <v>-2843.96</v>
      </c>
      <c r="F2265" s="8" t="s">
        <v>34</v>
      </c>
      <c r="G2265" s="8" t="s">
        <v>17</v>
      </c>
      <c r="H2265" s="11" t="s">
        <v>18</v>
      </c>
      <c r="I2265" s="8" t="s">
        <v>14</v>
      </c>
    </row>
    <row r="2266" customFormat="false" ht="14.25" hidden="false" customHeight="false" outlineLevel="0" collapsed="false">
      <c r="A2266" s="8" t="n">
        <v>2265</v>
      </c>
      <c r="B2266" s="8" t="s">
        <v>113</v>
      </c>
      <c r="C2266" s="8" t="s">
        <v>21</v>
      </c>
      <c r="D2266" s="9" t="n">
        <v>44449</v>
      </c>
      <c r="E2266" s="10" t="n">
        <v>-1885.52</v>
      </c>
      <c r="F2266" s="8" t="s">
        <v>34</v>
      </c>
      <c r="G2266" s="8" t="s">
        <v>22</v>
      </c>
      <c r="H2266" s="11" t="s">
        <v>23</v>
      </c>
      <c r="I2266" s="8" t="s">
        <v>14</v>
      </c>
    </row>
    <row r="2267" customFormat="false" ht="14.25" hidden="false" customHeight="false" outlineLevel="0" collapsed="false">
      <c r="A2267" s="8" t="n">
        <v>2266</v>
      </c>
      <c r="B2267" s="8" t="s">
        <v>113</v>
      </c>
      <c r="C2267" s="8" t="s">
        <v>10</v>
      </c>
      <c r="D2267" s="9" t="n">
        <v>44449</v>
      </c>
      <c r="E2267" s="10" t="n">
        <v>-3189.76</v>
      </c>
      <c r="F2267" s="8" t="s">
        <v>34</v>
      </c>
      <c r="G2267" s="8" t="s">
        <v>17</v>
      </c>
      <c r="H2267" s="11" t="s">
        <v>18</v>
      </c>
      <c r="I2267" s="8" t="s">
        <v>14</v>
      </c>
    </row>
    <row r="2268" customFormat="false" ht="14.25" hidden="false" customHeight="false" outlineLevel="0" collapsed="false">
      <c r="A2268" s="8" t="n">
        <v>2267</v>
      </c>
      <c r="B2268" s="8" t="s">
        <v>247</v>
      </c>
      <c r="C2268" s="8" t="s">
        <v>10</v>
      </c>
      <c r="D2268" s="9" t="n">
        <v>44449</v>
      </c>
      <c r="E2268" s="10" t="n">
        <v>-52366.58</v>
      </c>
      <c r="F2268" s="8" t="s">
        <v>34</v>
      </c>
      <c r="G2268" s="8" t="s">
        <v>17</v>
      </c>
      <c r="H2268" s="11" t="s">
        <v>18</v>
      </c>
      <c r="I2268" s="8" t="s">
        <v>26</v>
      </c>
    </row>
    <row r="2269" customFormat="false" ht="14.25" hidden="false" customHeight="false" outlineLevel="0" collapsed="false">
      <c r="A2269" s="8" t="n">
        <v>2268</v>
      </c>
      <c r="B2269" s="8" t="s">
        <v>85</v>
      </c>
      <c r="C2269" s="8" t="s">
        <v>16</v>
      </c>
      <c r="D2269" s="9" t="n">
        <v>44449</v>
      </c>
      <c r="E2269" s="10" t="n">
        <v>-47653.24</v>
      </c>
      <c r="F2269" s="8" t="s">
        <v>34</v>
      </c>
      <c r="G2269" s="8" t="s">
        <v>12</v>
      </c>
      <c r="H2269" s="11" t="s">
        <v>13</v>
      </c>
      <c r="I2269" s="8" t="s">
        <v>14</v>
      </c>
    </row>
    <row r="2270" customFormat="false" ht="14.25" hidden="false" customHeight="false" outlineLevel="0" collapsed="false">
      <c r="A2270" s="8" t="n">
        <v>2269</v>
      </c>
      <c r="B2270" s="8" t="s">
        <v>40</v>
      </c>
      <c r="C2270" s="8" t="s">
        <v>10</v>
      </c>
      <c r="D2270" s="9" t="n">
        <v>44449</v>
      </c>
      <c r="E2270" s="10" t="n">
        <v>7121.83</v>
      </c>
      <c r="F2270" s="8" t="s">
        <v>11</v>
      </c>
      <c r="G2270" s="8" t="s">
        <v>30</v>
      </c>
      <c r="H2270" s="11" t="s">
        <v>31</v>
      </c>
      <c r="I2270" s="8" t="s">
        <v>19</v>
      </c>
    </row>
    <row r="2271" customFormat="false" ht="14.25" hidden="false" customHeight="false" outlineLevel="0" collapsed="false">
      <c r="A2271" s="8" t="n">
        <v>2270</v>
      </c>
      <c r="B2271" s="8" t="s">
        <v>49</v>
      </c>
      <c r="C2271" s="8" t="s">
        <v>16</v>
      </c>
      <c r="D2271" s="9" t="n">
        <v>44449</v>
      </c>
      <c r="E2271" s="10" t="n">
        <v>7261.48</v>
      </c>
      <c r="F2271" s="8" t="s">
        <v>11</v>
      </c>
      <c r="G2271" s="8" t="s">
        <v>17</v>
      </c>
      <c r="H2271" s="11" t="s">
        <v>18</v>
      </c>
      <c r="I2271" s="8" t="s">
        <v>14</v>
      </c>
    </row>
    <row r="2272" customFormat="false" ht="14.25" hidden="false" customHeight="false" outlineLevel="0" collapsed="false">
      <c r="A2272" s="8" t="n">
        <v>2271</v>
      </c>
      <c r="B2272" s="8" t="s">
        <v>181</v>
      </c>
      <c r="C2272" s="8" t="s">
        <v>28</v>
      </c>
      <c r="D2272" s="9" t="n">
        <v>44450</v>
      </c>
      <c r="E2272" s="10" t="n">
        <v>7138</v>
      </c>
      <c r="F2272" s="8" t="s">
        <v>11</v>
      </c>
      <c r="G2272" s="8" t="s">
        <v>12</v>
      </c>
      <c r="H2272" s="11" t="s">
        <v>13</v>
      </c>
      <c r="I2272" s="8" t="s">
        <v>14</v>
      </c>
    </row>
    <row r="2273" customFormat="false" ht="14.25" hidden="false" customHeight="false" outlineLevel="0" collapsed="false">
      <c r="A2273" s="8" t="n">
        <v>2272</v>
      </c>
      <c r="B2273" s="8" t="s">
        <v>145</v>
      </c>
      <c r="C2273" s="8" t="s">
        <v>10</v>
      </c>
      <c r="D2273" s="9" t="n">
        <v>44450</v>
      </c>
      <c r="E2273" s="10" t="n">
        <v>7081.23</v>
      </c>
      <c r="F2273" s="8" t="s">
        <v>11</v>
      </c>
      <c r="G2273" s="8" t="s">
        <v>12</v>
      </c>
      <c r="H2273" s="11" t="s">
        <v>13</v>
      </c>
      <c r="I2273" s="8" t="s">
        <v>26</v>
      </c>
    </row>
    <row r="2274" customFormat="false" ht="14.25" hidden="false" customHeight="false" outlineLevel="0" collapsed="false">
      <c r="A2274" s="8" t="n">
        <v>2273</v>
      </c>
      <c r="B2274" s="8" t="s">
        <v>250</v>
      </c>
      <c r="C2274" s="8" t="s">
        <v>21</v>
      </c>
      <c r="D2274" s="9" t="n">
        <v>44451</v>
      </c>
      <c r="E2274" s="10" t="n">
        <v>154382.75</v>
      </c>
      <c r="F2274" s="8" t="s">
        <v>11</v>
      </c>
      <c r="G2274" s="8" t="s">
        <v>17</v>
      </c>
      <c r="H2274" s="11" t="s">
        <v>18</v>
      </c>
      <c r="I2274" s="8" t="s">
        <v>26</v>
      </c>
    </row>
    <row r="2275" customFormat="false" ht="14.25" hidden="false" customHeight="false" outlineLevel="0" collapsed="false">
      <c r="A2275" s="8" t="n">
        <v>2274</v>
      </c>
      <c r="B2275" s="8" t="s">
        <v>236</v>
      </c>
      <c r="C2275" s="8" t="s">
        <v>28</v>
      </c>
      <c r="D2275" s="9" t="n">
        <v>44451</v>
      </c>
      <c r="E2275" s="10" t="n">
        <v>7738.77</v>
      </c>
      <c r="F2275" s="8" t="s">
        <v>11</v>
      </c>
      <c r="G2275" s="8" t="s">
        <v>17</v>
      </c>
      <c r="H2275" s="11" t="s">
        <v>18</v>
      </c>
      <c r="I2275" s="8" t="s">
        <v>26</v>
      </c>
    </row>
    <row r="2276" customFormat="false" ht="14.25" hidden="false" customHeight="false" outlineLevel="0" collapsed="false">
      <c r="A2276" s="8" t="n">
        <v>2275</v>
      </c>
      <c r="B2276" s="8" t="s">
        <v>15</v>
      </c>
      <c r="C2276" s="8" t="s">
        <v>28</v>
      </c>
      <c r="D2276" s="9" t="n">
        <v>44451</v>
      </c>
      <c r="E2276" s="10" t="n">
        <v>6665.02</v>
      </c>
      <c r="F2276" s="8" t="s">
        <v>11</v>
      </c>
      <c r="G2276" s="8" t="s">
        <v>12</v>
      </c>
      <c r="H2276" s="11" t="s">
        <v>13</v>
      </c>
      <c r="I2276" s="8" t="s">
        <v>26</v>
      </c>
    </row>
    <row r="2277" customFormat="false" ht="14.25" hidden="false" customHeight="false" outlineLevel="0" collapsed="false">
      <c r="A2277" s="8" t="n">
        <v>2276</v>
      </c>
      <c r="B2277" s="8" t="s">
        <v>15</v>
      </c>
      <c r="C2277" s="8" t="s">
        <v>10</v>
      </c>
      <c r="D2277" s="9" t="n">
        <v>44451</v>
      </c>
      <c r="E2277" s="10" t="n">
        <v>6916.24</v>
      </c>
      <c r="F2277" s="8" t="s">
        <v>11</v>
      </c>
      <c r="G2277" s="8" t="s">
        <v>12</v>
      </c>
      <c r="H2277" s="11" t="s">
        <v>13</v>
      </c>
      <c r="I2277" s="8" t="s">
        <v>26</v>
      </c>
    </row>
    <row r="2278" customFormat="false" ht="14.25" hidden="false" customHeight="false" outlineLevel="0" collapsed="false">
      <c r="A2278" s="8" t="n">
        <v>2277</v>
      </c>
      <c r="B2278" s="8" t="s">
        <v>136</v>
      </c>
      <c r="C2278" s="8" t="s">
        <v>10</v>
      </c>
      <c r="D2278" s="9" t="n">
        <v>44451</v>
      </c>
      <c r="E2278" s="10" t="n">
        <v>6588.93</v>
      </c>
      <c r="F2278" s="8" t="s">
        <v>11</v>
      </c>
      <c r="G2278" s="8" t="s">
        <v>36</v>
      </c>
      <c r="H2278" s="11" t="s">
        <v>37</v>
      </c>
      <c r="I2278" s="8" t="s">
        <v>26</v>
      </c>
    </row>
    <row r="2279" customFormat="false" ht="14.25" hidden="false" customHeight="false" outlineLevel="0" collapsed="false">
      <c r="A2279" s="8" t="n">
        <v>2278</v>
      </c>
      <c r="B2279" s="8" t="s">
        <v>136</v>
      </c>
      <c r="C2279" s="8" t="s">
        <v>28</v>
      </c>
      <c r="D2279" s="9" t="n">
        <v>44451</v>
      </c>
      <c r="E2279" s="10" t="n">
        <v>6569.3</v>
      </c>
      <c r="F2279" s="8" t="s">
        <v>11</v>
      </c>
      <c r="G2279" s="8" t="s">
        <v>17</v>
      </c>
      <c r="H2279" s="11" t="s">
        <v>18</v>
      </c>
      <c r="I2279" s="8" t="s">
        <v>14</v>
      </c>
    </row>
    <row r="2280" customFormat="false" ht="14.25" hidden="false" customHeight="false" outlineLevel="0" collapsed="false">
      <c r="A2280" s="8" t="n">
        <v>2279</v>
      </c>
      <c r="B2280" s="8" t="s">
        <v>136</v>
      </c>
      <c r="C2280" s="8" t="s">
        <v>10</v>
      </c>
      <c r="D2280" s="9" t="n">
        <v>44451</v>
      </c>
      <c r="E2280" s="10" t="n">
        <v>7563.99</v>
      </c>
      <c r="F2280" s="8" t="s">
        <v>11</v>
      </c>
      <c r="G2280" s="8" t="s">
        <v>30</v>
      </c>
      <c r="H2280" s="11" t="s">
        <v>31</v>
      </c>
      <c r="I2280" s="8" t="s">
        <v>14</v>
      </c>
    </row>
    <row r="2281" customFormat="false" ht="14.25" hidden="false" customHeight="false" outlineLevel="0" collapsed="false">
      <c r="A2281" s="8" t="n">
        <v>2280</v>
      </c>
      <c r="B2281" s="8" t="s">
        <v>136</v>
      </c>
      <c r="C2281" s="8" t="s">
        <v>21</v>
      </c>
      <c r="D2281" s="9" t="n">
        <v>44451</v>
      </c>
      <c r="E2281" s="10" t="n">
        <v>-6720.46</v>
      </c>
      <c r="F2281" s="8" t="s">
        <v>34</v>
      </c>
      <c r="G2281" s="8" t="s">
        <v>17</v>
      </c>
      <c r="H2281" s="11" t="s">
        <v>18</v>
      </c>
      <c r="I2281" s="8" t="s">
        <v>14</v>
      </c>
    </row>
    <row r="2282" customFormat="false" ht="14.25" hidden="false" customHeight="false" outlineLevel="0" collapsed="false">
      <c r="A2282" s="8" t="n">
        <v>2281</v>
      </c>
      <c r="B2282" s="8" t="s">
        <v>136</v>
      </c>
      <c r="C2282" s="8" t="s">
        <v>10</v>
      </c>
      <c r="D2282" s="9" t="n">
        <v>44451</v>
      </c>
      <c r="E2282" s="10" t="n">
        <v>-7242.62</v>
      </c>
      <c r="F2282" s="8" t="s">
        <v>34</v>
      </c>
      <c r="G2282" s="8" t="s">
        <v>12</v>
      </c>
      <c r="H2282" s="11" t="s">
        <v>13</v>
      </c>
      <c r="I2282" s="8" t="s">
        <v>14</v>
      </c>
    </row>
    <row r="2283" customFormat="false" ht="14.25" hidden="false" customHeight="false" outlineLevel="0" collapsed="false">
      <c r="A2283" s="8" t="n">
        <v>2282</v>
      </c>
      <c r="B2283" s="8" t="s">
        <v>189</v>
      </c>
      <c r="C2283" s="8" t="s">
        <v>10</v>
      </c>
      <c r="D2283" s="9" t="n">
        <v>44452</v>
      </c>
      <c r="E2283" s="10" t="n">
        <v>-7479.33</v>
      </c>
      <c r="F2283" s="8" t="s">
        <v>34</v>
      </c>
      <c r="G2283" s="8" t="s">
        <v>17</v>
      </c>
      <c r="H2283" s="11" t="s">
        <v>18</v>
      </c>
      <c r="I2283" s="8" t="s">
        <v>14</v>
      </c>
    </row>
    <row r="2284" customFormat="false" ht="14.25" hidden="false" customHeight="false" outlineLevel="0" collapsed="false">
      <c r="A2284" s="8" t="n">
        <v>2283</v>
      </c>
      <c r="B2284" s="8" t="s">
        <v>185</v>
      </c>
      <c r="C2284" s="8" t="s">
        <v>28</v>
      </c>
      <c r="D2284" s="9" t="n">
        <v>44452</v>
      </c>
      <c r="E2284" s="10" t="n">
        <v>-11393.73</v>
      </c>
      <c r="F2284" s="8" t="s">
        <v>34</v>
      </c>
      <c r="G2284" s="8" t="s">
        <v>12</v>
      </c>
      <c r="H2284" s="11" t="s">
        <v>13</v>
      </c>
      <c r="I2284" s="8" t="s">
        <v>26</v>
      </c>
    </row>
    <row r="2285" customFormat="false" ht="14.25" hidden="false" customHeight="false" outlineLevel="0" collapsed="false">
      <c r="A2285" s="8" t="n">
        <v>2284</v>
      </c>
      <c r="B2285" s="8" t="s">
        <v>188</v>
      </c>
      <c r="C2285" s="8" t="s">
        <v>10</v>
      </c>
      <c r="D2285" s="9" t="n">
        <v>44452</v>
      </c>
      <c r="E2285" s="10" t="n">
        <v>145627.07</v>
      </c>
      <c r="F2285" s="8" t="s">
        <v>11</v>
      </c>
      <c r="G2285" s="8" t="s">
        <v>17</v>
      </c>
      <c r="H2285" s="11" t="s">
        <v>18</v>
      </c>
      <c r="I2285" s="8" t="s">
        <v>19</v>
      </c>
    </row>
    <row r="2286" customFormat="false" ht="14.25" hidden="false" customHeight="false" outlineLevel="0" collapsed="false">
      <c r="A2286" s="8" t="n">
        <v>2285</v>
      </c>
      <c r="B2286" s="8" t="s">
        <v>251</v>
      </c>
      <c r="C2286" s="8" t="s">
        <v>16</v>
      </c>
      <c r="D2286" s="9" t="n">
        <v>44452</v>
      </c>
      <c r="E2286" s="10" t="n">
        <v>188667.22</v>
      </c>
      <c r="F2286" s="8" t="s">
        <v>11</v>
      </c>
      <c r="G2286" s="8" t="s">
        <v>12</v>
      </c>
      <c r="H2286" s="11" t="s">
        <v>13</v>
      </c>
      <c r="I2286" s="8" t="s">
        <v>14</v>
      </c>
    </row>
    <row r="2287" customFormat="false" ht="14.25" hidden="false" customHeight="false" outlineLevel="0" collapsed="false">
      <c r="A2287" s="8" t="n">
        <v>2286</v>
      </c>
      <c r="B2287" s="8" t="s">
        <v>208</v>
      </c>
      <c r="C2287" s="8" t="s">
        <v>28</v>
      </c>
      <c r="D2287" s="9" t="n">
        <v>44452</v>
      </c>
      <c r="E2287" s="10" t="n">
        <v>-10147.34</v>
      </c>
      <c r="F2287" s="8" t="s">
        <v>34</v>
      </c>
      <c r="G2287" s="8" t="s">
        <v>12</v>
      </c>
      <c r="H2287" s="11" t="s">
        <v>13</v>
      </c>
      <c r="I2287" s="8" t="s">
        <v>14</v>
      </c>
    </row>
    <row r="2288" customFormat="false" ht="14.25" hidden="false" customHeight="false" outlineLevel="0" collapsed="false">
      <c r="A2288" s="8" t="n">
        <v>2287</v>
      </c>
      <c r="B2288" s="8" t="s">
        <v>235</v>
      </c>
      <c r="C2288" s="8" t="s">
        <v>10</v>
      </c>
      <c r="D2288" s="9" t="n">
        <v>44452</v>
      </c>
      <c r="E2288" s="10" t="n">
        <v>-11464.57</v>
      </c>
      <c r="F2288" s="8" t="s">
        <v>34</v>
      </c>
      <c r="G2288" s="8" t="s">
        <v>12</v>
      </c>
      <c r="H2288" s="11" t="s">
        <v>13</v>
      </c>
      <c r="I2288" s="8" t="s">
        <v>14</v>
      </c>
    </row>
    <row r="2289" customFormat="false" ht="14.25" hidden="false" customHeight="false" outlineLevel="0" collapsed="false">
      <c r="A2289" s="8" t="n">
        <v>2288</v>
      </c>
      <c r="B2289" s="8" t="s">
        <v>222</v>
      </c>
      <c r="C2289" s="8" t="s">
        <v>16</v>
      </c>
      <c r="D2289" s="9" t="n">
        <v>44452</v>
      </c>
      <c r="E2289" s="10" t="n">
        <v>-6599.15</v>
      </c>
      <c r="F2289" s="8" t="s">
        <v>34</v>
      </c>
      <c r="G2289" s="8" t="s">
        <v>12</v>
      </c>
      <c r="H2289" s="11" t="s">
        <v>13</v>
      </c>
      <c r="I2289" s="8" t="s">
        <v>14</v>
      </c>
    </row>
    <row r="2290" customFormat="false" ht="14.25" hidden="false" customHeight="false" outlineLevel="0" collapsed="false">
      <c r="A2290" s="8" t="n">
        <v>2289</v>
      </c>
      <c r="B2290" s="8" t="s">
        <v>222</v>
      </c>
      <c r="C2290" s="8" t="s">
        <v>21</v>
      </c>
      <c r="D2290" s="9" t="n">
        <v>44452</v>
      </c>
      <c r="E2290" s="10" t="n">
        <v>-3017.35</v>
      </c>
      <c r="F2290" s="8" t="s">
        <v>34</v>
      </c>
      <c r="G2290" s="8" t="s">
        <v>12</v>
      </c>
      <c r="H2290" s="11" t="s">
        <v>13</v>
      </c>
      <c r="I2290" s="8" t="s">
        <v>14</v>
      </c>
    </row>
    <row r="2291" customFormat="false" ht="14.25" hidden="false" customHeight="false" outlineLevel="0" collapsed="false">
      <c r="A2291" s="8" t="n">
        <v>2290</v>
      </c>
      <c r="B2291" s="8" t="s">
        <v>41</v>
      </c>
      <c r="C2291" s="8" t="s">
        <v>21</v>
      </c>
      <c r="D2291" s="9" t="n">
        <v>44452</v>
      </c>
      <c r="E2291" s="10" t="n">
        <v>125331.6</v>
      </c>
      <c r="F2291" s="8" t="s">
        <v>11</v>
      </c>
      <c r="G2291" s="8" t="s">
        <v>36</v>
      </c>
      <c r="H2291" s="11" t="s">
        <v>37</v>
      </c>
      <c r="I2291" s="8" t="s">
        <v>26</v>
      </c>
    </row>
    <row r="2292" customFormat="false" ht="14.25" hidden="false" customHeight="false" outlineLevel="0" collapsed="false">
      <c r="A2292" s="8" t="n">
        <v>2291</v>
      </c>
      <c r="B2292" s="8" t="s">
        <v>182</v>
      </c>
      <c r="C2292" s="8" t="s">
        <v>21</v>
      </c>
      <c r="D2292" s="9" t="n">
        <v>44452</v>
      </c>
      <c r="E2292" s="10" t="n">
        <v>15339.38</v>
      </c>
      <c r="F2292" s="8" t="s">
        <v>11</v>
      </c>
      <c r="G2292" s="8" t="s">
        <v>12</v>
      </c>
      <c r="H2292" s="11" t="s">
        <v>13</v>
      </c>
      <c r="I2292" s="8" t="s">
        <v>14</v>
      </c>
    </row>
    <row r="2293" customFormat="false" ht="14.25" hidden="false" customHeight="false" outlineLevel="0" collapsed="false">
      <c r="A2293" s="8" t="n">
        <v>2292</v>
      </c>
      <c r="B2293" s="8" t="s">
        <v>166</v>
      </c>
      <c r="C2293" s="8" t="s">
        <v>10</v>
      </c>
      <c r="D2293" s="9" t="n">
        <v>44452</v>
      </c>
      <c r="E2293" s="10" t="n">
        <v>20266.5</v>
      </c>
      <c r="F2293" s="8" t="s">
        <v>11</v>
      </c>
      <c r="G2293" s="8" t="s">
        <v>17</v>
      </c>
      <c r="H2293" s="11" t="s">
        <v>18</v>
      </c>
      <c r="I2293" s="8" t="s">
        <v>26</v>
      </c>
    </row>
    <row r="2294" customFormat="false" ht="14.25" hidden="false" customHeight="false" outlineLevel="0" collapsed="false">
      <c r="A2294" s="8" t="n">
        <v>2293</v>
      </c>
      <c r="B2294" s="8" t="s">
        <v>211</v>
      </c>
      <c r="C2294" s="8" t="s">
        <v>16</v>
      </c>
      <c r="D2294" s="9" t="n">
        <v>44452</v>
      </c>
      <c r="E2294" s="10" t="n">
        <v>180355.32</v>
      </c>
      <c r="F2294" s="8" t="s">
        <v>11</v>
      </c>
      <c r="G2294" s="8" t="s">
        <v>30</v>
      </c>
      <c r="H2294" s="11" t="s">
        <v>31</v>
      </c>
      <c r="I2294" s="8" t="s">
        <v>14</v>
      </c>
    </row>
    <row r="2295" customFormat="false" ht="14.25" hidden="false" customHeight="false" outlineLevel="0" collapsed="false">
      <c r="A2295" s="8" t="n">
        <v>2294</v>
      </c>
      <c r="B2295" s="8" t="s">
        <v>210</v>
      </c>
      <c r="C2295" s="8" t="s">
        <v>16</v>
      </c>
      <c r="D2295" s="9" t="n">
        <v>44453</v>
      </c>
      <c r="E2295" s="10" t="n">
        <v>17122.84</v>
      </c>
      <c r="F2295" s="8" t="s">
        <v>11</v>
      </c>
      <c r="G2295" s="8" t="s">
        <v>12</v>
      </c>
      <c r="H2295" s="11" t="s">
        <v>13</v>
      </c>
      <c r="I2295" s="8" t="s">
        <v>26</v>
      </c>
    </row>
    <row r="2296" customFormat="false" ht="14.25" hidden="false" customHeight="false" outlineLevel="0" collapsed="false">
      <c r="A2296" s="8" t="n">
        <v>2295</v>
      </c>
      <c r="B2296" s="8" t="s">
        <v>193</v>
      </c>
      <c r="C2296" s="8" t="s">
        <v>28</v>
      </c>
      <c r="D2296" s="9" t="n">
        <v>44453</v>
      </c>
      <c r="E2296" s="10" t="n">
        <v>20266.5</v>
      </c>
      <c r="F2296" s="8" t="s">
        <v>11</v>
      </c>
      <c r="G2296" s="8" t="s">
        <v>36</v>
      </c>
      <c r="H2296" s="11" t="s">
        <v>37</v>
      </c>
      <c r="I2296" s="8" t="s">
        <v>26</v>
      </c>
    </row>
    <row r="2297" customFormat="false" ht="14.25" hidden="false" customHeight="false" outlineLevel="0" collapsed="false">
      <c r="A2297" s="8" t="n">
        <v>2296</v>
      </c>
      <c r="B2297" s="8" t="s">
        <v>176</v>
      </c>
      <c r="C2297" s="8" t="s">
        <v>21</v>
      </c>
      <c r="D2297" s="9" t="n">
        <v>44453</v>
      </c>
      <c r="E2297" s="10" t="n">
        <v>20266.5</v>
      </c>
      <c r="F2297" s="8" t="s">
        <v>11</v>
      </c>
      <c r="G2297" s="8" t="s">
        <v>30</v>
      </c>
      <c r="H2297" s="11" t="s">
        <v>31</v>
      </c>
      <c r="I2297" s="8" t="s">
        <v>19</v>
      </c>
    </row>
    <row r="2298" customFormat="false" ht="14.25" hidden="false" customHeight="false" outlineLevel="0" collapsed="false">
      <c r="A2298" s="8" t="n">
        <v>2297</v>
      </c>
      <c r="B2298" s="8" t="s">
        <v>62</v>
      </c>
      <c r="C2298" s="8" t="s">
        <v>10</v>
      </c>
      <c r="D2298" s="9" t="n">
        <v>44453</v>
      </c>
      <c r="E2298" s="10" t="n">
        <v>16114.67</v>
      </c>
      <c r="F2298" s="8" t="s">
        <v>11</v>
      </c>
      <c r="G2298" s="8" t="s">
        <v>12</v>
      </c>
      <c r="H2298" s="11" t="s">
        <v>13</v>
      </c>
      <c r="I2298" s="8" t="s">
        <v>14</v>
      </c>
    </row>
    <row r="2299" customFormat="false" ht="14.25" hidden="false" customHeight="false" outlineLevel="0" collapsed="false">
      <c r="A2299" s="8" t="n">
        <v>2298</v>
      </c>
      <c r="B2299" s="8" t="s">
        <v>62</v>
      </c>
      <c r="C2299" s="8" t="s">
        <v>28</v>
      </c>
      <c r="D2299" s="9" t="n">
        <v>44453</v>
      </c>
      <c r="E2299" s="10" t="n">
        <v>-13481.83</v>
      </c>
      <c r="F2299" s="8" t="s">
        <v>34</v>
      </c>
      <c r="G2299" s="8" t="s">
        <v>30</v>
      </c>
      <c r="H2299" s="11" t="s">
        <v>31</v>
      </c>
      <c r="I2299" s="8" t="s">
        <v>14</v>
      </c>
    </row>
    <row r="2300" customFormat="false" ht="14.25" hidden="false" customHeight="false" outlineLevel="0" collapsed="false">
      <c r="A2300" s="8" t="n">
        <v>2299</v>
      </c>
      <c r="B2300" s="8" t="s">
        <v>62</v>
      </c>
      <c r="C2300" s="8" t="s">
        <v>21</v>
      </c>
      <c r="D2300" s="9" t="n">
        <v>44453</v>
      </c>
      <c r="E2300" s="10" t="n">
        <v>-3300.68</v>
      </c>
      <c r="F2300" s="8" t="s">
        <v>34</v>
      </c>
      <c r="G2300" s="8" t="s">
        <v>17</v>
      </c>
      <c r="H2300" s="11" t="s">
        <v>18</v>
      </c>
      <c r="I2300" s="8" t="s">
        <v>14</v>
      </c>
    </row>
    <row r="2301" customFormat="false" ht="14.25" hidden="false" customHeight="false" outlineLevel="0" collapsed="false">
      <c r="A2301" s="8" t="n">
        <v>2300</v>
      </c>
      <c r="B2301" s="8" t="s">
        <v>39</v>
      </c>
      <c r="C2301" s="8" t="s">
        <v>21</v>
      </c>
      <c r="D2301" s="9" t="n">
        <v>44453</v>
      </c>
      <c r="E2301" s="10" t="n">
        <v>-10194.77</v>
      </c>
      <c r="F2301" s="8" t="s">
        <v>34</v>
      </c>
      <c r="G2301" s="8" t="s">
        <v>12</v>
      </c>
      <c r="H2301" s="11" t="s">
        <v>13</v>
      </c>
      <c r="I2301" s="8" t="s">
        <v>14</v>
      </c>
    </row>
    <row r="2302" customFormat="false" ht="14.25" hidden="false" customHeight="false" outlineLevel="0" collapsed="false">
      <c r="A2302" s="8" t="n">
        <v>2301</v>
      </c>
      <c r="B2302" s="8" t="s">
        <v>62</v>
      </c>
      <c r="C2302" s="8" t="s">
        <v>28</v>
      </c>
      <c r="D2302" s="9" t="n">
        <v>44453</v>
      </c>
      <c r="E2302" s="10" t="n">
        <v>10659.44</v>
      </c>
      <c r="F2302" s="8" t="s">
        <v>11</v>
      </c>
      <c r="G2302" s="8" t="s">
        <v>12</v>
      </c>
      <c r="H2302" s="11" t="s">
        <v>13</v>
      </c>
      <c r="I2302" s="8" t="s">
        <v>14</v>
      </c>
    </row>
    <row r="2303" customFormat="false" ht="14.25" hidden="false" customHeight="false" outlineLevel="0" collapsed="false">
      <c r="A2303" s="8" t="n">
        <v>2302</v>
      </c>
      <c r="B2303" s="8" t="s">
        <v>62</v>
      </c>
      <c r="C2303" s="8" t="s">
        <v>16</v>
      </c>
      <c r="D2303" s="9" t="n">
        <v>44453</v>
      </c>
      <c r="E2303" s="10" t="n">
        <v>1034.03</v>
      </c>
      <c r="F2303" s="8" t="s">
        <v>11</v>
      </c>
      <c r="G2303" s="8" t="s">
        <v>12</v>
      </c>
      <c r="H2303" s="11" t="s">
        <v>13</v>
      </c>
      <c r="I2303" s="8" t="s">
        <v>26</v>
      </c>
    </row>
    <row r="2304" customFormat="false" ht="14.25" hidden="false" customHeight="false" outlineLevel="0" collapsed="false">
      <c r="A2304" s="8" t="n">
        <v>2303</v>
      </c>
      <c r="B2304" s="8" t="s">
        <v>252</v>
      </c>
      <c r="C2304" s="8" t="s">
        <v>10</v>
      </c>
      <c r="D2304" s="9" t="n">
        <v>44456</v>
      </c>
      <c r="E2304" s="10" t="n">
        <v>1165.46</v>
      </c>
      <c r="F2304" s="8" t="s">
        <v>11</v>
      </c>
      <c r="G2304" s="8" t="s">
        <v>17</v>
      </c>
      <c r="H2304" s="11" t="s">
        <v>18</v>
      </c>
      <c r="I2304" s="8" t="s">
        <v>19</v>
      </c>
    </row>
    <row r="2305" customFormat="false" ht="14.25" hidden="false" customHeight="false" outlineLevel="0" collapsed="false">
      <c r="A2305" s="8" t="n">
        <v>2304</v>
      </c>
      <c r="B2305" s="8" t="s">
        <v>253</v>
      </c>
      <c r="C2305" s="8" t="s">
        <v>28</v>
      </c>
      <c r="D2305" s="9" t="n">
        <v>44456</v>
      </c>
      <c r="E2305" s="10" t="n">
        <v>9554.34</v>
      </c>
      <c r="F2305" s="8" t="s">
        <v>11</v>
      </c>
      <c r="G2305" s="8" t="s">
        <v>12</v>
      </c>
      <c r="H2305" s="11" t="s">
        <v>13</v>
      </c>
      <c r="I2305" s="8" t="s">
        <v>14</v>
      </c>
    </row>
    <row r="2306" customFormat="false" ht="14.25" hidden="false" customHeight="false" outlineLevel="0" collapsed="false">
      <c r="A2306" s="8" t="n">
        <v>2305</v>
      </c>
      <c r="B2306" s="8" t="s">
        <v>254</v>
      </c>
      <c r="C2306" s="8" t="s">
        <v>10</v>
      </c>
      <c r="D2306" s="9" t="n">
        <v>44456</v>
      </c>
      <c r="E2306" s="10" t="n">
        <v>21777.41</v>
      </c>
      <c r="F2306" s="8" t="s">
        <v>11</v>
      </c>
      <c r="G2306" s="8" t="s">
        <v>17</v>
      </c>
      <c r="H2306" s="11" t="s">
        <v>18</v>
      </c>
      <c r="I2306" s="8" t="s">
        <v>26</v>
      </c>
    </row>
    <row r="2307" customFormat="false" ht="14.25" hidden="false" customHeight="false" outlineLevel="0" collapsed="false">
      <c r="A2307" s="8" t="n">
        <v>2306</v>
      </c>
      <c r="B2307" s="8" t="s">
        <v>255</v>
      </c>
      <c r="C2307" s="8" t="s">
        <v>21</v>
      </c>
      <c r="D2307" s="9" t="n">
        <v>44456</v>
      </c>
      <c r="E2307" s="10" t="n">
        <v>1141.37</v>
      </c>
      <c r="F2307" s="8" t="s">
        <v>11</v>
      </c>
      <c r="G2307" s="8" t="s">
        <v>17</v>
      </c>
      <c r="H2307" s="11" t="s">
        <v>18</v>
      </c>
      <c r="I2307" s="8" t="s">
        <v>19</v>
      </c>
    </row>
    <row r="2308" customFormat="false" ht="14.25" hidden="false" customHeight="false" outlineLevel="0" collapsed="false">
      <c r="A2308" s="8" t="n">
        <v>2307</v>
      </c>
      <c r="B2308" s="8" t="s">
        <v>256</v>
      </c>
      <c r="C2308" s="8" t="s">
        <v>21</v>
      </c>
      <c r="D2308" s="9" t="n">
        <v>44456</v>
      </c>
      <c r="E2308" s="10" t="n">
        <v>8992.32</v>
      </c>
      <c r="F2308" s="8" t="s">
        <v>11</v>
      </c>
      <c r="G2308" s="8" t="s">
        <v>22</v>
      </c>
      <c r="H2308" s="11" t="s">
        <v>23</v>
      </c>
      <c r="I2308" s="8" t="s">
        <v>26</v>
      </c>
    </row>
    <row r="2309" customFormat="false" ht="14.25" hidden="false" customHeight="false" outlineLevel="0" collapsed="false">
      <c r="A2309" s="8" t="n">
        <v>2308</v>
      </c>
      <c r="B2309" s="8" t="s">
        <v>105</v>
      </c>
      <c r="C2309" s="8" t="s">
        <v>16</v>
      </c>
      <c r="D2309" s="9" t="n">
        <v>44456</v>
      </c>
      <c r="E2309" s="10" t="n">
        <v>21777.41</v>
      </c>
      <c r="F2309" s="8" t="s">
        <v>11</v>
      </c>
      <c r="G2309" s="8" t="s">
        <v>30</v>
      </c>
      <c r="H2309" s="11" t="s">
        <v>31</v>
      </c>
      <c r="I2309" s="8" t="s">
        <v>26</v>
      </c>
    </row>
    <row r="2310" customFormat="false" ht="14.25" hidden="false" customHeight="false" outlineLevel="0" collapsed="false">
      <c r="A2310" s="8" t="n">
        <v>2309</v>
      </c>
      <c r="B2310" s="8" t="s">
        <v>257</v>
      </c>
      <c r="C2310" s="8" t="s">
        <v>10</v>
      </c>
      <c r="D2310" s="9" t="n">
        <v>44456</v>
      </c>
      <c r="E2310" s="10" t="n">
        <v>1152.45</v>
      </c>
      <c r="F2310" s="8" t="s">
        <v>11</v>
      </c>
      <c r="G2310" s="8" t="s">
        <v>12</v>
      </c>
      <c r="H2310" s="11" t="s">
        <v>13</v>
      </c>
      <c r="I2310" s="8" t="s">
        <v>24</v>
      </c>
    </row>
    <row r="2311" customFormat="false" ht="14.25" hidden="false" customHeight="false" outlineLevel="0" collapsed="false">
      <c r="A2311" s="8" t="n">
        <v>2310</v>
      </c>
      <c r="B2311" s="8" t="s">
        <v>258</v>
      </c>
      <c r="C2311" s="8" t="s">
        <v>21</v>
      </c>
      <c r="D2311" s="9" t="n">
        <v>44456</v>
      </c>
      <c r="E2311" s="10" t="n">
        <v>21777.41</v>
      </c>
      <c r="F2311" s="8" t="s">
        <v>11</v>
      </c>
      <c r="G2311" s="8" t="s">
        <v>17</v>
      </c>
      <c r="H2311" s="11" t="s">
        <v>18</v>
      </c>
      <c r="I2311" s="8" t="s">
        <v>24</v>
      </c>
    </row>
    <row r="2312" customFormat="false" ht="14.25" hidden="false" customHeight="false" outlineLevel="0" collapsed="false">
      <c r="A2312" s="8" t="n">
        <v>2311</v>
      </c>
      <c r="B2312" s="8" t="s">
        <v>259</v>
      </c>
      <c r="C2312" s="8" t="s">
        <v>21</v>
      </c>
      <c r="D2312" s="9" t="n">
        <v>44456</v>
      </c>
      <c r="E2312" s="10" t="n">
        <v>1142.71</v>
      </c>
      <c r="F2312" s="8" t="s">
        <v>11</v>
      </c>
      <c r="G2312" s="8" t="s">
        <v>12</v>
      </c>
      <c r="H2312" s="11" t="s">
        <v>13</v>
      </c>
      <c r="I2312" s="8" t="s">
        <v>14</v>
      </c>
    </row>
    <row r="2313" customFormat="false" ht="14.25" hidden="false" customHeight="false" outlineLevel="0" collapsed="false">
      <c r="A2313" s="8" t="n">
        <v>2312</v>
      </c>
      <c r="B2313" s="8" t="s">
        <v>260</v>
      </c>
      <c r="C2313" s="8" t="s">
        <v>21</v>
      </c>
      <c r="D2313" s="9" t="n">
        <v>44456</v>
      </c>
      <c r="E2313" s="10" t="n">
        <v>9847.06</v>
      </c>
      <c r="F2313" s="8" t="s">
        <v>11</v>
      </c>
      <c r="G2313" s="8" t="s">
        <v>12</v>
      </c>
      <c r="H2313" s="11" t="s">
        <v>13</v>
      </c>
      <c r="I2313" s="8" t="s">
        <v>14</v>
      </c>
    </row>
    <row r="2314" customFormat="false" ht="14.25" hidden="false" customHeight="false" outlineLevel="0" collapsed="false">
      <c r="A2314" s="8" t="n">
        <v>2313</v>
      </c>
      <c r="B2314" s="8" t="s">
        <v>261</v>
      </c>
      <c r="C2314" s="8" t="s">
        <v>10</v>
      </c>
      <c r="D2314" s="9" t="n">
        <v>44456</v>
      </c>
      <c r="E2314" s="10" t="n">
        <v>10354.89</v>
      </c>
      <c r="F2314" s="8" t="s">
        <v>11</v>
      </c>
      <c r="G2314" s="8" t="s">
        <v>12</v>
      </c>
      <c r="H2314" s="11" t="s">
        <v>13</v>
      </c>
      <c r="I2314" s="8" t="s">
        <v>14</v>
      </c>
    </row>
    <row r="2315" customFormat="false" ht="14.25" hidden="false" customHeight="false" outlineLevel="0" collapsed="false">
      <c r="A2315" s="8" t="n">
        <v>2314</v>
      </c>
      <c r="B2315" s="8" t="s">
        <v>262</v>
      </c>
      <c r="C2315" s="8" t="s">
        <v>10</v>
      </c>
      <c r="D2315" s="9" t="n">
        <v>44456</v>
      </c>
      <c r="E2315" s="10" t="n">
        <v>-18300.38</v>
      </c>
      <c r="F2315" s="8" t="s">
        <v>34</v>
      </c>
      <c r="G2315" s="8" t="s">
        <v>12</v>
      </c>
      <c r="H2315" s="11" t="s">
        <v>13</v>
      </c>
      <c r="I2315" s="8" t="s">
        <v>19</v>
      </c>
    </row>
    <row r="2316" customFormat="false" ht="14.25" hidden="false" customHeight="false" outlineLevel="0" collapsed="false">
      <c r="A2316" s="8" t="n">
        <v>2315</v>
      </c>
      <c r="B2316" s="8" t="s">
        <v>263</v>
      </c>
      <c r="C2316" s="8" t="s">
        <v>21</v>
      </c>
      <c r="D2316" s="9" t="n">
        <v>44456</v>
      </c>
      <c r="E2316" s="10" t="n">
        <v>178214.4</v>
      </c>
      <c r="F2316" s="8" t="s">
        <v>11</v>
      </c>
      <c r="G2316" s="8" t="s">
        <v>12</v>
      </c>
      <c r="H2316" s="11" t="s">
        <v>13</v>
      </c>
      <c r="I2316" s="8" t="s">
        <v>19</v>
      </c>
    </row>
    <row r="2317" customFormat="false" ht="14.25" hidden="false" customHeight="false" outlineLevel="0" collapsed="false">
      <c r="A2317" s="8" t="n">
        <v>2316</v>
      </c>
      <c r="B2317" s="8" t="s">
        <v>264</v>
      </c>
      <c r="C2317" s="8" t="s">
        <v>10</v>
      </c>
      <c r="D2317" s="9" t="n">
        <v>44456</v>
      </c>
      <c r="E2317" s="10" t="n">
        <v>10388.56</v>
      </c>
      <c r="F2317" s="8" t="s">
        <v>11</v>
      </c>
      <c r="G2317" s="8" t="s">
        <v>22</v>
      </c>
      <c r="H2317" s="11" t="s">
        <v>23</v>
      </c>
      <c r="I2317" s="8" t="s">
        <v>26</v>
      </c>
    </row>
    <row r="2318" customFormat="false" ht="14.25" hidden="false" customHeight="false" outlineLevel="0" collapsed="false">
      <c r="A2318" s="8" t="n">
        <v>2317</v>
      </c>
      <c r="B2318" s="8" t="s">
        <v>265</v>
      </c>
      <c r="C2318" s="8" t="s">
        <v>21</v>
      </c>
      <c r="D2318" s="9" t="n">
        <v>44456</v>
      </c>
      <c r="E2318" s="10" t="n">
        <v>10494.56</v>
      </c>
      <c r="F2318" s="8" t="s">
        <v>11</v>
      </c>
      <c r="G2318" s="8" t="s">
        <v>12</v>
      </c>
      <c r="H2318" s="11" t="s">
        <v>13</v>
      </c>
      <c r="I2318" s="8" t="s">
        <v>26</v>
      </c>
    </row>
    <row r="2319" customFormat="false" ht="14.25" hidden="false" customHeight="false" outlineLevel="0" collapsed="false">
      <c r="A2319" s="8" t="n">
        <v>2318</v>
      </c>
      <c r="B2319" s="8" t="s">
        <v>164</v>
      </c>
      <c r="C2319" s="8" t="s">
        <v>21</v>
      </c>
      <c r="D2319" s="9" t="n">
        <v>44456</v>
      </c>
      <c r="E2319" s="10" t="n">
        <v>11500.12</v>
      </c>
      <c r="F2319" s="8" t="s">
        <v>11</v>
      </c>
      <c r="G2319" s="8" t="s">
        <v>12</v>
      </c>
      <c r="H2319" s="11" t="s">
        <v>13</v>
      </c>
      <c r="I2319" s="8" t="s">
        <v>14</v>
      </c>
    </row>
    <row r="2320" customFormat="false" ht="14.25" hidden="false" customHeight="false" outlineLevel="0" collapsed="false">
      <c r="A2320" s="8" t="n">
        <v>2319</v>
      </c>
      <c r="B2320" s="8" t="s">
        <v>159</v>
      </c>
      <c r="C2320" s="8" t="s">
        <v>10</v>
      </c>
      <c r="D2320" s="9" t="n">
        <v>44456</v>
      </c>
      <c r="E2320" s="10" t="n">
        <v>11033.52</v>
      </c>
      <c r="F2320" s="8" t="s">
        <v>11</v>
      </c>
      <c r="G2320" s="8" t="s">
        <v>12</v>
      </c>
      <c r="H2320" s="11" t="s">
        <v>13</v>
      </c>
      <c r="I2320" s="8" t="s">
        <v>14</v>
      </c>
    </row>
    <row r="2321" customFormat="false" ht="14.25" hidden="false" customHeight="false" outlineLevel="0" collapsed="false">
      <c r="A2321" s="8" t="n">
        <v>2320</v>
      </c>
      <c r="B2321" s="8" t="s">
        <v>144</v>
      </c>
      <c r="C2321" s="8" t="s">
        <v>10</v>
      </c>
      <c r="D2321" s="9" t="n">
        <v>44456</v>
      </c>
      <c r="E2321" s="10" t="n">
        <v>114177.68</v>
      </c>
      <c r="F2321" s="8" t="s">
        <v>11</v>
      </c>
      <c r="G2321" s="8" t="s">
        <v>17</v>
      </c>
      <c r="H2321" s="11" t="s">
        <v>18</v>
      </c>
      <c r="I2321" s="8" t="s">
        <v>24</v>
      </c>
    </row>
    <row r="2322" customFormat="false" ht="14.25" hidden="false" customHeight="false" outlineLevel="0" collapsed="false">
      <c r="A2322" s="8" t="n">
        <v>2321</v>
      </c>
      <c r="B2322" s="8" t="s">
        <v>189</v>
      </c>
      <c r="C2322" s="8" t="s">
        <v>21</v>
      </c>
      <c r="D2322" s="9" t="n">
        <v>44457</v>
      </c>
      <c r="E2322" s="10" t="n">
        <v>11365.56</v>
      </c>
      <c r="F2322" s="8" t="s">
        <v>11</v>
      </c>
      <c r="G2322" s="8" t="s">
        <v>12</v>
      </c>
      <c r="H2322" s="11" t="s">
        <v>13</v>
      </c>
      <c r="I2322" s="8" t="s">
        <v>14</v>
      </c>
    </row>
    <row r="2323" customFormat="false" ht="14.25" hidden="false" customHeight="false" outlineLevel="0" collapsed="false">
      <c r="A2323" s="8" t="n">
        <v>2322</v>
      </c>
      <c r="B2323" s="8" t="s">
        <v>77</v>
      </c>
      <c r="C2323" s="8" t="s">
        <v>28</v>
      </c>
      <c r="D2323" s="9" t="n">
        <v>44457</v>
      </c>
      <c r="E2323" s="10" t="n">
        <v>12086.88</v>
      </c>
      <c r="F2323" s="8" t="s">
        <v>11</v>
      </c>
      <c r="G2323" s="8" t="s">
        <v>12</v>
      </c>
      <c r="H2323" s="11" t="s">
        <v>13</v>
      </c>
      <c r="I2323" s="8" t="s">
        <v>19</v>
      </c>
    </row>
    <row r="2324" customFormat="false" ht="14.25" hidden="false" customHeight="false" outlineLevel="0" collapsed="false">
      <c r="A2324" s="8" t="n">
        <v>2323</v>
      </c>
      <c r="B2324" s="8" t="s">
        <v>64</v>
      </c>
      <c r="C2324" s="8" t="s">
        <v>21</v>
      </c>
      <c r="D2324" s="9" t="n">
        <v>44457</v>
      </c>
      <c r="E2324" s="10" t="n">
        <v>-166.01</v>
      </c>
      <c r="F2324" s="8" t="s">
        <v>34</v>
      </c>
      <c r="G2324" s="8" t="s">
        <v>17</v>
      </c>
      <c r="H2324" s="11" t="s">
        <v>18</v>
      </c>
      <c r="I2324" s="8" t="s">
        <v>19</v>
      </c>
    </row>
    <row r="2325" customFormat="false" ht="14.25" hidden="false" customHeight="false" outlineLevel="0" collapsed="false">
      <c r="A2325" s="8" t="n">
        <v>2324</v>
      </c>
      <c r="B2325" s="8" t="s">
        <v>266</v>
      </c>
      <c r="C2325" s="8" t="s">
        <v>21</v>
      </c>
      <c r="D2325" s="9" t="n">
        <v>44459</v>
      </c>
      <c r="E2325" s="10" t="n">
        <v>-6927.2</v>
      </c>
      <c r="F2325" s="8" t="s">
        <v>34</v>
      </c>
      <c r="G2325" s="8" t="s">
        <v>17</v>
      </c>
      <c r="H2325" s="11" t="s">
        <v>18</v>
      </c>
      <c r="I2325" s="8" t="s">
        <v>26</v>
      </c>
    </row>
    <row r="2326" customFormat="false" ht="14.25" hidden="false" customHeight="false" outlineLevel="0" collapsed="false">
      <c r="A2326" s="8" t="n">
        <v>2325</v>
      </c>
      <c r="B2326" s="8" t="s">
        <v>267</v>
      </c>
      <c r="C2326" s="8" t="s">
        <v>10</v>
      </c>
      <c r="D2326" s="9" t="n">
        <v>44459</v>
      </c>
      <c r="E2326" s="10" t="n">
        <v>-6715.17</v>
      </c>
      <c r="F2326" s="8" t="s">
        <v>34</v>
      </c>
      <c r="G2326" s="8" t="s">
        <v>30</v>
      </c>
      <c r="H2326" s="11" t="s">
        <v>31</v>
      </c>
      <c r="I2326" s="8" t="s">
        <v>26</v>
      </c>
    </row>
    <row r="2327" customFormat="false" ht="14.25" hidden="false" customHeight="false" outlineLevel="0" collapsed="false">
      <c r="A2327" s="8" t="n">
        <v>2326</v>
      </c>
      <c r="B2327" s="8" t="s">
        <v>15</v>
      </c>
      <c r="C2327" s="8" t="s">
        <v>16</v>
      </c>
      <c r="D2327" s="9" t="n">
        <v>44459</v>
      </c>
      <c r="E2327" s="10" t="n">
        <v>-700.18</v>
      </c>
      <c r="F2327" s="8" t="s">
        <v>34</v>
      </c>
      <c r="G2327" s="8" t="s">
        <v>12</v>
      </c>
      <c r="H2327" s="11" t="s">
        <v>13</v>
      </c>
      <c r="I2327" s="8" t="s">
        <v>14</v>
      </c>
    </row>
    <row r="2328" customFormat="false" ht="14.25" hidden="false" customHeight="false" outlineLevel="0" collapsed="false">
      <c r="A2328" s="8" t="n">
        <v>2327</v>
      </c>
      <c r="B2328" s="8" t="s">
        <v>183</v>
      </c>
      <c r="C2328" s="8" t="s">
        <v>16</v>
      </c>
      <c r="D2328" s="9" t="n">
        <v>44460</v>
      </c>
      <c r="E2328" s="10" t="n">
        <v>-2131.01</v>
      </c>
      <c r="F2328" s="8" t="s">
        <v>34</v>
      </c>
      <c r="G2328" s="8" t="s">
        <v>12</v>
      </c>
      <c r="H2328" s="11" t="s">
        <v>13</v>
      </c>
      <c r="I2328" s="8" t="s">
        <v>14</v>
      </c>
    </row>
    <row r="2329" customFormat="false" ht="14.25" hidden="false" customHeight="false" outlineLevel="0" collapsed="false">
      <c r="A2329" s="8" t="n">
        <v>2328</v>
      </c>
      <c r="B2329" s="8" t="s">
        <v>140</v>
      </c>
      <c r="C2329" s="8" t="s">
        <v>28</v>
      </c>
      <c r="D2329" s="9" t="n">
        <v>44460</v>
      </c>
      <c r="E2329" s="10" t="n">
        <v>-591.85</v>
      </c>
      <c r="F2329" s="8" t="s">
        <v>34</v>
      </c>
      <c r="G2329" s="8" t="s">
        <v>12</v>
      </c>
      <c r="H2329" s="11" t="s">
        <v>13</v>
      </c>
      <c r="I2329" s="8" t="s">
        <v>14</v>
      </c>
    </row>
    <row r="2330" customFormat="false" ht="14.25" hidden="false" customHeight="false" outlineLevel="0" collapsed="false">
      <c r="A2330" s="8" t="n">
        <v>2329</v>
      </c>
      <c r="B2330" s="8" t="s">
        <v>268</v>
      </c>
      <c r="C2330" s="8" t="s">
        <v>21</v>
      </c>
      <c r="D2330" s="9" t="n">
        <v>44460</v>
      </c>
      <c r="E2330" s="10" t="n">
        <v>-138.71</v>
      </c>
      <c r="F2330" s="8" t="s">
        <v>34</v>
      </c>
      <c r="G2330" s="8" t="s">
        <v>22</v>
      </c>
      <c r="H2330" s="11" t="s">
        <v>23</v>
      </c>
      <c r="I2330" s="8" t="s">
        <v>14</v>
      </c>
    </row>
    <row r="2331" customFormat="false" ht="14.25" hidden="false" customHeight="false" outlineLevel="0" collapsed="false">
      <c r="A2331" s="8" t="n">
        <v>2330</v>
      </c>
      <c r="B2331" s="8" t="s">
        <v>135</v>
      </c>
      <c r="C2331" s="8" t="s">
        <v>10</v>
      </c>
      <c r="D2331" s="9" t="n">
        <v>44460</v>
      </c>
      <c r="E2331" s="10" t="n">
        <v>131764.21</v>
      </c>
      <c r="F2331" s="8" t="s">
        <v>11</v>
      </c>
      <c r="G2331" s="8" t="s">
        <v>36</v>
      </c>
      <c r="H2331" s="11" t="s">
        <v>37</v>
      </c>
      <c r="I2331" s="8" t="s">
        <v>14</v>
      </c>
    </row>
    <row r="2332" customFormat="false" ht="14.25" hidden="false" customHeight="false" outlineLevel="0" collapsed="false">
      <c r="A2332" s="8" t="n">
        <v>2331</v>
      </c>
      <c r="B2332" s="8" t="s">
        <v>227</v>
      </c>
      <c r="C2332" s="8" t="s">
        <v>28</v>
      </c>
      <c r="D2332" s="9" t="n">
        <v>44463</v>
      </c>
      <c r="E2332" s="10" t="n">
        <v>64939.68</v>
      </c>
      <c r="F2332" s="8" t="s">
        <v>11</v>
      </c>
      <c r="G2332" s="8" t="s">
        <v>12</v>
      </c>
      <c r="H2332" s="11" t="s">
        <v>13</v>
      </c>
      <c r="I2332" s="8" t="s">
        <v>14</v>
      </c>
    </row>
    <row r="2333" customFormat="false" ht="14.25" hidden="false" customHeight="false" outlineLevel="0" collapsed="false">
      <c r="A2333" s="8" t="n">
        <v>2332</v>
      </c>
      <c r="B2333" s="8" t="s">
        <v>228</v>
      </c>
      <c r="C2333" s="8" t="s">
        <v>10</v>
      </c>
      <c r="D2333" s="9" t="n">
        <v>44463</v>
      </c>
      <c r="E2333" s="10" t="n">
        <v>144053.22</v>
      </c>
      <c r="F2333" s="8" t="s">
        <v>11</v>
      </c>
      <c r="G2333" s="8" t="s">
        <v>30</v>
      </c>
      <c r="H2333" s="11" t="s">
        <v>31</v>
      </c>
      <c r="I2333" s="8" t="s">
        <v>14</v>
      </c>
    </row>
    <row r="2334" customFormat="false" ht="14.25" hidden="false" customHeight="false" outlineLevel="0" collapsed="false">
      <c r="A2334" s="8" t="n">
        <v>2333</v>
      </c>
      <c r="B2334" s="8" t="s">
        <v>229</v>
      </c>
      <c r="C2334" s="8" t="s">
        <v>16</v>
      </c>
      <c r="D2334" s="9" t="n">
        <v>44463</v>
      </c>
      <c r="E2334" s="10" t="n">
        <v>138319.62</v>
      </c>
      <c r="F2334" s="8" t="s">
        <v>11</v>
      </c>
      <c r="G2334" s="8" t="s">
        <v>12</v>
      </c>
      <c r="H2334" s="11" t="s">
        <v>13</v>
      </c>
      <c r="I2334" s="8" t="s">
        <v>19</v>
      </c>
    </row>
    <row r="2335" customFormat="false" ht="14.25" hidden="false" customHeight="false" outlineLevel="0" collapsed="false">
      <c r="A2335" s="8" t="n">
        <v>2334</v>
      </c>
      <c r="B2335" s="8" t="s">
        <v>230</v>
      </c>
      <c r="C2335" s="8" t="s">
        <v>21</v>
      </c>
      <c r="D2335" s="9" t="n">
        <v>44463</v>
      </c>
      <c r="E2335" s="10" t="n">
        <v>40027.59</v>
      </c>
      <c r="F2335" s="8" t="s">
        <v>11</v>
      </c>
      <c r="G2335" s="8" t="s">
        <v>17</v>
      </c>
      <c r="H2335" s="11" t="s">
        <v>18</v>
      </c>
      <c r="I2335" s="8" t="s">
        <v>14</v>
      </c>
    </row>
    <row r="2336" customFormat="false" ht="14.25" hidden="false" customHeight="false" outlineLevel="0" collapsed="false">
      <c r="A2336" s="8" t="n">
        <v>2335</v>
      </c>
      <c r="B2336" s="8" t="s">
        <v>233</v>
      </c>
      <c r="C2336" s="8" t="s">
        <v>28</v>
      </c>
      <c r="D2336" s="9" t="n">
        <v>44463</v>
      </c>
      <c r="E2336" s="10" t="n">
        <v>21016.83</v>
      </c>
      <c r="F2336" s="8" t="s">
        <v>11</v>
      </c>
      <c r="G2336" s="8" t="s">
        <v>12</v>
      </c>
      <c r="H2336" s="11" t="s">
        <v>13</v>
      </c>
      <c r="I2336" s="8" t="s">
        <v>26</v>
      </c>
    </row>
    <row r="2337" customFormat="false" ht="14.25" hidden="false" customHeight="false" outlineLevel="0" collapsed="false">
      <c r="A2337" s="8" t="n">
        <v>2336</v>
      </c>
      <c r="B2337" s="8" t="s">
        <v>226</v>
      </c>
      <c r="C2337" s="8" t="s">
        <v>21</v>
      </c>
      <c r="D2337" s="9" t="n">
        <v>44463</v>
      </c>
      <c r="E2337" s="10" t="n">
        <v>0</v>
      </c>
      <c r="F2337" s="8" t="s">
        <v>34</v>
      </c>
      <c r="G2337" s="8" t="s">
        <v>17</v>
      </c>
      <c r="H2337" s="11" t="s">
        <v>18</v>
      </c>
      <c r="I2337" s="8" t="s">
        <v>26</v>
      </c>
    </row>
    <row r="2338" customFormat="false" ht="14.25" hidden="false" customHeight="false" outlineLevel="0" collapsed="false">
      <c r="A2338" s="8" t="n">
        <v>2337</v>
      </c>
      <c r="B2338" s="8" t="s">
        <v>232</v>
      </c>
      <c r="C2338" s="8" t="s">
        <v>28</v>
      </c>
      <c r="D2338" s="9" t="n">
        <v>44463</v>
      </c>
      <c r="E2338" s="10" t="n">
        <v>0</v>
      </c>
      <c r="F2338" s="8" t="s">
        <v>34</v>
      </c>
      <c r="G2338" s="8" t="s">
        <v>12</v>
      </c>
      <c r="H2338" s="11" t="s">
        <v>13</v>
      </c>
      <c r="I2338" s="8" t="s">
        <v>14</v>
      </c>
    </row>
    <row r="2339" customFormat="false" ht="14.25" hidden="false" customHeight="false" outlineLevel="0" collapsed="false">
      <c r="A2339" s="8" t="n">
        <v>2338</v>
      </c>
      <c r="B2339" s="8" t="s">
        <v>85</v>
      </c>
      <c r="C2339" s="8" t="s">
        <v>16</v>
      </c>
      <c r="D2339" s="9" t="n">
        <v>44463</v>
      </c>
      <c r="E2339" s="10" t="n">
        <v>9177.22</v>
      </c>
      <c r="F2339" s="8" t="s">
        <v>11</v>
      </c>
      <c r="G2339" s="8" t="s">
        <v>12</v>
      </c>
      <c r="H2339" s="11" t="s">
        <v>13</v>
      </c>
      <c r="I2339" s="8" t="s">
        <v>14</v>
      </c>
    </row>
    <row r="2340" customFormat="false" ht="14.25" hidden="false" customHeight="false" outlineLevel="0" collapsed="false">
      <c r="A2340" s="8" t="n">
        <v>2339</v>
      </c>
      <c r="B2340" s="8" t="s">
        <v>15</v>
      </c>
      <c r="C2340" s="8" t="s">
        <v>21</v>
      </c>
      <c r="D2340" s="9" t="n">
        <v>44463</v>
      </c>
      <c r="E2340" s="10" t="n">
        <v>20212.66</v>
      </c>
      <c r="F2340" s="8" t="s">
        <v>11</v>
      </c>
      <c r="G2340" s="8" t="s">
        <v>12</v>
      </c>
      <c r="H2340" s="11" t="s">
        <v>13</v>
      </c>
      <c r="I2340" s="8" t="s">
        <v>26</v>
      </c>
    </row>
    <row r="2341" customFormat="false" ht="14.25" hidden="false" customHeight="false" outlineLevel="0" collapsed="false">
      <c r="A2341" s="8" t="n">
        <v>2340</v>
      </c>
      <c r="B2341" s="8" t="s">
        <v>52</v>
      </c>
      <c r="C2341" s="8" t="s">
        <v>10</v>
      </c>
      <c r="D2341" s="9" t="n">
        <v>44463</v>
      </c>
      <c r="E2341" s="10" t="n">
        <v>13702.9</v>
      </c>
      <c r="F2341" s="8" t="s">
        <v>11</v>
      </c>
      <c r="G2341" s="8" t="s">
        <v>30</v>
      </c>
      <c r="H2341" s="11" t="s">
        <v>31</v>
      </c>
      <c r="I2341" s="8" t="s">
        <v>19</v>
      </c>
    </row>
    <row r="2342" customFormat="false" ht="14.25" hidden="false" customHeight="false" outlineLevel="0" collapsed="false">
      <c r="A2342" s="8" t="n">
        <v>2341</v>
      </c>
      <c r="B2342" s="8" t="s">
        <v>52</v>
      </c>
      <c r="C2342" s="8" t="s">
        <v>16</v>
      </c>
      <c r="D2342" s="9" t="n">
        <v>44463</v>
      </c>
      <c r="E2342" s="10" t="n">
        <v>12338.74</v>
      </c>
      <c r="F2342" s="8" t="s">
        <v>11</v>
      </c>
      <c r="G2342" s="8" t="s">
        <v>17</v>
      </c>
      <c r="H2342" s="11" t="s">
        <v>18</v>
      </c>
      <c r="I2342" s="8" t="s">
        <v>14</v>
      </c>
    </row>
    <row r="2343" customFormat="false" ht="14.25" hidden="false" customHeight="false" outlineLevel="0" collapsed="false">
      <c r="A2343" s="8" t="n">
        <v>2342</v>
      </c>
      <c r="B2343" s="8" t="s">
        <v>49</v>
      </c>
      <c r="C2343" s="8" t="s">
        <v>21</v>
      </c>
      <c r="D2343" s="9" t="n">
        <v>44463</v>
      </c>
      <c r="E2343" s="10" t="n">
        <v>1862.08</v>
      </c>
      <c r="F2343" s="8" t="s">
        <v>11</v>
      </c>
      <c r="G2343" s="8" t="s">
        <v>36</v>
      </c>
      <c r="H2343" s="11" t="s">
        <v>37</v>
      </c>
      <c r="I2343" s="8" t="s">
        <v>14</v>
      </c>
    </row>
    <row r="2344" customFormat="false" ht="14.25" hidden="false" customHeight="false" outlineLevel="0" collapsed="false">
      <c r="A2344" s="8" t="n">
        <v>2343</v>
      </c>
      <c r="B2344" s="8" t="s">
        <v>52</v>
      </c>
      <c r="C2344" s="8" t="s">
        <v>10</v>
      </c>
      <c r="D2344" s="9" t="n">
        <v>44463</v>
      </c>
      <c r="E2344" s="10" t="n">
        <v>9260.78</v>
      </c>
      <c r="F2344" s="8" t="s">
        <v>11</v>
      </c>
      <c r="G2344" s="8" t="s">
        <v>22</v>
      </c>
      <c r="H2344" s="11" t="s">
        <v>23</v>
      </c>
      <c r="I2344" s="8" t="s">
        <v>14</v>
      </c>
    </row>
    <row r="2345" customFormat="false" ht="14.25" hidden="false" customHeight="false" outlineLevel="0" collapsed="false">
      <c r="A2345" s="8" t="n">
        <v>2344</v>
      </c>
      <c r="B2345" s="8" t="s">
        <v>50</v>
      </c>
      <c r="C2345" s="8" t="s">
        <v>28</v>
      </c>
      <c r="D2345" s="9" t="n">
        <v>44464</v>
      </c>
      <c r="E2345" s="10" t="n">
        <v>21901.75</v>
      </c>
      <c r="F2345" s="8" t="s">
        <v>11</v>
      </c>
      <c r="G2345" s="8" t="s">
        <v>17</v>
      </c>
      <c r="H2345" s="11" t="s">
        <v>18</v>
      </c>
      <c r="I2345" s="8" t="s">
        <v>14</v>
      </c>
    </row>
    <row r="2346" customFormat="false" ht="14.25" hidden="false" customHeight="false" outlineLevel="0" collapsed="false">
      <c r="A2346" s="8" t="n">
        <v>2345</v>
      </c>
      <c r="B2346" s="8" t="s">
        <v>183</v>
      </c>
      <c r="C2346" s="8" t="s">
        <v>28</v>
      </c>
      <c r="D2346" s="9" t="n">
        <v>44464</v>
      </c>
      <c r="E2346" s="10" t="n">
        <v>18443.49</v>
      </c>
      <c r="F2346" s="8" t="s">
        <v>11</v>
      </c>
      <c r="G2346" s="8" t="s">
        <v>12</v>
      </c>
      <c r="H2346" s="11" t="s">
        <v>13</v>
      </c>
      <c r="I2346" s="8" t="s">
        <v>14</v>
      </c>
    </row>
    <row r="2347" customFormat="false" ht="14.25" hidden="false" customHeight="false" outlineLevel="0" collapsed="false">
      <c r="A2347" s="8" t="n">
        <v>2346</v>
      </c>
      <c r="B2347" s="8" t="s">
        <v>269</v>
      </c>
      <c r="C2347" s="8" t="s">
        <v>10</v>
      </c>
      <c r="D2347" s="9" t="n">
        <v>44464</v>
      </c>
      <c r="E2347" s="10" t="n">
        <v>13037.72</v>
      </c>
      <c r="F2347" s="8" t="s">
        <v>11</v>
      </c>
      <c r="G2347" s="8" t="s">
        <v>22</v>
      </c>
      <c r="H2347" s="11" t="s">
        <v>23</v>
      </c>
      <c r="I2347" s="8" t="s">
        <v>14</v>
      </c>
    </row>
    <row r="2348" customFormat="false" ht="14.25" hidden="false" customHeight="false" outlineLevel="0" collapsed="false">
      <c r="A2348" s="8" t="n">
        <v>2347</v>
      </c>
      <c r="B2348" s="8" t="s">
        <v>208</v>
      </c>
      <c r="C2348" s="8" t="s">
        <v>28</v>
      </c>
      <c r="D2348" s="9" t="n">
        <v>44464</v>
      </c>
      <c r="E2348" s="10" t="n">
        <v>5054.92</v>
      </c>
      <c r="F2348" s="8" t="s">
        <v>11</v>
      </c>
      <c r="G2348" s="8" t="s">
        <v>17</v>
      </c>
      <c r="H2348" s="11" t="s">
        <v>18</v>
      </c>
      <c r="I2348" s="8" t="s">
        <v>24</v>
      </c>
    </row>
    <row r="2349" customFormat="false" ht="14.25" hidden="false" customHeight="false" outlineLevel="0" collapsed="false">
      <c r="A2349" s="8" t="n">
        <v>2348</v>
      </c>
      <c r="B2349" s="8" t="s">
        <v>145</v>
      </c>
      <c r="C2349" s="8" t="s">
        <v>28</v>
      </c>
      <c r="D2349" s="9" t="n">
        <v>44464</v>
      </c>
      <c r="E2349" s="10" t="n">
        <v>1707.18</v>
      </c>
      <c r="F2349" s="8" t="s">
        <v>11</v>
      </c>
      <c r="G2349" s="8" t="s">
        <v>36</v>
      </c>
      <c r="H2349" s="11" t="s">
        <v>37</v>
      </c>
      <c r="I2349" s="8" t="s">
        <v>26</v>
      </c>
    </row>
    <row r="2350" customFormat="false" ht="14.25" hidden="false" customHeight="false" outlineLevel="0" collapsed="false">
      <c r="A2350" s="8" t="n">
        <v>2349</v>
      </c>
      <c r="B2350" s="8" t="s">
        <v>174</v>
      </c>
      <c r="C2350" s="8" t="s">
        <v>10</v>
      </c>
      <c r="D2350" s="9" t="n">
        <v>44465</v>
      </c>
      <c r="E2350" s="10" t="n">
        <v>11776.47</v>
      </c>
      <c r="F2350" s="8" t="s">
        <v>11</v>
      </c>
      <c r="G2350" s="8" t="s">
        <v>17</v>
      </c>
      <c r="H2350" s="11" t="s">
        <v>18</v>
      </c>
      <c r="I2350" s="8" t="s">
        <v>26</v>
      </c>
    </row>
    <row r="2351" customFormat="false" ht="14.25" hidden="false" customHeight="false" outlineLevel="0" collapsed="false">
      <c r="A2351" s="8" t="n">
        <v>2350</v>
      </c>
      <c r="B2351" s="8" t="s">
        <v>171</v>
      </c>
      <c r="C2351" s="8" t="s">
        <v>16</v>
      </c>
      <c r="D2351" s="9" t="n">
        <v>44465</v>
      </c>
      <c r="E2351" s="10" t="n">
        <v>9551.8</v>
      </c>
      <c r="F2351" s="8" t="s">
        <v>11</v>
      </c>
      <c r="G2351" s="8" t="s">
        <v>17</v>
      </c>
      <c r="H2351" s="11" t="s">
        <v>18</v>
      </c>
      <c r="I2351" s="8" t="s">
        <v>24</v>
      </c>
    </row>
    <row r="2352" customFormat="false" ht="14.25" hidden="false" customHeight="false" outlineLevel="0" collapsed="false">
      <c r="A2352" s="8" t="n">
        <v>2351</v>
      </c>
      <c r="B2352" s="8" t="s">
        <v>213</v>
      </c>
      <c r="C2352" s="8" t="s">
        <v>16</v>
      </c>
      <c r="D2352" s="9" t="n">
        <v>44465</v>
      </c>
      <c r="E2352" s="10" t="n">
        <v>5766.81</v>
      </c>
      <c r="F2352" s="8" t="s">
        <v>11</v>
      </c>
      <c r="G2352" s="8" t="s">
        <v>17</v>
      </c>
      <c r="H2352" s="11" t="s">
        <v>18</v>
      </c>
      <c r="I2352" s="8" t="s">
        <v>26</v>
      </c>
    </row>
    <row r="2353" customFormat="false" ht="14.25" hidden="false" customHeight="false" outlineLevel="0" collapsed="false">
      <c r="A2353" s="8" t="n">
        <v>2352</v>
      </c>
      <c r="B2353" s="8" t="s">
        <v>179</v>
      </c>
      <c r="C2353" s="8" t="s">
        <v>16</v>
      </c>
      <c r="D2353" s="9" t="n">
        <v>44465</v>
      </c>
      <c r="E2353" s="10" t="n">
        <v>14417.98</v>
      </c>
      <c r="F2353" s="8" t="s">
        <v>11</v>
      </c>
      <c r="G2353" s="8" t="s">
        <v>12</v>
      </c>
      <c r="H2353" s="11" t="s">
        <v>13</v>
      </c>
      <c r="I2353" s="8" t="s">
        <v>26</v>
      </c>
    </row>
    <row r="2354" customFormat="false" ht="14.25" hidden="false" customHeight="false" outlineLevel="0" collapsed="false">
      <c r="A2354" s="8" t="n">
        <v>2353</v>
      </c>
      <c r="B2354" s="8" t="s">
        <v>151</v>
      </c>
      <c r="C2354" s="8" t="s">
        <v>10</v>
      </c>
      <c r="D2354" s="9" t="n">
        <v>44465</v>
      </c>
      <c r="E2354" s="10" t="n">
        <v>1735.85</v>
      </c>
      <c r="F2354" s="8" t="s">
        <v>11</v>
      </c>
      <c r="G2354" s="8" t="s">
        <v>17</v>
      </c>
      <c r="H2354" s="11" t="s">
        <v>18</v>
      </c>
      <c r="I2354" s="8" t="s">
        <v>14</v>
      </c>
    </row>
    <row r="2355" customFormat="false" ht="14.25" hidden="false" customHeight="false" outlineLevel="0" collapsed="false">
      <c r="A2355" s="8" t="n">
        <v>2354</v>
      </c>
      <c r="B2355" s="8" t="s">
        <v>15</v>
      </c>
      <c r="C2355" s="8" t="s">
        <v>21</v>
      </c>
      <c r="D2355" s="9" t="n">
        <v>44465</v>
      </c>
      <c r="E2355" s="10" t="n">
        <v>12354.38</v>
      </c>
      <c r="F2355" s="8" t="s">
        <v>11</v>
      </c>
      <c r="G2355" s="8" t="s">
        <v>36</v>
      </c>
      <c r="H2355" s="11" t="s">
        <v>37</v>
      </c>
      <c r="I2355" s="8" t="s">
        <v>14</v>
      </c>
    </row>
    <row r="2356" customFormat="false" ht="14.25" hidden="false" customHeight="false" outlineLevel="0" collapsed="false">
      <c r="A2356" s="8" t="n">
        <v>2355</v>
      </c>
      <c r="B2356" s="8" t="s">
        <v>15</v>
      </c>
      <c r="C2356" s="8" t="s">
        <v>28</v>
      </c>
      <c r="D2356" s="9" t="n">
        <v>44465</v>
      </c>
      <c r="E2356" s="10" t="n">
        <v>13200.67</v>
      </c>
      <c r="F2356" s="8" t="s">
        <v>11</v>
      </c>
      <c r="G2356" s="8" t="s">
        <v>12</v>
      </c>
      <c r="H2356" s="11" t="s">
        <v>13</v>
      </c>
      <c r="I2356" s="8" t="s">
        <v>14</v>
      </c>
    </row>
    <row r="2357" customFormat="false" ht="14.25" hidden="false" customHeight="false" outlineLevel="0" collapsed="false">
      <c r="A2357" s="8" t="n">
        <v>2356</v>
      </c>
      <c r="B2357" s="8" t="s">
        <v>39</v>
      </c>
      <c r="C2357" s="8" t="s">
        <v>28</v>
      </c>
      <c r="D2357" s="9" t="n">
        <v>44465</v>
      </c>
      <c r="E2357" s="10" t="n">
        <v>1585.72</v>
      </c>
      <c r="F2357" s="8" t="s">
        <v>11</v>
      </c>
      <c r="G2357" s="8" t="s">
        <v>17</v>
      </c>
      <c r="H2357" s="11" t="s">
        <v>18</v>
      </c>
      <c r="I2357" s="8" t="s">
        <v>26</v>
      </c>
    </row>
    <row r="2358" customFormat="false" ht="14.25" hidden="false" customHeight="false" outlineLevel="0" collapsed="false">
      <c r="A2358" s="8" t="n">
        <v>2357</v>
      </c>
      <c r="B2358" s="8" t="s">
        <v>66</v>
      </c>
      <c r="C2358" s="8" t="s">
        <v>10</v>
      </c>
      <c r="D2358" s="9" t="n">
        <v>44466</v>
      </c>
      <c r="E2358" s="10" t="n">
        <v>1634.76</v>
      </c>
      <c r="F2358" s="8" t="s">
        <v>11</v>
      </c>
      <c r="G2358" s="8" t="s">
        <v>12</v>
      </c>
      <c r="H2358" s="11" t="s">
        <v>13</v>
      </c>
      <c r="I2358" s="8" t="s">
        <v>19</v>
      </c>
    </row>
    <row r="2359" customFormat="false" ht="14.25" hidden="false" customHeight="false" outlineLevel="0" collapsed="false">
      <c r="A2359" s="8" t="n">
        <v>2358</v>
      </c>
      <c r="B2359" s="8" t="s">
        <v>75</v>
      </c>
      <c r="C2359" s="8" t="s">
        <v>10</v>
      </c>
      <c r="D2359" s="9" t="n">
        <v>44466</v>
      </c>
      <c r="E2359" s="10" t="n">
        <v>12477.92</v>
      </c>
      <c r="F2359" s="8" t="s">
        <v>11</v>
      </c>
      <c r="G2359" s="8" t="s">
        <v>12</v>
      </c>
      <c r="H2359" s="11" t="s">
        <v>13</v>
      </c>
      <c r="I2359" s="8" t="s">
        <v>24</v>
      </c>
    </row>
    <row r="2360" customFormat="false" ht="14.25" hidden="false" customHeight="false" outlineLevel="0" collapsed="false">
      <c r="A2360" s="8" t="n">
        <v>2359</v>
      </c>
      <c r="B2360" s="8" t="s">
        <v>66</v>
      </c>
      <c r="C2360" s="8" t="s">
        <v>16</v>
      </c>
      <c r="D2360" s="9" t="n">
        <v>44466</v>
      </c>
      <c r="E2360" s="10" t="n">
        <v>5880630.74</v>
      </c>
      <c r="F2360" s="8" t="s">
        <v>11</v>
      </c>
      <c r="G2360" s="8" t="s">
        <v>17</v>
      </c>
      <c r="H2360" s="11" t="s">
        <v>18</v>
      </c>
      <c r="I2360" s="8" t="s">
        <v>14</v>
      </c>
    </row>
    <row r="2361" customFormat="false" ht="14.25" hidden="false" customHeight="false" outlineLevel="0" collapsed="false">
      <c r="A2361" s="8" t="n">
        <v>2360</v>
      </c>
      <c r="B2361" s="8" t="s">
        <v>66</v>
      </c>
      <c r="C2361" s="8" t="s">
        <v>21</v>
      </c>
      <c r="D2361" s="9" t="n">
        <v>44466</v>
      </c>
      <c r="E2361" s="10" t="n">
        <v>-10421.36</v>
      </c>
      <c r="F2361" s="8" t="s">
        <v>34</v>
      </c>
      <c r="G2361" s="8" t="s">
        <v>12</v>
      </c>
      <c r="H2361" s="11" t="s">
        <v>13</v>
      </c>
      <c r="I2361" s="8" t="s">
        <v>14</v>
      </c>
    </row>
    <row r="2362" customFormat="false" ht="14.25" hidden="false" customHeight="false" outlineLevel="0" collapsed="false">
      <c r="A2362" s="8" t="n">
        <v>2361</v>
      </c>
      <c r="B2362" s="8" t="s">
        <v>66</v>
      </c>
      <c r="C2362" s="8" t="s">
        <v>10</v>
      </c>
      <c r="D2362" s="9" t="n">
        <v>44466</v>
      </c>
      <c r="E2362" s="10" t="n">
        <v>-304.01</v>
      </c>
      <c r="F2362" s="8" t="s">
        <v>34</v>
      </c>
      <c r="G2362" s="8" t="s">
        <v>22</v>
      </c>
      <c r="H2362" s="11" t="s">
        <v>23</v>
      </c>
      <c r="I2362" s="8" t="s">
        <v>19</v>
      </c>
    </row>
    <row r="2363" customFormat="false" ht="14.25" hidden="false" customHeight="false" outlineLevel="0" collapsed="false">
      <c r="A2363" s="8" t="n">
        <v>2362</v>
      </c>
      <c r="B2363" s="8" t="s">
        <v>66</v>
      </c>
      <c r="C2363" s="8" t="s">
        <v>28</v>
      </c>
      <c r="D2363" s="9" t="n">
        <v>44466</v>
      </c>
      <c r="E2363" s="10" t="n">
        <v>-13708.8</v>
      </c>
      <c r="F2363" s="8" t="s">
        <v>34</v>
      </c>
      <c r="G2363" s="8" t="s">
        <v>17</v>
      </c>
      <c r="H2363" s="11" t="s">
        <v>18</v>
      </c>
      <c r="I2363" s="8" t="s">
        <v>14</v>
      </c>
    </row>
    <row r="2364" customFormat="false" ht="14.25" hidden="false" customHeight="false" outlineLevel="0" collapsed="false">
      <c r="A2364" s="8" t="n">
        <v>2363</v>
      </c>
      <c r="B2364" s="8" t="s">
        <v>66</v>
      </c>
      <c r="C2364" s="8" t="s">
        <v>10</v>
      </c>
      <c r="D2364" s="9" t="n">
        <v>44466</v>
      </c>
      <c r="E2364" s="10" t="n">
        <v>-10855.71</v>
      </c>
      <c r="F2364" s="8" t="s">
        <v>34</v>
      </c>
      <c r="G2364" s="8" t="s">
        <v>22</v>
      </c>
      <c r="H2364" s="11" t="s">
        <v>23</v>
      </c>
      <c r="I2364" s="8" t="s">
        <v>26</v>
      </c>
    </row>
    <row r="2365" customFormat="false" ht="14.25" hidden="false" customHeight="false" outlineLevel="0" collapsed="false">
      <c r="A2365" s="8" t="n">
        <v>2364</v>
      </c>
      <c r="B2365" s="8" t="s">
        <v>66</v>
      </c>
      <c r="C2365" s="8" t="s">
        <v>16</v>
      </c>
      <c r="D2365" s="9" t="n">
        <v>44466</v>
      </c>
      <c r="E2365" s="10" t="n">
        <v>-610251.5</v>
      </c>
      <c r="F2365" s="8" t="s">
        <v>34</v>
      </c>
      <c r="G2365" s="8" t="s">
        <v>17</v>
      </c>
      <c r="H2365" s="11" t="s">
        <v>18</v>
      </c>
      <c r="I2365" s="8" t="s">
        <v>19</v>
      </c>
    </row>
    <row r="2366" customFormat="false" ht="14.25" hidden="false" customHeight="false" outlineLevel="0" collapsed="false">
      <c r="A2366" s="8" t="n">
        <v>2365</v>
      </c>
      <c r="B2366" s="8" t="s">
        <v>66</v>
      </c>
      <c r="C2366" s="8" t="s">
        <v>16</v>
      </c>
      <c r="D2366" s="9" t="n">
        <v>44466</v>
      </c>
      <c r="E2366" s="10" t="n">
        <v>-8378.79</v>
      </c>
      <c r="F2366" s="8" t="s">
        <v>34</v>
      </c>
      <c r="G2366" s="8" t="s">
        <v>12</v>
      </c>
      <c r="H2366" s="11" t="s">
        <v>13</v>
      </c>
      <c r="I2366" s="8" t="s">
        <v>26</v>
      </c>
    </row>
    <row r="2367" customFormat="false" ht="14.25" hidden="false" customHeight="false" outlineLevel="0" collapsed="false">
      <c r="A2367" s="8" t="n">
        <v>2366</v>
      </c>
      <c r="B2367" s="8" t="s">
        <v>66</v>
      </c>
      <c r="C2367" s="8" t="s">
        <v>21</v>
      </c>
      <c r="D2367" s="9" t="n">
        <v>44466</v>
      </c>
      <c r="E2367" s="10" t="n">
        <v>-7582.51</v>
      </c>
      <c r="F2367" s="8" t="s">
        <v>34</v>
      </c>
      <c r="G2367" s="8" t="s">
        <v>12</v>
      </c>
      <c r="H2367" s="11" t="s">
        <v>13</v>
      </c>
      <c r="I2367" s="8" t="s">
        <v>14</v>
      </c>
    </row>
    <row r="2368" customFormat="false" ht="14.25" hidden="false" customHeight="false" outlineLevel="0" collapsed="false">
      <c r="A2368" s="8" t="n">
        <v>2367</v>
      </c>
      <c r="B2368" s="8" t="s">
        <v>66</v>
      </c>
      <c r="C2368" s="8" t="s">
        <v>10</v>
      </c>
      <c r="D2368" s="9" t="n">
        <v>44466</v>
      </c>
      <c r="E2368" s="10" t="n">
        <v>-543.8</v>
      </c>
      <c r="F2368" s="8" t="s">
        <v>34</v>
      </c>
      <c r="G2368" s="8" t="s">
        <v>36</v>
      </c>
      <c r="H2368" s="11" t="s">
        <v>37</v>
      </c>
      <c r="I2368" s="8" t="s">
        <v>26</v>
      </c>
    </row>
    <row r="2369" customFormat="false" ht="14.25" hidden="false" customHeight="false" outlineLevel="0" collapsed="false">
      <c r="A2369" s="8" t="n">
        <v>2368</v>
      </c>
      <c r="B2369" s="8" t="s">
        <v>153</v>
      </c>
      <c r="C2369" s="8" t="s">
        <v>10</v>
      </c>
      <c r="D2369" s="9" t="n">
        <v>44467</v>
      </c>
      <c r="E2369" s="10" t="n">
        <v>-5845.6</v>
      </c>
      <c r="F2369" s="8" t="s">
        <v>34</v>
      </c>
      <c r="G2369" s="8" t="s">
        <v>17</v>
      </c>
      <c r="H2369" s="11" t="s">
        <v>18</v>
      </c>
      <c r="I2369" s="8" t="s">
        <v>19</v>
      </c>
    </row>
    <row r="2370" customFormat="false" ht="14.25" hidden="false" customHeight="false" outlineLevel="0" collapsed="false">
      <c r="A2370" s="8" t="n">
        <v>2369</v>
      </c>
      <c r="B2370" s="8" t="s">
        <v>73</v>
      </c>
      <c r="C2370" s="8" t="s">
        <v>28</v>
      </c>
      <c r="D2370" s="9" t="n">
        <v>44467</v>
      </c>
      <c r="E2370" s="10" t="n">
        <v>3121.28</v>
      </c>
      <c r="F2370" s="8" t="s">
        <v>11</v>
      </c>
      <c r="G2370" s="8" t="s">
        <v>12</v>
      </c>
      <c r="H2370" s="11" t="s">
        <v>13</v>
      </c>
      <c r="I2370" s="8" t="s">
        <v>14</v>
      </c>
    </row>
    <row r="2371" customFormat="false" ht="14.25" hidden="false" customHeight="false" outlineLevel="0" collapsed="false">
      <c r="A2371" s="8" t="n">
        <v>2370</v>
      </c>
      <c r="B2371" s="8" t="s">
        <v>39</v>
      </c>
      <c r="C2371" s="8" t="s">
        <v>28</v>
      </c>
      <c r="D2371" s="9" t="n">
        <v>44467</v>
      </c>
      <c r="E2371" s="10" t="n">
        <v>3064.77</v>
      </c>
      <c r="F2371" s="8" t="s">
        <v>11</v>
      </c>
      <c r="G2371" s="8" t="s">
        <v>36</v>
      </c>
      <c r="H2371" s="11" t="s">
        <v>37</v>
      </c>
      <c r="I2371" s="8" t="s">
        <v>19</v>
      </c>
    </row>
    <row r="2372" customFormat="false" ht="14.25" hidden="false" customHeight="false" outlineLevel="0" collapsed="false">
      <c r="A2372" s="8" t="n">
        <v>2371</v>
      </c>
      <c r="B2372" s="8" t="s">
        <v>73</v>
      </c>
      <c r="C2372" s="8" t="s">
        <v>21</v>
      </c>
      <c r="D2372" s="9" t="n">
        <v>44467</v>
      </c>
      <c r="E2372" s="10" t="n">
        <v>3064.46</v>
      </c>
      <c r="F2372" s="8" t="s">
        <v>11</v>
      </c>
      <c r="G2372" s="8" t="s">
        <v>30</v>
      </c>
      <c r="H2372" s="11" t="s">
        <v>31</v>
      </c>
      <c r="I2372" s="8" t="s">
        <v>24</v>
      </c>
    </row>
    <row r="2373" customFormat="false" ht="14.25" hidden="false" customHeight="false" outlineLevel="0" collapsed="false">
      <c r="A2373" s="8" t="n">
        <v>2372</v>
      </c>
      <c r="B2373" s="8" t="s">
        <v>73</v>
      </c>
      <c r="C2373" s="8" t="s">
        <v>16</v>
      </c>
      <c r="D2373" s="9" t="n">
        <v>44467</v>
      </c>
      <c r="E2373" s="10" t="n">
        <v>-3254.2</v>
      </c>
      <c r="F2373" s="8" t="s">
        <v>34</v>
      </c>
      <c r="G2373" s="8" t="s">
        <v>36</v>
      </c>
      <c r="H2373" s="11" t="s">
        <v>37</v>
      </c>
      <c r="I2373" s="8" t="s">
        <v>24</v>
      </c>
    </row>
    <row r="2374" customFormat="false" ht="14.25" hidden="false" customHeight="false" outlineLevel="0" collapsed="false">
      <c r="A2374" s="8" t="n">
        <v>2373</v>
      </c>
      <c r="B2374" s="8" t="s">
        <v>32</v>
      </c>
      <c r="C2374" s="8" t="s">
        <v>16</v>
      </c>
      <c r="D2374" s="9" t="n">
        <v>44468</v>
      </c>
      <c r="E2374" s="10" t="n">
        <v>-3395.39</v>
      </c>
      <c r="F2374" s="8" t="s">
        <v>34</v>
      </c>
      <c r="G2374" s="8" t="s">
        <v>36</v>
      </c>
      <c r="H2374" s="11" t="s">
        <v>37</v>
      </c>
      <c r="I2374" s="8" t="s">
        <v>19</v>
      </c>
    </row>
    <row r="2375" customFormat="false" ht="14.25" hidden="false" customHeight="false" outlineLevel="0" collapsed="false">
      <c r="A2375" s="8" t="n">
        <v>2374</v>
      </c>
      <c r="B2375" s="8" t="s">
        <v>32</v>
      </c>
      <c r="C2375" s="8" t="s">
        <v>10</v>
      </c>
      <c r="D2375" s="9" t="n">
        <v>44468</v>
      </c>
      <c r="E2375" s="10" t="n">
        <v>4350702.2</v>
      </c>
      <c r="F2375" s="8" t="s">
        <v>11</v>
      </c>
      <c r="G2375" s="8" t="s">
        <v>36</v>
      </c>
      <c r="H2375" s="11" t="s">
        <v>37</v>
      </c>
      <c r="I2375" s="8" t="s">
        <v>24</v>
      </c>
    </row>
    <row r="2376" customFormat="false" ht="14.25" hidden="false" customHeight="false" outlineLevel="0" collapsed="false">
      <c r="A2376" s="8" t="n">
        <v>2375</v>
      </c>
      <c r="B2376" s="8" t="s">
        <v>136</v>
      </c>
      <c r="C2376" s="8" t="s">
        <v>10</v>
      </c>
      <c r="D2376" s="9" t="n">
        <v>44468</v>
      </c>
      <c r="E2376" s="10" t="n">
        <v>26632.88</v>
      </c>
      <c r="F2376" s="8" t="s">
        <v>11</v>
      </c>
      <c r="G2376" s="8" t="s">
        <v>12</v>
      </c>
      <c r="H2376" s="11" t="s">
        <v>13</v>
      </c>
      <c r="I2376" s="8" t="s">
        <v>14</v>
      </c>
    </row>
    <row r="2377" customFormat="false" ht="14.25" hidden="false" customHeight="false" outlineLevel="0" collapsed="false">
      <c r="A2377" s="8" t="n">
        <v>2376</v>
      </c>
      <c r="B2377" s="8" t="s">
        <v>81</v>
      </c>
      <c r="C2377" s="8" t="s">
        <v>10</v>
      </c>
      <c r="D2377" s="9" t="n">
        <v>44468</v>
      </c>
      <c r="E2377" s="10" t="n">
        <v>1397.77</v>
      </c>
      <c r="F2377" s="8" t="s">
        <v>11</v>
      </c>
      <c r="G2377" s="8" t="s">
        <v>30</v>
      </c>
      <c r="H2377" s="11" t="s">
        <v>31</v>
      </c>
      <c r="I2377" s="8" t="s">
        <v>26</v>
      </c>
    </row>
    <row r="2378" customFormat="false" ht="14.25" hidden="false" customHeight="false" outlineLevel="0" collapsed="false">
      <c r="A2378" s="8" t="n">
        <v>2377</v>
      </c>
      <c r="B2378" s="8" t="s">
        <v>136</v>
      </c>
      <c r="C2378" s="8" t="s">
        <v>28</v>
      </c>
      <c r="D2378" s="9" t="n">
        <v>44468</v>
      </c>
      <c r="E2378" s="10" t="n">
        <v>1397.77</v>
      </c>
      <c r="F2378" s="8" t="s">
        <v>11</v>
      </c>
      <c r="G2378" s="8" t="s">
        <v>17</v>
      </c>
      <c r="H2378" s="11" t="s">
        <v>18</v>
      </c>
      <c r="I2378" s="8" t="s">
        <v>14</v>
      </c>
    </row>
    <row r="2379" customFormat="false" ht="14.25" hidden="false" customHeight="false" outlineLevel="0" collapsed="false">
      <c r="A2379" s="8" t="n">
        <v>2378</v>
      </c>
      <c r="B2379" s="8" t="s">
        <v>81</v>
      </c>
      <c r="C2379" s="8" t="s">
        <v>16</v>
      </c>
      <c r="D2379" s="9" t="n">
        <v>44468</v>
      </c>
      <c r="E2379" s="10" t="n">
        <v>155831.14</v>
      </c>
      <c r="F2379" s="8" t="s">
        <v>11</v>
      </c>
      <c r="G2379" s="8" t="s">
        <v>22</v>
      </c>
      <c r="H2379" s="11" t="s">
        <v>23</v>
      </c>
      <c r="I2379" s="8" t="s">
        <v>14</v>
      </c>
    </row>
    <row r="2380" customFormat="false" ht="14.25" hidden="false" customHeight="false" outlineLevel="0" collapsed="false">
      <c r="A2380" s="8" t="n">
        <v>2379</v>
      </c>
      <c r="B2380" s="8" t="s">
        <v>136</v>
      </c>
      <c r="C2380" s="8" t="s">
        <v>10</v>
      </c>
      <c r="D2380" s="9" t="n">
        <v>44468</v>
      </c>
      <c r="E2380" s="10" t="n">
        <v>1397.77</v>
      </c>
      <c r="F2380" s="8" t="s">
        <v>11</v>
      </c>
      <c r="G2380" s="8" t="s">
        <v>12</v>
      </c>
      <c r="H2380" s="11" t="s">
        <v>13</v>
      </c>
      <c r="I2380" s="8" t="s">
        <v>14</v>
      </c>
    </row>
    <row r="2381" customFormat="false" ht="14.25" hidden="false" customHeight="false" outlineLevel="0" collapsed="false">
      <c r="A2381" s="8" t="n">
        <v>2380</v>
      </c>
      <c r="B2381" s="8" t="s">
        <v>100</v>
      </c>
      <c r="C2381" s="8" t="s">
        <v>28</v>
      </c>
      <c r="D2381" s="9" t="n">
        <v>44468</v>
      </c>
      <c r="E2381" s="10" t="n">
        <v>1397.77</v>
      </c>
      <c r="F2381" s="8" t="s">
        <v>11</v>
      </c>
      <c r="G2381" s="8" t="s">
        <v>17</v>
      </c>
      <c r="H2381" s="11" t="s">
        <v>18</v>
      </c>
      <c r="I2381" s="8" t="s">
        <v>14</v>
      </c>
    </row>
    <row r="2382" customFormat="false" ht="14.25" hidden="false" customHeight="false" outlineLevel="0" collapsed="false">
      <c r="A2382" s="8" t="n">
        <v>2381</v>
      </c>
      <c r="B2382" s="8" t="s">
        <v>81</v>
      </c>
      <c r="C2382" s="8" t="s">
        <v>10</v>
      </c>
      <c r="D2382" s="9" t="n">
        <v>44468</v>
      </c>
      <c r="E2382" s="10" t="n">
        <v>-412.69</v>
      </c>
      <c r="F2382" s="8" t="s">
        <v>34</v>
      </c>
      <c r="G2382" s="8" t="s">
        <v>12</v>
      </c>
      <c r="H2382" s="11" t="s">
        <v>13</v>
      </c>
      <c r="I2382" s="8" t="s">
        <v>14</v>
      </c>
    </row>
    <row r="2383" customFormat="false" ht="14.25" hidden="false" customHeight="false" outlineLevel="0" collapsed="false">
      <c r="A2383" s="8" t="n">
        <v>2382</v>
      </c>
      <c r="B2383" s="8" t="s">
        <v>136</v>
      </c>
      <c r="C2383" s="8" t="s">
        <v>21</v>
      </c>
      <c r="D2383" s="9" t="n">
        <v>44468</v>
      </c>
      <c r="E2383" s="10" t="n">
        <v>6273</v>
      </c>
      <c r="F2383" s="8" t="s">
        <v>11</v>
      </c>
      <c r="G2383" s="8" t="s">
        <v>17</v>
      </c>
      <c r="H2383" s="11" t="s">
        <v>18</v>
      </c>
      <c r="I2383" s="8" t="s">
        <v>26</v>
      </c>
    </row>
    <row r="2384" customFormat="false" ht="14.25" hidden="false" customHeight="false" outlineLevel="0" collapsed="false">
      <c r="A2384" s="8" t="n">
        <v>2383</v>
      </c>
      <c r="B2384" s="8" t="s">
        <v>100</v>
      </c>
      <c r="C2384" s="8" t="s">
        <v>10</v>
      </c>
      <c r="D2384" s="9" t="n">
        <v>44468</v>
      </c>
      <c r="E2384" s="10" t="n">
        <v>2439.5</v>
      </c>
      <c r="F2384" s="8" t="s">
        <v>11</v>
      </c>
      <c r="G2384" s="8" t="s">
        <v>12</v>
      </c>
      <c r="H2384" s="11" t="s">
        <v>13</v>
      </c>
      <c r="I2384" s="8" t="s">
        <v>19</v>
      </c>
    </row>
    <row r="2385" customFormat="false" ht="14.25" hidden="false" customHeight="false" outlineLevel="0" collapsed="false">
      <c r="A2385" s="8" t="n">
        <v>2384</v>
      </c>
      <c r="B2385" s="8" t="s">
        <v>100</v>
      </c>
      <c r="C2385" s="8" t="s">
        <v>21</v>
      </c>
      <c r="D2385" s="9" t="n">
        <v>44468</v>
      </c>
      <c r="E2385" s="10" t="n">
        <v>6273</v>
      </c>
      <c r="F2385" s="8" t="s">
        <v>11</v>
      </c>
      <c r="G2385" s="8" t="s">
        <v>17</v>
      </c>
      <c r="H2385" s="11" t="s">
        <v>18</v>
      </c>
      <c r="I2385" s="8" t="s">
        <v>19</v>
      </c>
    </row>
    <row r="2386" customFormat="false" ht="14.25" hidden="false" customHeight="false" outlineLevel="0" collapsed="false">
      <c r="A2386" s="8" t="n">
        <v>2385</v>
      </c>
      <c r="B2386" s="8" t="s">
        <v>81</v>
      </c>
      <c r="C2386" s="8" t="s">
        <v>10</v>
      </c>
      <c r="D2386" s="9" t="n">
        <v>44468</v>
      </c>
      <c r="E2386" s="10" t="n">
        <v>2439.5</v>
      </c>
      <c r="F2386" s="8" t="s">
        <v>11</v>
      </c>
      <c r="G2386" s="8" t="s">
        <v>17</v>
      </c>
      <c r="H2386" s="11" t="s">
        <v>18</v>
      </c>
      <c r="I2386" s="8" t="s">
        <v>26</v>
      </c>
    </row>
    <row r="2387" customFormat="false" ht="14.25" hidden="false" customHeight="false" outlineLevel="0" collapsed="false">
      <c r="A2387" s="8" t="n">
        <v>2386</v>
      </c>
      <c r="B2387" s="8" t="s">
        <v>136</v>
      </c>
      <c r="C2387" s="8" t="s">
        <v>21</v>
      </c>
      <c r="D2387" s="9" t="n">
        <v>44468</v>
      </c>
      <c r="E2387" s="10" t="n">
        <v>-1893.68</v>
      </c>
      <c r="F2387" s="8" t="s">
        <v>34</v>
      </c>
      <c r="G2387" s="8" t="s">
        <v>22</v>
      </c>
      <c r="H2387" s="11" t="s">
        <v>23</v>
      </c>
      <c r="I2387" s="8" t="s">
        <v>14</v>
      </c>
    </row>
    <row r="2388" customFormat="false" ht="14.25" hidden="false" customHeight="false" outlineLevel="0" collapsed="false">
      <c r="A2388" s="8" t="n">
        <v>2387</v>
      </c>
      <c r="B2388" s="8" t="s">
        <v>81</v>
      </c>
      <c r="C2388" s="8" t="s">
        <v>16</v>
      </c>
      <c r="D2388" s="9" t="n">
        <v>44468</v>
      </c>
      <c r="E2388" s="10" t="n">
        <v>-2288.27</v>
      </c>
      <c r="F2388" s="8" t="s">
        <v>34</v>
      </c>
      <c r="G2388" s="8" t="s">
        <v>36</v>
      </c>
      <c r="H2388" s="11" t="s">
        <v>37</v>
      </c>
      <c r="I2388" s="8" t="s">
        <v>14</v>
      </c>
    </row>
    <row r="2389" customFormat="false" ht="14.25" hidden="false" customHeight="false" outlineLevel="0" collapsed="false">
      <c r="A2389" s="8" t="n">
        <v>2388</v>
      </c>
      <c r="B2389" s="8" t="s">
        <v>100</v>
      </c>
      <c r="C2389" s="8" t="s">
        <v>16</v>
      </c>
      <c r="D2389" s="9" t="n">
        <v>44468</v>
      </c>
      <c r="E2389" s="10" t="n">
        <v>-2033.64</v>
      </c>
      <c r="F2389" s="8" t="s">
        <v>34</v>
      </c>
      <c r="G2389" s="8" t="s">
        <v>36</v>
      </c>
      <c r="H2389" s="11" t="s">
        <v>37</v>
      </c>
      <c r="I2389" s="8" t="s">
        <v>19</v>
      </c>
    </row>
    <row r="2390" customFormat="false" ht="14.25" hidden="false" customHeight="false" outlineLevel="0" collapsed="false">
      <c r="A2390" s="8" t="n">
        <v>2389</v>
      </c>
      <c r="B2390" s="8" t="s">
        <v>100</v>
      </c>
      <c r="C2390" s="8" t="s">
        <v>10</v>
      </c>
      <c r="D2390" s="9" t="n">
        <v>44468</v>
      </c>
      <c r="E2390" s="10" t="n">
        <v>-1672.76</v>
      </c>
      <c r="F2390" s="8" t="s">
        <v>34</v>
      </c>
      <c r="G2390" s="8" t="s">
        <v>12</v>
      </c>
      <c r="H2390" s="11" t="s">
        <v>13</v>
      </c>
      <c r="I2390" s="8" t="s">
        <v>26</v>
      </c>
    </row>
    <row r="2391" customFormat="false" ht="14.25" hidden="false" customHeight="false" outlineLevel="0" collapsed="false">
      <c r="A2391" s="8" t="n">
        <v>2390</v>
      </c>
      <c r="B2391" s="8" t="s">
        <v>81</v>
      </c>
      <c r="C2391" s="8" t="s">
        <v>10</v>
      </c>
      <c r="D2391" s="9" t="n">
        <v>44468</v>
      </c>
      <c r="E2391" s="10" t="n">
        <v>-1235.05</v>
      </c>
      <c r="F2391" s="8" t="s">
        <v>34</v>
      </c>
      <c r="G2391" s="8" t="s">
        <v>12</v>
      </c>
      <c r="H2391" s="11" t="s">
        <v>13</v>
      </c>
      <c r="I2391" s="8" t="s">
        <v>24</v>
      </c>
    </row>
    <row r="2392" customFormat="false" ht="14.25" hidden="false" customHeight="false" outlineLevel="0" collapsed="false">
      <c r="A2392" s="8" t="n">
        <v>2391</v>
      </c>
      <c r="B2392" s="8" t="s">
        <v>81</v>
      </c>
      <c r="C2392" s="8" t="s">
        <v>16</v>
      </c>
      <c r="D2392" s="9" t="n">
        <v>44468</v>
      </c>
      <c r="E2392" s="10" t="n">
        <v>-1678.43</v>
      </c>
      <c r="F2392" s="8" t="s">
        <v>34</v>
      </c>
      <c r="G2392" s="8" t="s">
        <v>17</v>
      </c>
      <c r="H2392" s="11" t="s">
        <v>18</v>
      </c>
      <c r="I2392" s="8" t="s">
        <v>26</v>
      </c>
    </row>
    <row r="2393" customFormat="false" ht="14.25" hidden="false" customHeight="false" outlineLevel="0" collapsed="false">
      <c r="A2393" s="8" t="n">
        <v>2392</v>
      </c>
      <c r="B2393" s="8" t="s">
        <v>100</v>
      </c>
      <c r="C2393" s="8" t="s">
        <v>16</v>
      </c>
      <c r="D2393" s="9" t="n">
        <v>44468</v>
      </c>
      <c r="E2393" s="10" t="n">
        <v>-40775.42</v>
      </c>
      <c r="F2393" s="8" t="s">
        <v>34</v>
      </c>
      <c r="G2393" s="8" t="s">
        <v>30</v>
      </c>
      <c r="H2393" s="11" t="s">
        <v>31</v>
      </c>
      <c r="I2393" s="8" t="s">
        <v>19</v>
      </c>
    </row>
    <row r="2394" customFormat="false" ht="14.25" hidden="false" customHeight="false" outlineLevel="0" collapsed="false">
      <c r="A2394" s="8" t="n">
        <v>2393</v>
      </c>
      <c r="B2394" s="8" t="s">
        <v>100</v>
      </c>
      <c r="C2394" s="8" t="s">
        <v>10</v>
      </c>
      <c r="D2394" s="9" t="n">
        <v>44468</v>
      </c>
      <c r="E2394" s="10" t="n">
        <v>131668.57</v>
      </c>
      <c r="F2394" s="8" t="s">
        <v>11</v>
      </c>
      <c r="G2394" s="8" t="s">
        <v>12</v>
      </c>
      <c r="H2394" s="11" t="s">
        <v>13</v>
      </c>
      <c r="I2394" s="8" t="s">
        <v>26</v>
      </c>
    </row>
    <row r="2395" customFormat="false" ht="14.25" hidden="false" customHeight="false" outlineLevel="0" collapsed="false">
      <c r="A2395" s="8" t="n">
        <v>2394</v>
      </c>
      <c r="B2395" s="8" t="s">
        <v>100</v>
      </c>
      <c r="C2395" s="8" t="s">
        <v>21</v>
      </c>
      <c r="D2395" s="9" t="n">
        <v>44468</v>
      </c>
      <c r="E2395" s="10" t="n">
        <v>164576.51</v>
      </c>
      <c r="F2395" s="8" t="s">
        <v>11</v>
      </c>
      <c r="G2395" s="8" t="s">
        <v>12</v>
      </c>
      <c r="H2395" s="11" t="s">
        <v>13</v>
      </c>
      <c r="I2395" s="8" t="s">
        <v>14</v>
      </c>
    </row>
    <row r="2396" customFormat="false" ht="14.25" hidden="false" customHeight="false" outlineLevel="0" collapsed="false">
      <c r="A2396" s="8" t="n">
        <v>2395</v>
      </c>
      <c r="B2396" s="8" t="s">
        <v>207</v>
      </c>
      <c r="C2396" s="8" t="s">
        <v>28</v>
      </c>
      <c r="D2396" s="9" t="n">
        <v>44470</v>
      </c>
      <c r="E2396" s="10" t="n">
        <v>-34449.35</v>
      </c>
      <c r="F2396" s="8" t="s">
        <v>34</v>
      </c>
      <c r="G2396" s="8" t="s">
        <v>12</v>
      </c>
      <c r="H2396" s="11" t="s">
        <v>13</v>
      </c>
      <c r="I2396" s="8" t="s">
        <v>26</v>
      </c>
    </row>
    <row r="2397" customFormat="false" ht="14.25" hidden="false" customHeight="false" outlineLevel="0" collapsed="false">
      <c r="A2397" s="8" t="n">
        <v>2396</v>
      </c>
      <c r="B2397" s="8" t="s">
        <v>174</v>
      </c>
      <c r="C2397" s="8" t="s">
        <v>16</v>
      </c>
      <c r="D2397" s="9" t="n">
        <v>44470</v>
      </c>
      <c r="E2397" s="10" t="n">
        <v>149525.59</v>
      </c>
      <c r="F2397" s="8" t="s">
        <v>11</v>
      </c>
      <c r="G2397" s="8" t="s">
        <v>12</v>
      </c>
      <c r="H2397" s="11" t="s">
        <v>13</v>
      </c>
      <c r="I2397" s="8" t="s">
        <v>14</v>
      </c>
    </row>
    <row r="2398" customFormat="false" ht="14.25" hidden="false" customHeight="false" outlineLevel="0" collapsed="false">
      <c r="A2398" s="8" t="n">
        <v>2397</v>
      </c>
      <c r="B2398" s="8" t="s">
        <v>40</v>
      </c>
      <c r="C2398" s="8" t="s">
        <v>16</v>
      </c>
      <c r="D2398" s="9" t="n">
        <v>44470</v>
      </c>
      <c r="E2398" s="10" t="n">
        <v>5227.5</v>
      </c>
      <c r="F2398" s="8" t="s">
        <v>11</v>
      </c>
      <c r="G2398" s="8" t="s">
        <v>12</v>
      </c>
      <c r="H2398" s="11" t="s">
        <v>13</v>
      </c>
      <c r="I2398" s="8" t="s">
        <v>19</v>
      </c>
    </row>
    <row r="2399" customFormat="false" ht="14.25" hidden="false" customHeight="false" outlineLevel="0" collapsed="false">
      <c r="A2399" s="8" t="n">
        <v>2398</v>
      </c>
      <c r="B2399" s="8" t="s">
        <v>73</v>
      </c>
      <c r="C2399" s="8" t="s">
        <v>10</v>
      </c>
      <c r="D2399" s="9" t="n">
        <v>44471</v>
      </c>
      <c r="E2399" s="10" t="n">
        <v>7140.37</v>
      </c>
      <c r="F2399" s="8" t="s">
        <v>11</v>
      </c>
      <c r="G2399" s="8" t="s">
        <v>12</v>
      </c>
      <c r="H2399" s="11" t="s">
        <v>13</v>
      </c>
      <c r="I2399" s="8" t="s">
        <v>26</v>
      </c>
    </row>
    <row r="2400" customFormat="false" ht="14.25" hidden="false" customHeight="false" outlineLevel="0" collapsed="false">
      <c r="A2400" s="8" t="n">
        <v>2399</v>
      </c>
      <c r="B2400" s="8" t="s">
        <v>160</v>
      </c>
      <c r="C2400" s="8" t="s">
        <v>16</v>
      </c>
      <c r="D2400" s="9" t="n">
        <v>44471</v>
      </c>
      <c r="E2400" s="10" t="n">
        <v>4879</v>
      </c>
      <c r="F2400" s="8" t="s">
        <v>11</v>
      </c>
      <c r="G2400" s="8" t="s">
        <v>36</v>
      </c>
      <c r="H2400" s="11" t="s">
        <v>37</v>
      </c>
      <c r="I2400" s="8" t="s">
        <v>26</v>
      </c>
    </row>
    <row r="2401" customFormat="false" ht="14.25" hidden="false" customHeight="false" outlineLevel="0" collapsed="false">
      <c r="A2401" s="8" t="n">
        <v>2400</v>
      </c>
      <c r="B2401" s="8" t="s">
        <v>165</v>
      </c>
      <c r="C2401" s="8" t="s">
        <v>28</v>
      </c>
      <c r="D2401" s="9" t="n">
        <v>44471</v>
      </c>
      <c r="E2401" s="10" t="n">
        <v>4321.4</v>
      </c>
      <c r="F2401" s="8" t="s">
        <v>11</v>
      </c>
      <c r="G2401" s="8" t="s">
        <v>12</v>
      </c>
      <c r="H2401" s="11" t="s">
        <v>13</v>
      </c>
      <c r="I2401" s="8" t="s">
        <v>26</v>
      </c>
    </row>
    <row r="2402" customFormat="false" ht="14.25" hidden="false" customHeight="false" outlineLevel="0" collapsed="false">
      <c r="A2402" s="8" t="n">
        <v>2401</v>
      </c>
      <c r="B2402" s="8" t="s">
        <v>158</v>
      </c>
      <c r="C2402" s="8" t="s">
        <v>10</v>
      </c>
      <c r="D2402" s="9" t="n">
        <v>44471</v>
      </c>
      <c r="E2402" s="10" t="n">
        <v>5227.5</v>
      </c>
      <c r="F2402" s="8" t="s">
        <v>11</v>
      </c>
      <c r="G2402" s="8" t="s">
        <v>17</v>
      </c>
      <c r="H2402" s="11" t="s">
        <v>18</v>
      </c>
      <c r="I2402" s="8" t="s">
        <v>19</v>
      </c>
    </row>
    <row r="2403" customFormat="false" ht="14.25" hidden="false" customHeight="false" outlineLevel="0" collapsed="false">
      <c r="A2403" s="8" t="n">
        <v>2402</v>
      </c>
      <c r="B2403" s="8" t="s">
        <v>85</v>
      </c>
      <c r="C2403" s="8" t="s">
        <v>28</v>
      </c>
      <c r="D2403" s="9" t="n">
        <v>44471</v>
      </c>
      <c r="E2403" s="10" t="n">
        <v>7140.37</v>
      </c>
      <c r="F2403" s="8" t="s">
        <v>11</v>
      </c>
      <c r="G2403" s="8" t="s">
        <v>36</v>
      </c>
      <c r="H2403" s="11" t="s">
        <v>37</v>
      </c>
      <c r="I2403" s="8" t="s">
        <v>24</v>
      </c>
    </row>
    <row r="2404" customFormat="false" ht="14.25" hidden="false" customHeight="false" outlineLevel="0" collapsed="false">
      <c r="A2404" s="8" t="n">
        <v>2403</v>
      </c>
      <c r="B2404" s="8" t="s">
        <v>173</v>
      </c>
      <c r="C2404" s="8" t="s">
        <v>28</v>
      </c>
      <c r="D2404" s="9" t="n">
        <v>44472</v>
      </c>
      <c r="E2404" s="10" t="n">
        <v>4879</v>
      </c>
      <c r="F2404" s="8" t="s">
        <v>11</v>
      </c>
      <c r="G2404" s="8" t="s">
        <v>22</v>
      </c>
      <c r="H2404" s="11" t="s">
        <v>23</v>
      </c>
      <c r="I2404" s="8" t="s">
        <v>14</v>
      </c>
    </row>
    <row r="2405" customFormat="false" ht="14.25" hidden="false" customHeight="false" outlineLevel="0" collapsed="false">
      <c r="A2405" s="8" t="n">
        <v>2404</v>
      </c>
      <c r="B2405" s="8" t="s">
        <v>178</v>
      </c>
      <c r="C2405" s="8" t="s">
        <v>21</v>
      </c>
      <c r="D2405" s="9" t="n">
        <v>44472</v>
      </c>
      <c r="E2405" s="10" t="n">
        <v>4321.4</v>
      </c>
      <c r="F2405" s="8" t="s">
        <v>11</v>
      </c>
      <c r="G2405" s="8" t="s">
        <v>36</v>
      </c>
      <c r="H2405" s="11" t="s">
        <v>37</v>
      </c>
      <c r="I2405" s="8" t="s">
        <v>26</v>
      </c>
    </row>
    <row r="2406" customFormat="false" ht="14.25" hidden="false" customHeight="false" outlineLevel="0" collapsed="false">
      <c r="A2406" s="8" t="n">
        <v>2405</v>
      </c>
      <c r="B2406" s="8" t="s">
        <v>190</v>
      </c>
      <c r="C2406" s="8" t="s">
        <v>16</v>
      </c>
      <c r="D2406" s="9" t="n">
        <v>44472</v>
      </c>
      <c r="E2406" s="10" t="n">
        <v>3579.1</v>
      </c>
      <c r="F2406" s="8" t="s">
        <v>11</v>
      </c>
      <c r="G2406" s="8" t="s">
        <v>12</v>
      </c>
      <c r="H2406" s="11" t="s">
        <v>13</v>
      </c>
      <c r="I2406" s="8" t="s">
        <v>14</v>
      </c>
    </row>
    <row r="2407" customFormat="false" ht="14.25" hidden="false" customHeight="false" outlineLevel="0" collapsed="false">
      <c r="A2407" s="8" t="n">
        <v>2406</v>
      </c>
      <c r="B2407" s="8" t="s">
        <v>40</v>
      </c>
      <c r="C2407" s="8" t="s">
        <v>10</v>
      </c>
      <c r="D2407" s="9" t="n">
        <v>44472</v>
      </c>
      <c r="E2407" s="10" t="n">
        <v>3575.61</v>
      </c>
      <c r="F2407" s="8" t="s">
        <v>11</v>
      </c>
      <c r="G2407" s="8" t="s">
        <v>36</v>
      </c>
      <c r="H2407" s="11" t="s">
        <v>37</v>
      </c>
      <c r="I2407" s="8" t="s">
        <v>19</v>
      </c>
    </row>
    <row r="2408" customFormat="false" ht="14.25" hidden="false" customHeight="false" outlineLevel="0" collapsed="false">
      <c r="A2408" s="8" t="n">
        <v>2407</v>
      </c>
      <c r="B2408" s="8" t="s">
        <v>248</v>
      </c>
      <c r="C2408" s="8" t="s">
        <v>16</v>
      </c>
      <c r="D2408" s="9" t="n">
        <v>44473</v>
      </c>
      <c r="E2408" s="10" t="n">
        <v>7140.37</v>
      </c>
      <c r="F2408" s="8" t="s">
        <v>11</v>
      </c>
      <c r="G2408" s="8" t="s">
        <v>17</v>
      </c>
      <c r="H2408" s="11" t="s">
        <v>18</v>
      </c>
      <c r="I2408" s="8" t="s">
        <v>14</v>
      </c>
    </row>
    <row r="2409" customFormat="false" ht="14.25" hidden="false" customHeight="false" outlineLevel="0" collapsed="false">
      <c r="A2409" s="8" t="n">
        <v>2408</v>
      </c>
      <c r="B2409" s="8" t="s">
        <v>149</v>
      </c>
      <c r="C2409" s="8" t="s">
        <v>16</v>
      </c>
      <c r="D2409" s="9" t="n">
        <v>44473</v>
      </c>
      <c r="E2409" s="10" t="n">
        <v>0</v>
      </c>
      <c r="F2409" s="8" t="s">
        <v>34</v>
      </c>
      <c r="G2409" s="8" t="s">
        <v>12</v>
      </c>
      <c r="H2409" s="11" t="s">
        <v>13</v>
      </c>
      <c r="I2409" s="8" t="s">
        <v>26</v>
      </c>
    </row>
    <row r="2410" customFormat="false" ht="14.25" hidden="false" customHeight="false" outlineLevel="0" collapsed="false">
      <c r="A2410" s="8" t="n">
        <v>2409</v>
      </c>
      <c r="B2410" s="8" t="s">
        <v>270</v>
      </c>
      <c r="C2410" s="8" t="s">
        <v>10</v>
      </c>
      <c r="D2410" s="9" t="n">
        <v>44473</v>
      </c>
      <c r="E2410" s="10" t="n">
        <v>0</v>
      </c>
      <c r="F2410" s="8" t="s">
        <v>34</v>
      </c>
      <c r="G2410" s="8" t="s">
        <v>12</v>
      </c>
      <c r="H2410" s="11" t="s">
        <v>13</v>
      </c>
      <c r="I2410" s="8" t="s">
        <v>26</v>
      </c>
    </row>
    <row r="2411" customFormat="false" ht="14.25" hidden="false" customHeight="false" outlineLevel="0" collapsed="false">
      <c r="A2411" s="8" t="n">
        <v>2410</v>
      </c>
      <c r="B2411" s="8" t="s">
        <v>176</v>
      </c>
      <c r="C2411" s="8" t="s">
        <v>21</v>
      </c>
      <c r="D2411" s="9" t="n">
        <v>44473</v>
      </c>
      <c r="E2411" s="10" t="n">
        <v>7140.37</v>
      </c>
      <c r="F2411" s="8" t="s">
        <v>11</v>
      </c>
      <c r="G2411" s="8" t="s">
        <v>36</v>
      </c>
      <c r="H2411" s="11" t="s">
        <v>37</v>
      </c>
      <c r="I2411" s="8" t="s">
        <v>14</v>
      </c>
    </row>
    <row r="2412" customFormat="false" ht="14.25" hidden="false" customHeight="false" outlineLevel="0" collapsed="false">
      <c r="A2412" s="8" t="n">
        <v>2411</v>
      </c>
      <c r="B2412" s="8" t="s">
        <v>144</v>
      </c>
      <c r="C2412" s="8" t="s">
        <v>10</v>
      </c>
      <c r="D2412" s="9" t="n">
        <v>44473</v>
      </c>
      <c r="E2412" s="10" t="n">
        <v>7140.34</v>
      </c>
      <c r="F2412" s="8" t="s">
        <v>11</v>
      </c>
      <c r="G2412" s="8" t="s">
        <v>12</v>
      </c>
      <c r="H2412" s="11" t="s">
        <v>13</v>
      </c>
      <c r="I2412" s="8" t="s">
        <v>26</v>
      </c>
    </row>
    <row r="2413" customFormat="false" ht="14.25" hidden="false" customHeight="false" outlineLevel="0" collapsed="false">
      <c r="A2413" s="8" t="n">
        <v>2412</v>
      </c>
      <c r="B2413" s="8" t="s">
        <v>144</v>
      </c>
      <c r="C2413" s="8" t="s">
        <v>10</v>
      </c>
      <c r="D2413" s="9" t="n">
        <v>44473</v>
      </c>
      <c r="E2413" s="10" t="n">
        <v>-9158.66</v>
      </c>
      <c r="F2413" s="8" t="s">
        <v>34</v>
      </c>
      <c r="G2413" s="8" t="s">
        <v>36</v>
      </c>
      <c r="H2413" s="11" t="s">
        <v>37</v>
      </c>
      <c r="I2413" s="8" t="s">
        <v>14</v>
      </c>
    </row>
    <row r="2414" customFormat="false" ht="14.25" hidden="false" customHeight="false" outlineLevel="0" collapsed="false">
      <c r="A2414" s="8" t="n">
        <v>2413</v>
      </c>
      <c r="B2414" s="8" t="s">
        <v>225</v>
      </c>
      <c r="C2414" s="8" t="s">
        <v>28</v>
      </c>
      <c r="D2414" s="9" t="n">
        <v>44474</v>
      </c>
      <c r="E2414" s="10" t="n">
        <v>-27375.08</v>
      </c>
      <c r="F2414" s="8" t="s">
        <v>34</v>
      </c>
      <c r="G2414" s="8" t="s">
        <v>12</v>
      </c>
      <c r="H2414" s="11" t="s">
        <v>13</v>
      </c>
      <c r="I2414" s="8" t="s">
        <v>19</v>
      </c>
    </row>
    <row r="2415" customFormat="false" ht="14.25" hidden="false" customHeight="false" outlineLevel="0" collapsed="false">
      <c r="A2415" s="8" t="n">
        <v>2414</v>
      </c>
      <c r="B2415" s="8" t="s">
        <v>247</v>
      </c>
      <c r="C2415" s="8" t="s">
        <v>16</v>
      </c>
      <c r="D2415" s="9" t="n">
        <v>44474</v>
      </c>
      <c r="E2415" s="10" t="n">
        <v>-1945.23</v>
      </c>
      <c r="F2415" s="8" t="s">
        <v>34</v>
      </c>
      <c r="G2415" s="8" t="s">
        <v>12</v>
      </c>
      <c r="H2415" s="11" t="s">
        <v>13</v>
      </c>
      <c r="I2415" s="8" t="s">
        <v>14</v>
      </c>
    </row>
    <row r="2416" customFormat="false" ht="14.25" hidden="false" customHeight="false" outlineLevel="0" collapsed="false">
      <c r="A2416" s="8" t="n">
        <v>2415</v>
      </c>
      <c r="B2416" s="8" t="s">
        <v>85</v>
      </c>
      <c r="C2416" s="8" t="s">
        <v>28</v>
      </c>
      <c r="D2416" s="9" t="n">
        <v>44474</v>
      </c>
      <c r="E2416" s="10" t="n">
        <v>-4633.76</v>
      </c>
      <c r="F2416" s="8" t="s">
        <v>34</v>
      </c>
      <c r="G2416" s="8" t="s">
        <v>12</v>
      </c>
      <c r="H2416" s="11" t="s">
        <v>13</v>
      </c>
      <c r="I2416" s="8" t="s">
        <v>19</v>
      </c>
    </row>
    <row r="2417" customFormat="false" ht="14.25" hidden="false" customHeight="false" outlineLevel="0" collapsed="false">
      <c r="A2417" s="8" t="n">
        <v>2416</v>
      </c>
      <c r="B2417" s="8" t="s">
        <v>182</v>
      </c>
      <c r="C2417" s="8" t="s">
        <v>10</v>
      </c>
      <c r="D2417" s="9" t="n">
        <v>44477</v>
      </c>
      <c r="E2417" s="10" t="n">
        <v>-8496.29</v>
      </c>
      <c r="F2417" s="8" t="s">
        <v>34</v>
      </c>
      <c r="G2417" s="8" t="s">
        <v>12</v>
      </c>
      <c r="H2417" s="11" t="s">
        <v>13</v>
      </c>
      <c r="I2417" s="8" t="s">
        <v>19</v>
      </c>
    </row>
    <row r="2418" customFormat="false" ht="14.25" hidden="false" customHeight="false" outlineLevel="0" collapsed="false">
      <c r="A2418" s="8" t="n">
        <v>2417</v>
      </c>
      <c r="B2418" s="8" t="s">
        <v>50</v>
      </c>
      <c r="C2418" s="8" t="s">
        <v>10</v>
      </c>
      <c r="D2418" s="9" t="n">
        <v>44477</v>
      </c>
      <c r="E2418" s="10" t="n">
        <v>-7609.35</v>
      </c>
      <c r="F2418" s="8" t="s">
        <v>34</v>
      </c>
      <c r="G2418" s="8" t="s">
        <v>22</v>
      </c>
      <c r="H2418" s="11" t="s">
        <v>23</v>
      </c>
      <c r="I2418" s="8" t="s">
        <v>14</v>
      </c>
    </row>
    <row r="2419" customFormat="false" ht="14.25" hidden="false" customHeight="false" outlineLevel="0" collapsed="false">
      <c r="A2419" s="8" t="n">
        <v>2418</v>
      </c>
      <c r="B2419" s="8" t="s">
        <v>113</v>
      </c>
      <c r="C2419" s="8" t="s">
        <v>10</v>
      </c>
      <c r="D2419" s="9" t="n">
        <v>44477</v>
      </c>
      <c r="E2419" s="10" t="n">
        <v>-54346.18</v>
      </c>
      <c r="F2419" s="8" t="s">
        <v>34</v>
      </c>
      <c r="G2419" s="8" t="s">
        <v>30</v>
      </c>
      <c r="H2419" s="11" t="s">
        <v>31</v>
      </c>
      <c r="I2419" s="8" t="s">
        <v>19</v>
      </c>
    </row>
    <row r="2420" customFormat="false" ht="14.25" hidden="false" customHeight="false" outlineLevel="0" collapsed="false">
      <c r="A2420" s="8" t="n">
        <v>2419</v>
      </c>
      <c r="B2420" s="8" t="s">
        <v>150</v>
      </c>
      <c r="C2420" s="8" t="s">
        <v>28</v>
      </c>
      <c r="D2420" s="9" t="n">
        <v>44477</v>
      </c>
      <c r="E2420" s="10" t="n">
        <v>-37314.66</v>
      </c>
      <c r="F2420" s="8" t="s">
        <v>34</v>
      </c>
      <c r="G2420" s="8" t="s">
        <v>12</v>
      </c>
      <c r="H2420" s="11" t="s">
        <v>13</v>
      </c>
      <c r="I2420" s="8" t="s">
        <v>26</v>
      </c>
    </row>
    <row r="2421" customFormat="false" ht="14.25" hidden="false" customHeight="false" outlineLevel="0" collapsed="false">
      <c r="A2421" s="8" t="n">
        <v>2420</v>
      </c>
      <c r="B2421" s="8" t="s">
        <v>85</v>
      </c>
      <c r="C2421" s="8" t="s">
        <v>10</v>
      </c>
      <c r="D2421" s="9" t="n">
        <v>44477</v>
      </c>
      <c r="E2421" s="10" t="n">
        <v>-54835.27</v>
      </c>
      <c r="F2421" s="8" t="s">
        <v>34</v>
      </c>
      <c r="G2421" s="8" t="s">
        <v>17</v>
      </c>
      <c r="H2421" s="11" t="s">
        <v>18</v>
      </c>
      <c r="I2421" s="8" t="s">
        <v>26</v>
      </c>
    </row>
    <row r="2422" customFormat="false" ht="14.25" hidden="false" customHeight="false" outlineLevel="0" collapsed="false">
      <c r="A2422" s="8" t="n">
        <v>2421</v>
      </c>
      <c r="B2422" s="8" t="s">
        <v>15</v>
      </c>
      <c r="C2422" s="8" t="s">
        <v>28</v>
      </c>
      <c r="D2422" s="9" t="n">
        <v>44477</v>
      </c>
      <c r="E2422" s="10" t="n">
        <v>-6219.5</v>
      </c>
      <c r="F2422" s="8" t="s">
        <v>34</v>
      </c>
      <c r="G2422" s="8" t="s">
        <v>36</v>
      </c>
      <c r="H2422" s="11" t="s">
        <v>37</v>
      </c>
      <c r="I2422" s="8" t="s">
        <v>24</v>
      </c>
    </row>
    <row r="2423" customFormat="false" ht="14.25" hidden="false" customHeight="false" outlineLevel="0" collapsed="false">
      <c r="A2423" s="8" t="n">
        <v>2422</v>
      </c>
      <c r="B2423" s="8" t="s">
        <v>49</v>
      </c>
      <c r="C2423" s="8" t="s">
        <v>21</v>
      </c>
      <c r="D2423" s="9" t="n">
        <v>44477</v>
      </c>
      <c r="E2423" s="10" t="n">
        <v>139598.79</v>
      </c>
      <c r="F2423" s="8" t="s">
        <v>11</v>
      </c>
      <c r="G2423" s="8" t="s">
        <v>30</v>
      </c>
      <c r="H2423" s="11" t="s">
        <v>31</v>
      </c>
      <c r="I2423" s="8" t="s">
        <v>19</v>
      </c>
    </row>
    <row r="2424" customFormat="false" ht="14.25" hidden="false" customHeight="false" outlineLevel="0" collapsed="false">
      <c r="A2424" s="8" t="n">
        <v>2423</v>
      </c>
      <c r="B2424" s="8" t="s">
        <v>143</v>
      </c>
      <c r="C2424" s="8" t="s">
        <v>10</v>
      </c>
      <c r="D2424" s="9" t="n">
        <v>44477</v>
      </c>
      <c r="E2424" s="10" t="n">
        <v>-98.77</v>
      </c>
      <c r="F2424" s="8" t="s">
        <v>34</v>
      </c>
      <c r="G2424" s="8" t="s">
        <v>17</v>
      </c>
      <c r="H2424" s="11" t="s">
        <v>18</v>
      </c>
      <c r="I2424" s="8" t="s">
        <v>26</v>
      </c>
    </row>
    <row r="2425" customFormat="false" ht="14.25" hidden="false" customHeight="false" outlineLevel="0" collapsed="false">
      <c r="A2425" s="8" t="n">
        <v>2424</v>
      </c>
      <c r="B2425" s="8" t="s">
        <v>211</v>
      </c>
      <c r="C2425" s="8" t="s">
        <v>21</v>
      </c>
      <c r="D2425" s="9" t="n">
        <v>44478</v>
      </c>
      <c r="E2425" s="10" t="n">
        <v>-8377.01</v>
      </c>
      <c r="F2425" s="8" t="s">
        <v>34</v>
      </c>
      <c r="G2425" s="8" t="s">
        <v>12</v>
      </c>
      <c r="H2425" s="11" t="s">
        <v>13</v>
      </c>
      <c r="I2425" s="8" t="s">
        <v>14</v>
      </c>
    </row>
    <row r="2426" customFormat="false" ht="14.25" hidden="false" customHeight="false" outlineLevel="0" collapsed="false">
      <c r="A2426" s="8" t="n">
        <v>2425</v>
      </c>
      <c r="B2426" s="8" t="s">
        <v>271</v>
      </c>
      <c r="C2426" s="8" t="s">
        <v>28</v>
      </c>
      <c r="D2426" s="9" t="n">
        <v>44478</v>
      </c>
      <c r="E2426" s="10" t="n">
        <v>40631.74</v>
      </c>
      <c r="F2426" s="8" t="s">
        <v>11</v>
      </c>
      <c r="G2426" s="8" t="s">
        <v>12</v>
      </c>
      <c r="H2426" s="11" t="s">
        <v>13</v>
      </c>
      <c r="I2426" s="8" t="s">
        <v>14</v>
      </c>
    </row>
    <row r="2427" customFormat="false" ht="14.25" hidden="false" customHeight="false" outlineLevel="0" collapsed="false">
      <c r="A2427" s="8" t="n">
        <v>2426</v>
      </c>
      <c r="B2427" s="8" t="s">
        <v>272</v>
      </c>
      <c r="C2427" s="8" t="s">
        <v>28</v>
      </c>
      <c r="D2427" s="9" t="n">
        <v>44478</v>
      </c>
      <c r="E2427" s="10" t="n">
        <v>174171.11</v>
      </c>
      <c r="F2427" s="8" t="s">
        <v>11</v>
      </c>
      <c r="G2427" s="8" t="s">
        <v>30</v>
      </c>
      <c r="H2427" s="11" t="s">
        <v>31</v>
      </c>
      <c r="I2427" s="8" t="s">
        <v>14</v>
      </c>
    </row>
    <row r="2428" customFormat="false" ht="14.25" hidden="false" customHeight="false" outlineLevel="0" collapsed="false">
      <c r="A2428" s="8" t="n">
        <v>2427</v>
      </c>
      <c r="B2428" s="8" t="s">
        <v>159</v>
      </c>
      <c r="C2428" s="8" t="s">
        <v>16</v>
      </c>
      <c r="D2428" s="9" t="n">
        <v>44478</v>
      </c>
      <c r="E2428" s="10" t="n">
        <v>-29194.41</v>
      </c>
      <c r="F2428" s="8" t="s">
        <v>34</v>
      </c>
      <c r="G2428" s="8" t="s">
        <v>12</v>
      </c>
      <c r="H2428" s="11" t="s">
        <v>13</v>
      </c>
      <c r="I2428" s="8" t="s">
        <v>14</v>
      </c>
    </row>
    <row r="2429" customFormat="false" ht="14.25" hidden="false" customHeight="false" outlineLevel="0" collapsed="false">
      <c r="A2429" s="8" t="n">
        <v>2428</v>
      </c>
      <c r="B2429" s="8" t="s">
        <v>188</v>
      </c>
      <c r="C2429" s="8" t="s">
        <v>28</v>
      </c>
      <c r="D2429" s="9" t="n">
        <v>44478</v>
      </c>
      <c r="E2429" s="10" t="n">
        <v>-35065.8</v>
      </c>
      <c r="F2429" s="8" t="s">
        <v>34</v>
      </c>
      <c r="G2429" s="8" t="s">
        <v>12</v>
      </c>
      <c r="H2429" s="11" t="s">
        <v>13</v>
      </c>
      <c r="I2429" s="8" t="s">
        <v>26</v>
      </c>
    </row>
    <row r="2430" customFormat="false" ht="14.25" hidden="false" customHeight="false" outlineLevel="0" collapsed="false">
      <c r="A2430" s="8" t="n">
        <v>2429</v>
      </c>
      <c r="B2430" s="8" t="s">
        <v>164</v>
      </c>
      <c r="C2430" s="8" t="s">
        <v>10</v>
      </c>
      <c r="D2430" s="9" t="n">
        <v>44478</v>
      </c>
      <c r="E2430" s="10" t="n">
        <v>-116606.84</v>
      </c>
      <c r="F2430" s="8" t="s">
        <v>34</v>
      </c>
      <c r="G2430" s="8" t="s">
        <v>12</v>
      </c>
      <c r="H2430" s="11" t="s">
        <v>13</v>
      </c>
      <c r="I2430" s="8" t="s">
        <v>19</v>
      </c>
    </row>
    <row r="2431" customFormat="false" ht="14.25" hidden="false" customHeight="false" outlineLevel="0" collapsed="false">
      <c r="A2431" s="8" t="n">
        <v>2430</v>
      </c>
      <c r="B2431" s="8" t="s">
        <v>172</v>
      </c>
      <c r="C2431" s="8" t="s">
        <v>21</v>
      </c>
      <c r="D2431" s="9" t="n">
        <v>44478</v>
      </c>
      <c r="E2431" s="10" t="n">
        <v>-91488.46</v>
      </c>
      <c r="F2431" s="8" t="s">
        <v>34</v>
      </c>
      <c r="G2431" s="8" t="s">
        <v>12</v>
      </c>
      <c r="H2431" s="11" t="s">
        <v>13</v>
      </c>
      <c r="I2431" s="8" t="s">
        <v>26</v>
      </c>
    </row>
    <row r="2432" customFormat="false" ht="14.25" hidden="false" customHeight="false" outlineLevel="0" collapsed="false">
      <c r="A2432" s="8" t="n">
        <v>2431</v>
      </c>
      <c r="B2432" s="8" t="s">
        <v>222</v>
      </c>
      <c r="C2432" s="8" t="s">
        <v>28</v>
      </c>
      <c r="D2432" s="9" t="n">
        <v>44478</v>
      </c>
      <c r="E2432" s="10" t="n">
        <v>-94487.65</v>
      </c>
      <c r="F2432" s="8" t="s">
        <v>34</v>
      </c>
      <c r="G2432" s="8" t="s">
        <v>12</v>
      </c>
      <c r="H2432" s="11" t="s">
        <v>13</v>
      </c>
      <c r="I2432" s="8" t="s">
        <v>19</v>
      </c>
    </row>
    <row r="2433" customFormat="false" ht="14.25" hidden="false" customHeight="false" outlineLevel="0" collapsed="false">
      <c r="A2433" s="8" t="n">
        <v>2432</v>
      </c>
      <c r="B2433" s="8" t="s">
        <v>235</v>
      </c>
      <c r="C2433" s="8" t="s">
        <v>21</v>
      </c>
      <c r="D2433" s="9" t="n">
        <v>44478</v>
      </c>
      <c r="E2433" s="10" t="n">
        <v>-19964.28</v>
      </c>
      <c r="F2433" s="8" t="s">
        <v>34</v>
      </c>
      <c r="G2433" s="8" t="s">
        <v>36</v>
      </c>
      <c r="H2433" s="11" t="s">
        <v>37</v>
      </c>
      <c r="I2433" s="8" t="s">
        <v>26</v>
      </c>
    </row>
    <row r="2434" customFormat="false" ht="14.25" hidden="false" customHeight="false" outlineLevel="0" collapsed="false">
      <c r="A2434" s="8" t="n">
        <v>2433</v>
      </c>
      <c r="B2434" s="8" t="s">
        <v>159</v>
      </c>
      <c r="C2434" s="8" t="s">
        <v>16</v>
      </c>
      <c r="D2434" s="9" t="n">
        <v>44478</v>
      </c>
      <c r="E2434" s="10" t="n">
        <v>-36258.22</v>
      </c>
      <c r="F2434" s="8" t="s">
        <v>34</v>
      </c>
      <c r="G2434" s="8" t="s">
        <v>17</v>
      </c>
      <c r="H2434" s="11" t="s">
        <v>18</v>
      </c>
      <c r="I2434" s="8" t="s">
        <v>14</v>
      </c>
    </row>
    <row r="2435" customFormat="false" ht="14.25" hidden="false" customHeight="false" outlineLevel="0" collapsed="false">
      <c r="A2435" s="8" t="n">
        <v>2434</v>
      </c>
      <c r="B2435" s="8" t="s">
        <v>77</v>
      </c>
      <c r="C2435" s="8" t="s">
        <v>28</v>
      </c>
      <c r="D2435" s="9" t="n">
        <v>44478</v>
      </c>
      <c r="E2435" s="10" t="n">
        <v>-6204.8</v>
      </c>
      <c r="F2435" s="8" t="s">
        <v>34</v>
      </c>
      <c r="G2435" s="8" t="s">
        <v>22</v>
      </c>
      <c r="H2435" s="11" t="s">
        <v>23</v>
      </c>
      <c r="I2435" s="8" t="s">
        <v>26</v>
      </c>
    </row>
    <row r="2436" customFormat="false" ht="14.25" hidden="false" customHeight="false" outlineLevel="0" collapsed="false">
      <c r="A2436" s="8" t="n">
        <v>2435</v>
      </c>
      <c r="B2436" s="8" t="s">
        <v>41</v>
      </c>
      <c r="C2436" s="8" t="s">
        <v>21</v>
      </c>
      <c r="D2436" s="9" t="n">
        <v>44479</v>
      </c>
      <c r="E2436" s="10" t="n">
        <v>-592.38</v>
      </c>
      <c r="F2436" s="8" t="s">
        <v>34</v>
      </c>
      <c r="G2436" s="8" t="s">
        <v>12</v>
      </c>
      <c r="H2436" s="11" t="s">
        <v>13</v>
      </c>
      <c r="I2436" s="8" t="s">
        <v>26</v>
      </c>
    </row>
    <row r="2437" customFormat="false" ht="14.25" hidden="false" customHeight="false" outlineLevel="0" collapsed="false">
      <c r="A2437" s="8" t="n">
        <v>2436</v>
      </c>
      <c r="B2437" s="8" t="s">
        <v>145</v>
      </c>
      <c r="C2437" s="8" t="s">
        <v>10</v>
      </c>
      <c r="D2437" s="9" t="n">
        <v>44479</v>
      </c>
      <c r="E2437" s="10" t="n">
        <v>19990</v>
      </c>
      <c r="F2437" s="8" t="s">
        <v>11</v>
      </c>
      <c r="G2437" s="8" t="s">
        <v>12</v>
      </c>
      <c r="H2437" s="11" t="s">
        <v>13</v>
      </c>
      <c r="I2437" s="8" t="s">
        <v>26</v>
      </c>
    </row>
    <row r="2438" customFormat="false" ht="14.25" hidden="false" customHeight="false" outlineLevel="0" collapsed="false">
      <c r="A2438" s="8" t="n">
        <v>2437</v>
      </c>
      <c r="B2438" s="8" t="s">
        <v>86</v>
      </c>
      <c r="C2438" s="8" t="s">
        <v>16</v>
      </c>
      <c r="D2438" s="9" t="n">
        <v>44479</v>
      </c>
      <c r="E2438" s="10" t="n">
        <v>132820.96</v>
      </c>
      <c r="F2438" s="8" t="s">
        <v>11</v>
      </c>
      <c r="G2438" s="8" t="s">
        <v>12</v>
      </c>
      <c r="H2438" s="11" t="s">
        <v>13</v>
      </c>
      <c r="I2438" s="8" t="s">
        <v>26</v>
      </c>
    </row>
    <row r="2439" customFormat="false" ht="14.25" hidden="false" customHeight="false" outlineLevel="0" collapsed="false">
      <c r="A2439" s="8" t="n">
        <v>2438</v>
      </c>
      <c r="B2439" s="8" t="s">
        <v>39</v>
      </c>
      <c r="C2439" s="8" t="s">
        <v>21</v>
      </c>
      <c r="D2439" s="9" t="n">
        <v>44479</v>
      </c>
      <c r="E2439" s="10" t="n">
        <v>123966.1</v>
      </c>
      <c r="F2439" s="8" t="s">
        <v>11</v>
      </c>
      <c r="G2439" s="8" t="s">
        <v>36</v>
      </c>
      <c r="H2439" s="11" t="s">
        <v>37</v>
      </c>
      <c r="I2439" s="8" t="s">
        <v>19</v>
      </c>
    </row>
    <row r="2440" customFormat="false" ht="14.25" hidden="false" customHeight="false" outlineLevel="0" collapsed="false">
      <c r="A2440" s="8" t="n">
        <v>2439</v>
      </c>
      <c r="B2440" s="8" t="s">
        <v>181</v>
      </c>
      <c r="C2440" s="8" t="s">
        <v>21</v>
      </c>
      <c r="D2440" s="9" t="n">
        <v>44480</v>
      </c>
      <c r="E2440" s="10" t="n">
        <v>26160.38</v>
      </c>
      <c r="F2440" s="8" t="s">
        <v>11</v>
      </c>
      <c r="G2440" s="8" t="s">
        <v>12</v>
      </c>
      <c r="H2440" s="11" t="s">
        <v>13</v>
      </c>
      <c r="I2440" s="8" t="s">
        <v>14</v>
      </c>
    </row>
    <row r="2441" customFormat="false" ht="14.25" hidden="false" customHeight="false" outlineLevel="0" collapsed="false">
      <c r="A2441" s="8" t="n">
        <v>2440</v>
      </c>
      <c r="B2441" s="8" t="s">
        <v>222</v>
      </c>
      <c r="C2441" s="8" t="s">
        <v>10</v>
      </c>
      <c r="D2441" s="9" t="n">
        <v>44480</v>
      </c>
      <c r="E2441" s="10" t="n">
        <v>158679.55</v>
      </c>
      <c r="F2441" s="8" t="s">
        <v>11</v>
      </c>
      <c r="G2441" s="8" t="s">
        <v>36</v>
      </c>
      <c r="H2441" s="11" t="s">
        <v>37</v>
      </c>
      <c r="I2441" s="8" t="s">
        <v>26</v>
      </c>
    </row>
    <row r="2442" customFormat="false" ht="14.25" hidden="false" customHeight="false" outlineLevel="0" collapsed="false">
      <c r="A2442" s="8" t="n">
        <v>2441</v>
      </c>
      <c r="B2442" s="8" t="s">
        <v>210</v>
      </c>
      <c r="C2442" s="8" t="s">
        <v>21</v>
      </c>
      <c r="D2442" s="9" t="n">
        <v>44484</v>
      </c>
      <c r="E2442" s="10" t="n">
        <v>-235.06</v>
      </c>
      <c r="F2442" s="8" t="s">
        <v>34</v>
      </c>
      <c r="G2442" s="8" t="s">
        <v>12</v>
      </c>
      <c r="H2442" s="11" t="s">
        <v>13</v>
      </c>
      <c r="I2442" s="8" t="s">
        <v>14</v>
      </c>
    </row>
    <row r="2443" customFormat="false" ht="14.25" hidden="false" customHeight="false" outlineLevel="0" collapsed="false">
      <c r="A2443" s="8" t="n">
        <v>2442</v>
      </c>
      <c r="B2443" s="8" t="s">
        <v>35</v>
      </c>
      <c r="C2443" s="8" t="s">
        <v>28</v>
      </c>
      <c r="D2443" s="9" t="n">
        <v>44484</v>
      </c>
      <c r="E2443" s="10" t="n">
        <v>-20083.11</v>
      </c>
      <c r="F2443" s="8" t="s">
        <v>34</v>
      </c>
      <c r="G2443" s="8" t="s">
        <v>22</v>
      </c>
      <c r="H2443" s="11" t="s">
        <v>23</v>
      </c>
      <c r="I2443" s="8" t="s">
        <v>14</v>
      </c>
    </row>
    <row r="2444" customFormat="false" ht="14.25" hidden="false" customHeight="false" outlineLevel="0" collapsed="false">
      <c r="A2444" s="8" t="n">
        <v>2443</v>
      </c>
      <c r="B2444" s="8" t="s">
        <v>163</v>
      </c>
      <c r="C2444" s="8" t="s">
        <v>21</v>
      </c>
      <c r="D2444" s="9" t="n">
        <v>44484</v>
      </c>
      <c r="E2444" s="10" t="n">
        <v>-12993.12</v>
      </c>
      <c r="F2444" s="8" t="s">
        <v>34</v>
      </c>
      <c r="G2444" s="8" t="s">
        <v>12</v>
      </c>
      <c r="H2444" s="11" t="s">
        <v>13</v>
      </c>
      <c r="I2444" s="8" t="s">
        <v>19</v>
      </c>
    </row>
    <row r="2445" customFormat="false" ht="14.25" hidden="false" customHeight="false" outlineLevel="0" collapsed="false">
      <c r="A2445" s="8" t="n">
        <v>2444</v>
      </c>
      <c r="B2445" s="8" t="s">
        <v>236</v>
      </c>
      <c r="C2445" s="8" t="s">
        <v>10</v>
      </c>
      <c r="D2445" s="9" t="n">
        <v>44484</v>
      </c>
      <c r="E2445" s="10" t="n">
        <v>144254.37</v>
      </c>
      <c r="F2445" s="8" t="s">
        <v>11</v>
      </c>
      <c r="G2445" s="8" t="s">
        <v>12</v>
      </c>
      <c r="H2445" s="11" t="s">
        <v>13</v>
      </c>
      <c r="I2445" s="8" t="s">
        <v>14</v>
      </c>
    </row>
    <row r="2446" customFormat="false" ht="14.25" hidden="false" customHeight="false" outlineLevel="0" collapsed="false">
      <c r="A2446" s="8" t="n">
        <v>2445</v>
      </c>
      <c r="B2446" s="8" t="s">
        <v>222</v>
      </c>
      <c r="C2446" s="8" t="s">
        <v>10</v>
      </c>
      <c r="D2446" s="9" t="n">
        <v>44484</v>
      </c>
      <c r="E2446" s="10" t="n">
        <v>66367.47</v>
      </c>
      <c r="F2446" s="8" t="s">
        <v>11</v>
      </c>
      <c r="G2446" s="8" t="s">
        <v>12</v>
      </c>
      <c r="H2446" s="11" t="s">
        <v>13</v>
      </c>
      <c r="I2446" s="8" t="s">
        <v>26</v>
      </c>
    </row>
    <row r="2447" customFormat="false" ht="14.25" hidden="false" customHeight="false" outlineLevel="0" collapsed="false">
      <c r="A2447" s="8" t="n">
        <v>2446</v>
      </c>
      <c r="B2447" s="8" t="s">
        <v>235</v>
      </c>
      <c r="C2447" s="8" t="s">
        <v>16</v>
      </c>
      <c r="D2447" s="9" t="n">
        <v>44484</v>
      </c>
      <c r="E2447" s="10" t="n">
        <v>4164.66</v>
      </c>
      <c r="F2447" s="8" t="s">
        <v>11</v>
      </c>
      <c r="G2447" s="8" t="s">
        <v>12</v>
      </c>
      <c r="H2447" s="11" t="s">
        <v>13</v>
      </c>
      <c r="I2447" s="8" t="s">
        <v>14</v>
      </c>
    </row>
    <row r="2448" customFormat="false" ht="14.25" hidden="false" customHeight="false" outlineLevel="0" collapsed="false">
      <c r="A2448" s="8" t="n">
        <v>2447</v>
      </c>
      <c r="B2448" s="8" t="s">
        <v>15</v>
      </c>
      <c r="C2448" s="8" t="s">
        <v>21</v>
      </c>
      <c r="D2448" s="9" t="n">
        <v>44484</v>
      </c>
      <c r="E2448" s="10" t="n">
        <v>21931.3</v>
      </c>
      <c r="F2448" s="8" t="s">
        <v>11</v>
      </c>
      <c r="G2448" s="8" t="s">
        <v>12</v>
      </c>
      <c r="H2448" s="11" t="s">
        <v>13</v>
      </c>
      <c r="I2448" s="8" t="s">
        <v>14</v>
      </c>
    </row>
    <row r="2449" customFormat="false" ht="14.25" hidden="false" customHeight="false" outlineLevel="0" collapsed="false">
      <c r="A2449" s="8" t="n">
        <v>2448</v>
      </c>
      <c r="B2449" s="8" t="s">
        <v>33</v>
      </c>
      <c r="C2449" s="8" t="s">
        <v>10</v>
      </c>
      <c r="D2449" s="9" t="n">
        <v>44484</v>
      </c>
      <c r="E2449" s="10" t="n">
        <v>3964.27</v>
      </c>
      <c r="F2449" s="8" t="s">
        <v>11</v>
      </c>
      <c r="G2449" s="8" t="s">
        <v>30</v>
      </c>
      <c r="H2449" s="11" t="s">
        <v>31</v>
      </c>
      <c r="I2449" s="8" t="s">
        <v>26</v>
      </c>
    </row>
    <row r="2450" customFormat="false" ht="14.25" hidden="false" customHeight="false" outlineLevel="0" collapsed="false">
      <c r="A2450" s="8" t="n">
        <v>2449</v>
      </c>
      <c r="B2450" s="8" t="s">
        <v>33</v>
      </c>
      <c r="C2450" s="8" t="s">
        <v>28</v>
      </c>
      <c r="D2450" s="9" t="n">
        <v>44484</v>
      </c>
      <c r="E2450" s="10" t="n">
        <v>22142.09</v>
      </c>
      <c r="F2450" s="8" t="s">
        <v>11</v>
      </c>
      <c r="G2450" s="8" t="s">
        <v>17</v>
      </c>
      <c r="H2450" s="11" t="s">
        <v>18</v>
      </c>
      <c r="I2450" s="8" t="s">
        <v>14</v>
      </c>
    </row>
    <row r="2451" customFormat="false" ht="14.25" hidden="false" customHeight="false" outlineLevel="0" collapsed="false">
      <c r="A2451" s="8" t="n">
        <v>2450</v>
      </c>
      <c r="B2451" s="8" t="s">
        <v>49</v>
      </c>
      <c r="C2451" s="8" t="s">
        <v>21</v>
      </c>
      <c r="D2451" s="9" t="n">
        <v>44484</v>
      </c>
      <c r="E2451" s="10" t="n">
        <v>4516.97</v>
      </c>
      <c r="F2451" s="8" t="s">
        <v>11</v>
      </c>
      <c r="G2451" s="8" t="s">
        <v>12</v>
      </c>
      <c r="H2451" s="11" t="s">
        <v>13</v>
      </c>
      <c r="I2451" s="8" t="s">
        <v>19</v>
      </c>
    </row>
    <row r="2452" customFormat="false" ht="14.25" hidden="false" customHeight="false" outlineLevel="0" collapsed="false">
      <c r="A2452" s="8" t="n">
        <v>2451</v>
      </c>
      <c r="B2452" s="8" t="s">
        <v>33</v>
      </c>
      <c r="C2452" s="8" t="s">
        <v>21</v>
      </c>
      <c r="D2452" s="9" t="n">
        <v>44484</v>
      </c>
      <c r="E2452" s="10" t="n">
        <v>22808.55</v>
      </c>
      <c r="F2452" s="8" t="s">
        <v>11</v>
      </c>
      <c r="G2452" s="8" t="s">
        <v>22</v>
      </c>
      <c r="H2452" s="11" t="s">
        <v>23</v>
      </c>
      <c r="I2452" s="8" t="s">
        <v>14</v>
      </c>
    </row>
    <row r="2453" customFormat="false" ht="14.25" hidden="false" customHeight="false" outlineLevel="0" collapsed="false">
      <c r="A2453" s="8" t="n">
        <v>2452</v>
      </c>
      <c r="B2453" s="8" t="s">
        <v>33</v>
      </c>
      <c r="C2453" s="8" t="s">
        <v>21</v>
      </c>
      <c r="D2453" s="9" t="n">
        <v>44484</v>
      </c>
      <c r="E2453" s="10" t="n">
        <v>124426.74</v>
      </c>
      <c r="F2453" s="8" t="s">
        <v>11</v>
      </c>
      <c r="G2453" s="8" t="s">
        <v>17</v>
      </c>
      <c r="H2453" s="11" t="s">
        <v>18</v>
      </c>
      <c r="I2453" s="8" t="s">
        <v>19</v>
      </c>
    </row>
    <row r="2454" customFormat="false" ht="14.25" hidden="false" customHeight="false" outlineLevel="0" collapsed="false">
      <c r="A2454" s="8" t="n">
        <v>2453</v>
      </c>
      <c r="B2454" s="8" t="s">
        <v>33</v>
      </c>
      <c r="C2454" s="8" t="s">
        <v>16</v>
      </c>
      <c r="D2454" s="9" t="n">
        <v>44484</v>
      </c>
      <c r="E2454" s="10" t="n">
        <v>21501.28</v>
      </c>
      <c r="F2454" s="8" t="s">
        <v>11</v>
      </c>
      <c r="G2454" s="8" t="s">
        <v>17</v>
      </c>
      <c r="H2454" s="11" t="s">
        <v>18</v>
      </c>
      <c r="I2454" s="8" t="s">
        <v>14</v>
      </c>
    </row>
    <row r="2455" customFormat="false" ht="14.25" hidden="false" customHeight="false" outlineLevel="0" collapsed="false">
      <c r="A2455" s="8" t="n">
        <v>2454</v>
      </c>
      <c r="B2455" s="8" t="s">
        <v>33</v>
      </c>
      <c r="C2455" s="8" t="s">
        <v>28</v>
      </c>
      <c r="D2455" s="9" t="n">
        <v>44484</v>
      </c>
      <c r="E2455" s="10" t="n">
        <v>4293.91</v>
      </c>
      <c r="F2455" s="8" t="s">
        <v>11</v>
      </c>
      <c r="G2455" s="8" t="s">
        <v>22</v>
      </c>
      <c r="H2455" s="11" t="s">
        <v>23</v>
      </c>
      <c r="I2455" s="8" t="s">
        <v>14</v>
      </c>
    </row>
    <row r="2456" customFormat="false" ht="14.25" hidden="false" customHeight="false" outlineLevel="0" collapsed="false">
      <c r="A2456" s="8" t="n">
        <v>2455</v>
      </c>
      <c r="B2456" s="8" t="s">
        <v>33</v>
      </c>
      <c r="C2456" s="8" t="s">
        <v>10</v>
      </c>
      <c r="D2456" s="9" t="n">
        <v>44484</v>
      </c>
      <c r="E2456" s="10" t="n">
        <v>21040.24</v>
      </c>
      <c r="F2456" s="8" t="s">
        <v>11</v>
      </c>
      <c r="G2456" s="8" t="s">
        <v>30</v>
      </c>
      <c r="H2456" s="11" t="s">
        <v>31</v>
      </c>
      <c r="I2456" s="8" t="s">
        <v>26</v>
      </c>
    </row>
    <row r="2457" customFormat="false" ht="14.25" hidden="false" customHeight="false" outlineLevel="0" collapsed="false">
      <c r="A2457" s="8" t="n">
        <v>2456</v>
      </c>
      <c r="B2457" s="8" t="s">
        <v>207</v>
      </c>
      <c r="C2457" s="8" t="s">
        <v>28</v>
      </c>
      <c r="D2457" s="9" t="n">
        <v>44485</v>
      </c>
      <c r="E2457" s="10" t="n">
        <v>4379.79</v>
      </c>
      <c r="F2457" s="8" t="s">
        <v>11</v>
      </c>
      <c r="G2457" s="8" t="s">
        <v>22</v>
      </c>
      <c r="H2457" s="11" t="s">
        <v>23</v>
      </c>
      <c r="I2457" s="8" t="s">
        <v>26</v>
      </c>
    </row>
    <row r="2458" customFormat="false" ht="14.25" hidden="false" customHeight="false" outlineLevel="0" collapsed="false">
      <c r="A2458" s="8" t="n">
        <v>2457</v>
      </c>
      <c r="B2458" s="8" t="s">
        <v>199</v>
      </c>
      <c r="C2458" s="8" t="s">
        <v>28</v>
      </c>
      <c r="D2458" s="9" t="n">
        <v>44485</v>
      </c>
      <c r="E2458" s="10" t="n">
        <v>-8434.06</v>
      </c>
      <c r="F2458" s="8" t="s">
        <v>34</v>
      </c>
      <c r="G2458" s="8" t="s">
        <v>36</v>
      </c>
      <c r="H2458" s="11" t="s">
        <v>37</v>
      </c>
      <c r="I2458" s="8" t="s">
        <v>14</v>
      </c>
    </row>
    <row r="2459" customFormat="false" ht="14.25" hidden="false" customHeight="false" outlineLevel="0" collapsed="false">
      <c r="A2459" s="8" t="n">
        <v>2458</v>
      </c>
      <c r="B2459" s="8" t="s">
        <v>248</v>
      </c>
      <c r="C2459" s="8" t="s">
        <v>10</v>
      </c>
      <c r="D2459" s="9" t="n">
        <v>44485</v>
      </c>
      <c r="E2459" s="10" t="n">
        <v>-788.03</v>
      </c>
      <c r="F2459" s="8" t="s">
        <v>34</v>
      </c>
      <c r="G2459" s="8" t="s">
        <v>17</v>
      </c>
      <c r="H2459" s="11" t="s">
        <v>18</v>
      </c>
      <c r="I2459" s="8" t="s">
        <v>14</v>
      </c>
    </row>
    <row r="2460" customFormat="false" ht="14.25" hidden="false" customHeight="false" outlineLevel="0" collapsed="false">
      <c r="A2460" s="8" t="n">
        <v>2459</v>
      </c>
      <c r="B2460" s="8" t="s">
        <v>273</v>
      </c>
      <c r="C2460" s="8" t="s">
        <v>28</v>
      </c>
      <c r="D2460" s="9" t="n">
        <v>44486</v>
      </c>
      <c r="E2460" s="10" t="n">
        <v>-7889.7</v>
      </c>
      <c r="F2460" s="8" t="s">
        <v>34</v>
      </c>
      <c r="G2460" s="8" t="s">
        <v>12</v>
      </c>
      <c r="H2460" s="11" t="s">
        <v>13</v>
      </c>
      <c r="I2460" s="8" t="s">
        <v>14</v>
      </c>
    </row>
    <row r="2461" customFormat="false" ht="14.25" hidden="false" customHeight="false" outlineLevel="0" collapsed="false">
      <c r="A2461" s="8" t="n">
        <v>2460</v>
      </c>
      <c r="B2461" s="8" t="s">
        <v>274</v>
      </c>
      <c r="C2461" s="8" t="s">
        <v>21</v>
      </c>
      <c r="D2461" s="9" t="n">
        <v>44486</v>
      </c>
      <c r="E2461" s="10" t="n">
        <v>-11231.68</v>
      </c>
      <c r="F2461" s="8" t="s">
        <v>34</v>
      </c>
      <c r="G2461" s="8" t="s">
        <v>17</v>
      </c>
      <c r="H2461" s="11" t="s">
        <v>18</v>
      </c>
      <c r="I2461" s="8" t="s">
        <v>14</v>
      </c>
    </row>
    <row r="2462" customFormat="false" ht="14.25" hidden="false" customHeight="false" outlineLevel="0" collapsed="false">
      <c r="A2462" s="8" t="n">
        <v>2461</v>
      </c>
      <c r="B2462" s="8" t="s">
        <v>39</v>
      </c>
      <c r="C2462" s="8" t="s">
        <v>21</v>
      </c>
      <c r="D2462" s="9" t="n">
        <v>44487</v>
      </c>
      <c r="E2462" s="10" t="n">
        <v>-7375.55</v>
      </c>
      <c r="F2462" s="8" t="s">
        <v>34</v>
      </c>
      <c r="G2462" s="8" t="s">
        <v>17</v>
      </c>
      <c r="H2462" s="11" t="s">
        <v>18</v>
      </c>
      <c r="I2462" s="8" t="s">
        <v>26</v>
      </c>
    </row>
    <row r="2463" customFormat="false" ht="14.25" hidden="false" customHeight="false" outlineLevel="0" collapsed="false">
      <c r="A2463" s="8" t="n">
        <v>2462</v>
      </c>
      <c r="B2463" s="8" t="s">
        <v>39</v>
      </c>
      <c r="C2463" s="8" t="s">
        <v>16</v>
      </c>
      <c r="D2463" s="9" t="n">
        <v>44487</v>
      </c>
      <c r="E2463" s="10" t="n">
        <v>-3499.51</v>
      </c>
      <c r="F2463" s="8" t="s">
        <v>34</v>
      </c>
      <c r="G2463" s="8" t="s">
        <v>17</v>
      </c>
      <c r="H2463" s="11" t="s">
        <v>18</v>
      </c>
      <c r="I2463" s="8" t="s">
        <v>24</v>
      </c>
    </row>
    <row r="2464" customFormat="false" ht="14.25" hidden="false" customHeight="false" outlineLevel="0" collapsed="false">
      <c r="A2464" s="8" t="n">
        <v>2463</v>
      </c>
      <c r="B2464" s="8" t="s">
        <v>190</v>
      </c>
      <c r="C2464" s="8" t="s">
        <v>28</v>
      </c>
      <c r="D2464" s="9" t="n">
        <v>44488</v>
      </c>
      <c r="E2464" s="10" t="n">
        <v>9805.01</v>
      </c>
      <c r="F2464" s="8" t="s">
        <v>11</v>
      </c>
      <c r="G2464" s="8" t="s">
        <v>17</v>
      </c>
      <c r="H2464" s="11" t="s">
        <v>18</v>
      </c>
      <c r="I2464" s="8" t="s">
        <v>19</v>
      </c>
    </row>
    <row r="2465" customFormat="false" ht="14.25" hidden="false" customHeight="false" outlineLevel="0" collapsed="false">
      <c r="A2465" s="8" t="n">
        <v>2464</v>
      </c>
      <c r="B2465" s="8" t="s">
        <v>189</v>
      </c>
      <c r="C2465" s="8" t="s">
        <v>21</v>
      </c>
      <c r="D2465" s="9" t="n">
        <v>44488</v>
      </c>
      <c r="E2465" s="10" t="n">
        <v>9116.05</v>
      </c>
      <c r="F2465" s="8" t="s">
        <v>11</v>
      </c>
      <c r="G2465" s="8" t="s">
        <v>36</v>
      </c>
      <c r="H2465" s="11" t="s">
        <v>37</v>
      </c>
      <c r="I2465" s="8" t="s">
        <v>26</v>
      </c>
    </row>
    <row r="2466" customFormat="false" ht="14.25" hidden="false" customHeight="false" outlineLevel="0" collapsed="false">
      <c r="A2466" s="8" t="n">
        <v>2465</v>
      </c>
      <c r="B2466" s="8" t="s">
        <v>145</v>
      </c>
      <c r="C2466" s="8" t="s">
        <v>21</v>
      </c>
      <c r="D2466" s="9" t="n">
        <v>44488</v>
      </c>
      <c r="E2466" s="10" t="n">
        <v>9287.47</v>
      </c>
      <c r="F2466" s="8" t="s">
        <v>11</v>
      </c>
      <c r="G2466" s="8" t="s">
        <v>17</v>
      </c>
      <c r="H2466" s="11" t="s">
        <v>18</v>
      </c>
      <c r="I2466" s="8" t="s">
        <v>26</v>
      </c>
    </row>
    <row r="2467" customFormat="false" ht="14.25" hidden="false" customHeight="false" outlineLevel="0" collapsed="false">
      <c r="A2467" s="8" t="n">
        <v>2466</v>
      </c>
      <c r="B2467" s="8" t="s">
        <v>50</v>
      </c>
      <c r="C2467" s="8" t="s">
        <v>21</v>
      </c>
      <c r="D2467" s="9" t="n">
        <v>44491</v>
      </c>
      <c r="E2467" s="10" t="n">
        <v>9121.73</v>
      </c>
      <c r="F2467" s="8" t="s">
        <v>11</v>
      </c>
      <c r="G2467" s="8" t="s">
        <v>22</v>
      </c>
      <c r="H2467" s="11" t="s">
        <v>23</v>
      </c>
      <c r="I2467" s="8" t="s">
        <v>19</v>
      </c>
    </row>
    <row r="2468" customFormat="false" ht="14.25" hidden="false" customHeight="false" outlineLevel="0" collapsed="false">
      <c r="A2468" s="8" t="n">
        <v>2467</v>
      </c>
      <c r="B2468" s="8" t="s">
        <v>185</v>
      </c>
      <c r="C2468" s="8" t="s">
        <v>21</v>
      </c>
      <c r="D2468" s="9" t="n">
        <v>44491</v>
      </c>
      <c r="E2468" s="10" t="n">
        <v>10063.75</v>
      </c>
      <c r="F2468" s="8" t="s">
        <v>11</v>
      </c>
      <c r="G2468" s="8" t="s">
        <v>30</v>
      </c>
      <c r="H2468" s="11" t="s">
        <v>31</v>
      </c>
      <c r="I2468" s="8" t="s">
        <v>14</v>
      </c>
    </row>
    <row r="2469" customFormat="false" ht="14.25" hidden="false" customHeight="false" outlineLevel="0" collapsed="false">
      <c r="A2469" s="8" t="n">
        <v>2468</v>
      </c>
      <c r="B2469" s="8" t="s">
        <v>178</v>
      </c>
      <c r="C2469" s="8" t="s">
        <v>21</v>
      </c>
      <c r="D2469" s="9" t="n">
        <v>44491</v>
      </c>
      <c r="E2469" s="10" t="n">
        <v>10772.11</v>
      </c>
      <c r="F2469" s="8" t="s">
        <v>11</v>
      </c>
      <c r="G2469" s="8" t="s">
        <v>12</v>
      </c>
      <c r="H2469" s="11" t="s">
        <v>13</v>
      </c>
      <c r="I2469" s="8" t="s">
        <v>26</v>
      </c>
    </row>
    <row r="2470" customFormat="false" ht="14.25" hidden="false" customHeight="false" outlineLevel="0" collapsed="false">
      <c r="A2470" s="8" t="n">
        <v>2469</v>
      </c>
      <c r="B2470" s="8" t="s">
        <v>235</v>
      </c>
      <c r="C2470" s="8" t="s">
        <v>28</v>
      </c>
      <c r="D2470" s="9" t="n">
        <v>44491</v>
      </c>
      <c r="E2470" s="10" t="n">
        <v>8903.59</v>
      </c>
      <c r="F2470" s="8" t="s">
        <v>11</v>
      </c>
      <c r="G2470" s="8" t="s">
        <v>12</v>
      </c>
      <c r="H2470" s="11" t="s">
        <v>13</v>
      </c>
      <c r="I2470" s="8" t="s">
        <v>14</v>
      </c>
    </row>
    <row r="2471" customFormat="false" ht="14.25" hidden="false" customHeight="false" outlineLevel="0" collapsed="false">
      <c r="A2471" s="8" t="n">
        <v>2470</v>
      </c>
      <c r="B2471" s="8" t="s">
        <v>85</v>
      </c>
      <c r="C2471" s="8" t="s">
        <v>21</v>
      </c>
      <c r="D2471" s="9" t="n">
        <v>44491</v>
      </c>
      <c r="E2471" s="10" t="n">
        <v>9579.05</v>
      </c>
      <c r="F2471" s="8" t="s">
        <v>11</v>
      </c>
      <c r="G2471" s="8" t="s">
        <v>12</v>
      </c>
      <c r="H2471" s="11" t="s">
        <v>13</v>
      </c>
      <c r="I2471" s="8" t="s">
        <v>26</v>
      </c>
    </row>
    <row r="2472" customFormat="false" ht="14.25" hidden="false" customHeight="false" outlineLevel="0" collapsed="false">
      <c r="A2472" s="8" t="n">
        <v>2471</v>
      </c>
      <c r="B2472" s="8" t="s">
        <v>77</v>
      </c>
      <c r="C2472" s="8" t="s">
        <v>21</v>
      </c>
      <c r="D2472" s="9" t="n">
        <v>44491</v>
      </c>
      <c r="E2472" s="10" t="n">
        <v>-23455.36</v>
      </c>
      <c r="F2472" s="8" t="s">
        <v>34</v>
      </c>
      <c r="G2472" s="8" t="s">
        <v>17</v>
      </c>
      <c r="H2472" s="11" t="s">
        <v>18</v>
      </c>
      <c r="I2472" s="8" t="s">
        <v>14</v>
      </c>
    </row>
    <row r="2473" customFormat="false" ht="14.25" hidden="false" customHeight="false" outlineLevel="0" collapsed="false">
      <c r="A2473" s="8" t="n">
        <v>2472</v>
      </c>
      <c r="B2473" s="8" t="s">
        <v>15</v>
      </c>
      <c r="C2473" s="8" t="s">
        <v>21</v>
      </c>
      <c r="D2473" s="9" t="n">
        <v>44491</v>
      </c>
      <c r="E2473" s="10" t="n">
        <v>-4869.66</v>
      </c>
      <c r="F2473" s="8" t="s">
        <v>34</v>
      </c>
      <c r="G2473" s="8" t="s">
        <v>30</v>
      </c>
      <c r="H2473" s="11" t="s">
        <v>31</v>
      </c>
      <c r="I2473" s="8" t="s">
        <v>19</v>
      </c>
    </row>
    <row r="2474" customFormat="false" ht="14.25" hidden="false" customHeight="false" outlineLevel="0" collapsed="false">
      <c r="A2474" s="8" t="n">
        <v>2473</v>
      </c>
      <c r="B2474" s="8" t="s">
        <v>160</v>
      </c>
      <c r="C2474" s="8" t="s">
        <v>21</v>
      </c>
      <c r="D2474" s="9" t="n">
        <v>44492</v>
      </c>
      <c r="E2474" s="10" t="n">
        <v>-7068.6</v>
      </c>
      <c r="F2474" s="8" t="s">
        <v>34</v>
      </c>
      <c r="G2474" s="8" t="s">
        <v>17</v>
      </c>
      <c r="H2474" s="11" t="s">
        <v>18</v>
      </c>
      <c r="I2474" s="8" t="s">
        <v>19</v>
      </c>
    </row>
    <row r="2475" customFormat="false" ht="14.25" hidden="false" customHeight="false" outlineLevel="0" collapsed="false">
      <c r="A2475" s="8" t="n">
        <v>2474</v>
      </c>
      <c r="B2475" s="8" t="s">
        <v>52</v>
      </c>
      <c r="C2475" s="8" t="s">
        <v>10</v>
      </c>
      <c r="D2475" s="9" t="n">
        <v>44492</v>
      </c>
      <c r="E2475" s="10" t="n">
        <v>-7499.84</v>
      </c>
      <c r="F2475" s="8" t="s">
        <v>34</v>
      </c>
      <c r="G2475" s="8" t="s">
        <v>22</v>
      </c>
      <c r="H2475" s="11" t="s">
        <v>23</v>
      </c>
      <c r="I2475" s="8" t="s">
        <v>26</v>
      </c>
    </row>
    <row r="2476" customFormat="false" ht="14.25" hidden="false" customHeight="false" outlineLevel="0" collapsed="false">
      <c r="A2476" s="8" t="n">
        <v>2475</v>
      </c>
      <c r="B2476" s="8" t="s">
        <v>52</v>
      </c>
      <c r="C2476" s="8" t="s">
        <v>28</v>
      </c>
      <c r="D2476" s="9" t="n">
        <v>44492</v>
      </c>
      <c r="E2476" s="10" t="n">
        <v>-12924.28</v>
      </c>
      <c r="F2476" s="8" t="s">
        <v>34</v>
      </c>
      <c r="G2476" s="8" t="s">
        <v>22</v>
      </c>
      <c r="H2476" s="11" t="s">
        <v>23</v>
      </c>
      <c r="I2476" s="8" t="s">
        <v>26</v>
      </c>
    </row>
    <row r="2477" customFormat="false" ht="14.25" hidden="false" customHeight="false" outlineLevel="0" collapsed="false">
      <c r="A2477" s="8" t="n">
        <v>2476</v>
      </c>
      <c r="B2477" s="8" t="s">
        <v>52</v>
      </c>
      <c r="C2477" s="8" t="s">
        <v>21</v>
      </c>
      <c r="D2477" s="9" t="n">
        <v>44492</v>
      </c>
      <c r="E2477" s="10" t="n">
        <v>-9879.21</v>
      </c>
      <c r="F2477" s="8" t="s">
        <v>34</v>
      </c>
      <c r="G2477" s="8" t="s">
        <v>36</v>
      </c>
      <c r="H2477" s="11" t="s">
        <v>37</v>
      </c>
      <c r="I2477" s="8" t="s">
        <v>26</v>
      </c>
    </row>
    <row r="2478" customFormat="false" ht="14.25" hidden="false" customHeight="false" outlineLevel="0" collapsed="false">
      <c r="A2478" s="8" t="n">
        <v>2477</v>
      </c>
      <c r="B2478" s="8" t="s">
        <v>189</v>
      </c>
      <c r="C2478" s="8" t="s">
        <v>28</v>
      </c>
      <c r="D2478" s="9" t="n">
        <v>44493</v>
      </c>
      <c r="E2478" s="10" t="n">
        <v>-24120.57</v>
      </c>
      <c r="F2478" s="8" t="s">
        <v>34</v>
      </c>
      <c r="G2478" s="8" t="s">
        <v>30</v>
      </c>
      <c r="H2478" s="11" t="s">
        <v>31</v>
      </c>
      <c r="I2478" s="8" t="s">
        <v>26</v>
      </c>
    </row>
    <row r="2479" customFormat="false" ht="14.25" hidden="false" customHeight="false" outlineLevel="0" collapsed="false">
      <c r="A2479" s="8" t="n">
        <v>2478</v>
      </c>
      <c r="B2479" s="8" t="s">
        <v>227</v>
      </c>
      <c r="C2479" s="8" t="s">
        <v>28</v>
      </c>
      <c r="D2479" s="9" t="n">
        <v>44493</v>
      </c>
      <c r="E2479" s="10" t="n">
        <v>16530.51</v>
      </c>
      <c r="F2479" s="8" t="s">
        <v>11</v>
      </c>
      <c r="G2479" s="8" t="s">
        <v>30</v>
      </c>
      <c r="H2479" s="11" t="s">
        <v>31</v>
      </c>
      <c r="I2479" s="8" t="s">
        <v>26</v>
      </c>
    </row>
    <row r="2480" customFormat="false" ht="14.25" hidden="false" customHeight="false" outlineLevel="0" collapsed="false">
      <c r="A2480" s="8" t="n">
        <v>2479</v>
      </c>
      <c r="B2480" s="8" t="s">
        <v>228</v>
      </c>
      <c r="C2480" s="8" t="s">
        <v>28</v>
      </c>
      <c r="D2480" s="9" t="n">
        <v>44493</v>
      </c>
      <c r="E2480" s="10" t="n">
        <v>35087.92</v>
      </c>
      <c r="F2480" s="8" t="s">
        <v>11</v>
      </c>
      <c r="G2480" s="8" t="s">
        <v>12</v>
      </c>
      <c r="H2480" s="11" t="s">
        <v>13</v>
      </c>
      <c r="I2480" s="8" t="s">
        <v>19</v>
      </c>
    </row>
    <row r="2481" customFormat="false" ht="14.25" hidden="false" customHeight="false" outlineLevel="0" collapsed="false">
      <c r="A2481" s="8" t="n">
        <v>2480</v>
      </c>
      <c r="B2481" s="8" t="s">
        <v>229</v>
      </c>
      <c r="C2481" s="8" t="s">
        <v>28</v>
      </c>
      <c r="D2481" s="9" t="n">
        <v>44493</v>
      </c>
      <c r="E2481" s="10" t="n">
        <v>2795.37</v>
      </c>
      <c r="F2481" s="8" t="s">
        <v>11</v>
      </c>
      <c r="G2481" s="8" t="s">
        <v>36</v>
      </c>
      <c r="H2481" s="11" t="s">
        <v>37</v>
      </c>
      <c r="I2481" s="8" t="s">
        <v>26</v>
      </c>
    </row>
    <row r="2482" customFormat="false" ht="14.25" hidden="false" customHeight="false" outlineLevel="0" collapsed="false">
      <c r="A2482" s="8" t="n">
        <v>2481</v>
      </c>
      <c r="B2482" s="8" t="s">
        <v>230</v>
      </c>
      <c r="C2482" s="8" t="s">
        <v>21</v>
      </c>
      <c r="D2482" s="9" t="n">
        <v>44493</v>
      </c>
      <c r="E2482" s="10" t="n">
        <v>-325989.02</v>
      </c>
      <c r="F2482" s="8" t="s">
        <v>34</v>
      </c>
      <c r="G2482" s="8" t="s">
        <v>17</v>
      </c>
      <c r="H2482" s="11" t="s">
        <v>18</v>
      </c>
      <c r="I2482" s="8" t="s">
        <v>26</v>
      </c>
    </row>
    <row r="2483" customFormat="false" ht="14.25" hidden="false" customHeight="false" outlineLevel="0" collapsed="false">
      <c r="A2483" s="8" t="n">
        <v>2482</v>
      </c>
      <c r="B2483" s="8" t="s">
        <v>233</v>
      </c>
      <c r="C2483" s="8" t="s">
        <v>16</v>
      </c>
      <c r="D2483" s="9" t="n">
        <v>44493</v>
      </c>
      <c r="E2483" s="10" t="n">
        <v>146416.19</v>
      </c>
      <c r="F2483" s="8" t="s">
        <v>11</v>
      </c>
      <c r="G2483" s="8" t="s">
        <v>36</v>
      </c>
      <c r="H2483" s="11" t="s">
        <v>37</v>
      </c>
      <c r="I2483" s="8" t="s">
        <v>14</v>
      </c>
    </row>
    <row r="2484" customFormat="false" ht="14.25" hidden="false" customHeight="false" outlineLevel="0" collapsed="false">
      <c r="A2484" s="8" t="n">
        <v>2483</v>
      </c>
      <c r="B2484" s="8" t="s">
        <v>225</v>
      </c>
      <c r="C2484" s="8" t="s">
        <v>21</v>
      </c>
      <c r="D2484" s="9" t="n">
        <v>44493</v>
      </c>
      <c r="E2484" s="10" t="n">
        <v>-204.51</v>
      </c>
      <c r="F2484" s="8" t="s">
        <v>34</v>
      </c>
      <c r="G2484" s="8" t="s">
        <v>36</v>
      </c>
      <c r="H2484" s="11" t="s">
        <v>37</v>
      </c>
      <c r="I2484" s="8" t="s">
        <v>14</v>
      </c>
    </row>
    <row r="2485" customFormat="false" ht="14.25" hidden="false" customHeight="false" outlineLevel="0" collapsed="false">
      <c r="A2485" s="8" t="n">
        <v>2484</v>
      </c>
      <c r="B2485" s="8" t="s">
        <v>226</v>
      </c>
      <c r="C2485" s="8" t="s">
        <v>21</v>
      </c>
      <c r="D2485" s="9" t="n">
        <v>44493</v>
      </c>
      <c r="E2485" s="10" t="n">
        <v>-6434.93</v>
      </c>
      <c r="F2485" s="8" t="s">
        <v>34</v>
      </c>
      <c r="G2485" s="8" t="s">
        <v>22</v>
      </c>
      <c r="H2485" s="11" t="s">
        <v>23</v>
      </c>
      <c r="I2485" s="8" t="s">
        <v>19</v>
      </c>
    </row>
    <row r="2486" customFormat="false" ht="14.25" hidden="false" customHeight="false" outlineLevel="0" collapsed="false">
      <c r="A2486" s="8" t="n">
        <v>2485</v>
      </c>
      <c r="B2486" s="8" t="s">
        <v>232</v>
      </c>
      <c r="C2486" s="8" t="s">
        <v>21</v>
      </c>
      <c r="D2486" s="9" t="n">
        <v>44493</v>
      </c>
      <c r="E2486" s="10" t="n">
        <v>-5656.07</v>
      </c>
      <c r="F2486" s="8" t="s">
        <v>34</v>
      </c>
      <c r="G2486" s="8" t="s">
        <v>17</v>
      </c>
      <c r="H2486" s="11" t="s">
        <v>18</v>
      </c>
      <c r="I2486" s="8" t="s">
        <v>26</v>
      </c>
    </row>
    <row r="2487" customFormat="false" ht="14.25" hidden="false" customHeight="false" outlineLevel="0" collapsed="false">
      <c r="A2487" s="8" t="n">
        <v>2486</v>
      </c>
      <c r="B2487" s="8" t="s">
        <v>269</v>
      </c>
      <c r="C2487" s="8" t="s">
        <v>16</v>
      </c>
      <c r="D2487" s="9" t="n">
        <v>44493</v>
      </c>
      <c r="E2487" s="10" t="n">
        <v>-6126.12</v>
      </c>
      <c r="F2487" s="8" t="s">
        <v>34</v>
      </c>
      <c r="G2487" s="8" t="s">
        <v>17</v>
      </c>
      <c r="H2487" s="11" t="s">
        <v>18</v>
      </c>
      <c r="I2487" s="8" t="s">
        <v>19</v>
      </c>
    </row>
    <row r="2488" customFormat="false" ht="14.25" hidden="false" customHeight="false" outlineLevel="0" collapsed="false">
      <c r="A2488" s="8" t="n">
        <v>2487</v>
      </c>
      <c r="B2488" s="8" t="s">
        <v>40</v>
      </c>
      <c r="C2488" s="8" t="s">
        <v>10</v>
      </c>
      <c r="D2488" s="9" t="n">
        <v>44493</v>
      </c>
      <c r="E2488" s="10" t="n">
        <v>-6060.08</v>
      </c>
      <c r="F2488" s="8" t="s">
        <v>34</v>
      </c>
      <c r="G2488" s="8" t="s">
        <v>12</v>
      </c>
      <c r="H2488" s="11" t="s">
        <v>13</v>
      </c>
      <c r="I2488" s="8" t="s">
        <v>26</v>
      </c>
    </row>
    <row r="2489" customFormat="false" ht="14.25" hidden="false" customHeight="false" outlineLevel="0" collapsed="false">
      <c r="A2489" s="8" t="n">
        <v>2488</v>
      </c>
      <c r="B2489" s="8" t="s">
        <v>15</v>
      </c>
      <c r="C2489" s="8" t="s">
        <v>28</v>
      </c>
      <c r="D2489" s="9" t="n">
        <v>44493</v>
      </c>
      <c r="E2489" s="10" t="n">
        <v>-5652.5</v>
      </c>
      <c r="F2489" s="8" t="s">
        <v>34</v>
      </c>
      <c r="G2489" s="8" t="s">
        <v>17</v>
      </c>
      <c r="H2489" s="11" t="s">
        <v>18</v>
      </c>
      <c r="I2489" s="8" t="s">
        <v>19</v>
      </c>
    </row>
    <row r="2490" customFormat="false" ht="14.25" hidden="false" customHeight="false" outlineLevel="0" collapsed="false">
      <c r="A2490" s="8" t="n">
        <v>2489</v>
      </c>
      <c r="B2490" s="8" t="s">
        <v>222</v>
      </c>
      <c r="C2490" s="8" t="s">
        <v>16</v>
      </c>
      <c r="D2490" s="9" t="n">
        <v>44494</v>
      </c>
      <c r="E2490" s="10" t="n">
        <v>-6435.52</v>
      </c>
      <c r="F2490" s="8" t="s">
        <v>34</v>
      </c>
      <c r="G2490" s="8" t="s">
        <v>17</v>
      </c>
      <c r="H2490" s="11" t="s">
        <v>18</v>
      </c>
      <c r="I2490" s="8" t="s">
        <v>14</v>
      </c>
    </row>
    <row r="2491" customFormat="false" ht="14.25" hidden="false" customHeight="false" outlineLevel="0" collapsed="false">
      <c r="A2491" s="8" t="n">
        <v>2490</v>
      </c>
      <c r="B2491" s="8" t="s">
        <v>86</v>
      </c>
      <c r="C2491" s="8" t="s">
        <v>16</v>
      </c>
      <c r="D2491" s="9" t="n">
        <v>44494</v>
      </c>
      <c r="E2491" s="10" t="n">
        <v>-4335.94</v>
      </c>
      <c r="F2491" s="8" t="s">
        <v>34</v>
      </c>
      <c r="G2491" s="8" t="s">
        <v>12</v>
      </c>
      <c r="H2491" s="11" t="s">
        <v>13</v>
      </c>
      <c r="I2491" s="8" t="s">
        <v>14</v>
      </c>
    </row>
    <row r="2492" customFormat="false" ht="14.25" hidden="false" customHeight="false" outlineLevel="0" collapsed="false">
      <c r="A2492" s="8" t="n">
        <v>2491</v>
      </c>
      <c r="B2492" s="8" t="s">
        <v>39</v>
      </c>
      <c r="C2492" s="8" t="s">
        <v>16</v>
      </c>
      <c r="D2492" s="9" t="n">
        <v>44494</v>
      </c>
      <c r="E2492" s="10" t="n">
        <v>-6069</v>
      </c>
      <c r="F2492" s="8" t="s">
        <v>34</v>
      </c>
      <c r="G2492" s="8" t="s">
        <v>12</v>
      </c>
      <c r="H2492" s="11" t="s">
        <v>13</v>
      </c>
      <c r="I2492" s="8" t="s">
        <v>26</v>
      </c>
    </row>
    <row r="2493" customFormat="false" ht="14.25" hidden="false" customHeight="false" outlineLevel="0" collapsed="false">
      <c r="A2493" s="8" t="n">
        <v>2492</v>
      </c>
      <c r="B2493" s="8" t="s">
        <v>39</v>
      </c>
      <c r="C2493" s="8" t="s">
        <v>16</v>
      </c>
      <c r="D2493" s="9" t="n">
        <v>44494</v>
      </c>
      <c r="E2493" s="10" t="n">
        <v>-5947.62</v>
      </c>
      <c r="F2493" s="8" t="s">
        <v>34</v>
      </c>
      <c r="G2493" s="8" t="s">
        <v>36</v>
      </c>
      <c r="H2493" s="11" t="s">
        <v>37</v>
      </c>
      <c r="I2493" s="8" t="s">
        <v>26</v>
      </c>
    </row>
    <row r="2494" customFormat="false" ht="14.25" hidden="false" customHeight="false" outlineLevel="0" collapsed="false">
      <c r="A2494" s="8" t="n">
        <v>2493</v>
      </c>
      <c r="B2494" s="8" t="s">
        <v>136</v>
      </c>
      <c r="C2494" s="8" t="s">
        <v>28</v>
      </c>
      <c r="D2494" s="9" t="n">
        <v>44494</v>
      </c>
      <c r="E2494" s="10" t="n">
        <v>-369.36</v>
      </c>
      <c r="F2494" s="8" t="s">
        <v>34</v>
      </c>
      <c r="G2494" s="8" t="s">
        <v>17</v>
      </c>
      <c r="H2494" s="11" t="s">
        <v>18</v>
      </c>
      <c r="I2494" s="8" t="s">
        <v>26</v>
      </c>
    </row>
    <row r="2495" customFormat="false" ht="14.25" hidden="false" customHeight="false" outlineLevel="0" collapsed="false">
      <c r="A2495" s="8" t="n">
        <v>2494</v>
      </c>
      <c r="B2495" s="8" t="s">
        <v>136</v>
      </c>
      <c r="C2495" s="8" t="s">
        <v>28</v>
      </c>
      <c r="D2495" s="9" t="n">
        <v>44494</v>
      </c>
      <c r="E2495" s="10" t="n">
        <v>154555.3</v>
      </c>
      <c r="F2495" s="8" t="s">
        <v>11</v>
      </c>
      <c r="G2495" s="8" t="s">
        <v>17</v>
      </c>
      <c r="H2495" s="11" t="s">
        <v>18</v>
      </c>
      <c r="I2495" s="8" t="s">
        <v>14</v>
      </c>
    </row>
    <row r="2496" customFormat="false" ht="14.25" hidden="false" customHeight="false" outlineLevel="0" collapsed="false">
      <c r="A2496" s="8" t="n">
        <v>2495</v>
      </c>
      <c r="B2496" s="8" t="s">
        <v>136</v>
      </c>
      <c r="C2496" s="8" t="s">
        <v>16</v>
      </c>
      <c r="D2496" s="9" t="n">
        <v>44494</v>
      </c>
      <c r="E2496" s="10" t="n">
        <v>145318.99</v>
      </c>
      <c r="F2496" s="8" t="s">
        <v>11</v>
      </c>
      <c r="G2496" s="8" t="s">
        <v>12</v>
      </c>
      <c r="H2496" s="11" t="s">
        <v>13</v>
      </c>
      <c r="I2496" s="8" t="s">
        <v>26</v>
      </c>
    </row>
    <row r="2497" customFormat="false" ht="14.25" hidden="false" customHeight="false" outlineLevel="0" collapsed="false">
      <c r="A2497" s="8" t="n">
        <v>2496</v>
      </c>
      <c r="B2497" s="8" t="s">
        <v>185</v>
      </c>
      <c r="C2497" s="8" t="s">
        <v>21</v>
      </c>
      <c r="D2497" s="9" t="n">
        <v>44495</v>
      </c>
      <c r="E2497" s="10" t="n">
        <v>6970</v>
      </c>
      <c r="F2497" s="8" t="s">
        <v>11</v>
      </c>
      <c r="G2497" s="8" t="s">
        <v>17</v>
      </c>
      <c r="H2497" s="11" t="s">
        <v>18</v>
      </c>
      <c r="I2497" s="8" t="s">
        <v>26</v>
      </c>
    </row>
    <row r="2498" customFormat="false" ht="14.25" hidden="false" customHeight="false" outlineLevel="0" collapsed="false">
      <c r="A2498" s="8" t="n">
        <v>2497</v>
      </c>
      <c r="B2498" s="8" t="s">
        <v>174</v>
      </c>
      <c r="C2498" s="8" t="s">
        <v>28</v>
      </c>
      <c r="D2498" s="9" t="n">
        <v>44495</v>
      </c>
      <c r="E2498" s="10" t="n">
        <v>3833.5</v>
      </c>
      <c r="F2498" s="8" t="s">
        <v>11</v>
      </c>
      <c r="G2498" s="8" t="s">
        <v>17</v>
      </c>
      <c r="H2498" s="11" t="s">
        <v>18</v>
      </c>
      <c r="I2498" s="8" t="s">
        <v>26</v>
      </c>
    </row>
    <row r="2499" customFormat="false" ht="14.25" hidden="false" customHeight="false" outlineLevel="0" collapsed="false">
      <c r="A2499" s="8" t="n">
        <v>2498</v>
      </c>
      <c r="B2499" s="8" t="s">
        <v>247</v>
      </c>
      <c r="C2499" s="8" t="s">
        <v>21</v>
      </c>
      <c r="D2499" s="9" t="n">
        <v>44495</v>
      </c>
      <c r="E2499" s="10" t="n">
        <v>8364</v>
      </c>
      <c r="F2499" s="8" t="s">
        <v>11</v>
      </c>
      <c r="G2499" s="8" t="s">
        <v>36</v>
      </c>
      <c r="H2499" s="11" t="s">
        <v>37</v>
      </c>
      <c r="I2499" s="8" t="s">
        <v>14</v>
      </c>
    </row>
    <row r="2500" customFormat="false" ht="14.25" hidden="false" customHeight="false" outlineLevel="0" collapsed="false">
      <c r="A2500" s="8" t="n">
        <v>2499</v>
      </c>
      <c r="B2500" s="8" t="s">
        <v>207</v>
      </c>
      <c r="C2500" s="8" t="s">
        <v>21</v>
      </c>
      <c r="D2500" s="9" t="n">
        <v>44498</v>
      </c>
      <c r="E2500" s="10" t="n">
        <v>8364</v>
      </c>
      <c r="F2500" s="8" t="s">
        <v>11</v>
      </c>
      <c r="G2500" s="8" t="s">
        <v>36</v>
      </c>
      <c r="H2500" s="11" t="s">
        <v>37</v>
      </c>
      <c r="I2500" s="8" t="s">
        <v>26</v>
      </c>
    </row>
    <row r="2501" customFormat="false" ht="14.25" hidden="false" customHeight="false" outlineLevel="0" collapsed="false">
      <c r="A2501" s="8" t="n">
        <v>2500</v>
      </c>
      <c r="B2501" s="8" t="s">
        <v>171</v>
      </c>
      <c r="C2501" s="8" t="s">
        <v>10</v>
      </c>
      <c r="D2501" s="9" t="n">
        <v>44498</v>
      </c>
      <c r="E2501" s="10" t="n">
        <v>8573.1</v>
      </c>
      <c r="F2501" s="8" t="s">
        <v>11</v>
      </c>
      <c r="G2501" s="8" t="s">
        <v>12</v>
      </c>
      <c r="H2501" s="11" t="s">
        <v>13</v>
      </c>
      <c r="I2501" s="8" t="s">
        <v>14</v>
      </c>
    </row>
    <row r="2502" customFormat="false" ht="14.25" hidden="false" customHeight="false" outlineLevel="0" collapsed="false">
      <c r="A2502" s="8" t="n">
        <v>2501</v>
      </c>
      <c r="B2502" s="8" t="s">
        <v>183</v>
      </c>
      <c r="C2502" s="8" t="s">
        <v>16</v>
      </c>
      <c r="D2502" s="9" t="n">
        <v>44498</v>
      </c>
      <c r="E2502" s="10" t="n">
        <v>6970</v>
      </c>
      <c r="F2502" s="8" t="s">
        <v>11</v>
      </c>
      <c r="G2502" s="8" t="s">
        <v>12</v>
      </c>
      <c r="H2502" s="11" t="s">
        <v>13</v>
      </c>
      <c r="I2502" s="8" t="s">
        <v>14</v>
      </c>
    </row>
    <row r="2503" customFormat="false" ht="14.25" hidden="false" customHeight="false" outlineLevel="0" collapsed="false">
      <c r="A2503" s="8" t="n">
        <v>2502</v>
      </c>
      <c r="B2503" s="8" t="s">
        <v>85</v>
      </c>
      <c r="C2503" s="8" t="s">
        <v>21</v>
      </c>
      <c r="D2503" s="9" t="n">
        <v>44498</v>
      </c>
      <c r="E2503" s="10" t="n">
        <v>3833.5</v>
      </c>
      <c r="F2503" s="8" t="s">
        <v>11</v>
      </c>
      <c r="G2503" s="8" t="s">
        <v>17</v>
      </c>
      <c r="H2503" s="11" t="s">
        <v>18</v>
      </c>
      <c r="I2503" s="8" t="s">
        <v>19</v>
      </c>
    </row>
    <row r="2504" customFormat="false" ht="14.25" hidden="false" customHeight="false" outlineLevel="0" collapsed="false">
      <c r="A2504" s="8" t="n">
        <v>2503</v>
      </c>
      <c r="B2504" s="8" t="s">
        <v>15</v>
      </c>
      <c r="C2504" s="8" t="s">
        <v>28</v>
      </c>
      <c r="D2504" s="9" t="n">
        <v>44498</v>
      </c>
      <c r="E2504" s="10" t="n">
        <v>8573.1</v>
      </c>
      <c r="F2504" s="8" t="s">
        <v>11</v>
      </c>
      <c r="G2504" s="8" t="s">
        <v>12</v>
      </c>
      <c r="H2504" s="11" t="s">
        <v>13</v>
      </c>
      <c r="I2504" s="8" t="s">
        <v>26</v>
      </c>
    </row>
    <row r="2505" customFormat="false" ht="14.25" hidden="false" customHeight="false" outlineLevel="0" collapsed="false">
      <c r="A2505" s="8" t="n">
        <v>2504</v>
      </c>
      <c r="B2505" s="8" t="s">
        <v>49</v>
      </c>
      <c r="C2505" s="8" t="s">
        <v>21</v>
      </c>
      <c r="D2505" s="9" t="n">
        <v>44498</v>
      </c>
      <c r="E2505" s="10" t="n">
        <v>-5899.71</v>
      </c>
      <c r="F2505" s="8" t="s">
        <v>34</v>
      </c>
      <c r="G2505" s="8" t="s">
        <v>12</v>
      </c>
      <c r="H2505" s="11" t="s">
        <v>13</v>
      </c>
      <c r="I2505" s="8" t="s">
        <v>26</v>
      </c>
    </row>
    <row r="2506" customFormat="false" ht="14.25" hidden="false" customHeight="false" outlineLevel="0" collapsed="false">
      <c r="A2506" s="8" t="n">
        <v>2505</v>
      </c>
      <c r="B2506" s="8" t="s">
        <v>189</v>
      </c>
      <c r="C2506" s="8" t="s">
        <v>21</v>
      </c>
      <c r="D2506" s="9" t="n">
        <v>44499</v>
      </c>
      <c r="E2506" s="10" t="n">
        <v>-965.97</v>
      </c>
      <c r="F2506" s="8" t="s">
        <v>34</v>
      </c>
      <c r="G2506" s="8" t="s">
        <v>12</v>
      </c>
      <c r="H2506" s="11" t="s">
        <v>13</v>
      </c>
      <c r="I2506" s="8" t="s">
        <v>19</v>
      </c>
    </row>
    <row r="2507" customFormat="false" ht="14.25" hidden="false" customHeight="false" outlineLevel="0" collapsed="false">
      <c r="A2507" s="8" t="n">
        <v>2506</v>
      </c>
      <c r="B2507" s="8" t="s">
        <v>185</v>
      </c>
      <c r="C2507" s="8" t="s">
        <v>28</v>
      </c>
      <c r="D2507" s="9" t="n">
        <v>44499</v>
      </c>
      <c r="E2507" s="10" t="n">
        <v>-6850.83</v>
      </c>
      <c r="F2507" s="8" t="s">
        <v>34</v>
      </c>
      <c r="G2507" s="8" t="s">
        <v>36</v>
      </c>
      <c r="H2507" s="11" t="s">
        <v>37</v>
      </c>
      <c r="I2507" s="8" t="s">
        <v>14</v>
      </c>
    </row>
    <row r="2508" customFormat="false" ht="14.25" hidden="false" customHeight="false" outlineLevel="0" collapsed="false">
      <c r="A2508" s="8" t="n">
        <v>2507</v>
      </c>
      <c r="B2508" s="8" t="s">
        <v>40</v>
      </c>
      <c r="C2508" s="8" t="s">
        <v>10</v>
      </c>
      <c r="D2508" s="9" t="n">
        <v>44499</v>
      </c>
      <c r="E2508" s="10" t="n">
        <v>4272.81</v>
      </c>
      <c r="F2508" s="8" t="s">
        <v>11</v>
      </c>
      <c r="G2508" s="8" t="s">
        <v>12</v>
      </c>
      <c r="H2508" s="11" t="s">
        <v>13</v>
      </c>
      <c r="I2508" s="8" t="s">
        <v>26</v>
      </c>
    </row>
    <row r="2509" customFormat="false" ht="14.25" hidden="false" customHeight="false" outlineLevel="0" collapsed="false">
      <c r="A2509" s="8" t="n">
        <v>2508</v>
      </c>
      <c r="B2509" s="8" t="s">
        <v>62</v>
      </c>
      <c r="C2509" s="8" t="s">
        <v>10</v>
      </c>
      <c r="D2509" s="9" t="n">
        <v>44499</v>
      </c>
      <c r="E2509" s="10" t="n">
        <v>143834.29</v>
      </c>
      <c r="F2509" s="8" t="s">
        <v>11</v>
      </c>
      <c r="G2509" s="8" t="s">
        <v>17</v>
      </c>
      <c r="H2509" s="11" t="s">
        <v>18</v>
      </c>
      <c r="I2509" s="8" t="s">
        <v>14</v>
      </c>
    </row>
    <row r="2510" customFormat="false" ht="14.25" hidden="false" customHeight="false" outlineLevel="0" collapsed="false">
      <c r="A2510" s="8" t="n">
        <v>2509</v>
      </c>
      <c r="B2510" s="8" t="s">
        <v>61</v>
      </c>
      <c r="C2510" s="8" t="s">
        <v>10</v>
      </c>
      <c r="D2510" s="9" t="n">
        <v>44499</v>
      </c>
      <c r="E2510" s="10" t="n">
        <v>-7855.86</v>
      </c>
      <c r="F2510" s="8" t="s">
        <v>34</v>
      </c>
      <c r="G2510" s="8" t="s">
        <v>12</v>
      </c>
      <c r="H2510" s="11" t="s">
        <v>13</v>
      </c>
      <c r="I2510" s="8" t="s">
        <v>19</v>
      </c>
    </row>
    <row r="2511" customFormat="false" ht="14.25" hidden="false" customHeight="false" outlineLevel="0" collapsed="false">
      <c r="A2511" s="8" t="n">
        <v>2510</v>
      </c>
      <c r="B2511" s="8" t="s">
        <v>61</v>
      </c>
      <c r="C2511" s="8" t="s">
        <v>16</v>
      </c>
      <c r="D2511" s="9" t="n">
        <v>44499</v>
      </c>
      <c r="E2511" s="10" t="n">
        <v>-7692.16</v>
      </c>
      <c r="F2511" s="8" t="s">
        <v>34</v>
      </c>
      <c r="G2511" s="8" t="s">
        <v>12</v>
      </c>
      <c r="H2511" s="11" t="s">
        <v>13</v>
      </c>
      <c r="I2511" s="8" t="s">
        <v>14</v>
      </c>
    </row>
    <row r="2512" customFormat="false" ht="14.25" hidden="false" customHeight="false" outlineLevel="0" collapsed="false">
      <c r="A2512" s="8" t="n">
        <v>2511</v>
      </c>
      <c r="B2512" s="8" t="s">
        <v>62</v>
      </c>
      <c r="C2512" s="8" t="s">
        <v>28</v>
      </c>
      <c r="D2512" s="9" t="n">
        <v>44499</v>
      </c>
      <c r="E2512" s="10" t="n">
        <v>-11298.77</v>
      </c>
      <c r="F2512" s="8" t="s">
        <v>34</v>
      </c>
      <c r="G2512" s="8" t="s">
        <v>36</v>
      </c>
      <c r="H2512" s="11" t="s">
        <v>37</v>
      </c>
      <c r="I2512" s="8" t="s">
        <v>14</v>
      </c>
    </row>
    <row r="2513" customFormat="false" ht="14.25" hidden="false" customHeight="false" outlineLevel="0" collapsed="false">
      <c r="A2513" s="8" t="n">
        <v>2512</v>
      </c>
      <c r="B2513" s="8" t="s">
        <v>52</v>
      </c>
      <c r="C2513" s="8" t="s">
        <v>10</v>
      </c>
      <c r="D2513" s="9" t="n">
        <v>44499</v>
      </c>
      <c r="E2513" s="10" t="n">
        <v>19671.05</v>
      </c>
      <c r="F2513" s="8" t="s">
        <v>11</v>
      </c>
      <c r="G2513" s="8" t="s">
        <v>17</v>
      </c>
      <c r="H2513" s="11" t="s">
        <v>18</v>
      </c>
      <c r="I2513" s="8" t="s">
        <v>19</v>
      </c>
    </row>
    <row r="2514" customFormat="false" ht="14.25" hidden="false" customHeight="false" outlineLevel="0" collapsed="false">
      <c r="A2514" s="8" t="n">
        <v>2513</v>
      </c>
      <c r="B2514" s="8" t="s">
        <v>61</v>
      </c>
      <c r="C2514" s="8" t="s">
        <v>21</v>
      </c>
      <c r="D2514" s="9" t="n">
        <v>44499</v>
      </c>
      <c r="E2514" s="10" t="n">
        <v>127578.32</v>
      </c>
      <c r="F2514" s="8" t="s">
        <v>11</v>
      </c>
      <c r="G2514" s="8" t="s">
        <v>12</v>
      </c>
      <c r="H2514" s="11" t="s">
        <v>13</v>
      </c>
      <c r="I2514" s="8" t="s">
        <v>14</v>
      </c>
    </row>
    <row r="2515" customFormat="false" ht="14.25" hidden="false" customHeight="false" outlineLevel="0" collapsed="false">
      <c r="A2515" s="8" t="n">
        <v>2514</v>
      </c>
      <c r="B2515" s="8" t="s">
        <v>62</v>
      </c>
      <c r="C2515" s="8" t="s">
        <v>21</v>
      </c>
      <c r="D2515" s="9" t="n">
        <v>44499</v>
      </c>
      <c r="E2515" s="10" t="n">
        <v>-9415.88</v>
      </c>
      <c r="F2515" s="8" t="s">
        <v>34</v>
      </c>
      <c r="G2515" s="8" t="s">
        <v>12</v>
      </c>
      <c r="H2515" s="11" t="s">
        <v>13</v>
      </c>
      <c r="I2515" s="8" t="s">
        <v>14</v>
      </c>
    </row>
    <row r="2516" customFormat="false" ht="14.25" hidden="false" customHeight="false" outlineLevel="0" collapsed="false">
      <c r="A2516" s="8" t="n">
        <v>2515</v>
      </c>
      <c r="B2516" s="8" t="s">
        <v>52</v>
      </c>
      <c r="C2516" s="8" t="s">
        <v>16</v>
      </c>
      <c r="D2516" s="9" t="n">
        <v>44499</v>
      </c>
      <c r="E2516" s="10" t="n">
        <v>-3171.32</v>
      </c>
      <c r="F2516" s="8" t="s">
        <v>34</v>
      </c>
      <c r="G2516" s="8" t="s">
        <v>12</v>
      </c>
      <c r="H2516" s="11" t="s">
        <v>13</v>
      </c>
      <c r="I2516" s="8" t="s">
        <v>14</v>
      </c>
    </row>
    <row r="2517" customFormat="false" ht="14.25" hidden="false" customHeight="false" outlineLevel="0" collapsed="false">
      <c r="A2517" s="8" t="n">
        <v>2516</v>
      </c>
      <c r="B2517" s="8" t="s">
        <v>61</v>
      </c>
      <c r="C2517" s="8" t="s">
        <v>21</v>
      </c>
      <c r="D2517" s="9" t="n">
        <v>44499</v>
      </c>
      <c r="E2517" s="10" t="n">
        <v>129940.27</v>
      </c>
      <c r="F2517" s="8" t="s">
        <v>11</v>
      </c>
      <c r="G2517" s="8" t="s">
        <v>12</v>
      </c>
      <c r="H2517" s="11" t="s">
        <v>13</v>
      </c>
      <c r="I2517" s="8" t="s">
        <v>14</v>
      </c>
    </row>
    <row r="2518" customFormat="false" ht="14.25" hidden="false" customHeight="false" outlineLevel="0" collapsed="false">
      <c r="A2518" s="8" t="n">
        <v>2517</v>
      </c>
      <c r="B2518" s="8" t="s">
        <v>52</v>
      </c>
      <c r="C2518" s="8" t="s">
        <v>10</v>
      </c>
      <c r="D2518" s="9" t="n">
        <v>44499</v>
      </c>
      <c r="E2518" s="10" t="n">
        <v>-2144.31</v>
      </c>
      <c r="F2518" s="8" t="s">
        <v>34</v>
      </c>
      <c r="G2518" s="8" t="s">
        <v>12</v>
      </c>
      <c r="H2518" s="11" t="s">
        <v>13</v>
      </c>
      <c r="I2518" s="8" t="s">
        <v>26</v>
      </c>
    </row>
    <row r="2519" customFormat="false" ht="14.25" hidden="false" customHeight="false" outlineLevel="0" collapsed="false">
      <c r="A2519" s="8" t="n">
        <v>2518</v>
      </c>
      <c r="B2519" s="8" t="s">
        <v>61</v>
      </c>
      <c r="C2519" s="8" t="s">
        <v>28</v>
      </c>
      <c r="D2519" s="9" t="n">
        <v>44499</v>
      </c>
      <c r="E2519" s="10" t="n">
        <v>-2180.71</v>
      </c>
      <c r="F2519" s="8" t="s">
        <v>34</v>
      </c>
      <c r="G2519" s="8" t="s">
        <v>12</v>
      </c>
      <c r="H2519" s="11" t="s">
        <v>13</v>
      </c>
      <c r="I2519" s="8" t="s">
        <v>19</v>
      </c>
    </row>
    <row r="2520" customFormat="false" ht="14.25" hidden="false" customHeight="false" outlineLevel="0" collapsed="false">
      <c r="A2520" s="8" t="n">
        <v>2519</v>
      </c>
      <c r="B2520" s="8" t="s">
        <v>62</v>
      </c>
      <c r="C2520" s="8" t="s">
        <v>28</v>
      </c>
      <c r="D2520" s="9" t="n">
        <v>44499</v>
      </c>
      <c r="E2520" s="10" t="n">
        <v>-1572.17</v>
      </c>
      <c r="F2520" s="8" t="s">
        <v>34</v>
      </c>
      <c r="G2520" s="8" t="s">
        <v>17</v>
      </c>
      <c r="H2520" s="11" t="s">
        <v>18</v>
      </c>
      <c r="I2520" s="8" t="s">
        <v>19</v>
      </c>
    </row>
    <row r="2521" customFormat="false" ht="14.25" hidden="false" customHeight="false" outlineLevel="0" collapsed="false">
      <c r="A2521" s="8" t="n">
        <v>2520</v>
      </c>
      <c r="B2521" s="8" t="s">
        <v>62</v>
      </c>
      <c r="C2521" s="8" t="s">
        <v>10</v>
      </c>
      <c r="D2521" s="9" t="n">
        <v>44499</v>
      </c>
      <c r="E2521" s="10" t="n">
        <v>21853.64</v>
      </c>
      <c r="F2521" s="8" t="s">
        <v>11</v>
      </c>
      <c r="G2521" s="8" t="s">
        <v>36</v>
      </c>
      <c r="H2521" s="11" t="s">
        <v>37</v>
      </c>
      <c r="I2521" s="8" t="s">
        <v>24</v>
      </c>
    </row>
    <row r="2522" customFormat="false" ht="14.25" hidden="false" customHeight="false" outlineLevel="0" collapsed="false">
      <c r="A2522" s="8" t="n">
        <v>2521</v>
      </c>
      <c r="B2522" s="8" t="s">
        <v>172</v>
      </c>
      <c r="C2522" s="8" t="s">
        <v>21</v>
      </c>
      <c r="D2522" s="9" t="n">
        <v>44500</v>
      </c>
      <c r="E2522" s="10" t="n">
        <v>17580.31</v>
      </c>
      <c r="F2522" s="8" t="s">
        <v>11</v>
      </c>
      <c r="G2522" s="8" t="s">
        <v>17</v>
      </c>
      <c r="H2522" s="11" t="s">
        <v>18</v>
      </c>
      <c r="I2522" s="8" t="s">
        <v>26</v>
      </c>
    </row>
    <row r="2523" customFormat="false" ht="14.25" hidden="false" customHeight="false" outlineLevel="0" collapsed="false">
      <c r="A2523" s="8" t="n">
        <v>2522</v>
      </c>
      <c r="B2523" s="8" t="s">
        <v>190</v>
      </c>
      <c r="C2523" s="8" t="s">
        <v>10</v>
      </c>
      <c r="D2523" s="9" t="n">
        <v>44500</v>
      </c>
      <c r="E2523" s="10" t="n">
        <v>16048.64</v>
      </c>
      <c r="F2523" s="8" t="s">
        <v>11</v>
      </c>
      <c r="G2523" s="8" t="s">
        <v>30</v>
      </c>
      <c r="H2523" s="11" t="s">
        <v>31</v>
      </c>
      <c r="I2523" s="8" t="s">
        <v>26</v>
      </c>
    </row>
    <row r="2524" customFormat="false" ht="14.25" hidden="false" customHeight="false" outlineLevel="0" collapsed="false">
      <c r="A2524" s="8" t="n">
        <v>2523</v>
      </c>
      <c r="B2524" s="8" t="s">
        <v>236</v>
      </c>
      <c r="C2524" s="8" t="s">
        <v>10</v>
      </c>
      <c r="D2524" s="9" t="n">
        <v>44500</v>
      </c>
      <c r="E2524" s="10" t="n">
        <v>2486.04</v>
      </c>
      <c r="F2524" s="8" t="s">
        <v>11</v>
      </c>
      <c r="G2524" s="8" t="s">
        <v>12</v>
      </c>
      <c r="H2524" s="11" t="s">
        <v>13</v>
      </c>
      <c r="I2524" s="8" t="s">
        <v>14</v>
      </c>
    </row>
    <row r="2525" customFormat="false" ht="14.25" hidden="false" customHeight="false" outlineLevel="0" collapsed="false">
      <c r="A2525" s="8" t="n">
        <v>2524</v>
      </c>
      <c r="B2525" s="8" t="s">
        <v>222</v>
      </c>
      <c r="C2525" s="8" t="s">
        <v>21</v>
      </c>
      <c r="D2525" s="9" t="n">
        <v>44500</v>
      </c>
      <c r="E2525" s="10" t="n">
        <v>158404.21</v>
      </c>
      <c r="F2525" s="8" t="s">
        <v>11</v>
      </c>
      <c r="G2525" s="8" t="s">
        <v>12</v>
      </c>
      <c r="H2525" s="11" t="s">
        <v>13</v>
      </c>
      <c r="I2525" s="8" t="s">
        <v>24</v>
      </c>
    </row>
    <row r="2526" customFormat="false" ht="14.25" hidden="false" customHeight="false" outlineLevel="0" collapsed="false">
      <c r="A2526" s="8" t="n">
        <v>2525</v>
      </c>
      <c r="B2526" s="8" t="s">
        <v>235</v>
      </c>
      <c r="C2526" s="8" t="s">
        <v>21</v>
      </c>
      <c r="D2526" s="9" t="n">
        <v>44500</v>
      </c>
      <c r="E2526" s="10" t="n">
        <v>-301.39</v>
      </c>
      <c r="F2526" s="8" t="s">
        <v>34</v>
      </c>
      <c r="G2526" s="8" t="s">
        <v>36</v>
      </c>
      <c r="H2526" s="11" t="s">
        <v>37</v>
      </c>
      <c r="I2526" s="8" t="s">
        <v>26</v>
      </c>
    </row>
    <row r="2527" customFormat="false" ht="14.25" hidden="false" customHeight="false" outlineLevel="0" collapsed="false">
      <c r="A2527" s="8" t="n">
        <v>2526</v>
      </c>
      <c r="B2527" s="8" t="s">
        <v>178</v>
      </c>
      <c r="C2527" s="8" t="s">
        <v>16</v>
      </c>
      <c r="D2527" s="9" t="n">
        <v>44500</v>
      </c>
      <c r="E2527" s="10" t="n">
        <v>-508.1</v>
      </c>
      <c r="F2527" s="8" t="s">
        <v>34</v>
      </c>
      <c r="G2527" s="8" t="s">
        <v>12</v>
      </c>
      <c r="H2527" s="11" t="s">
        <v>13</v>
      </c>
      <c r="I2527" s="8" t="s">
        <v>14</v>
      </c>
    </row>
    <row r="2528" customFormat="false" ht="14.25" hidden="false" customHeight="false" outlineLevel="0" collapsed="false">
      <c r="A2528" s="8" t="n">
        <v>2527</v>
      </c>
      <c r="B2528" s="8" t="s">
        <v>275</v>
      </c>
      <c r="C2528" s="8" t="s">
        <v>21</v>
      </c>
      <c r="D2528" s="9" t="n">
        <v>44500</v>
      </c>
      <c r="E2528" s="10" t="n">
        <v>-209.76</v>
      </c>
      <c r="F2528" s="8" t="s">
        <v>34</v>
      </c>
      <c r="G2528" s="8" t="s">
        <v>17</v>
      </c>
      <c r="H2528" s="11" t="s">
        <v>18</v>
      </c>
      <c r="I2528" s="8" t="s">
        <v>14</v>
      </c>
    </row>
    <row r="2529" customFormat="false" ht="14.25" hidden="false" customHeight="false" outlineLevel="0" collapsed="false">
      <c r="A2529" s="8" t="n">
        <v>2528</v>
      </c>
      <c r="B2529" s="8" t="s">
        <v>250</v>
      </c>
      <c r="C2529" s="8" t="s">
        <v>10</v>
      </c>
      <c r="D2529" s="9" t="n">
        <v>44500</v>
      </c>
      <c r="E2529" s="10" t="n">
        <v>145306.73</v>
      </c>
      <c r="F2529" s="8" t="s">
        <v>11</v>
      </c>
      <c r="G2529" s="8" t="s">
        <v>12</v>
      </c>
      <c r="H2529" s="11" t="s">
        <v>13</v>
      </c>
      <c r="I2529" s="8" t="s">
        <v>14</v>
      </c>
    </row>
    <row r="2530" customFormat="false" ht="14.25" hidden="false" customHeight="false" outlineLevel="0" collapsed="false">
      <c r="A2530" s="8" t="n">
        <v>2529</v>
      </c>
      <c r="B2530" s="8" t="s">
        <v>15</v>
      </c>
      <c r="C2530" s="8" t="s">
        <v>28</v>
      </c>
      <c r="D2530" s="9" t="n">
        <v>44500</v>
      </c>
      <c r="E2530" s="10" t="n">
        <v>61361.5</v>
      </c>
      <c r="F2530" s="8" t="s">
        <v>11</v>
      </c>
      <c r="G2530" s="8" t="s">
        <v>17</v>
      </c>
      <c r="H2530" s="11" t="s">
        <v>18</v>
      </c>
      <c r="I2530" s="8" t="s">
        <v>24</v>
      </c>
    </row>
    <row r="2531" customFormat="false" ht="14.25" hidden="false" customHeight="false" outlineLevel="0" collapsed="false">
      <c r="A2531" s="8" t="n">
        <v>2530</v>
      </c>
      <c r="B2531" s="8" t="s">
        <v>250</v>
      </c>
      <c r="C2531" s="8" t="s">
        <v>21</v>
      </c>
      <c r="D2531" s="9" t="n">
        <v>44500</v>
      </c>
      <c r="E2531" s="10" t="n">
        <v>0</v>
      </c>
      <c r="F2531" s="8" t="s">
        <v>34</v>
      </c>
      <c r="G2531" s="8" t="s">
        <v>17</v>
      </c>
      <c r="H2531" s="11" t="s">
        <v>18</v>
      </c>
      <c r="I2531" s="8" t="s">
        <v>26</v>
      </c>
    </row>
    <row r="2532" customFormat="false" ht="14.25" hidden="false" customHeight="false" outlineLevel="0" collapsed="false">
      <c r="A2532" s="8" t="n">
        <v>2531</v>
      </c>
      <c r="B2532" s="8" t="s">
        <v>51</v>
      </c>
      <c r="C2532" s="8" t="s">
        <v>21</v>
      </c>
      <c r="D2532" s="9" t="n">
        <v>44500</v>
      </c>
      <c r="E2532" s="10" t="n">
        <v>11146.98</v>
      </c>
      <c r="F2532" s="8" t="s">
        <v>11</v>
      </c>
      <c r="G2532" s="8" t="s">
        <v>36</v>
      </c>
      <c r="H2532" s="11" t="s">
        <v>37</v>
      </c>
      <c r="I2532" s="8" t="s">
        <v>14</v>
      </c>
    </row>
    <row r="2533" customFormat="false" ht="14.25" hidden="false" customHeight="false" outlineLevel="0" collapsed="false">
      <c r="A2533" s="8" t="n">
        <v>2532</v>
      </c>
      <c r="B2533" s="8" t="s">
        <v>15</v>
      </c>
      <c r="C2533" s="8" t="s">
        <v>28</v>
      </c>
      <c r="D2533" s="9" t="n">
        <v>44500</v>
      </c>
      <c r="E2533" s="10" t="n">
        <v>170777.37</v>
      </c>
      <c r="F2533" s="8" t="s">
        <v>11</v>
      </c>
      <c r="G2533" s="8" t="s">
        <v>17</v>
      </c>
      <c r="H2533" s="11" t="s">
        <v>18</v>
      </c>
      <c r="I2533" s="8" t="s">
        <v>14</v>
      </c>
    </row>
    <row r="2534" customFormat="false" ht="14.25" hidden="false" customHeight="false" outlineLevel="0" collapsed="false">
      <c r="A2534" s="8" t="n">
        <v>2533</v>
      </c>
      <c r="B2534" s="8" t="s">
        <v>20</v>
      </c>
      <c r="C2534" s="8" t="s">
        <v>10</v>
      </c>
      <c r="D2534" s="9" t="n">
        <v>44500</v>
      </c>
      <c r="E2534" s="10" t="n">
        <v>11060.34</v>
      </c>
      <c r="F2534" s="8" t="s">
        <v>11</v>
      </c>
      <c r="G2534" s="8" t="s">
        <v>22</v>
      </c>
      <c r="H2534" s="11" t="s">
        <v>23</v>
      </c>
      <c r="I2534" s="8" t="s">
        <v>26</v>
      </c>
    </row>
    <row r="2535" customFormat="false" ht="14.25" hidden="false" customHeight="false" outlineLevel="0" collapsed="false">
      <c r="A2535" s="8" t="n">
        <v>2534</v>
      </c>
      <c r="B2535" s="8" t="s">
        <v>81</v>
      </c>
      <c r="C2535" s="8" t="s">
        <v>21</v>
      </c>
      <c r="D2535" s="9" t="n">
        <v>44500</v>
      </c>
      <c r="E2535" s="10" t="n">
        <v>30737.65</v>
      </c>
      <c r="F2535" s="8" t="s">
        <v>11</v>
      </c>
      <c r="G2535" s="8" t="s">
        <v>12</v>
      </c>
      <c r="H2535" s="11" t="s">
        <v>13</v>
      </c>
      <c r="I2535" s="8" t="s">
        <v>24</v>
      </c>
    </row>
    <row r="2536" customFormat="false" ht="14.25" hidden="false" customHeight="false" outlineLevel="0" collapsed="false">
      <c r="A2536" s="8" t="n">
        <v>2535</v>
      </c>
      <c r="B2536" s="8" t="s">
        <v>81</v>
      </c>
      <c r="C2536" s="8" t="s">
        <v>10</v>
      </c>
      <c r="D2536" s="9" t="n">
        <v>44500</v>
      </c>
      <c r="E2536" s="10" t="n">
        <v>10501.2</v>
      </c>
      <c r="F2536" s="8" t="s">
        <v>11</v>
      </c>
      <c r="G2536" s="8" t="s">
        <v>22</v>
      </c>
      <c r="H2536" s="11" t="s">
        <v>23</v>
      </c>
      <c r="I2536" s="8" t="s">
        <v>26</v>
      </c>
    </row>
    <row r="2537" customFormat="false" ht="14.25" hidden="false" customHeight="false" outlineLevel="0" collapsed="false">
      <c r="A2537" s="8" t="n">
        <v>2536</v>
      </c>
      <c r="B2537" s="8" t="s">
        <v>276</v>
      </c>
      <c r="C2537" s="8" t="s">
        <v>28</v>
      </c>
      <c r="D2537" s="9" t="n">
        <v>44500</v>
      </c>
      <c r="E2537" s="10" t="n">
        <v>11245.35</v>
      </c>
      <c r="F2537" s="8" t="s">
        <v>11</v>
      </c>
      <c r="G2537" s="8" t="s">
        <v>36</v>
      </c>
      <c r="H2537" s="11" t="s">
        <v>37</v>
      </c>
      <c r="I2537" s="8" t="s">
        <v>14</v>
      </c>
    </row>
    <row r="2538" customFormat="false" ht="14.25" hidden="false" customHeight="false" outlineLevel="0" collapsed="false">
      <c r="A2538" s="8" t="n">
        <v>2537</v>
      </c>
      <c r="B2538" s="8" t="s">
        <v>20</v>
      </c>
      <c r="C2538" s="8" t="s">
        <v>28</v>
      </c>
      <c r="D2538" s="9" t="n">
        <v>44500</v>
      </c>
      <c r="E2538" s="10" t="n">
        <v>10419.06</v>
      </c>
      <c r="F2538" s="8" t="s">
        <v>11</v>
      </c>
      <c r="G2538" s="8" t="s">
        <v>17</v>
      </c>
      <c r="H2538" s="11" t="s">
        <v>18</v>
      </c>
      <c r="I2538" s="8" t="s">
        <v>24</v>
      </c>
    </row>
    <row r="2539" customFormat="false" ht="14.25" hidden="false" customHeight="false" outlineLevel="0" collapsed="false">
      <c r="A2539" s="8" t="n">
        <v>2538</v>
      </c>
      <c r="B2539" s="8" t="s">
        <v>73</v>
      </c>
      <c r="C2539" s="8" t="s">
        <v>16</v>
      </c>
      <c r="D2539" s="9" t="n">
        <v>44500</v>
      </c>
      <c r="E2539" s="10" t="n">
        <v>10806.03</v>
      </c>
      <c r="F2539" s="8" t="s">
        <v>11</v>
      </c>
      <c r="G2539" s="8" t="s">
        <v>12</v>
      </c>
      <c r="H2539" s="11" t="s">
        <v>13</v>
      </c>
      <c r="I2539" s="8" t="s">
        <v>26</v>
      </c>
    </row>
    <row r="2540" customFormat="false" ht="14.25" hidden="false" customHeight="false" outlineLevel="0" collapsed="false">
      <c r="A2540" s="8" t="n">
        <v>2539</v>
      </c>
      <c r="B2540" s="8" t="s">
        <v>66</v>
      </c>
      <c r="C2540" s="8" t="s">
        <v>16</v>
      </c>
      <c r="D2540" s="9" t="n">
        <v>44500</v>
      </c>
      <c r="E2540" s="10" t="n">
        <v>29522.28</v>
      </c>
      <c r="F2540" s="8" t="s">
        <v>11</v>
      </c>
      <c r="G2540" s="8" t="s">
        <v>36</v>
      </c>
      <c r="H2540" s="11" t="s">
        <v>37</v>
      </c>
      <c r="I2540" s="8" t="s">
        <v>14</v>
      </c>
    </row>
    <row r="2541" customFormat="false" ht="14.25" hidden="false" customHeight="false" outlineLevel="0" collapsed="false">
      <c r="A2541" s="8" t="n">
        <v>2540</v>
      </c>
      <c r="B2541" s="8" t="s">
        <v>66</v>
      </c>
      <c r="C2541" s="8" t="s">
        <v>16</v>
      </c>
      <c r="D2541" s="9" t="n">
        <v>44500</v>
      </c>
      <c r="E2541" s="10" t="n">
        <v>11205.94</v>
      </c>
      <c r="F2541" s="8" t="s">
        <v>11</v>
      </c>
      <c r="G2541" s="8" t="s">
        <v>12</v>
      </c>
      <c r="H2541" s="11" t="s">
        <v>13</v>
      </c>
      <c r="I2541" s="8" t="s">
        <v>26</v>
      </c>
    </row>
    <row r="2542" customFormat="false" ht="14.25" hidden="false" customHeight="false" outlineLevel="0" collapsed="false">
      <c r="A2542" s="8" t="n">
        <v>2541</v>
      </c>
      <c r="B2542" s="8" t="s">
        <v>276</v>
      </c>
      <c r="C2542" s="8" t="s">
        <v>10</v>
      </c>
      <c r="D2542" s="9" t="n">
        <v>44500</v>
      </c>
      <c r="E2542" s="10" t="n">
        <v>11166.26</v>
      </c>
      <c r="F2542" s="8" t="s">
        <v>11</v>
      </c>
      <c r="G2542" s="8" t="s">
        <v>12</v>
      </c>
      <c r="H2542" s="11" t="s">
        <v>13</v>
      </c>
      <c r="I2542" s="8" t="s">
        <v>26</v>
      </c>
    </row>
    <row r="2543" customFormat="false" ht="14.25" hidden="false" customHeight="false" outlineLevel="0" collapsed="false">
      <c r="A2543" s="8" t="n">
        <v>2542</v>
      </c>
      <c r="B2543" s="8" t="s">
        <v>20</v>
      </c>
      <c r="C2543" s="8" t="s">
        <v>10</v>
      </c>
      <c r="D2543" s="9" t="n">
        <v>44500</v>
      </c>
      <c r="E2543" s="10" t="n">
        <v>11303.66</v>
      </c>
      <c r="F2543" s="8" t="s">
        <v>11</v>
      </c>
      <c r="G2543" s="8" t="s">
        <v>12</v>
      </c>
      <c r="H2543" s="11" t="s">
        <v>13</v>
      </c>
      <c r="I2543" s="8" t="s">
        <v>14</v>
      </c>
    </row>
    <row r="2544" customFormat="false" ht="14.25" hidden="false" customHeight="false" outlineLevel="0" collapsed="false">
      <c r="A2544" s="8" t="n">
        <v>2543</v>
      </c>
      <c r="B2544" s="8" t="s">
        <v>75</v>
      </c>
      <c r="C2544" s="8" t="s">
        <v>10</v>
      </c>
      <c r="D2544" s="9" t="n">
        <v>44500</v>
      </c>
      <c r="E2544" s="10" t="n">
        <v>10420.1</v>
      </c>
      <c r="F2544" s="8" t="s">
        <v>11</v>
      </c>
      <c r="G2544" s="8" t="s">
        <v>12</v>
      </c>
      <c r="H2544" s="11" t="s">
        <v>13</v>
      </c>
      <c r="I2544" s="8" t="s">
        <v>14</v>
      </c>
    </row>
    <row r="2545" customFormat="false" ht="14.25" hidden="false" customHeight="false" outlineLevel="0" collapsed="false">
      <c r="A2545" s="8" t="n">
        <v>2544</v>
      </c>
      <c r="B2545" s="8" t="s">
        <v>73</v>
      </c>
      <c r="C2545" s="8" t="s">
        <v>10</v>
      </c>
      <c r="D2545" s="9" t="n">
        <v>44500</v>
      </c>
      <c r="E2545" s="10" t="n">
        <v>10622.06</v>
      </c>
      <c r="F2545" s="8" t="s">
        <v>11</v>
      </c>
      <c r="G2545" s="8" t="s">
        <v>36</v>
      </c>
      <c r="H2545" s="11" t="s">
        <v>37</v>
      </c>
      <c r="I2545" s="8" t="s">
        <v>26</v>
      </c>
    </row>
    <row r="2546" customFormat="false" ht="14.25" hidden="false" customHeight="false" outlineLevel="0" collapsed="false">
      <c r="A2546" s="8" t="n">
        <v>2545</v>
      </c>
      <c r="B2546" s="8" t="s">
        <v>81</v>
      </c>
      <c r="C2546" s="8" t="s">
        <v>28</v>
      </c>
      <c r="D2546" s="9" t="n">
        <v>44500</v>
      </c>
      <c r="E2546" s="10" t="n">
        <v>10622.06</v>
      </c>
      <c r="F2546" s="8" t="s">
        <v>11</v>
      </c>
      <c r="G2546" s="8" t="s">
        <v>30</v>
      </c>
      <c r="H2546" s="11" t="s">
        <v>31</v>
      </c>
      <c r="I2546" s="8" t="s">
        <v>14</v>
      </c>
    </row>
    <row r="2547" customFormat="false" ht="14.25" hidden="false" customHeight="false" outlineLevel="0" collapsed="false">
      <c r="A2547" s="8" t="n">
        <v>2546</v>
      </c>
      <c r="B2547" s="8" t="s">
        <v>66</v>
      </c>
      <c r="C2547" s="8" t="s">
        <v>10</v>
      </c>
      <c r="D2547" s="9" t="n">
        <v>44500</v>
      </c>
      <c r="E2547" s="10" t="n">
        <v>11159.92</v>
      </c>
      <c r="F2547" s="8" t="s">
        <v>11</v>
      </c>
      <c r="G2547" s="8" t="s">
        <v>22</v>
      </c>
      <c r="H2547" s="11" t="s">
        <v>23</v>
      </c>
      <c r="I2547" s="8" t="s">
        <v>14</v>
      </c>
    </row>
    <row r="2548" customFormat="false" ht="14.25" hidden="false" customHeight="false" outlineLevel="0" collapsed="false">
      <c r="A2548" s="8" t="n">
        <v>2547</v>
      </c>
      <c r="B2548" s="8" t="s">
        <v>66</v>
      </c>
      <c r="C2548" s="8" t="s">
        <v>21</v>
      </c>
      <c r="D2548" s="9" t="n">
        <v>44500</v>
      </c>
      <c r="E2548" s="10" t="n">
        <v>-2049.04</v>
      </c>
      <c r="F2548" s="8" t="s">
        <v>34</v>
      </c>
      <c r="G2548" s="8" t="s">
        <v>17</v>
      </c>
      <c r="H2548" s="11" t="s">
        <v>18</v>
      </c>
      <c r="I2548" s="8" t="s">
        <v>19</v>
      </c>
    </row>
    <row r="2549" customFormat="false" ht="14.25" hidden="false" customHeight="false" outlineLevel="0" collapsed="false">
      <c r="A2549" s="8" t="n">
        <v>2548</v>
      </c>
      <c r="B2549" s="8" t="s">
        <v>276</v>
      </c>
      <c r="C2549" s="8" t="s">
        <v>28</v>
      </c>
      <c r="D2549" s="9" t="n">
        <v>44500</v>
      </c>
      <c r="E2549" s="10" t="n">
        <v>-236.71</v>
      </c>
      <c r="F2549" s="8" t="s">
        <v>34</v>
      </c>
      <c r="G2549" s="8" t="s">
        <v>12</v>
      </c>
      <c r="H2549" s="11" t="s">
        <v>13</v>
      </c>
      <c r="I2549" s="8" t="s">
        <v>14</v>
      </c>
    </row>
    <row r="2550" customFormat="false" ht="14.25" hidden="false" customHeight="false" outlineLevel="0" collapsed="false">
      <c r="A2550" s="8" t="n">
        <v>2549</v>
      </c>
      <c r="B2550" s="8" t="s">
        <v>81</v>
      </c>
      <c r="C2550" s="8" t="s">
        <v>16</v>
      </c>
      <c r="D2550" s="9" t="n">
        <v>44500</v>
      </c>
      <c r="E2550" s="10" t="n">
        <v>18169.12</v>
      </c>
      <c r="F2550" s="8" t="s">
        <v>11</v>
      </c>
      <c r="G2550" s="8" t="s">
        <v>12</v>
      </c>
      <c r="H2550" s="11" t="s">
        <v>13</v>
      </c>
      <c r="I2550" s="8" t="s">
        <v>26</v>
      </c>
    </row>
    <row r="2551" customFormat="false" ht="14.25" hidden="false" customHeight="false" outlineLevel="0" collapsed="false">
      <c r="A2551" s="8" t="n">
        <v>2550</v>
      </c>
      <c r="B2551" s="8" t="s">
        <v>73</v>
      </c>
      <c r="C2551" s="8" t="s">
        <v>16</v>
      </c>
      <c r="D2551" s="9" t="n">
        <v>44500</v>
      </c>
      <c r="E2551" s="10" t="n">
        <v>132927.84</v>
      </c>
      <c r="F2551" s="8" t="s">
        <v>11</v>
      </c>
      <c r="G2551" s="8" t="s">
        <v>12</v>
      </c>
      <c r="H2551" s="11" t="s">
        <v>13</v>
      </c>
      <c r="I2551" s="8" t="s">
        <v>14</v>
      </c>
    </row>
    <row r="2552" customFormat="false" ht="14.25" hidden="false" customHeight="false" outlineLevel="0" collapsed="false">
      <c r="A2552" s="8" t="n">
        <v>2551</v>
      </c>
      <c r="B2552" s="8" t="s">
        <v>66</v>
      </c>
      <c r="C2552" s="8" t="s">
        <v>21</v>
      </c>
      <c r="D2552" s="9" t="n">
        <v>44500</v>
      </c>
      <c r="E2552" s="10" t="n">
        <v>2102.93</v>
      </c>
      <c r="F2552" s="8" t="s">
        <v>11</v>
      </c>
      <c r="G2552" s="8" t="s">
        <v>17</v>
      </c>
      <c r="H2552" s="11" t="s">
        <v>18</v>
      </c>
      <c r="I2552" s="8" t="s">
        <v>24</v>
      </c>
    </row>
    <row r="2553" customFormat="false" ht="14.25" hidden="false" customHeight="false" outlineLevel="0" collapsed="false">
      <c r="A2553" s="8" t="n">
        <v>2552</v>
      </c>
      <c r="B2553" s="8" t="s">
        <v>66</v>
      </c>
      <c r="C2553" s="8" t="s">
        <v>21</v>
      </c>
      <c r="D2553" s="9" t="n">
        <v>44500</v>
      </c>
      <c r="E2553" s="10" t="n">
        <v>6454.18</v>
      </c>
      <c r="F2553" s="8" t="s">
        <v>11</v>
      </c>
      <c r="G2553" s="8" t="s">
        <v>36</v>
      </c>
      <c r="H2553" s="11" t="s">
        <v>37</v>
      </c>
      <c r="I2553" s="8" t="s">
        <v>19</v>
      </c>
    </row>
    <row r="2554" customFormat="false" ht="14.25" hidden="false" customHeight="false" outlineLevel="0" collapsed="false">
      <c r="A2554" s="8" t="n">
        <v>2553</v>
      </c>
      <c r="B2554" s="8" t="s">
        <v>66</v>
      </c>
      <c r="C2554" s="8" t="s">
        <v>16</v>
      </c>
      <c r="D2554" s="9" t="n">
        <v>44500</v>
      </c>
      <c r="E2554" s="10" t="n">
        <v>8306.88</v>
      </c>
      <c r="F2554" s="8" t="s">
        <v>11</v>
      </c>
      <c r="G2554" s="8" t="s">
        <v>17</v>
      </c>
      <c r="H2554" s="11" t="s">
        <v>18</v>
      </c>
      <c r="I2554" s="8" t="s">
        <v>24</v>
      </c>
    </row>
    <row r="2555" customFormat="false" ht="14.25" hidden="false" customHeight="false" outlineLevel="0" collapsed="false">
      <c r="A2555" s="8" t="n">
        <v>2554</v>
      </c>
      <c r="B2555" s="8" t="s">
        <v>66</v>
      </c>
      <c r="C2555" s="8" t="s">
        <v>10</v>
      </c>
      <c r="D2555" s="9" t="n">
        <v>44500</v>
      </c>
      <c r="E2555" s="10" t="n">
        <v>816</v>
      </c>
      <c r="F2555" s="8" t="s">
        <v>11</v>
      </c>
      <c r="G2555" s="8" t="s">
        <v>12</v>
      </c>
      <c r="H2555" s="11" t="s">
        <v>13</v>
      </c>
      <c r="I2555" s="8" t="s">
        <v>14</v>
      </c>
    </row>
    <row r="2556" customFormat="false" ht="14.25" hidden="false" customHeight="false" outlineLevel="0" collapsed="false">
      <c r="A2556" s="8" t="n">
        <v>2555</v>
      </c>
      <c r="B2556" s="8" t="s">
        <v>66</v>
      </c>
      <c r="C2556" s="8" t="s">
        <v>10</v>
      </c>
      <c r="D2556" s="9" t="n">
        <v>44500</v>
      </c>
      <c r="E2556" s="10" t="n">
        <v>2280.92</v>
      </c>
      <c r="F2556" s="8" t="s">
        <v>11</v>
      </c>
      <c r="G2556" s="8" t="s">
        <v>12</v>
      </c>
      <c r="H2556" s="11" t="s">
        <v>13</v>
      </c>
      <c r="I2556" s="8" t="s">
        <v>14</v>
      </c>
    </row>
    <row r="2557" customFormat="false" ht="14.25" hidden="false" customHeight="false" outlineLevel="0" collapsed="false">
      <c r="A2557" s="8" t="n">
        <v>2556</v>
      </c>
      <c r="B2557" s="8" t="s">
        <v>66</v>
      </c>
      <c r="C2557" s="8" t="s">
        <v>10</v>
      </c>
      <c r="D2557" s="9" t="n">
        <v>44500</v>
      </c>
      <c r="E2557" s="10" t="n">
        <v>6015.55</v>
      </c>
      <c r="F2557" s="8" t="s">
        <v>11</v>
      </c>
      <c r="G2557" s="8" t="s">
        <v>22</v>
      </c>
      <c r="H2557" s="11" t="s">
        <v>23</v>
      </c>
      <c r="I2557" s="8" t="s">
        <v>26</v>
      </c>
    </row>
    <row r="2558" customFormat="false" ht="14.25" hidden="false" customHeight="false" outlineLevel="0" collapsed="false">
      <c r="A2558" s="8" t="n">
        <v>2557</v>
      </c>
      <c r="B2558" s="8" t="s">
        <v>49</v>
      </c>
      <c r="C2558" s="8" t="s">
        <v>10</v>
      </c>
      <c r="D2558" s="9" t="n">
        <v>44505</v>
      </c>
      <c r="E2558" s="10" t="n">
        <v>-2219.56</v>
      </c>
      <c r="F2558" s="8" t="s">
        <v>34</v>
      </c>
      <c r="G2558" s="8" t="s">
        <v>30</v>
      </c>
      <c r="H2558" s="11" t="s">
        <v>31</v>
      </c>
      <c r="I2558" s="8" t="s">
        <v>26</v>
      </c>
    </row>
    <row r="2559" customFormat="false" ht="14.25" hidden="false" customHeight="false" outlineLevel="0" collapsed="false">
      <c r="A2559" s="8" t="n">
        <v>2558</v>
      </c>
      <c r="B2559" s="8" t="s">
        <v>163</v>
      </c>
      <c r="C2559" s="8" t="s">
        <v>21</v>
      </c>
      <c r="D2559" s="9" t="n">
        <v>44506</v>
      </c>
      <c r="E2559" s="10" t="n">
        <v>144086.34</v>
      </c>
      <c r="F2559" s="8" t="s">
        <v>11</v>
      </c>
      <c r="G2559" s="8" t="s">
        <v>36</v>
      </c>
      <c r="H2559" s="11" t="s">
        <v>37</v>
      </c>
      <c r="I2559" s="8" t="s">
        <v>26</v>
      </c>
    </row>
    <row r="2560" customFormat="false" ht="14.25" hidden="false" customHeight="false" outlineLevel="0" collapsed="false">
      <c r="A2560" s="8" t="n">
        <v>2559</v>
      </c>
      <c r="B2560" s="8" t="s">
        <v>208</v>
      </c>
      <c r="C2560" s="8" t="s">
        <v>28</v>
      </c>
      <c r="D2560" s="9" t="n">
        <v>44506</v>
      </c>
      <c r="E2560" s="10" t="n">
        <v>-708.16</v>
      </c>
      <c r="F2560" s="8" t="s">
        <v>34</v>
      </c>
      <c r="G2560" s="8" t="s">
        <v>12</v>
      </c>
      <c r="H2560" s="11" t="s">
        <v>13</v>
      </c>
      <c r="I2560" s="8" t="s">
        <v>26</v>
      </c>
    </row>
    <row r="2561" customFormat="false" ht="14.25" hidden="false" customHeight="false" outlineLevel="0" collapsed="false">
      <c r="A2561" s="8" t="n">
        <v>2560</v>
      </c>
      <c r="B2561" s="8" t="s">
        <v>85</v>
      </c>
      <c r="C2561" s="8" t="s">
        <v>28</v>
      </c>
      <c r="D2561" s="9" t="n">
        <v>44506</v>
      </c>
      <c r="E2561" s="10" t="n">
        <v>-6725.43</v>
      </c>
      <c r="F2561" s="8" t="s">
        <v>34</v>
      </c>
      <c r="G2561" s="8" t="s">
        <v>12</v>
      </c>
      <c r="H2561" s="11" t="s">
        <v>13</v>
      </c>
      <c r="I2561" s="8" t="s">
        <v>26</v>
      </c>
    </row>
    <row r="2562" customFormat="false" ht="14.25" hidden="false" customHeight="false" outlineLevel="0" collapsed="false">
      <c r="A2562" s="8" t="n">
        <v>2561</v>
      </c>
      <c r="B2562" s="8" t="s">
        <v>77</v>
      </c>
      <c r="C2562" s="8" t="s">
        <v>10</v>
      </c>
      <c r="D2562" s="9" t="n">
        <v>44506</v>
      </c>
      <c r="E2562" s="10" t="n">
        <v>-1256.43</v>
      </c>
      <c r="F2562" s="8" t="s">
        <v>34</v>
      </c>
      <c r="G2562" s="8" t="s">
        <v>17</v>
      </c>
      <c r="H2562" s="11" t="s">
        <v>18</v>
      </c>
      <c r="I2562" s="8" t="s">
        <v>24</v>
      </c>
    </row>
    <row r="2563" customFormat="false" ht="14.25" hidden="false" customHeight="false" outlineLevel="0" collapsed="false">
      <c r="A2563" s="8" t="n">
        <v>2562</v>
      </c>
      <c r="B2563" s="8" t="s">
        <v>188</v>
      </c>
      <c r="C2563" s="8" t="s">
        <v>21</v>
      </c>
      <c r="D2563" s="9" t="n">
        <v>44507</v>
      </c>
      <c r="E2563" s="10" t="n">
        <v>-10599.3</v>
      </c>
      <c r="F2563" s="8" t="s">
        <v>34</v>
      </c>
      <c r="G2563" s="8" t="s">
        <v>30</v>
      </c>
      <c r="H2563" s="11" t="s">
        <v>31</v>
      </c>
      <c r="I2563" s="8" t="s">
        <v>24</v>
      </c>
    </row>
    <row r="2564" customFormat="false" ht="14.25" hidden="false" customHeight="false" outlineLevel="0" collapsed="false">
      <c r="A2564" s="8" t="n">
        <v>2563</v>
      </c>
      <c r="B2564" s="8" t="s">
        <v>173</v>
      </c>
      <c r="C2564" s="8" t="s">
        <v>21</v>
      </c>
      <c r="D2564" s="9" t="n">
        <v>44507</v>
      </c>
      <c r="E2564" s="10" t="n">
        <v>-7111.41</v>
      </c>
      <c r="F2564" s="8" t="s">
        <v>34</v>
      </c>
      <c r="G2564" s="8" t="s">
        <v>12</v>
      </c>
      <c r="H2564" s="11" t="s">
        <v>13</v>
      </c>
      <c r="I2564" s="8" t="s">
        <v>14</v>
      </c>
    </row>
    <row r="2565" customFormat="false" ht="14.25" hidden="false" customHeight="false" outlineLevel="0" collapsed="false">
      <c r="A2565" s="8" t="n">
        <v>2564</v>
      </c>
      <c r="B2565" s="8" t="s">
        <v>85</v>
      </c>
      <c r="C2565" s="8" t="s">
        <v>21</v>
      </c>
      <c r="D2565" s="9" t="n">
        <v>44507</v>
      </c>
      <c r="E2565" s="10" t="n">
        <v>-457.1</v>
      </c>
      <c r="F2565" s="8" t="s">
        <v>34</v>
      </c>
      <c r="G2565" s="8" t="s">
        <v>17</v>
      </c>
      <c r="H2565" s="11" t="s">
        <v>18</v>
      </c>
      <c r="I2565" s="8" t="s">
        <v>26</v>
      </c>
    </row>
    <row r="2566" customFormat="false" ht="14.25" hidden="false" customHeight="false" outlineLevel="0" collapsed="false">
      <c r="A2566" s="8" t="n">
        <v>2565</v>
      </c>
      <c r="B2566" s="8" t="s">
        <v>73</v>
      </c>
      <c r="C2566" s="8" t="s">
        <v>28</v>
      </c>
      <c r="D2566" s="9" t="n">
        <v>44507</v>
      </c>
      <c r="E2566" s="10" t="n">
        <v>154075.94</v>
      </c>
      <c r="F2566" s="8" t="s">
        <v>11</v>
      </c>
      <c r="G2566" s="8" t="s">
        <v>12</v>
      </c>
      <c r="H2566" s="11" t="s">
        <v>13</v>
      </c>
      <c r="I2566" s="8" t="s">
        <v>26</v>
      </c>
    </row>
    <row r="2567" customFormat="false" ht="14.25" hidden="false" customHeight="false" outlineLevel="0" collapsed="false">
      <c r="A2567" s="8" t="n">
        <v>2566</v>
      </c>
      <c r="B2567" s="8" t="s">
        <v>73</v>
      </c>
      <c r="C2567" s="8" t="s">
        <v>28</v>
      </c>
      <c r="D2567" s="9" t="n">
        <v>44507</v>
      </c>
      <c r="E2567" s="10" t="n">
        <v>-339.99</v>
      </c>
      <c r="F2567" s="8" t="s">
        <v>34</v>
      </c>
      <c r="G2567" s="8" t="s">
        <v>36</v>
      </c>
      <c r="H2567" s="11" t="s">
        <v>37</v>
      </c>
      <c r="I2567" s="8" t="s">
        <v>26</v>
      </c>
    </row>
    <row r="2568" customFormat="false" ht="14.25" hidden="false" customHeight="false" outlineLevel="0" collapsed="false">
      <c r="A2568" s="8" t="n">
        <v>2567</v>
      </c>
      <c r="B2568" s="8" t="s">
        <v>73</v>
      </c>
      <c r="C2568" s="8" t="s">
        <v>21</v>
      </c>
      <c r="D2568" s="9" t="n">
        <v>44507</v>
      </c>
      <c r="E2568" s="10" t="n">
        <v>-8228.26</v>
      </c>
      <c r="F2568" s="8" t="s">
        <v>34</v>
      </c>
      <c r="G2568" s="8" t="s">
        <v>17</v>
      </c>
      <c r="H2568" s="11" t="s">
        <v>18</v>
      </c>
      <c r="I2568" s="8" t="s">
        <v>24</v>
      </c>
    </row>
    <row r="2569" customFormat="false" ht="14.25" hidden="false" customHeight="false" outlineLevel="0" collapsed="false">
      <c r="A2569" s="8" t="n">
        <v>2568</v>
      </c>
      <c r="B2569" s="8" t="s">
        <v>250</v>
      </c>
      <c r="C2569" s="8" t="s">
        <v>21</v>
      </c>
      <c r="D2569" s="9" t="n">
        <v>44508</v>
      </c>
      <c r="E2569" s="10" t="n">
        <v>-8329.37</v>
      </c>
      <c r="F2569" s="8" t="s">
        <v>34</v>
      </c>
      <c r="G2569" s="8" t="s">
        <v>36</v>
      </c>
      <c r="H2569" s="11" t="s">
        <v>37</v>
      </c>
      <c r="I2569" s="8" t="s">
        <v>14</v>
      </c>
    </row>
    <row r="2570" customFormat="false" ht="14.25" hidden="false" customHeight="false" outlineLevel="0" collapsed="false">
      <c r="A2570" s="8" t="n">
        <v>2569</v>
      </c>
      <c r="B2570" s="8" t="s">
        <v>250</v>
      </c>
      <c r="C2570" s="8" t="s">
        <v>28</v>
      </c>
      <c r="D2570" s="9" t="n">
        <v>44508</v>
      </c>
      <c r="E2570" s="10" t="n">
        <v>-8413.86</v>
      </c>
      <c r="F2570" s="8" t="s">
        <v>34</v>
      </c>
      <c r="G2570" s="8" t="s">
        <v>12</v>
      </c>
      <c r="H2570" s="11" t="s">
        <v>13</v>
      </c>
      <c r="I2570" s="8" t="s">
        <v>26</v>
      </c>
    </row>
    <row r="2571" customFormat="false" ht="14.25" hidden="false" customHeight="false" outlineLevel="0" collapsed="false">
      <c r="A2571" s="8" t="n">
        <v>2570</v>
      </c>
      <c r="B2571" s="8" t="s">
        <v>33</v>
      </c>
      <c r="C2571" s="8" t="s">
        <v>21</v>
      </c>
      <c r="D2571" s="9" t="n">
        <v>44508</v>
      </c>
      <c r="E2571" s="10" t="n">
        <v>-8806.28</v>
      </c>
      <c r="F2571" s="8" t="s">
        <v>34</v>
      </c>
      <c r="G2571" s="8" t="s">
        <v>17</v>
      </c>
      <c r="H2571" s="11" t="s">
        <v>18</v>
      </c>
      <c r="I2571" s="8" t="s">
        <v>14</v>
      </c>
    </row>
    <row r="2572" customFormat="false" ht="14.25" hidden="false" customHeight="false" outlineLevel="0" collapsed="false">
      <c r="A2572" s="8" t="n">
        <v>2571</v>
      </c>
      <c r="B2572" s="8" t="s">
        <v>33</v>
      </c>
      <c r="C2572" s="8" t="s">
        <v>10</v>
      </c>
      <c r="D2572" s="9" t="n">
        <v>44508</v>
      </c>
      <c r="E2572" s="10" t="n">
        <v>-11795.25</v>
      </c>
      <c r="F2572" s="8" t="s">
        <v>34</v>
      </c>
      <c r="G2572" s="8" t="s">
        <v>12</v>
      </c>
      <c r="H2572" s="11" t="s">
        <v>13</v>
      </c>
      <c r="I2572" s="8" t="s">
        <v>14</v>
      </c>
    </row>
    <row r="2573" customFormat="false" ht="14.25" hidden="false" customHeight="false" outlineLevel="0" collapsed="false">
      <c r="A2573" s="8" t="n">
        <v>2572</v>
      </c>
      <c r="B2573" s="8" t="s">
        <v>39</v>
      </c>
      <c r="C2573" s="8" t="s">
        <v>10</v>
      </c>
      <c r="D2573" s="9" t="n">
        <v>44508</v>
      </c>
      <c r="E2573" s="10" t="n">
        <v>-11227.72</v>
      </c>
      <c r="F2573" s="8" t="s">
        <v>34</v>
      </c>
      <c r="G2573" s="8" t="s">
        <v>17</v>
      </c>
      <c r="H2573" s="11" t="s">
        <v>18</v>
      </c>
      <c r="I2573" s="8" t="s">
        <v>24</v>
      </c>
    </row>
    <row r="2574" customFormat="false" ht="14.25" hidden="false" customHeight="false" outlineLevel="0" collapsed="false">
      <c r="A2574" s="8" t="n">
        <v>2573</v>
      </c>
      <c r="B2574" s="8" t="s">
        <v>33</v>
      </c>
      <c r="C2574" s="8" t="s">
        <v>21</v>
      </c>
      <c r="D2574" s="9" t="n">
        <v>44508</v>
      </c>
      <c r="E2574" s="10" t="n">
        <v>-11123.53</v>
      </c>
      <c r="F2574" s="8" t="s">
        <v>34</v>
      </c>
      <c r="G2574" s="8" t="s">
        <v>12</v>
      </c>
      <c r="H2574" s="11" t="s">
        <v>13</v>
      </c>
      <c r="I2574" s="8" t="s">
        <v>26</v>
      </c>
    </row>
    <row r="2575" customFormat="false" ht="14.25" hidden="false" customHeight="false" outlineLevel="0" collapsed="false">
      <c r="A2575" s="8" t="n">
        <v>2574</v>
      </c>
      <c r="B2575" s="8" t="s">
        <v>33</v>
      </c>
      <c r="C2575" s="8" t="s">
        <v>21</v>
      </c>
      <c r="D2575" s="9" t="n">
        <v>44508</v>
      </c>
      <c r="E2575" s="10" t="n">
        <v>-2382.28</v>
      </c>
      <c r="F2575" s="8" t="s">
        <v>34</v>
      </c>
      <c r="G2575" s="8" t="s">
        <v>17</v>
      </c>
      <c r="H2575" s="11" t="s">
        <v>18</v>
      </c>
      <c r="I2575" s="8" t="s">
        <v>14</v>
      </c>
    </row>
    <row r="2576" customFormat="false" ht="14.25" hidden="false" customHeight="false" outlineLevel="0" collapsed="false">
      <c r="A2576" s="8" t="n">
        <v>2575</v>
      </c>
      <c r="B2576" s="8" t="s">
        <v>149</v>
      </c>
      <c r="C2576" s="8" t="s">
        <v>10</v>
      </c>
      <c r="D2576" s="9" t="n">
        <v>44509</v>
      </c>
      <c r="E2576" s="10" t="n">
        <v>-3087.6</v>
      </c>
      <c r="F2576" s="8" t="s">
        <v>34</v>
      </c>
      <c r="G2576" s="8" t="s">
        <v>22</v>
      </c>
      <c r="H2576" s="11" t="s">
        <v>23</v>
      </c>
      <c r="I2576" s="8" t="s">
        <v>26</v>
      </c>
    </row>
    <row r="2577" customFormat="false" ht="14.25" hidden="false" customHeight="false" outlineLevel="0" collapsed="false">
      <c r="A2577" s="8" t="n">
        <v>2576</v>
      </c>
      <c r="B2577" s="8" t="s">
        <v>150</v>
      </c>
      <c r="C2577" s="8" t="s">
        <v>10</v>
      </c>
      <c r="D2577" s="9" t="n">
        <v>44509</v>
      </c>
      <c r="E2577" s="10" t="n">
        <v>-19747.88</v>
      </c>
      <c r="F2577" s="8" t="s">
        <v>34</v>
      </c>
      <c r="G2577" s="8" t="s">
        <v>12</v>
      </c>
      <c r="H2577" s="11" t="s">
        <v>13</v>
      </c>
      <c r="I2577" s="8" t="s">
        <v>14</v>
      </c>
    </row>
    <row r="2578" customFormat="false" ht="14.25" hidden="false" customHeight="false" outlineLevel="0" collapsed="false">
      <c r="A2578" s="8" t="n">
        <v>2577</v>
      </c>
      <c r="B2578" s="8" t="s">
        <v>181</v>
      </c>
      <c r="C2578" s="8" t="s">
        <v>28</v>
      </c>
      <c r="D2578" s="9" t="n">
        <v>44509</v>
      </c>
      <c r="E2578" s="10" t="n">
        <v>-1483.48</v>
      </c>
      <c r="F2578" s="8" t="s">
        <v>34</v>
      </c>
      <c r="G2578" s="8" t="s">
        <v>12</v>
      </c>
      <c r="H2578" s="11" t="s">
        <v>13</v>
      </c>
      <c r="I2578" s="8" t="s">
        <v>26</v>
      </c>
    </row>
    <row r="2579" customFormat="false" ht="14.25" hidden="false" customHeight="false" outlineLevel="0" collapsed="false">
      <c r="A2579" s="8" t="n">
        <v>2578</v>
      </c>
      <c r="B2579" s="8" t="s">
        <v>113</v>
      </c>
      <c r="C2579" s="8" t="s">
        <v>28</v>
      </c>
      <c r="D2579" s="9" t="n">
        <v>44509</v>
      </c>
      <c r="E2579" s="10" t="n">
        <v>-1874.25</v>
      </c>
      <c r="F2579" s="8" t="s">
        <v>34</v>
      </c>
      <c r="G2579" s="8" t="s">
        <v>12</v>
      </c>
      <c r="H2579" s="11" t="s">
        <v>13</v>
      </c>
      <c r="I2579" s="8" t="s">
        <v>26</v>
      </c>
    </row>
    <row r="2580" customFormat="false" ht="14.25" hidden="false" customHeight="false" outlineLevel="0" collapsed="false">
      <c r="A2580" s="8" t="n">
        <v>2579</v>
      </c>
      <c r="B2580" s="8" t="s">
        <v>235</v>
      </c>
      <c r="C2580" s="8" t="s">
        <v>21</v>
      </c>
      <c r="D2580" s="9" t="n">
        <v>44509</v>
      </c>
      <c r="E2580" s="10" t="n">
        <v>-2155.65</v>
      </c>
      <c r="F2580" s="8" t="s">
        <v>34</v>
      </c>
      <c r="G2580" s="8" t="s">
        <v>36</v>
      </c>
      <c r="H2580" s="11" t="s">
        <v>37</v>
      </c>
      <c r="I2580" s="8" t="s">
        <v>24</v>
      </c>
    </row>
    <row r="2581" customFormat="false" ht="14.25" hidden="false" customHeight="false" outlineLevel="0" collapsed="false">
      <c r="A2581" s="8" t="n">
        <v>2580</v>
      </c>
      <c r="B2581" s="8" t="s">
        <v>277</v>
      </c>
      <c r="C2581" s="8" t="s">
        <v>16</v>
      </c>
      <c r="D2581" s="9" t="n">
        <v>44509</v>
      </c>
      <c r="E2581" s="10" t="n">
        <v>-1692.67</v>
      </c>
      <c r="F2581" s="8" t="s">
        <v>34</v>
      </c>
      <c r="G2581" s="8" t="s">
        <v>12</v>
      </c>
      <c r="H2581" s="11" t="s">
        <v>13</v>
      </c>
      <c r="I2581" s="8" t="s">
        <v>14</v>
      </c>
    </row>
    <row r="2582" customFormat="false" ht="14.25" hidden="false" customHeight="false" outlineLevel="0" collapsed="false">
      <c r="A2582" s="8" t="n">
        <v>2581</v>
      </c>
      <c r="B2582" s="8" t="s">
        <v>145</v>
      </c>
      <c r="C2582" s="8" t="s">
        <v>16</v>
      </c>
      <c r="D2582" s="9" t="n">
        <v>44509</v>
      </c>
      <c r="E2582" s="10" t="n">
        <v>-299.57</v>
      </c>
      <c r="F2582" s="8" t="s">
        <v>34</v>
      </c>
      <c r="G2582" s="8" t="s">
        <v>17</v>
      </c>
      <c r="H2582" s="11" t="s">
        <v>18</v>
      </c>
      <c r="I2582" s="8" t="s">
        <v>14</v>
      </c>
    </row>
    <row r="2583" customFormat="false" ht="14.25" hidden="false" customHeight="false" outlineLevel="0" collapsed="false">
      <c r="A2583" s="8" t="n">
        <v>2582</v>
      </c>
      <c r="B2583" s="8" t="s">
        <v>250</v>
      </c>
      <c r="C2583" s="8" t="s">
        <v>16</v>
      </c>
      <c r="D2583" s="9" t="n">
        <v>44509</v>
      </c>
      <c r="E2583" s="10" t="n">
        <v>154511.88</v>
      </c>
      <c r="F2583" s="8" t="s">
        <v>11</v>
      </c>
      <c r="G2583" s="8" t="s">
        <v>17</v>
      </c>
      <c r="H2583" s="11" t="s">
        <v>18</v>
      </c>
      <c r="I2583" s="8" t="s">
        <v>24</v>
      </c>
    </row>
    <row r="2584" customFormat="false" ht="14.25" hidden="false" customHeight="false" outlineLevel="0" collapsed="false">
      <c r="A2584" s="8" t="n">
        <v>2583</v>
      </c>
      <c r="B2584" s="8" t="s">
        <v>49</v>
      </c>
      <c r="C2584" s="8" t="s">
        <v>16</v>
      </c>
      <c r="D2584" s="9" t="n">
        <v>44509</v>
      </c>
      <c r="E2584" s="10" t="n">
        <v>144197.67</v>
      </c>
      <c r="F2584" s="8" t="s">
        <v>11</v>
      </c>
      <c r="G2584" s="8" t="s">
        <v>17</v>
      </c>
      <c r="H2584" s="11" t="s">
        <v>18</v>
      </c>
      <c r="I2584" s="8" t="s">
        <v>14</v>
      </c>
    </row>
    <row r="2585" customFormat="false" ht="14.25" hidden="false" customHeight="false" outlineLevel="0" collapsed="false">
      <c r="A2585" s="8" t="n">
        <v>2584</v>
      </c>
      <c r="B2585" s="8" t="s">
        <v>182</v>
      </c>
      <c r="C2585" s="8" t="s">
        <v>10</v>
      </c>
      <c r="D2585" s="9" t="n">
        <v>44512</v>
      </c>
      <c r="E2585" s="10" t="n">
        <v>151597.63</v>
      </c>
      <c r="F2585" s="8" t="s">
        <v>11</v>
      </c>
      <c r="G2585" s="8" t="s">
        <v>17</v>
      </c>
      <c r="H2585" s="11" t="s">
        <v>18</v>
      </c>
      <c r="I2585" s="8" t="s">
        <v>14</v>
      </c>
    </row>
    <row r="2586" customFormat="false" ht="14.25" hidden="false" customHeight="false" outlineLevel="0" collapsed="false">
      <c r="A2586" s="8" t="n">
        <v>2585</v>
      </c>
      <c r="B2586" s="8" t="s">
        <v>172</v>
      </c>
      <c r="C2586" s="8" t="s">
        <v>10</v>
      </c>
      <c r="D2586" s="9" t="n">
        <v>44512</v>
      </c>
      <c r="E2586" s="10" t="n">
        <v>-7183.44</v>
      </c>
      <c r="F2586" s="8" t="s">
        <v>34</v>
      </c>
      <c r="G2586" s="8" t="s">
        <v>17</v>
      </c>
      <c r="H2586" s="11" t="s">
        <v>18</v>
      </c>
      <c r="I2586" s="8" t="s">
        <v>24</v>
      </c>
    </row>
    <row r="2587" customFormat="false" ht="14.25" hidden="false" customHeight="false" outlineLevel="0" collapsed="false">
      <c r="A2587" s="8" t="n">
        <v>2586</v>
      </c>
      <c r="B2587" s="8" t="s">
        <v>190</v>
      </c>
      <c r="C2587" s="8" t="s">
        <v>16</v>
      </c>
      <c r="D2587" s="9" t="n">
        <v>44512</v>
      </c>
      <c r="E2587" s="10" t="n">
        <v>-2833.67</v>
      </c>
      <c r="F2587" s="8" t="s">
        <v>34</v>
      </c>
      <c r="G2587" s="8" t="s">
        <v>12</v>
      </c>
      <c r="H2587" s="11" t="s">
        <v>13</v>
      </c>
      <c r="I2587" s="8" t="s">
        <v>19</v>
      </c>
    </row>
    <row r="2588" customFormat="false" ht="14.25" hidden="false" customHeight="false" outlineLevel="0" collapsed="false">
      <c r="A2588" s="8" t="n">
        <v>2587</v>
      </c>
      <c r="B2588" s="8" t="s">
        <v>248</v>
      </c>
      <c r="C2588" s="8" t="s">
        <v>16</v>
      </c>
      <c r="D2588" s="9" t="n">
        <v>44512</v>
      </c>
      <c r="E2588" s="10" t="n">
        <v>-18095.11</v>
      </c>
      <c r="F2588" s="8" t="s">
        <v>34</v>
      </c>
      <c r="G2588" s="8" t="s">
        <v>12</v>
      </c>
      <c r="H2588" s="11" t="s">
        <v>13</v>
      </c>
      <c r="I2588" s="8" t="s">
        <v>26</v>
      </c>
    </row>
    <row r="2589" customFormat="false" ht="14.25" hidden="false" customHeight="false" outlineLevel="0" collapsed="false">
      <c r="A2589" s="8" t="n">
        <v>2588</v>
      </c>
      <c r="B2589" s="8" t="s">
        <v>85</v>
      </c>
      <c r="C2589" s="8" t="s">
        <v>28</v>
      </c>
      <c r="D2589" s="9" t="n">
        <v>44512</v>
      </c>
      <c r="E2589" s="10" t="n">
        <v>-16124.01</v>
      </c>
      <c r="F2589" s="8" t="s">
        <v>34</v>
      </c>
      <c r="G2589" s="8" t="s">
        <v>12</v>
      </c>
      <c r="H2589" s="11" t="s">
        <v>13</v>
      </c>
      <c r="I2589" s="8" t="s">
        <v>24</v>
      </c>
    </row>
    <row r="2590" customFormat="false" ht="14.25" hidden="false" customHeight="false" outlineLevel="0" collapsed="false">
      <c r="A2590" s="8" t="n">
        <v>2589</v>
      </c>
      <c r="B2590" s="8" t="s">
        <v>207</v>
      </c>
      <c r="C2590" s="8" t="s">
        <v>28</v>
      </c>
      <c r="D2590" s="9" t="n">
        <v>44513</v>
      </c>
      <c r="E2590" s="10" t="n">
        <v>134424.98</v>
      </c>
      <c r="F2590" s="8" t="s">
        <v>11</v>
      </c>
      <c r="G2590" s="8" t="s">
        <v>12</v>
      </c>
      <c r="H2590" s="11" t="s">
        <v>13</v>
      </c>
      <c r="I2590" s="8" t="s">
        <v>14</v>
      </c>
    </row>
    <row r="2591" customFormat="false" ht="14.25" hidden="false" customHeight="false" outlineLevel="0" collapsed="false">
      <c r="A2591" s="8" t="n">
        <v>2590</v>
      </c>
      <c r="B2591" s="8" t="s">
        <v>278</v>
      </c>
      <c r="C2591" s="8" t="s">
        <v>10</v>
      </c>
      <c r="D2591" s="9" t="n">
        <v>44513</v>
      </c>
      <c r="E2591" s="10" t="n">
        <v>-6599.15</v>
      </c>
      <c r="F2591" s="8" t="s">
        <v>34</v>
      </c>
      <c r="G2591" s="8" t="s">
        <v>17</v>
      </c>
      <c r="H2591" s="11" t="s">
        <v>18</v>
      </c>
      <c r="I2591" s="8" t="s">
        <v>14</v>
      </c>
    </row>
    <row r="2592" customFormat="false" ht="14.25" hidden="false" customHeight="false" outlineLevel="0" collapsed="false">
      <c r="A2592" s="8" t="n">
        <v>2591</v>
      </c>
      <c r="B2592" s="8" t="s">
        <v>279</v>
      </c>
      <c r="C2592" s="8" t="s">
        <v>28</v>
      </c>
      <c r="D2592" s="9" t="n">
        <v>44514</v>
      </c>
      <c r="E2592" s="10" t="n">
        <v>-7454.9</v>
      </c>
      <c r="F2592" s="8" t="s">
        <v>34</v>
      </c>
      <c r="G2592" s="8" t="s">
        <v>12</v>
      </c>
      <c r="H2592" s="11" t="s">
        <v>13</v>
      </c>
      <c r="I2592" s="8" t="s">
        <v>14</v>
      </c>
    </row>
    <row r="2593" customFormat="false" ht="14.25" hidden="false" customHeight="false" outlineLevel="0" collapsed="false">
      <c r="A2593" s="8" t="n">
        <v>2592</v>
      </c>
      <c r="B2593" s="8" t="s">
        <v>55</v>
      </c>
      <c r="C2593" s="8" t="s">
        <v>16</v>
      </c>
      <c r="D2593" s="9" t="n">
        <v>44514</v>
      </c>
      <c r="E2593" s="10" t="n">
        <v>176497.37</v>
      </c>
      <c r="F2593" s="8" t="s">
        <v>11</v>
      </c>
      <c r="G2593" s="8" t="s">
        <v>12</v>
      </c>
      <c r="H2593" s="11" t="s">
        <v>13</v>
      </c>
      <c r="I2593" s="8" t="s">
        <v>14</v>
      </c>
    </row>
    <row r="2594" customFormat="false" ht="14.25" hidden="false" customHeight="false" outlineLevel="0" collapsed="false">
      <c r="A2594" s="8" t="n">
        <v>2593</v>
      </c>
      <c r="B2594" s="8" t="s">
        <v>158</v>
      </c>
      <c r="C2594" s="8" t="s">
        <v>10</v>
      </c>
      <c r="D2594" s="9" t="n">
        <v>44514</v>
      </c>
      <c r="E2594" s="10" t="n">
        <v>-200492.74</v>
      </c>
      <c r="F2594" s="8" t="s">
        <v>34</v>
      </c>
      <c r="G2594" s="8" t="s">
        <v>36</v>
      </c>
      <c r="H2594" s="11" t="s">
        <v>37</v>
      </c>
      <c r="I2594" s="8" t="s">
        <v>14</v>
      </c>
    </row>
    <row r="2595" customFormat="false" ht="14.25" hidden="false" customHeight="false" outlineLevel="0" collapsed="false">
      <c r="A2595" s="8" t="n">
        <v>2594</v>
      </c>
      <c r="B2595" s="8" t="s">
        <v>157</v>
      </c>
      <c r="C2595" s="8" t="s">
        <v>21</v>
      </c>
      <c r="D2595" s="9" t="n">
        <v>44514</v>
      </c>
      <c r="E2595" s="10" t="n">
        <v>-202576.36</v>
      </c>
      <c r="F2595" s="8" t="s">
        <v>34</v>
      </c>
      <c r="G2595" s="8" t="s">
        <v>30</v>
      </c>
      <c r="H2595" s="11" t="s">
        <v>31</v>
      </c>
      <c r="I2595" s="8" t="s">
        <v>14</v>
      </c>
    </row>
    <row r="2596" customFormat="false" ht="14.25" hidden="false" customHeight="false" outlineLevel="0" collapsed="false">
      <c r="A2596" s="8" t="n">
        <v>2595</v>
      </c>
      <c r="B2596" s="8" t="s">
        <v>171</v>
      </c>
      <c r="C2596" s="8" t="s">
        <v>16</v>
      </c>
      <c r="D2596" s="9" t="n">
        <v>44514</v>
      </c>
      <c r="E2596" s="10" t="n">
        <v>-25871.48</v>
      </c>
      <c r="F2596" s="8" t="s">
        <v>34</v>
      </c>
      <c r="G2596" s="8" t="s">
        <v>36</v>
      </c>
      <c r="H2596" s="11" t="s">
        <v>37</v>
      </c>
      <c r="I2596" s="8" t="s">
        <v>19</v>
      </c>
    </row>
    <row r="2597" customFormat="false" ht="14.25" hidden="false" customHeight="false" outlineLevel="0" collapsed="false">
      <c r="A2597" s="8" t="n">
        <v>2596</v>
      </c>
      <c r="B2597" s="8" t="s">
        <v>214</v>
      </c>
      <c r="C2597" s="8" t="s">
        <v>16</v>
      </c>
      <c r="D2597" s="9" t="n">
        <v>44514</v>
      </c>
      <c r="E2597" s="10" t="n">
        <v>-94.64</v>
      </c>
      <c r="F2597" s="8" t="s">
        <v>34</v>
      </c>
      <c r="G2597" s="8" t="s">
        <v>12</v>
      </c>
      <c r="H2597" s="11" t="s">
        <v>13</v>
      </c>
      <c r="I2597" s="8" t="s">
        <v>26</v>
      </c>
    </row>
    <row r="2598" customFormat="false" ht="14.25" hidden="false" customHeight="false" outlineLevel="0" collapsed="false">
      <c r="A2598" s="8" t="n">
        <v>2597</v>
      </c>
      <c r="B2598" s="8" t="s">
        <v>280</v>
      </c>
      <c r="C2598" s="8" t="s">
        <v>10</v>
      </c>
      <c r="D2598" s="9" t="n">
        <v>44514</v>
      </c>
      <c r="E2598" s="10" t="n">
        <v>-1114.72</v>
      </c>
      <c r="F2598" s="8" t="s">
        <v>34</v>
      </c>
      <c r="G2598" s="8" t="s">
        <v>36</v>
      </c>
      <c r="H2598" s="11" t="s">
        <v>37</v>
      </c>
      <c r="I2598" s="8" t="s">
        <v>14</v>
      </c>
    </row>
    <row r="2599" customFormat="false" ht="14.25" hidden="false" customHeight="false" outlineLevel="0" collapsed="false">
      <c r="A2599" s="8" t="n">
        <v>2598</v>
      </c>
      <c r="B2599" s="8" t="s">
        <v>85</v>
      </c>
      <c r="C2599" s="8" t="s">
        <v>16</v>
      </c>
      <c r="D2599" s="9" t="n">
        <v>44514</v>
      </c>
      <c r="E2599" s="10" t="n">
        <v>-13455.09</v>
      </c>
      <c r="F2599" s="8" t="s">
        <v>34</v>
      </c>
      <c r="G2599" s="8" t="s">
        <v>36</v>
      </c>
      <c r="H2599" s="11" t="s">
        <v>37</v>
      </c>
      <c r="I2599" s="8" t="s">
        <v>14</v>
      </c>
    </row>
    <row r="2600" customFormat="false" ht="14.25" hidden="false" customHeight="false" outlineLevel="0" collapsed="false">
      <c r="A2600" s="8" t="n">
        <v>2599</v>
      </c>
      <c r="B2600" s="8" t="s">
        <v>77</v>
      </c>
      <c r="C2600" s="8" t="s">
        <v>16</v>
      </c>
      <c r="D2600" s="9" t="n">
        <v>44514</v>
      </c>
      <c r="E2600" s="10" t="n">
        <v>-2340.7</v>
      </c>
      <c r="F2600" s="8" t="s">
        <v>34</v>
      </c>
      <c r="G2600" s="8" t="s">
        <v>12</v>
      </c>
      <c r="H2600" s="11" t="s">
        <v>13</v>
      </c>
      <c r="I2600" s="8" t="s">
        <v>19</v>
      </c>
    </row>
    <row r="2601" customFormat="false" ht="14.25" hidden="false" customHeight="false" outlineLevel="0" collapsed="false">
      <c r="A2601" s="8" t="n">
        <v>2600</v>
      </c>
      <c r="B2601" s="8" t="s">
        <v>250</v>
      </c>
      <c r="C2601" s="8" t="s">
        <v>28</v>
      </c>
      <c r="D2601" s="9" t="n">
        <v>44514</v>
      </c>
      <c r="E2601" s="10" t="n">
        <v>-402.7</v>
      </c>
      <c r="F2601" s="8" t="s">
        <v>34</v>
      </c>
      <c r="G2601" s="8" t="s">
        <v>12</v>
      </c>
      <c r="H2601" s="11" t="s">
        <v>13</v>
      </c>
      <c r="I2601" s="8" t="s">
        <v>26</v>
      </c>
    </row>
    <row r="2602" customFormat="false" ht="14.25" hidden="false" customHeight="false" outlineLevel="0" collapsed="false">
      <c r="A2602" s="8" t="n">
        <v>2601</v>
      </c>
      <c r="B2602" s="8" t="s">
        <v>250</v>
      </c>
      <c r="C2602" s="8" t="s">
        <v>16</v>
      </c>
      <c r="D2602" s="9" t="n">
        <v>44514</v>
      </c>
      <c r="E2602" s="10" t="n">
        <v>-29796.59</v>
      </c>
      <c r="F2602" s="8" t="s">
        <v>34</v>
      </c>
      <c r="G2602" s="8" t="s">
        <v>17</v>
      </c>
      <c r="H2602" s="11" t="s">
        <v>18</v>
      </c>
      <c r="I2602" s="8" t="s">
        <v>14</v>
      </c>
    </row>
    <row r="2603" customFormat="false" ht="14.25" hidden="false" customHeight="false" outlineLevel="0" collapsed="false">
      <c r="A2603" s="8" t="n">
        <v>2602</v>
      </c>
      <c r="B2603" s="8" t="s">
        <v>32</v>
      </c>
      <c r="C2603" s="8" t="s">
        <v>16</v>
      </c>
      <c r="D2603" s="9" t="n">
        <v>44514</v>
      </c>
      <c r="E2603" s="10" t="n">
        <v>-5770.17</v>
      </c>
      <c r="F2603" s="8" t="s">
        <v>34</v>
      </c>
      <c r="G2603" s="8" t="s">
        <v>12</v>
      </c>
      <c r="H2603" s="11" t="s">
        <v>13</v>
      </c>
      <c r="I2603" s="8" t="s">
        <v>26</v>
      </c>
    </row>
    <row r="2604" customFormat="false" ht="14.25" hidden="false" customHeight="false" outlineLevel="0" collapsed="false">
      <c r="A2604" s="8" t="n">
        <v>2603</v>
      </c>
      <c r="B2604" s="8" t="s">
        <v>32</v>
      </c>
      <c r="C2604" s="8" t="s">
        <v>21</v>
      </c>
      <c r="D2604" s="9" t="n">
        <v>44514</v>
      </c>
      <c r="E2604" s="10" t="n">
        <v>-7277.06</v>
      </c>
      <c r="F2604" s="8" t="s">
        <v>34</v>
      </c>
      <c r="G2604" s="8" t="s">
        <v>17</v>
      </c>
      <c r="H2604" s="11" t="s">
        <v>18</v>
      </c>
      <c r="I2604" s="8" t="s">
        <v>14</v>
      </c>
    </row>
    <row r="2605" customFormat="false" ht="14.25" hidden="false" customHeight="false" outlineLevel="0" collapsed="false">
      <c r="A2605" s="8" t="n">
        <v>2604</v>
      </c>
      <c r="B2605" s="8" t="s">
        <v>39</v>
      </c>
      <c r="C2605" s="8" t="s">
        <v>28</v>
      </c>
      <c r="D2605" s="9" t="n">
        <v>44514</v>
      </c>
      <c r="E2605" s="10" t="n">
        <v>-10752.63</v>
      </c>
      <c r="F2605" s="8" t="s">
        <v>34</v>
      </c>
      <c r="G2605" s="8" t="s">
        <v>22</v>
      </c>
      <c r="H2605" s="11" t="s">
        <v>23</v>
      </c>
      <c r="I2605" s="8" t="s">
        <v>14</v>
      </c>
    </row>
    <row r="2606" customFormat="false" ht="14.25" hidden="false" customHeight="false" outlineLevel="0" collapsed="false">
      <c r="A2606" s="8" t="n">
        <v>2605</v>
      </c>
      <c r="B2606" s="8" t="s">
        <v>164</v>
      </c>
      <c r="C2606" s="8" t="s">
        <v>28</v>
      </c>
      <c r="D2606" s="9" t="n">
        <v>44519</v>
      </c>
      <c r="E2606" s="10" t="n">
        <v>-14137.2</v>
      </c>
      <c r="F2606" s="8" t="s">
        <v>34</v>
      </c>
      <c r="G2606" s="8" t="s">
        <v>30</v>
      </c>
      <c r="H2606" s="11" t="s">
        <v>31</v>
      </c>
      <c r="I2606" s="8" t="s">
        <v>14</v>
      </c>
    </row>
    <row r="2607" customFormat="false" ht="14.25" hidden="false" customHeight="false" outlineLevel="0" collapsed="false">
      <c r="A2607" s="8" t="n">
        <v>2606</v>
      </c>
      <c r="B2607" s="8" t="s">
        <v>281</v>
      </c>
      <c r="C2607" s="8" t="s">
        <v>10</v>
      </c>
      <c r="D2607" s="9" t="n">
        <v>44519</v>
      </c>
      <c r="E2607" s="10" t="n">
        <v>-18065.32</v>
      </c>
      <c r="F2607" s="8" t="s">
        <v>34</v>
      </c>
      <c r="G2607" s="8" t="s">
        <v>22</v>
      </c>
      <c r="H2607" s="11" t="s">
        <v>23</v>
      </c>
      <c r="I2607" s="8" t="s">
        <v>14</v>
      </c>
    </row>
    <row r="2608" customFormat="false" ht="14.25" hidden="false" customHeight="false" outlineLevel="0" collapsed="false">
      <c r="A2608" s="8" t="n">
        <v>2607</v>
      </c>
      <c r="B2608" s="8" t="s">
        <v>189</v>
      </c>
      <c r="C2608" s="8" t="s">
        <v>21</v>
      </c>
      <c r="D2608" s="9" t="n">
        <v>44520</v>
      </c>
      <c r="E2608" s="10" t="n">
        <v>-2431.38</v>
      </c>
      <c r="F2608" s="8" t="s">
        <v>34</v>
      </c>
      <c r="G2608" s="8" t="s">
        <v>12</v>
      </c>
      <c r="H2608" s="11" t="s">
        <v>13</v>
      </c>
      <c r="I2608" s="8" t="s">
        <v>19</v>
      </c>
    </row>
    <row r="2609" customFormat="false" ht="14.25" hidden="false" customHeight="false" outlineLevel="0" collapsed="false">
      <c r="A2609" s="8" t="n">
        <v>2608</v>
      </c>
      <c r="B2609" s="8" t="s">
        <v>50</v>
      </c>
      <c r="C2609" s="8" t="s">
        <v>16</v>
      </c>
      <c r="D2609" s="9" t="n">
        <v>44520</v>
      </c>
      <c r="E2609" s="10" t="n">
        <v>-159.36</v>
      </c>
      <c r="F2609" s="8" t="s">
        <v>34</v>
      </c>
      <c r="G2609" s="8" t="s">
        <v>12</v>
      </c>
      <c r="H2609" s="11" t="s">
        <v>13</v>
      </c>
      <c r="I2609" s="8" t="s">
        <v>26</v>
      </c>
    </row>
    <row r="2610" customFormat="false" ht="14.25" hidden="false" customHeight="false" outlineLevel="0" collapsed="false">
      <c r="A2610" s="8" t="n">
        <v>2609</v>
      </c>
      <c r="B2610" s="8" t="s">
        <v>178</v>
      </c>
      <c r="C2610" s="8" t="s">
        <v>21</v>
      </c>
      <c r="D2610" s="9" t="n">
        <v>44520</v>
      </c>
      <c r="E2610" s="10" t="n">
        <v>-151.73</v>
      </c>
      <c r="F2610" s="8" t="s">
        <v>34</v>
      </c>
      <c r="G2610" s="8" t="s">
        <v>30</v>
      </c>
      <c r="H2610" s="11" t="s">
        <v>31</v>
      </c>
      <c r="I2610" s="8" t="s">
        <v>26</v>
      </c>
    </row>
    <row r="2611" customFormat="false" ht="14.25" hidden="false" customHeight="false" outlineLevel="0" collapsed="false">
      <c r="A2611" s="8" t="n">
        <v>2610</v>
      </c>
      <c r="B2611" s="8" t="s">
        <v>190</v>
      </c>
      <c r="C2611" s="8" t="s">
        <v>10</v>
      </c>
      <c r="D2611" s="9" t="n">
        <v>44520</v>
      </c>
      <c r="E2611" s="10" t="n">
        <v>141213.69</v>
      </c>
      <c r="F2611" s="8" t="s">
        <v>11</v>
      </c>
      <c r="G2611" s="8" t="s">
        <v>12</v>
      </c>
      <c r="H2611" s="11" t="s">
        <v>13</v>
      </c>
      <c r="I2611" s="8" t="s">
        <v>24</v>
      </c>
    </row>
    <row r="2612" customFormat="false" ht="14.25" hidden="false" customHeight="false" outlineLevel="0" collapsed="false">
      <c r="A2612" s="8" t="n">
        <v>2611</v>
      </c>
      <c r="B2612" s="8" t="s">
        <v>89</v>
      </c>
      <c r="C2612" s="8" t="s">
        <v>28</v>
      </c>
      <c r="D2612" s="9" t="n">
        <v>44520</v>
      </c>
      <c r="E2612" s="10" t="n">
        <v>-4581.89</v>
      </c>
      <c r="F2612" s="8" t="s">
        <v>34</v>
      </c>
      <c r="G2612" s="8" t="s">
        <v>12</v>
      </c>
      <c r="H2612" s="11" t="s">
        <v>13</v>
      </c>
      <c r="I2612" s="8" t="s">
        <v>14</v>
      </c>
    </row>
    <row r="2613" customFormat="false" ht="14.25" hidden="false" customHeight="false" outlineLevel="0" collapsed="false">
      <c r="A2613" s="8" t="n">
        <v>2612</v>
      </c>
      <c r="B2613" s="8" t="s">
        <v>282</v>
      </c>
      <c r="C2613" s="8" t="s">
        <v>21</v>
      </c>
      <c r="D2613" s="9" t="n">
        <v>44520</v>
      </c>
      <c r="E2613" s="10" t="n">
        <v>-37276.96</v>
      </c>
      <c r="F2613" s="8" t="s">
        <v>34</v>
      </c>
      <c r="G2613" s="8" t="s">
        <v>36</v>
      </c>
      <c r="H2613" s="11" t="s">
        <v>37</v>
      </c>
      <c r="I2613" s="8" t="s">
        <v>19</v>
      </c>
    </row>
    <row r="2614" customFormat="false" ht="14.25" hidden="false" customHeight="false" outlineLevel="0" collapsed="false">
      <c r="A2614" s="8" t="n">
        <v>2613</v>
      </c>
      <c r="B2614" s="8" t="s">
        <v>283</v>
      </c>
      <c r="C2614" s="8" t="s">
        <v>28</v>
      </c>
      <c r="D2614" s="9" t="n">
        <v>44520</v>
      </c>
      <c r="E2614" s="10" t="n">
        <v>-1590.09</v>
      </c>
      <c r="F2614" s="8" t="s">
        <v>34</v>
      </c>
      <c r="G2614" s="8" t="s">
        <v>22</v>
      </c>
      <c r="H2614" s="11" t="s">
        <v>23</v>
      </c>
      <c r="I2614" s="8" t="s">
        <v>26</v>
      </c>
    </row>
    <row r="2615" customFormat="false" ht="14.25" hidden="false" customHeight="false" outlineLevel="0" collapsed="false">
      <c r="A2615" s="8" t="n">
        <v>2614</v>
      </c>
      <c r="B2615" s="8" t="s">
        <v>75</v>
      </c>
      <c r="C2615" s="8" t="s">
        <v>16</v>
      </c>
      <c r="D2615" s="9" t="n">
        <v>44520</v>
      </c>
      <c r="E2615" s="10" t="n">
        <v>141257.82</v>
      </c>
      <c r="F2615" s="8" t="s">
        <v>11</v>
      </c>
      <c r="G2615" s="8" t="s">
        <v>12</v>
      </c>
      <c r="H2615" s="11" t="s">
        <v>13</v>
      </c>
      <c r="I2615" s="8" t="s">
        <v>26</v>
      </c>
    </row>
    <row r="2616" customFormat="false" ht="14.25" hidden="false" customHeight="false" outlineLevel="0" collapsed="false">
      <c r="A2616" s="8" t="n">
        <v>2615</v>
      </c>
      <c r="B2616" s="8" t="s">
        <v>73</v>
      </c>
      <c r="C2616" s="8" t="s">
        <v>10</v>
      </c>
      <c r="D2616" s="9" t="n">
        <v>44520</v>
      </c>
      <c r="E2616" s="10" t="n">
        <v>142537.57</v>
      </c>
      <c r="F2616" s="8" t="s">
        <v>11</v>
      </c>
      <c r="G2616" s="8" t="s">
        <v>12</v>
      </c>
      <c r="H2616" s="11" t="s">
        <v>13</v>
      </c>
      <c r="I2616" s="8" t="s">
        <v>24</v>
      </c>
    </row>
    <row r="2617" customFormat="false" ht="14.25" hidden="false" customHeight="false" outlineLevel="0" collapsed="false">
      <c r="A2617" s="8" t="n">
        <v>2616</v>
      </c>
      <c r="B2617" s="8" t="s">
        <v>73</v>
      </c>
      <c r="C2617" s="8" t="s">
        <v>10</v>
      </c>
      <c r="D2617" s="9" t="n">
        <v>44520</v>
      </c>
      <c r="E2617" s="10" t="n">
        <v>136977.28</v>
      </c>
      <c r="F2617" s="8" t="s">
        <v>11</v>
      </c>
      <c r="G2617" s="8" t="s">
        <v>12</v>
      </c>
      <c r="H2617" s="11" t="s">
        <v>13</v>
      </c>
      <c r="I2617" s="8" t="s">
        <v>26</v>
      </c>
    </row>
    <row r="2618" customFormat="false" ht="14.25" hidden="false" customHeight="false" outlineLevel="0" collapsed="false">
      <c r="A2618" s="8" t="n">
        <v>2617</v>
      </c>
      <c r="B2618" s="8" t="s">
        <v>157</v>
      </c>
      <c r="C2618" s="8" t="s">
        <v>10</v>
      </c>
      <c r="D2618" s="9" t="n">
        <v>44521</v>
      </c>
      <c r="E2618" s="10" t="n">
        <v>155169.9</v>
      </c>
      <c r="F2618" s="8" t="s">
        <v>11</v>
      </c>
      <c r="G2618" s="8" t="s">
        <v>36</v>
      </c>
      <c r="H2618" s="11" t="s">
        <v>37</v>
      </c>
      <c r="I2618" s="8" t="s">
        <v>14</v>
      </c>
    </row>
    <row r="2619" customFormat="false" ht="14.25" hidden="false" customHeight="false" outlineLevel="0" collapsed="false">
      <c r="A2619" s="8" t="n">
        <v>2618</v>
      </c>
      <c r="B2619" s="8" t="s">
        <v>225</v>
      </c>
      <c r="C2619" s="8" t="s">
        <v>10</v>
      </c>
      <c r="D2619" s="9" t="n">
        <v>44521</v>
      </c>
      <c r="E2619" s="10" t="n">
        <v>172049.74</v>
      </c>
      <c r="F2619" s="8" t="s">
        <v>11</v>
      </c>
      <c r="G2619" s="8" t="s">
        <v>36</v>
      </c>
      <c r="H2619" s="11" t="s">
        <v>37</v>
      </c>
      <c r="I2619" s="8" t="s">
        <v>14</v>
      </c>
    </row>
    <row r="2620" customFormat="false" ht="14.25" hidden="false" customHeight="false" outlineLevel="0" collapsed="false">
      <c r="A2620" s="8" t="n">
        <v>2619</v>
      </c>
      <c r="B2620" s="8" t="s">
        <v>226</v>
      </c>
      <c r="C2620" s="8" t="s">
        <v>28</v>
      </c>
      <c r="D2620" s="9" t="n">
        <v>44521</v>
      </c>
      <c r="E2620" s="10" t="n">
        <v>148378.79</v>
      </c>
      <c r="F2620" s="8" t="s">
        <v>11</v>
      </c>
      <c r="G2620" s="8" t="s">
        <v>12</v>
      </c>
      <c r="H2620" s="11" t="s">
        <v>13</v>
      </c>
      <c r="I2620" s="8" t="s">
        <v>26</v>
      </c>
    </row>
    <row r="2621" customFormat="false" ht="14.25" hidden="false" customHeight="false" outlineLevel="0" collapsed="false">
      <c r="A2621" s="8" t="n">
        <v>2620</v>
      </c>
      <c r="B2621" s="8" t="s">
        <v>269</v>
      </c>
      <c r="C2621" s="8" t="s">
        <v>16</v>
      </c>
      <c r="D2621" s="9" t="n">
        <v>44521</v>
      </c>
      <c r="E2621" s="10" t="n">
        <v>160866.81</v>
      </c>
      <c r="F2621" s="8" t="s">
        <v>11</v>
      </c>
      <c r="G2621" s="8" t="s">
        <v>36</v>
      </c>
      <c r="H2621" s="11" t="s">
        <v>37</v>
      </c>
      <c r="I2621" s="8" t="s">
        <v>26</v>
      </c>
    </row>
    <row r="2622" customFormat="false" ht="14.25" hidden="false" customHeight="false" outlineLevel="0" collapsed="false">
      <c r="A2622" s="8" t="n">
        <v>2621</v>
      </c>
      <c r="B2622" s="8" t="s">
        <v>227</v>
      </c>
      <c r="C2622" s="8" t="s">
        <v>21</v>
      </c>
      <c r="D2622" s="9" t="n">
        <v>44521</v>
      </c>
      <c r="E2622" s="10" t="n">
        <v>3485</v>
      </c>
      <c r="F2622" s="8" t="s">
        <v>11</v>
      </c>
      <c r="G2622" s="8" t="s">
        <v>30</v>
      </c>
      <c r="H2622" s="11" t="s">
        <v>31</v>
      </c>
      <c r="I2622" s="8" t="s">
        <v>14</v>
      </c>
    </row>
    <row r="2623" customFormat="false" ht="14.25" hidden="false" customHeight="false" outlineLevel="0" collapsed="false">
      <c r="A2623" s="8" t="n">
        <v>2622</v>
      </c>
      <c r="B2623" s="8" t="s">
        <v>228</v>
      </c>
      <c r="C2623" s="8" t="s">
        <v>10</v>
      </c>
      <c r="D2623" s="9" t="n">
        <v>44521</v>
      </c>
      <c r="E2623" s="10" t="n">
        <v>4530.5</v>
      </c>
      <c r="F2623" s="8" t="s">
        <v>11</v>
      </c>
      <c r="G2623" s="8" t="s">
        <v>12</v>
      </c>
      <c r="H2623" s="11" t="s">
        <v>13</v>
      </c>
      <c r="I2623" s="8" t="s">
        <v>19</v>
      </c>
    </row>
    <row r="2624" customFormat="false" ht="14.25" hidden="false" customHeight="false" outlineLevel="0" collapsed="false">
      <c r="A2624" s="8" t="n">
        <v>2623</v>
      </c>
      <c r="B2624" s="8" t="s">
        <v>229</v>
      </c>
      <c r="C2624" s="8" t="s">
        <v>10</v>
      </c>
      <c r="D2624" s="9" t="n">
        <v>44521</v>
      </c>
      <c r="E2624" s="10" t="n">
        <v>2788</v>
      </c>
      <c r="F2624" s="8" t="s">
        <v>11</v>
      </c>
      <c r="G2624" s="8" t="s">
        <v>30</v>
      </c>
      <c r="H2624" s="11" t="s">
        <v>31</v>
      </c>
      <c r="I2624" s="8" t="s">
        <v>14</v>
      </c>
    </row>
    <row r="2625" customFormat="false" ht="14.25" hidden="false" customHeight="false" outlineLevel="0" collapsed="false">
      <c r="A2625" s="8" t="n">
        <v>2624</v>
      </c>
      <c r="B2625" s="8" t="s">
        <v>230</v>
      </c>
      <c r="C2625" s="8" t="s">
        <v>10</v>
      </c>
      <c r="D2625" s="9" t="n">
        <v>44521</v>
      </c>
      <c r="E2625" s="10" t="n">
        <v>3933.22</v>
      </c>
      <c r="F2625" s="8" t="s">
        <v>11</v>
      </c>
      <c r="G2625" s="8" t="s">
        <v>12</v>
      </c>
      <c r="H2625" s="11" t="s">
        <v>13</v>
      </c>
      <c r="I2625" s="8" t="s">
        <v>26</v>
      </c>
    </row>
    <row r="2626" customFormat="false" ht="14.25" hidden="false" customHeight="false" outlineLevel="0" collapsed="false">
      <c r="A2626" s="8" t="n">
        <v>2625</v>
      </c>
      <c r="B2626" s="8" t="s">
        <v>233</v>
      </c>
      <c r="C2626" s="8" t="s">
        <v>21</v>
      </c>
      <c r="D2626" s="9" t="n">
        <v>44521</v>
      </c>
      <c r="E2626" s="10" t="n">
        <v>4530.5</v>
      </c>
      <c r="F2626" s="8" t="s">
        <v>11</v>
      </c>
      <c r="G2626" s="8" t="s">
        <v>30</v>
      </c>
      <c r="H2626" s="11" t="s">
        <v>31</v>
      </c>
      <c r="I2626" s="8" t="s">
        <v>14</v>
      </c>
    </row>
    <row r="2627" customFormat="false" ht="14.25" hidden="false" customHeight="false" outlineLevel="0" collapsed="false">
      <c r="A2627" s="8" t="n">
        <v>2626</v>
      </c>
      <c r="B2627" s="8" t="s">
        <v>232</v>
      </c>
      <c r="C2627" s="8" t="s">
        <v>21</v>
      </c>
      <c r="D2627" s="9" t="n">
        <v>44521</v>
      </c>
      <c r="E2627" s="10" t="n">
        <v>2788</v>
      </c>
      <c r="F2627" s="8" t="s">
        <v>11</v>
      </c>
      <c r="G2627" s="8" t="s">
        <v>22</v>
      </c>
      <c r="H2627" s="11" t="s">
        <v>23</v>
      </c>
      <c r="I2627" s="8" t="s">
        <v>14</v>
      </c>
    </row>
    <row r="2628" customFormat="false" ht="14.25" hidden="false" customHeight="false" outlineLevel="0" collapsed="false">
      <c r="A2628" s="8" t="n">
        <v>2627</v>
      </c>
      <c r="B2628" s="8" t="s">
        <v>171</v>
      </c>
      <c r="C2628" s="8" t="s">
        <v>10</v>
      </c>
      <c r="D2628" s="9" t="n">
        <v>44522</v>
      </c>
      <c r="E2628" s="10" t="n">
        <v>3565.16</v>
      </c>
      <c r="F2628" s="8" t="s">
        <v>11</v>
      </c>
      <c r="G2628" s="8" t="s">
        <v>12</v>
      </c>
      <c r="H2628" s="11" t="s">
        <v>13</v>
      </c>
      <c r="I2628" s="8" t="s">
        <v>26</v>
      </c>
    </row>
    <row r="2629" customFormat="false" ht="14.25" hidden="false" customHeight="false" outlineLevel="0" collapsed="false">
      <c r="A2629" s="8" t="n">
        <v>2628</v>
      </c>
      <c r="B2629" s="8" t="s">
        <v>50</v>
      </c>
      <c r="C2629" s="8" t="s">
        <v>16</v>
      </c>
      <c r="D2629" s="9" t="n">
        <v>44523</v>
      </c>
      <c r="E2629" s="10" t="n">
        <v>3948.59</v>
      </c>
      <c r="F2629" s="8" t="s">
        <v>11</v>
      </c>
      <c r="G2629" s="8" t="s">
        <v>17</v>
      </c>
      <c r="H2629" s="11" t="s">
        <v>18</v>
      </c>
      <c r="I2629" s="8" t="s">
        <v>14</v>
      </c>
    </row>
    <row r="2630" customFormat="false" ht="14.25" hidden="false" customHeight="false" outlineLevel="0" collapsed="false">
      <c r="A2630" s="8" t="n">
        <v>2629</v>
      </c>
      <c r="B2630" s="8" t="s">
        <v>73</v>
      </c>
      <c r="C2630" s="8" t="s">
        <v>28</v>
      </c>
      <c r="D2630" s="9" t="n">
        <v>44523</v>
      </c>
      <c r="E2630" s="10" t="n">
        <v>-770.84</v>
      </c>
      <c r="F2630" s="8" t="s">
        <v>34</v>
      </c>
      <c r="G2630" s="8" t="s">
        <v>12</v>
      </c>
      <c r="H2630" s="11" t="s">
        <v>13</v>
      </c>
      <c r="I2630" s="8" t="s">
        <v>14</v>
      </c>
    </row>
    <row r="2631" customFormat="false" ht="14.25" hidden="false" customHeight="false" outlineLevel="0" collapsed="false">
      <c r="A2631" s="8" t="n">
        <v>2630</v>
      </c>
      <c r="B2631" s="8" t="s">
        <v>160</v>
      </c>
      <c r="C2631" s="8" t="s">
        <v>16</v>
      </c>
      <c r="D2631" s="9" t="n">
        <v>44523</v>
      </c>
      <c r="E2631" s="10" t="n">
        <v>-19634.27</v>
      </c>
      <c r="F2631" s="8" t="s">
        <v>34</v>
      </c>
      <c r="G2631" s="8" t="s">
        <v>17</v>
      </c>
      <c r="H2631" s="11" t="s">
        <v>18</v>
      </c>
      <c r="I2631" s="8" t="s">
        <v>14</v>
      </c>
    </row>
    <row r="2632" customFormat="false" ht="14.25" hidden="false" customHeight="false" outlineLevel="0" collapsed="false">
      <c r="A2632" s="8" t="n">
        <v>2631</v>
      </c>
      <c r="B2632" s="8" t="s">
        <v>183</v>
      </c>
      <c r="C2632" s="8" t="s">
        <v>28</v>
      </c>
      <c r="D2632" s="9" t="n">
        <v>44526</v>
      </c>
      <c r="E2632" s="10" t="n">
        <v>102786.45</v>
      </c>
      <c r="F2632" s="8" t="s">
        <v>11</v>
      </c>
      <c r="G2632" s="8" t="s">
        <v>30</v>
      </c>
      <c r="H2632" s="11" t="s">
        <v>31</v>
      </c>
      <c r="I2632" s="8" t="s">
        <v>26</v>
      </c>
    </row>
    <row r="2633" customFormat="false" ht="14.25" hidden="false" customHeight="false" outlineLevel="0" collapsed="false">
      <c r="A2633" s="8" t="n">
        <v>2632</v>
      </c>
      <c r="B2633" s="8" t="s">
        <v>174</v>
      </c>
      <c r="C2633" s="8" t="s">
        <v>21</v>
      </c>
      <c r="D2633" s="9" t="n">
        <v>44526</v>
      </c>
      <c r="E2633" s="10" t="n">
        <v>53223.99</v>
      </c>
      <c r="F2633" s="8" t="s">
        <v>11</v>
      </c>
      <c r="G2633" s="8" t="s">
        <v>17</v>
      </c>
      <c r="H2633" s="11" t="s">
        <v>18</v>
      </c>
      <c r="I2633" s="8" t="s">
        <v>14</v>
      </c>
    </row>
    <row r="2634" customFormat="false" ht="14.25" hidden="false" customHeight="false" outlineLevel="0" collapsed="false">
      <c r="A2634" s="8" t="n">
        <v>2633</v>
      </c>
      <c r="B2634" s="8" t="s">
        <v>85</v>
      </c>
      <c r="C2634" s="8" t="s">
        <v>21</v>
      </c>
      <c r="D2634" s="9" t="n">
        <v>44526</v>
      </c>
      <c r="E2634" s="10" t="n">
        <v>-323.3</v>
      </c>
      <c r="F2634" s="8" t="s">
        <v>34</v>
      </c>
      <c r="G2634" s="8" t="s">
        <v>36</v>
      </c>
      <c r="H2634" s="11" t="s">
        <v>37</v>
      </c>
      <c r="I2634" s="8" t="s">
        <v>19</v>
      </c>
    </row>
    <row r="2635" customFormat="false" ht="14.25" hidden="false" customHeight="false" outlineLevel="0" collapsed="false">
      <c r="A2635" s="8" t="n">
        <v>2634</v>
      </c>
      <c r="B2635" s="8" t="s">
        <v>32</v>
      </c>
      <c r="C2635" s="8" t="s">
        <v>16</v>
      </c>
      <c r="D2635" s="9" t="n">
        <v>44526</v>
      </c>
      <c r="E2635" s="10" t="n">
        <v>17205.61</v>
      </c>
      <c r="F2635" s="8" t="s">
        <v>11</v>
      </c>
      <c r="G2635" s="8" t="s">
        <v>17</v>
      </c>
      <c r="H2635" s="11" t="s">
        <v>18</v>
      </c>
      <c r="I2635" s="8" t="s">
        <v>26</v>
      </c>
    </row>
    <row r="2636" customFormat="false" ht="14.25" hidden="false" customHeight="false" outlineLevel="0" collapsed="false">
      <c r="A2636" s="8" t="n">
        <v>2635</v>
      </c>
      <c r="B2636" s="8" t="s">
        <v>32</v>
      </c>
      <c r="C2636" s="8" t="s">
        <v>16</v>
      </c>
      <c r="D2636" s="9" t="n">
        <v>44526</v>
      </c>
      <c r="E2636" s="10" t="n">
        <v>-14813.19</v>
      </c>
      <c r="F2636" s="8" t="s">
        <v>34</v>
      </c>
      <c r="G2636" s="8" t="s">
        <v>12</v>
      </c>
      <c r="H2636" s="11" t="s">
        <v>13</v>
      </c>
      <c r="I2636" s="8" t="s">
        <v>24</v>
      </c>
    </row>
    <row r="2637" customFormat="false" ht="14.25" hidden="false" customHeight="false" outlineLevel="0" collapsed="false">
      <c r="A2637" s="8" t="n">
        <v>2636</v>
      </c>
      <c r="B2637" s="8" t="s">
        <v>29</v>
      </c>
      <c r="C2637" s="8" t="s">
        <v>10</v>
      </c>
      <c r="D2637" s="9" t="n">
        <v>44527</v>
      </c>
      <c r="E2637" s="10" t="n">
        <v>-14189.63</v>
      </c>
      <c r="F2637" s="8" t="s">
        <v>34</v>
      </c>
      <c r="G2637" s="8" t="s">
        <v>12</v>
      </c>
      <c r="H2637" s="11" t="s">
        <v>13</v>
      </c>
      <c r="I2637" s="8" t="s">
        <v>24</v>
      </c>
    </row>
    <row r="2638" customFormat="false" ht="14.25" hidden="false" customHeight="false" outlineLevel="0" collapsed="false">
      <c r="A2638" s="8" t="n">
        <v>2637</v>
      </c>
      <c r="B2638" s="8" t="s">
        <v>176</v>
      </c>
      <c r="C2638" s="8" t="s">
        <v>16</v>
      </c>
      <c r="D2638" s="9" t="n">
        <v>44527</v>
      </c>
      <c r="E2638" s="10" t="n">
        <v>-268.47</v>
      </c>
      <c r="F2638" s="8" t="s">
        <v>34</v>
      </c>
      <c r="G2638" s="8" t="s">
        <v>17</v>
      </c>
      <c r="H2638" s="11" t="s">
        <v>18</v>
      </c>
      <c r="I2638" s="8" t="s">
        <v>14</v>
      </c>
    </row>
    <row r="2639" customFormat="false" ht="14.25" hidden="false" customHeight="false" outlineLevel="0" collapsed="false">
      <c r="A2639" s="8" t="n">
        <v>2638</v>
      </c>
      <c r="B2639" s="8" t="s">
        <v>20</v>
      </c>
      <c r="C2639" s="8" t="s">
        <v>28</v>
      </c>
      <c r="D2639" s="9" t="n">
        <v>44528</v>
      </c>
      <c r="E2639" s="10" t="n">
        <v>-41110.58</v>
      </c>
      <c r="F2639" s="8" t="s">
        <v>34</v>
      </c>
      <c r="G2639" s="8" t="s">
        <v>17</v>
      </c>
      <c r="H2639" s="11" t="s">
        <v>18</v>
      </c>
      <c r="I2639" s="8" t="s">
        <v>14</v>
      </c>
    </row>
    <row r="2640" customFormat="false" ht="14.25" hidden="false" customHeight="false" outlineLevel="0" collapsed="false">
      <c r="A2640" s="8" t="n">
        <v>2639</v>
      </c>
      <c r="B2640" s="8" t="s">
        <v>81</v>
      </c>
      <c r="C2640" s="8" t="s">
        <v>16</v>
      </c>
      <c r="D2640" s="9" t="n">
        <v>44528</v>
      </c>
      <c r="E2640" s="10" t="n">
        <v>-15943.55</v>
      </c>
      <c r="F2640" s="8" t="s">
        <v>34</v>
      </c>
      <c r="G2640" s="8" t="s">
        <v>30</v>
      </c>
      <c r="H2640" s="11" t="s">
        <v>31</v>
      </c>
      <c r="I2640" s="8" t="s">
        <v>14</v>
      </c>
    </row>
    <row r="2641" customFormat="false" ht="14.25" hidden="false" customHeight="false" outlineLevel="0" collapsed="false">
      <c r="A2641" s="8" t="n">
        <v>2640</v>
      </c>
      <c r="B2641" s="8" t="s">
        <v>66</v>
      </c>
      <c r="C2641" s="8" t="s">
        <v>16</v>
      </c>
      <c r="D2641" s="9" t="n">
        <v>44528</v>
      </c>
      <c r="E2641" s="10" t="n">
        <v>-954.25</v>
      </c>
      <c r="F2641" s="8" t="s">
        <v>34</v>
      </c>
      <c r="G2641" s="8" t="s">
        <v>17</v>
      </c>
      <c r="H2641" s="11" t="s">
        <v>18</v>
      </c>
      <c r="I2641" s="8" t="s">
        <v>14</v>
      </c>
    </row>
    <row r="2642" customFormat="false" ht="14.25" hidden="false" customHeight="false" outlineLevel="0" collapsed="false">
      <c r="A2642" s="8" t="n">
        <v>2641</v>
      </c>
      <c r="B2642" s="8" t="s">
        <v>163</v>
      </c>
      <c r="C2642" s="8" t="s">
        <v>10</v>
      </c>
      <c r="D2642" s="9" t="n">
        <v>44529</v>
      </c>
      <c r="E2642" s="10" t="n">
        <v>-156.96</v>
      </c>
      <c r="F2642" s="8" t="s">
        <v>34</v>
      </c>
      <c r="G2642" s="8" t="s">
        <v>12</v>
      </c>
      <c r="H2642" s="11" t="s">
        <v>13</v>
      </c>
      <c r="I2642" s="8" t="s">
        <v>14</v>
      </c>
    </row>
    <row r="2643" customFormat="false" ht="14.25" hidden="false" customHeight="false" outlineLevel="0" collapsed="false">
      <c r="A2643" s="8" t="n">
        <v>2642</v>
      </c>
      <c r="B2643" s="8" t="s">
        <v>207</v>
      </c>
      <c r="C2643" s="8" t="s">
        <v>21</v>
      </c>
      <c r="D2643" s="9" t="n">
        <v>44529</v>
      </c>
      <c r="E2643" s="10" t="n">
        <v>-17336.2</v>
      </c>
      <c r="F2643" s="8" t="s">
        <v>34</v>
      </c>
      <c r="G2643" s="8" t="s">
        <v>17</v>
      </c>
      <c r="H2643" s="11" t="s">
        <v>18</v>
      </c>
      <c r="I2643" s="8" t="s">
        <v>14</v>
      </c>
    </row>
    <row r="2644" customFormat="false" ht="14.25" hidden="false" customHeight="false" outlineLevel="0" collapsed="false">
      <c r="A2644" s="8" t="n">
        <v>2643</v>
      </c>
      <c r="B2644" s="8" t="s">
        <v>188</v>
      </c>
      <c r="C2644" s="8" t="s">
        <v>10</v>
      </c>
      <c r="D2644" s="9" t="n">
        <v>44529</v>
      </c>
      <c r="E2644" s="10" t="n">
        <v>-10052.7</v>
      </c>
      <c r="F2644" s="8" t="s">
        <v>34</v>
      </c>
      <c r="G2644" s="8" t="s">
        <v>12</v>
      </c>
      <c r="H2644" s="11" t="s">
        <v>13</v>
      </c>
      <c r="I2644" s="8" t="s">
        <v>26</v>
      </c>
    </row>
    <row r="2645" customFormat="false" ht="14.25" hidden="false" customHeight="false" outlineLevel="0" collapsed="false">
      <c r="A2645" s="8" t="n">
        <v>2644</v>
      </c>
      <c r="B2645" s="8" t="s">
        <v>181</v>
      </c>
      <c r="C2645" s="8" t="s">
        <v>28</v>
      </c>
      <c r="D2645" s="9" t="n">
        <v>44530</v>
      </c>
      <c r="E2645" s="10" t="n">
        <v>-341987.52</v>
      </c>
      <c r="F2645" s="8" t="s">
        <v>34</v>
      </c>
      <c r="G2645" s="8" t="s">
        <v>17</v>
      </c>
      <c r="H2645" s="11" t="s">
        <v>18</v>
      </c>
      <c r="I2645" s="8" t="s">
        <v>26</v>
      </c>
    </row>
    <row r="2646" customFormat="false" ht="14.25" hidden="false" customHeight="false" outlineLevel="0" collapsed="false">
      <c r="A2646" s="8" t="n">
        <v>2645</v>
      </c>
      <c r="B2646" s="8" t="s">
        <v>163</v>
      </c>
      <c r="C2646" s="8" t="s">
        <v>16</v>
      </c>
      <c r="D2646" s="9" t="n">
        <v>44530</v>
      </c>
      <c r="E2646" s="10" t="n">
        <v>-372.09</v>
      </c>
      <c r="F2646" s="8" t="s">
        <v>34</v>
      </c>
      <c r="G2646" s="8" t="s">
        <v>17</v>
      </c>
      <c r="H2646" s="11" t="s">
        <v>18</v>
      </c>
      <c r="I2646" s="8" t="s">
        <v>26</v>
      </c>
    </row>
    <row r="2647" customFormat="false" ht="14.25" hidden="false" customHeight="false" outlineLevel="0" collapsed="false">
      <c r="A2647" s="8" t="n">
        <v>2646</v>
      </c>
      <c r="B2647" s="8" t="s">
        <v>32</v>
      </c>
      <c r="C2647" s="8" t="s">
        <v>16</v>
      </c>
      <c r="D2647" s="9" t="n">
        <v>44530</v>
      </c>
      <c r="E2647" s="10" t="n">
        <v>-14709.84</v>
      </c>
      <c r="F2647" s="8" t="s">
        <v>34</v>
      </c>
      <c r="G2647" s="8" t="s">
        <v>12</v>
      </c>
      <c r="H2647" s="11" t="s">
        <v>13</v>
      </c>
      <c r="I2647" s="8" t="s">
        <v>26</v>
      </c>
    </row>
    <row r="2648" customFormat="false" ht="14.25" hidden="false" customHeight="false" outlineLevel="0" collapsed="false">
      <c r="A2648" s="8" t="n">
        <v>2647</v>
      </c>
      <c r="B2648" s="8" t="s">
        <v>32</v>
      </c>
      <c r="C2648" s="8" t="s">
        <v>16</v>
      </c>
      <c r="D2648" s="9" t="n">
        <v>44530</v>
      </c>
      <c r="E2648" s="10" t="n">
        <v>-1637.65</v>
      </c>
      <c r="F2648" s="8" t="s">
        <v>34</v>
      </c>
      <c r="G2648" s="8" t="s">
        <v>22</v>
      </c>
      <c r="H2648" s="11" t="s">
        <v>23</v>
      </c>
      <c r="I2648" s="8" t="s">
        <v>19</v>
      </c>
    </row>
    <row r="2649" customFormat="false" ht="14.25" hidden="false" customHeight="false" outlineLevel="0" collapsed="false">
      <c r="A2649" s="8" t="n">
        <v>2648</v>
      </c>
      <c r="B2649" s="8" t="s">
        <v>61</v>
      </c>
      <c r="C2649" s="8" t="s">
        <v>21</v>
      </c>
      <c r="D2649" s="9" t="n">
        <v>44530</v>
      </c>
      <c r="E2649" s="10" t="n">
        <v>-3342.26</v>
      </c>
      <c r="F2649" s="8" t="s">
        <v>34</v>
      </c>
      <c r="G2649" s="8" t="s">
        <v>12</v>
      </c>
      <c r="H2649" s="11" t="s">
        <v>13</v>
      </c>
      <c r="I2649" s="8" t="s">
        <v>14</v>
      </c>
    </row>
    <row r="2650" customFormat="false" ht="14.25" hidden="false" customHeight="false" outlineLevel="0" collapsed="false">
      <c r="A2650" s="8" t="n">
        <v>2649</v>
      </c>
      <c r="B2650" s="8" t="s">
        <v>62</v>
      </c>
      <c r="C2650" s="8" t="s">
        <v>10</v>
      </c>
      <c r="D2650" s="9" t="n">
        <v>44530</v>
      </c>
      <c r="E2650" s="10" t="n">
        <v>145669.08</v>
      </c>
      <c r="F2650" s="8" t="s">
        <v>11</v>
      </c>
      <c r="G2650" s="8" t="s">
        <v>30</v>
      </c>
      <c r="H2650" s="11" t="s">
        <v>31</v>
      </c>
      <c r="I2650" s="8" t="s">
        <v>14</v>
      </c>
    </row>
    <row r="2651" customFormat="false" ht="14.25" hidden="false" customHeight="false" outlineLevel="0" collapsed="false">
      <c r="A2651" s="8" t="n">
        <v>2650</v>
      </c>
      <c r="B2651" s="8" t="s">
        <v>136</v>
      </c>
      <c r="C2651" s="8" t="s">
        <v>16</v>
      </c>
      <c r="D2651" s="9" t="n">
        <v>44530</v>
      </c>
      <c r="E2651" s="10" t="n">
        <v>-2079.14</v>
      </c>
      <c r="F2651" s="8" t="s">
        <v>34</v>
      </c>
      <c r="G2651" s="8" t="s">
        <v>12</v>
      </c>
      <c r="H2651" s="11" t="s">
        <v>13</v>
      </c>
      <c r="I2651" s="8" t="s">
        <v>14</v>
      </c>
    </row>
    <row r="2652" customFormat="false" ht="14.25" hidden="false" customHeight="false" outlineLevel="0" collapsed="false">
      <c r="A2652" s="8" t="n">
        <v>2651</v>
      </c>
      <c r="B2652" s="8" t="s">
        <v>33</v>
      </c>
      <c r="C2652" s="8" t="s">
        <v>28</v>
      </c>
      <c r="D2652" s="9" t="n">
        <v>44530</v>
      </c>
      <c r="E2652" s="10" t="n">
        <v>-5616.94</v>
      </c>
      <c r="F2652" s="8" t="s">
        <v>34</v>
      </c>
      <c r="G2652" s="8" t="s">
        <v>17</v>
      </c>
      <c r="H2652" s="11" t="s">
        <v>18</v>
      </c>
      <c r="I2652" s="8" t="s">
        <v>26</v>
      </c>
    </row>
    <row r="2653" customFormat="false" ht="14.25" hidden="false" customHeight="false" outlineLevel="0" collapsed="false">
      <c r="A2653" s="8" t="n">
        <v>2652</v>
      </c>
      <c r="B2653" s="8" t="s">
        <v>61</v>
      </c>
      <c r="C2653" s="8" t="s">
        <v>21</v>
      </c>
      <c r="D2653" s="9" t="n">
        <v>44530</v>
      </c>
      <c r="E2653" s="10" t="n">
        <v>-7708.82</v>
      </c>
      <c r="F2653" s="8" t="s">
        <v>34</v>
      </c>
      <c r="G2653" s="8" t="s">
        <v>17</v>
      </c>
      <c r="H2653" s="11" t="s">
        <v>18</v>
      </c>
      <c r="I2653" s="8" t="s">
        <v>24</v>
      </c>
    </row>
    <row r="2654" customFormat="false" ht="14.25" hidden="false" customHeight="false" outlineLevel="0" collapsed="false">
      <c r="A2654" s="8" t="n">
        <v>2653</v>
      </c>
      <c r="B2654" s="8" t="s">
        <v>62</v>
      </c>
      <c r="C2654" s="8" t="s">
        <v>16</v>
      </c>
      <c r="D2654" s="9" t="n">
        <v>44530</v>
      </c>
      <c r="E2654" s="10" t="n">
        <v>-8958.81</v>
      </c>
      <c r="F2654" s="8" t="s">
        <v>34</v>
      </c>
      <c r="G2654" s="8" t="s">
        <v>12</v>
      </c>
      <c r="H2654" s="11" t="s">
        <v>13</v>
      </c>
      <c r="I2654" s="8" t="s">
        <v>14</v>
      </c>
    </row>
    <row r="2655" customFormat="false" ht="14.25" hidden="false" customHeight="false" outlineLevel="0" collapsed="false">
      <c r="A2655" s="8" t="n">
        <v>2654</v>
      </c>
      <c r="B2655" s="8" t="s">
        <v>178</v>
      </c>
      <c r="C2655" s="8" t="s">
        <v>21</v>
      </c>
      <c r="D2655" s="9" t="n">
        <v>44533</v>
      </c>
      <c r="E2655" s="10" t="n">
        <v>6249.79</v>
      </c>
      <c r="F2655" s="8" t="s">
        <v>11</v>
      </c>
      <c r="G2655" s="8" t="s">
        <v>22</v>
      </c>
      <c r="H2655" s="11" t="s">
        <v>23</v>
      </c>
      <c r="I2655" s="8" t="s">
        <v>14</v>
      </c>
    </row>
    <row r="2656" customFormat="false" ht="14.25" hidden="false" customHeight="false" outlineLevel="0" collapsed="false">
      <c r="A2656" s="8" t="n">
        <v>2655</v>
      </c>
      <c r="B2656" s="8" t="s">
        <v>236</v>
      </c>
      <c r="C2656" s="8" t="s">
        <v>28</v>
      </c>
      <c r="D2656" s="9" t="n">
        <v>44533</v>
      </c>
      <c r="E2656" s="10" t="n">
        <v>12503.92</v>
      </c>
      <c r="F2656" s="8" t="s">
        <v>11</v>
      </c>
      <c r="G2656" s="8" t="s">
        <v>12</v>
      </c>
      <c r="H2656" s="11" t="s">
        <v>13</v>
      </c>
      <c r="I2656" s="8" t="s">
        <v>26</v>
      </c>
    </row>
    <row r="2657" customFormat="false" ht="14.25" hidden="false" customHeight="false" outlineLevel="0" collapsed="false">
      <c r="A2657" s="8" t="n">
        <v>2656</v>
      </c>
      <c r="B2657" s="8" t="s">
        <v>277</v>
      </c>
      <c r="C2657" s="8" t="s">
        <v>21</v>
      </c>
      <c r="D2657" s="9" t="n">
        <v>44533</v>
      </c>
      <c r="E2657" s="10" t="n">
        <v>6123.04</v>
      </c>
      <c r="F2657" s="8" t="s">
        <v>11</v>
      </c>
      <c r="G2657" s="8" t="s">
        <v>17</v>
      </c>
      <c r="H2657" s="11" t="s">
        <v>18</v>
      </c>
      <c r="I2657" s="8" t="s">
        <v>14</v>
      </c>
    </row>
    <row r="2658" customFormat="false" ht="14.25" hidden="false" customHeight="false" outlineLevel="0" collapsed="false">
      <c r="A2658" s="8" t="n">
        <v>2657</v>
      </c>
      <c r="B2658" s="8" t="s">
        <v>185</v>
      </c>
      <c r="C2658" s="8" t="s">
        <v>10</v>
      </c>
      <c r="D2658" s="9" t="n">
        <v>44534</v>
      </c>
      <c r="E2658" s="10" t="n">
        <v>7250.96</v>
      </c>
      <c r="F2658" s="8" t="s">
        <v>11</v>
      </c>
      <c r="G2658" s="8" t="s">
        <v>36</v>
      </c>
      <c r="H2658" s="11" t="s">
        <v>37</v>
      </c>
      <c r="I2658" s="8" t="s">
        <v>26</v>
      </c>
    </row>
    <row r="2659" customFormat="false" ht="14.25" hidden="false" customHeight="false" outlineLevel="0" collapsed="false">
      <c r="A2659" s="8" t="n">
        <v>2658</v>
      </c>
      <c r="B2659" s="8" t="s">
        <v>222</v>
      </c>
      <c r="C2659" s="8" t="s">
        <v>28</v>
      </c>
      <c r="D2659" s="9" t="n">
        <v>44534</v>
      </c>
      <c r="E2659" s="10" t="n">
        <v>12753.84</v>
      </c>
      <c r="F2659" s="8" t="s">
        <v>11</v>
      </c>
      <c r="G2659" s="8" t="s">
        <v>17</v>
      </c>
      <c r="H2659" s="11" t="s">
        <v>18</v>
      </c>
      <c r="I2659" s="8" t="s">
        <v>14</v>
      </c>
    </row>
    <row r="2660" customFormat="false" ht="14.25" hidden="false" customHeight="false" outlineLevel="0" collapsed="false">
      <c r="A2660" s="8" t="n">
        <v>2659</v>
      </c>
      <c r="B2660" s="8" t="s">
        <v>165</v>
      </c>
      <c r="C2660" s="8" t="s">
        <v>10</v>
      </c>
      <c r="D2660" s="9" t="n">
        <v>44534</v>
      </c>
      <c r="E2660" s="10" t="n">
        <v>6776.09</v>
      </c>
      <c r="F2660" s="8" t="s">
        <v>11</v>
      </c>
      <c r="G2660" s="8" t="s">
        <v>36</v>
      </c>
      <c r="H2660" s="11" t="s">
        <v>37</v>
      </c>
      <c r="I2660" s="8" t="s">
        <v>24</v>
      </c>
    </row>
    <row r="2661" customFormat="false" ht="14.25" hidden="false" customHeight="false" outlineLevel="0" collapsed="false">
      <c r="A2661" s="8" t="n">
        <v>2660</v>
      </c>
      <c r="B2661" s="8" t="s">
        <v>173</v>
      </c>
      <c r="C2661" s="8" t="s">
        <v>10</v>
      </c>
      <c r="D2661" s="9" t="n">
        <v>44535</v>
      </c>
      <c r="E2661" s="10" t="n">
        <v>21306.93</v>
      </c>
      <c r="F2661" s="8" t="s">
        <v>11</v>
      </c>
      <c r="G2661" s="8" t="s">
        <v>17</v>
      </c>
      <c r="H2661" s="11" t="s">
        <v>18</v>
      </c>
      <c r="I2661" s="8" t="s">
        <v>14</v>
      </c>
    </row>
    <row r="2662" customFormat="false" ht="14.25" hidden="false" customHeight="false" outlineLevel="0" collapsed="false">
      <c r="A2662" s="8" t="n">
        <v>2661</v>
      </c>
      <c r="B2662" s="8" t="s">
        <v>284</v>
      </c>
      <c r="C2662" s="8" t="s">
        <v>16</v>
      </c>
      <c r="D2662" s="9" t="n">
        <v>44535</v>
      </c>
      <c r="E2662" s="10" t="n">
        <v>6131.71</v>
      </c>
      <c r="F2662" s="8" t="s">
        <v>11</v>
      </c>
      <c r="G2662" s="8" t="s">
        <v>12</v>
      </c>
      <c r="H2662" s="11" t="s">
        <v>13</v>
      </c>
      <c r="I2662" s="8" t="s">
        <v>14</v>
      </c>
    </row>
    <row r="2663" customFormat="false" ht="14.25" hidden="false" customHeight="false" outlineLevel="0" collapsed="false">
      <c r="A2663" s="8" t="n">
        <v>2662</v>
      </c>
      <c r="B2663" s="8" t="s">
        <v>247</v>
      </c>
      <c r="C2663" s="8" t="s">
        <v>10</v>
      </c>
      <c r="D2663" s="9" t="n">
        <v>44535</v>
      </c>
      <c r="E2663" s="10" t="n">
        <v>6642.6</v>
      </c>
      <c r="F2663" s="8" t="s">
        <v>11</v>
      </c>
      <c r="G2663" s="8" t="s">
        <v>12</v>
      </c>
      <c r="H2663" s="11" t="s">
        <v>13</v>
      </c>
      <c r="I2663" s="8" t="s">
        <v>14</v>
      </c>
    </row>
    <row r="2664" customFormat="false" ht="14.25" hidden="false" customHeight="false" outlineLevel="0" collapsed="false">
      <c r="A2664" s="8" t="n">
        <v>2663</v>
      </c>
      <c r="B2664" s="8" t="s">
        <v>172</v>
      </c>
      <c r="C2664" s="8" t="s">
        <v>10</v>
      </c>
      <c r="D2664" s="9" t="n">
        <v>44537</v>
      </c>
      <c r="E2664" s="10" t="n">
        <v>14641.42</v>
      </c>
      <c r="F2664" s="8" t="s">
        <v>11</v>
      </c>
      <c r="G2664" s="8" t="s">
        <v>36</v>
      </c>
      <c r="H2664" s="11" t="s">
        <v>37</v>
      </c>
      <c r="I2664" s="8" t="s">
        <v>26</v>
      </c>
    </row>
    <row r="2665" customFormat="false" ht="14.25" hidden="false" customHeight="false" outlineLevel="0" collapsed="false">
      <c r="A2665" s="8" t="n">
        <v>2664</v>
      </c>
      <c r="B2665" s="8" t="s">
        <v>235</v>
      </c>
      <c r="C2665" s="8" t="s">
        <v>16</v>
      </c>
      <c r="D2665" s="9" t="n">
        <v>44537</v>
      </c>
      <c r="E2665" s="10" t="n">
        <v>178364.87</v>
      </c>
      <c r="F2665" s="8" t="s">
        <v>11</v>
      </c>
      <c r="G2665" s="8" t="s">
        <v>17</v>
      </c>
      <c r="H2665" s="11" t="s">
        <v>18</v>
      </c>
      <c r="I2665" s="8" t="s">
        <v>24</v>
      </c>
    </row>
    <row r="2666" customFormat="false" ht="14.25" hidden="false" customHeight="false" outlineLevel="0" collapsed="false">
      <c r="A2666" s="8" t="n">
        <v>2665</v>
      </c>
      <c r="B2666" s="8" t="s">
        <v>182</v>
      </c>
      <c r="C2666" s="8" t="s">
        <v>10</v>
      </c>
      <c r="D2666" s="9" t="n">
        <v>44537</v>
      </c>
      <c r="E2666" s="10" t="n">
        <v>21306.93</v>
      </c>
      <c r="F2666" s="8" t="s">
        <v>11</v>
      </c>
      <c r="G2666" s="8" t="s">
        <v>12</v>
      </c>
      <c r="H2666" s="11" t="s">
        <v>13</v>
      </c>
      <c r="I2666" s="8" t="s">
        <v>14</v>
      </c>
    </row>
    <row r="2667" customFormat="false" ht="14.25" hidden="false" customHeight="false" outlineLevel="0" collapsed="false">
      <c r="A2667" s="8" t="n">
        <v>2666</v>
      </c>
      <c r="B2667" s="8" t="s">
        <v>113</v>
      </c>
      <c r="C2667" s="8" t="s">
        <v>10</v>
      </c>
      <c r="D2667" s="9" t="n">
        <v>44537</v>
      </c>
      <c r="E2667" s="10" t="n">
        <v>5825.05</v>
      </c>
      <c r="F2667" s="8" t="s">
        <v>11</v>
      </c>
      <c r="G2667" s="8" t="s">
        <v>22</v>
      </c>
      <c r="H2667" s="11" t="s">
        <v>23</v>
      </c>
      <c r="I2667" s="8" t="s">
        <v>14</v>
      </c>
    </row>
    <row r="2668" customFormat="false" ht="14.25" hidden="false" customHeight="false" outlineLevel="0" collapsed="false">
      <c r="A2668" s="8" t="n">
        <v>2667</v>
      </c>
      <c r="B2668" s="8" t="s">
        <v>149</v>
      </c>
      <c r="C2668" s="8" t="s">
        <v>16</v>
      </c>
      <c r="D2668" s="9" t="n">
        <v>44537</v>
      </c>
      <c r="E2668" s="10" t="n">
        <v>6127.84</v>
      </c>
      <c r="F2668" s="8" t="s">
        <v>11</v>
      </c>
      <c r="G2668" s="8" t="s">
        <v>12</v>
      </c>
      <c r="H2668" s="11" t="s">
        <v>13</v>
      </c>
      <c r="I2668" s="8" t="s">
        <v>14</v>
      </c>
    </row>
    <row r="2669" customFormat="false" ht="14.25" hidden="false" customHeight="false" outlineLevel="0" collapsed="false">
      <c r="A2669" s="8" t="n">
        <v>2668</v>
      </c>
      <c r="B2669" s="8" t="s">
        <v>150</v>
      </c>
      <c r="C2669" s="8" t="s">
        <v>16</v>
      </c>
      <c r="D2669" s="9" t="n">
        <v>44537</v>
      </c>
      <c r="E2669" s="10" t="n">
        <v>12024.23</v>
      </c>
      <c r="F2669" s="8" t="s">
        <v>11</v>
      </c>
      <c r="G2669" s="8" t="s">
        <v>17</v>
      </c>
      <c r="H2669" s="11" t="s">
        <v>18</v>
      </c>
      <c r="I2669" s="8" t="s">
        <v>24</v>
      </c>
    </row>
    <row r="2670" customFormat="false" ht="14.25" hidden="false" customHeight="false" outlineLevel="0" collapsed="false">
      <c r="A2670" s="8" t="n">
        <v>2669</v>
      </c>
      <c r="B2670" s="8" t="s">
        <v>176</v>
      </c>
      <c r="C2670" s="8" t="s">
        <v>16</v>
      </c>
      <c r="D2670" s="9" t="n">
        <v>44537</v>
      </c>
      <c r="E2670" s="10" t="n">
        <v>21306.95</v>
      </c>
      <c r="F2670" s="8" t="s">
        <v>11</v>
      </c>
      <c r="G2670" s="8" t="s">
        <v>17</v>
      </c>
      <c r="H2670" s="11" t="s">
        <v>18</v>
      </c>
      <c r="I2670" s="8" t="s">
        <v>14</v>
      </c>
    </row>
    <row r="2671" customFormat="false" ht="14.25" hidden="false" customHeight="false" outlineLevel="0" collapsed="false">
      <c r="A2671" s="8" t="n">
        <v>2670</v>
      </c>
      <c r="B2671" s="8" t="s">
        <v>284</v>
      </c>
      <c r="C2671" s="8" t="s">
        <v>16</v>
      </c>
      <c r="D2671" s="9" t="n">
        <v>44537</v>
      </c>
      <c r="E2671" s="10" t="n">
        <v>6444.59</v>
      </c>
      <c r="F2671" s="8" t="s">
        <v>11</v>
      </c>
      <c r="G2671" s="8" t="s">
        <v>12</v>
      </c>
      <c r="H2671" s="11" t="s">
        <v>13</v>
      </c>
      <c r="I2671" s="8" t="s">
        <v>14</v>
      </c>
    </row>
    <row r="2672" customFormat="false" ht="14.25" hidden="false" customHeight="false" outlineLevel="0" collapsed="false">
      <c r="A2672" s="8" t="n">
        <v>2671</v>
      </c>
      <c r="B2672" s="8" t="s">
        <v>250</v>
      </c>
      <c r="C2672" s="8" t="s">
        <v>28</v>
      </c>
      <c r="D2672" s="9" t="n">
        <v>44538</v>
      </c>
      <c r="E2672" s="10" t="n">
        <v>5769.85</v>
      </c>
      <c r="F2672" s="8" t="s">
        <v>11</v>
      </c>
      <c r="G2672" s="8" t="s">
        <v>17</v>
      </c>
      <c r="H2672" s="11" t="s">
        <v>18</v>
      </c>
      <c r="I2672" s="8" t="s">
        <v>19</v>
      </c>
    </row>
    <row r="2673" customFormat="false" ht="14.25" hidden="false" customHeight="false" outlineLevel="0" collapsed="false">
      <c r="A2673" s="8" t="n">
        <v>2672</v>
      </c>
      <c r="B2673" s="8" t="s">
        <v>164</v>
      </c>
      <c r="C2673" s="8" t="s">
        <v>16</v>
      </c>
      <c r="D2673" s="9" t="n">
        <v>44540</v>
      </c>
      <c r="E2673" s="10" t="n">
        <v>12013.16</v>
      </c>
      <c r="F2673" s="8" t="s">
        <v>11</v>
      </c>
      <c r="G2673" s="8" t="s">
        <v>17</v>
      </c>
      <c r="H2673" s="11" t="s">
        <v>18</v>
      </c>
      <c r="I2673" s="8" t="s">
        <v>19</v>
      </c>
    </row>
    <row r="2674" customFormat="false" ht="14.25" hidden="false" customHeight="false" outlineLevel="0" collapsed="false">
      <c r="A2674" s="8" t="n">
        <v>2673</v>
      </c>
      <c r="B2674" s="8" t="s">
        <v>190</v>
      </c>
      <c r="C2674" s="8" t="s">
        <v>16</v>
      </c>
      <c r="D2674" s="9" t="n">
        <v>44540</v>
      </c>
      <c r="E2674" s="10" t="n">
        <v>-6715.17</v>
      </c>
      <c r="F2674" s="8" t="s">
        <v>34</v>
      </c>
      <c r="G2674" s="8" t="s">
        <v>12</v>
      </c>
      <c r="H2674" s="11" t="s">
        <v>13</v>
      </c>
      <c r="I2674" s="8" t="s">
        <v>26</v>
      </c>
    </row>
    <row r="2675" customFormat="false" ht="14.25" hidden="false" customHeight="false" outlineLevel="0" collapsed="false">
      <c r="A2675" s="8" t="n">
        <v>2674</v>
      </c>
      <c r="B2675" s="8" t="s">
        <v>210</v>
      </c>
      <c r="C2675" s="8" t="s">
        <v>28</v>
      </c>
      <c r="D2675" s="9" t="n">
        <v>44540</v>
      </c>
      <c r="E2675" s="10" t="n">
        <v>-7422.03</v>
      </c>
      <c r="F2675" s="8" t="s">
        <v>34</v>
      </c>
      <c r="G2675" s="8" t="s">
        <v>22</v>
      </c>
      <c r="H2675" s="11" t="s">
        <v>23</v>
      </c>
      <c r="I2675" s="8" t="s">
        <v>14</v>
      </c>
    </row>
    <row r="2676" customFormat="false" ht="14.25" hidden="false" customHeight="false" outlineLevel="0" collapsed="false">
      <c r="A2676" s="8" t="n">
        <v>2675</v>
      </c>
      <c r="B2676" s="8" t="s">
        <v>50</v>
      </c>
      <c r="C2676" s="8" t="s">
        <v>28</v>
      </c>
      <c r="D2676" s="9" t="n">
        <v>44540</v>
      </c>
      <c r="E2676" s="10" t="n">
        <v>-2729.09</v>
      </c>
      <c r="F2676" s="8" t="s">
        <v>34</v>
      </c>
      <c r="G2676" s="8" t="s">
        <v>17</v>
      </c>
      <c r="H2676" s="11" t="s">
        <v>18</v>
      </c>
      <c r="I2676" s="8" t="s">
        <v>14</v>
      </c>
    </row>
    <row r="2677" customFormat="false" ht="14.25" hidden="false" customHeight="false" outlineLevel="0" collapsed="false">
      <c r="A2677" s="8" t="n">
        <v>2676</v>
      </c>
      <c r="B2677" s="8" t="s">
        <v>250</v>
      </c>
      <c r="C2677" s="8" t="s">
        <v>16</v>
      </c>
      <c r="D2677" s="9" t="n">
        <v>44540</v>
      </c>
      <c r="E2677" s="10" t="n">
        <v>-7146.9</v>
      </c>
      <c r="F2677" s="8" t="s">
        <v>34</v>
      </c>
      <c r="G2677" s="8" t="s">
        <v>17</v>
      </c>
      <c r="H2677" s="11" t="s">
        <v>18</v>
      </c>
      <c r="I2677" s="8" t="s">
        <v>14</v>
      </c>
    </row>
    <row r="2678" customFormat="false" ht="14.25" hidden="false" customHeight="false" outlineLevel="0" collapsed="false">
      <c r="A2678" s="8" t="n">
        <v>2677</v>
      </c>
      <c r="B2678" s="8" t="s">
        <v>154</v>
      </c>
      <c r="C2678" s="8" t="s">
        <v>28</v>
      </c>
      <c r="D2678" s="9" t="n">
        <v>44541</v>
      </c>
      <c r="E2678" s="10" t="n">
        <v>148274.38</v>
      </c>
      <c r="F2678" s="8" t="s">
        <v>11</v>
      </c>
      <c r="G2678" s="8" t="s">
        <v>17</v>
      </c>
      <c r="H2678" s="11" t="s">
        <v>18</v>
      </c>
      <c r="I2678" s="8" t="s">
        <v>14</v>
      </c>
    </row>
    <row r="2679" customFormat="false" ht="14.25" hidden="false" customHeight="false" outlineLevel="0" collapsed="false">
      <c r="A2679" s="8" t="n">
        <v>2678</v>
      </c>
      <c r="B2679" s="8" t="s">
        <v>154</v>
      </c>
      <c r="C2679" s="8" t="s">
        <v>28</v>
      </c>
      <c r="D2679" s="9" t="n">
        <v>44541</v>
      </c>
      <c r="E2679" s="10" t="n">
        <v>144086.34</v>
      </c>
      <c r="F2679" s="8" t="s">
        <v>11</v>
      </c>
      <c r="G2679" s="8" t="s">
        <v>30</v>
      </c>
      <c r="H2679" s="11" t="s">
        <v>31</v>
      </c>
      <c r="I2679" s="8" t="s">
        <v>14</v>
      </c>
    </row>
    <row r="2680" customFormat="false" ht="14.25" hidden="false" customHeight="false" outlineLevel="0" collapsed="false">
      <c r="A2680" s="8" t="n">
        <v>2679</v>
      </c>
      <c r="B2680" s="8" t="s">
        <v>248</v>
      </c>
      <c r="C2680" s="8" t="s">
        <v>10</v>
      </c>
      <c r="D2680" s="9" t="n">
        <v>44541</v>
      </c>
      <c r="E2680" s="10" t="n">
        <v>10879.9</v>
      </c>
      <c r="F2680" s="8" t="s">
        <v>11</v>
      </c>
      <c r="G2680" s="8" t="s">
        <v>22</v>
      </c>
      <c r="H2680" s="11" t="s">
        <v>23</v>
      </c>
      <c r="I2680" s="8" t="s">
        <v>26</v>
      </c>
    </row>
    <row r="2681" customFormat="false" ht="14.25" hidden="false" customHeight="false" outlineLevel="0" collapsed="false">
      <c r="A2681" s="8" t="n">
        <v>2680</v>
      </c>
      <c r="B2681" s="8" t="s">
        <v>207</v>
      </c>
      <c r="C2681" s="8" t="s">
        <v>28</v>
      </c>
      <c r="D2681" s="9" t="n">
        <v>44541</v>
      </c>
      <c r="E2681" s="10" t="n">
        <v>10879.9</v>
      </c>
      <c r="F2681" s="8" t="s">
        <v>11</v>
      </c>
      <c r="G2681" s="8" t="s">
        <v>22</v>
      </c>
      <c r="H2681" s="11" t="s">
        <v>23</v>
      </c>
      <c r="I2681" s="8" t="s">
        <v>14</v>
      </c>
    </row>
    <row r="2682" customFormat="false" ht="14.25" hidden="false" customHeight="false" outlineLevel="0" collapsed="false">
      <c r="A2682" s="8" t="n">
        <v>2681</v>
      </c>
      <c r="B2682" s="8" t="s">
        <v>270</v>
      </c>
      <c r="C2682" s="8" t="s">
        <v>16</v>
      </c>
      <c r="D2682" s="9" t="n">
        <v>44542</v>
      </c>
      <c r="E2682" s="10" t="n">
        <v>10879.9</v>
      </c>
      <c r="F2682" s="8" t="s">
        <v>11</v>
      </c>
      <c r="G2682" s="8" t="s">
        <v>22</v>
      </c>
      <c r="H2682" s="11" t="s">
        <v>23</v>
      </c>
      <c r="I2682" s="8" t="s">
        <v>14</v>
      </c>
    </row>
    <row r="2683" customFormat="false" ht="14.25" hidden="false" customHeight="false" outlineLevel="0" collapsed="false">
      <c r="A2683" s="8" t="n">
        <v>2682</v>
      </c>
      <c r="B2683" s="8" t="s">
        <v>189</v>
      </c>
      <c r="C2683" s="8" t="s">
        <v>21</v>
      </c>
      <c r="D2683" s="9" t="n">
        <v>44543</v>
      </c>
      <c r="E2683" s="10" t="n">
        <v>10879.9</v>
      </c>
      <c r="F2683" s="8" t="s">
        <v>11</v>
      </c>
      <c r="G2683" s="8" t="s">
        <v>36</v>
      </c>
      <c r="H2683" s="11" t="s">
        <v>37</v>
      </c>
      <c r="I2683" s="8" t="s">
        <v>19</v>
      </c>
    </row>
    <row r="2684" customFormat="false" ht="14.25" hidden="false" customHeight="false" outlineLevel="0" collapsed="false">
      <c r="A2684" s="8" t="n">
        <v>2683</v>
      </c>
      <c r="B2684" s="8" t="s">
        <v>189</v>
      </c>
      <c r="C2684" s="8" t="s">
        <v>21</v>
      </c>
      <c r="D2684" s="9" t="n">
        <v>44543</v>
      </c>
      <c r="E2684" s="10" t="n">
        <v>10879.9</v>
      </c>
      <c r="F2684" s="8" t="s">
        <v>11</v>
      </c>
      <c r="G2684" s="8" t="s">
        <v>22</v>
      </c>
      <c r="H2684" s="11" t="s">
        <v>23</v>
      </c>
      <c r="I2684" s="8" t="s">
        <v>26</v>
      </c>
    </row>
    <row r="2685" customFormat="false" ht="14.25" hidden="false" customHeight="false" outlineLevel="0" collapsed="false">
      <c r="A2685" s="8" t="n">
        <v>2684</v>
      </c>
      <c r="B2685" s="8" t="s">
        <v>189</v>
      </c>
      <c r="C2685" s="8" t="s">
        <v>16</v>
      </c>
      <c r="D2685" s="9" t="n">
        <v>44543</v>
      </c>
      <c r="E2685" s="10" t="n">
        <v>10879.9</v>
      </c>
      <c r="F2685" s="8" t="s">
        <v>11</v>
      </c>
      <c r="G2685" s="8" t="s">
        <v>12</v>
      </c>
      <c r="H2685" s="11" t="s">
        <v>13</v>
      </c>
      <c r="I2685" s="8" t="s">
        <v>14</v>
      </c>
    </row>
    <row r="2686" customFormat="false" ht="14.25" hidden="false" customHeight="false" outlineLevel="0" collapsed="false">
      <c r="A2686" s="8" t="n">
        <v>2685</v>
      </c>
      <c r="B2686" s="8" t="s">
        <v>189</v>
      </c>
      <c r="C2686" s="8" t="s">
        <v>21</v>
      </c>
      <c r="D2686" s="9" t="n">
        <v>44543</v>
      </c>
      <c r="E2686" s="10" t="n">
        <v>146192.53</v>
      </c>
      <c r="F2686" s="8" t="s">
        <v>11</v>
      </c>
      <c r="G2686" s="8" t="s">
        <v>12</v>
      </c>
      <c r="H2686" s="11" t="s">
        <v>13</v>
      </c>
      <c r="I2686" s="8" t="s">
        <v>14</v>
      </c>
    </row>
    <row r="2687" customFormat="false" ht="14.25" hidden="false" customHeight="false" outlineLevel="0" collapsed="false">
      <c r="A2687" s="8" t="n">
        <v>2686</v>
      </c>
      <c r="B2687" s="8" t="s">
        <v>208</v>
      </c>
      <c r="C2687" s="8" t="s">
        <v>28</v>
      </c>
      <c r="D2687" s="9" t="n">
        <v>44543</v>
      </c>
      <c r="E2687" s="10" t="n">
        <v>133024.72</v>
      </c>
      <c r="F2687" s="8" t="s">
        <v>11</v>
      </c>
      <c r="G2687" s="8" t="s">
        <v>17</v>
      </c>
      <c r="H2687" s="11" t="s">
        <v>18</v>
      </c>
      <c r="I2687" s="8" t="s">
        <v>14</v>
      </c>
    </row>
    <row r="2688" customFormat="false" ht="14.25" hidden="false" customHeight="false" outlineLevel="0" collapsed="false">
      <c r="A2688" s="8" t="n">
        <v>2687</v>
      </c>
      <c r="B2688" s="8" t="s">
        <v>41</v>
      </c>
      <c r="C2688" s="8" t="s">
        <v>10</v>
      </c>
      <c r="D2688" s="9" t="n">
        <v>44543</v>
      </c>
      <c r="E2688" s="10" t="n">
        <v>-5650.51</v>
      </c>
      <c r="F2688" s="8" t="s">
        <v>34</v>
      </c>
      <c r="G2688" s="8" t="s">
        <v>12</v>
      </c>
      <c r="H2688" s="11" t="s">
        <v>13</v>
      </c>
      <c r="I2688" s="8" t="s">
        <v>19</v>
      </c>
    </row>
    <row r="2689" customFormat="false" ht="14.25" hidden="false" customHeight="false" outlineLevel="0" collapsed="false">
      <c r="A2689" s="8" t="n">
        <v>2688</v>
      </c>
      <c r="B2689" s="8" t="s">
        <v>29</v>
      </c>
      <c r="C2689" s="8" t="s">
        <v>16</v>
      </c>
      <c r="D2689" s="9" t="n">
        <v>44543</v>
      </c>
      <c r="E2689" s="10" t="n">
        <v>-720.83</v>
      </c>
      <c r="F2689" s="8" t="s">
        <v>34</v>
      </c>
      <c r="G2689" s="8" t="s">
        <v>22</v>
      </c>
      <c r="H2689" s="11" t="s">
        <v>23</v>
      </c>
      <c r="I2689" s="8" t="s">
        <v>24</v>
      </c>
    </row>
    <row r="2690" customFormat="false" ht="14.25" hidden="false" customHeight="false" outlineLevel="0" collapsed="false">
      <c r="A2690" s="8" t="n">
        <v>2689</v>
      </c>
      <c r="B2690" s="8" t="s">
        <v>29</v>
      </c>
      <c r="C2690" s="8" t="s">
        <v>16</v>
      </c>
      <c r="D2690" s="9" t="n">
        <v>44543</v>
      </c>
      <c r="E2690" s="10" t="n">
        <v>-20997.76</v>
      </c>
      <c r="F2690" s="8" t="s">
        <v>34</v>
      </c>
      <c r="G2690" s="8" t="s">
        <v>36</v>
      </c>
      <c r="H2690" s="11" t="s">
        <v>37</v>
      </c>
      <c r="I2690" s="8" t="s">
        <v>14</v>
      </c>
    </row>
    <row r="2691" customFormat="false" ht="14.25" hidden="false" customHeight="false" outlineLevel="0" collapsed="false">
      <c r="A2691" s="8" t="n">
        <v>2690</v>
      </c>
      <c r="B2691" s="8" t="s">
        <v>154</v>
      </c>
      <c r="C2691" s="8" t="s">
        <v>21</v>
      </c>
      <c r="D2691" s="9" t="n">
        <v>44543</v>
      </c>
      <c r="E2691" s="10" t="n">
        <v>-30563.75</v>
      </c>
      <c r="F2691" s="8" t="s">
        <v>34</v>
      </c>
      <c r="G2691" s="8" t="s">
        <v>17</v>
      </c>
      <c r="H2691" s="11" t="s">
        <v>18</v>
      </c>
      <c r="I2691" s="8" t="s">
        <v>14</v>
      </c>
    </row>
    <row r="2692" customFormat="false" ht="14.25" hidden="false" customHeight="false" outlineLevel="0" collapsed="false">
      <c r="A2692" s="8" t="n">
        <v>2691</v>
      </c>
      <c r="B2692" s="8" t="s">
        <v>166</v>
      </c>
      <c r="C2692" s="8" t="s">
        <v>21</v>
      </c>
      <c r="D2692" s="9" t="n">
        <v>44544</v>
      </c>
      <c r="E2692" s="10" t="n">
        <v>-1972.01</v>
      </c>
      <c r="F2692" s="8" t="s">
        <v>34</v>
      </c>
      <c r="G2692" s="8" t="s">
        <v>12</v>
      </c>
      <c r="H2692" s="11" t="s">
        <v>13</v>
      </c>
      <c r="I2692" s="8" t="s">
        <v>24</v>
      </c>
    </row>
    <row r="2693" customFormat="false" ht="14.25" hidden="false" customHeight="false" outlineLevel="0" collapsed="false">
      <c r="A2693" s="8" t="n">
        <v>2692</v>
      </c>
      <c r="B2693" s="8" t="s">
        <v>250</v>
      </c>
      <c r="C2693" s="8" t="s">
        <v>10</v>
      </c>
      <c r="D2693" s="9" t="n">
        <v>44545</v>
      </c>
      <c r="E2693" s="10" t="n">
        <v>-2904.41</v>
      </c>
      <c r="F2693" s="8" t="s">
        <v>34</v>
      </c>
      <c r="G2693" s="8" t="s">
        <v>17</v>
      </c>
      <c r="H2693" s="11" t="s">
        <v>18</v>
      </c>
      <c r="I2693" s="8" t="s">
        <v>14</v>
      </c>
    </row>
    <row r="2694" customFormat="false" ht="14.25" hidden="false" customHeight="false" outlineLevel="0" collapsed="false">
      <c r="A2694" s="8" t="n">
        <v>2693</v>
      </c>
      <c r="B2694" s="8" t="s">
        <v>163</v>
      </c>
      <c r="C2694" s="8" t="s">
        <v>21</v>
      </c>
      <c r="D2694" s="9" t="n">
        <v>44547</v>
      </c>
      <c r="E2694" s="10" t="n">
        <v>-1544.48</v>
      </c>
      <c r="F2694" s="8" t="s">
        <v>34</v>
      </c>
      <c r="G2694" s="8" t="s">
        <v>30</v>
      </c>
      <c r="H2694" s="11" t="s">
        <v>31</v>
      </c>
      <c r="I2694" s="8" t="s">
        <v>26</v>
      </c>
    </row>
    <row r="2695" customFormat="false" ht="14.25" hidden="false" customHeight="false" outlineLevel="0" collapsed="false">
      <c r="A2695" s="8" t="n">
        <v>2694</v>
      </c>
      <c r="B2695" s="8" t="s">
        <v>213</v>
      </c>
      <c r="C2695" s="8" t="s">
        <v>28</v>
      </c>
      <c r="D2695" s="9" t="n">
        <v>44547</v>
      </c>
      <c r="E2695" s="10" t="n">
        <v>149818.9</v>
      </c>
      <c r="F2695" s="8" t="s">
        <v>11</v>
      </c>
      <c r="G2695" s="8" t="s">
        <v>17</v>
      </c>
      <c r="H2695" s="11" t="s">
        <v>18</v>
      </c>
      <c r="I2695" s="8" t="s">
        <v>26</v>
      </c>
    </row>
    <row r="2696" customFormat="false" ht="14.25" hidden="false" customHeight="false" outlineLevel="0" collapsed="false">
      <c r="A2696" s="8" t="n">
        <v>2695</v>
      </c>
      <c r="B2696" s="8" t="s">
        <v>250</v>
      </c>
      <c r="C2696" s="8" t="s">
        <v>10</v>
      </c>
      <c r="D2696" s="9" t="n">
        <v>44547</v>
      </c>
      <c r="E2696" s="10" t="n">
        <v>149700.09</v>
      </c>
      <c r="F2696" s="8" t="s">
        <v>11</v>
      </c>
      <c r="G2696" s="8" t="s">
        <v>12</v>
      </c>
      <c r="H2696" s="11" t="s">
        <v>13</v>
      </c>
      <c r="I2696" s="8" t="s">
        <v>14</v>
      </c>
    </row>
    <row r="2697" customFormat="false" ht="14.25" hidden="false" customHeight="false" outlineLevel="0" collapsed="false">
      <c r="A2697" s="8" t="n">
        <v>2696</v>
      </c>
      <c r="B2697" s="8" t="s">
        <v>250</v>
      </c>
      <c r="C2697" s="8" t="s">
        <v>21</v>
      </c>
      <c r="D2697" s="9" t="n">
        <v>44547</v>
      </c>
      <c r="E2697" s="10" t="n">
        <v>193419.24</v>
      </c>
      <c r="F2697" s="8" t="s">
        <v>11</v>
      </c>
      <c r="G2697" s="8" t="s">
        <v>22</v>
      </c>
      <c r="H2697" s="11" t="s">
        <v>23</v>
      </c>
      <c r="I2697" s="8" t="s">
        <v>14</v>
      </c>
    </row>
    <row r="2698" customFormat="false" ht="14.25" hidden="false" customHeight="false" outlineLevel="0" collapsed="false">
      <c r="A2698" s="8" t="n">
        <v>2697</v>
      </c>
      <c r="B2698" s="8" t="s">
        <v>67</v>
      </c>
      <c r="C2698" s="8" t="s">
        <v>28</v>
      </c>
      <c r="D2698" s="9" t="n">
        <v>44548</v>
      </c>
      <c r="E2698" s="10" t="n">
        <v>34000</v>
      </c>
      <c r="F2698" s="8" t="s">
        <v>11</v>
      </c>
      <c r="G2698" s="8" t="s">
        <v>12</v>
      </c>
      <c r="H2698" s="11" t="s">
        <v>13</v>
      </c>
      <c r="I2698" s="8" t="s">
        <v>26</v>
      </c>
    </row>
    <row r="2699" customFormat="false" ht="14.25" hidden="false" customHeight="false" outlineLevel="0" collapsed="false">
      <c r="A2699" s="8" t="n">
        <v>2698</v>
      </c>
      <c r="B2699" s="8" t="s">
        <v>285</v>
      </c>
      <c r="C2699" s="8" t="s">
        <v>21</v>
      </c>
      <c r="D2699" s="9" t="n">
        <v>44548</v>
      </c>
      <c r="E2699" s="10" t="n">
        <v>8500</v>
      </c>
      <c r="F2699" s="8" t="s">
        <v>11</v>
      </c>
      <c r="G2699" s="8" t="s">
        <v>12</v>
      </c>
      <c r="H2699" s="11" t="s">
        <v>13</v>
      </c>
      <c r="I2699" s="8" t="s">
        <v>26</v>
      </c>
    </row>
    <row r="2700" customFormat="false" ht="14.25" hidden="false" customHeight="false" outlineLevel="0" collapsed="false">
      <c r="A2700" s="8" t="n">
        <v>2699</v>
      </c>
      <c r="B2700" s="8" t="s">
        <v>286</v>
      </c>
      <c r="C2700" s="8" t="s">
        <v>28</v>
      </c>
      <c r="D2700" s="9" t="n">
        <v>44548</v>
      </c>
      <c r="E2700" s="10" t="n">
        <v>8500</v>
      </c>
      <c r="F2700" s="8" t="s">
        <v>11</v>
      </c>
      <c r="G2700" s="8" t="s">
        <v>12</v>
      </c>
      <c r="H2700" s="11" t="s">
        <v>13</v>
      </c>
      <c r="I2700" s="8" t="s">
        <v>14</v>
      </c>
    </row>
    <row r="2701" customFormat="false" ht="14.25" hidden="false" customHeight="false" outlineLevel="0" collapsed="false">
      <c r="A2701" s="8" t="n">
        <v>2700</v>
      </c>
      <c r="B2701" s="8" t="s">
        <v>123</v>
      </c>
      <c r="C2701" s="8" t="s">
        <v>16</v>
      </c>
      <c r="D2701" s="9" t="n">
        <v>44548</v>
      </c>
      <c r="E2701" s="10" t="n">
        <v>17000</v>
      </c>
      <c r="F2701" s="8" t="s">
        <v>11</v>
      </c>
      <c r="G2701" s="8" t="s">
        <v>17</v>
      </c>
      <c r="H2701" s="11" t="s">
        <v>18</v>
      </c>
      <c r="I2701" s="8" t="s">
        <v>19</v>
      </c>
    </row>
    <row r="2702" customFormat="false" ht="14.25" hidden="false" customHeight="false" outlineLevel="0" collapsed="false">
      <c r="A2702" s="8" t="n">
        <v>2701</v>
      </c>
      <c r="B2702" s="8" t="s">
        <v>287</v>
      </c>
      <c r="C2702" s="8" t="s">
        <v>10</v>
      </c>
      <c r="D2702" s="9" t="n">
        <v>44548</v>
      </c>
      <c r="E2702" s="10" t="n">
        <v>-134.51</v>
      </c>
      <c r="F2702" s="8" t="s">
        <v>34</v>
      </c>
      <c r="G2702" s="8" t="s">
        <v>22</v>
      </c>
      <c r="H2702" s="11" t="s">
        <v>23</v>
      </c>
      <c r="I2702" s="8" t="s">
        <v>19</v>
      </c>
    </row>
    <row r="2703" customFormat="false" ht="14.25" hidden="false" customHeight="false" outlineLevel="0" collapsed="false">
      <c r="A2703" s="8" t="n">
        <v>2702</v>
      </c>
      <c r="B2703" s="8" t="s">
        <v>288</v>
      </c>
      <c r="C2703" s="8" t="s">
        <v>21</v>
      </c>
      <c r="D2703" s="9" t="n">
        <v>44548</v>
      </c>
      <c r="E2703" s="10" t="n">
        <v>-157.56</v>
      </c>
      <c r="F2703" s="8" t="s">
        <v>34</v>
      </c>
      <c r="G2703" s="8" t="s">
        <v>12</v>
      </c>
      <c r="H2703" s="11" t="s">
        <v>13</v>
      </c>
      <c r="I2703" s="8" t="s">
        <v>26</v>
      </c>
    </row>
    <row r="2704" customFormat="false" ht="14.25" hidden="false" customHeight="false" outlineLevel="0" collapsed="false">
      <c r="A2704" s="8" t="n">
        <v>2703</v>
      </c>
      <c r="B2704" s="8" t="s">
        <v>289</v>
      </c>
      <c r="C2704" s="8" t="s">
        <v>28</v>
      </c>
      <c r="D2704" s="9" t="n">
        <v>44548</v>
      </c>
      <c r="E2704" s="10" t="n">
        <v>-7227.36</v>
      </c>
      <c r="F2704" s="8" t="s">
        <v>34</v>
      </c>
      <c r="G2704" s="8" t="s">
        <v>17</v>
      </c>
      <c r="H2704" s="11" t="s">
        <v>18</v>
      </c>
      <c r="I2704" s="8" t="s">
        <v>26</v>
      </c>
    </row>
    <row r="2705" customFormat="false" ht="14.25" hidden="false" customHeight="false" outlineLevel="0" collapsed="false">
      <c r="A2705" s="8" t="n">
        <v>2704</v>
      </c>
      <c r="B2705" s="8" t="s">
        <v>290</v>
      </c>
      <c r="C2705" s="8" t="s">
        <v>28</v>
      </c>
      <c r="D2705" s="9" t="n">
        <v>44548</v>
      </c>
      <c r="E2705" s="10" t="n">
        <v>-313.12</v>
      </c>
      <c r="F2705" s="8" t="s">
        <v>34</v>
      </c>
      <c r="G2705" s="8" t="s">
        <v>12</v>
      </c>
      <c r="H2705" s="11" t="s">
        <v>13</v>
      </c>
      <c r="I2705" s="8" t="s">
        <v>19</v>
      </c>
    </row>
    <row r="2706" customFormat="false" ht="14.25" hidden="false" customHeight="false" outlineLevel="0" collapsed="false">
      <c r="A2706" s="8" t="n">
        <v>2705</v>
      </c>
      <c r="B2706" s="8" t="s">
        <v>291</v>
      </c>
      <c r="C2706" s="8" t="s">
        <v>28</v>
      </c>
      <c r="D2706" s="9" t="n">
        <v>44548</v>
      </c>
      <c r="E2706" s="10" t="n">
        <v>-6310.5</v>
      </c>
      <c r="F2706" s="8" t="s">
        <v>34</v>
      </c>
      <c r="G2706" s="8" t="s">
        <v>22</v>
      </c>
      <c r="H2706" s="11" t="s">
        <v>23</v>
      </c>
      <c r="I2706" s="8" t="s">
        <v>14</v>
      </c>
    </row>
    <row r="2707" customFormat="false" ht="14.25" hidden="false" customHeight="false" outlineLevel="0" collapsed="false">
      <c r="A2707" s="8" t="n">
        <v>2706</v>
      </c>
      <c r="B2707" s="8" t="s">
        <v>158</v>
      </c>
      <c r="C2707" s="8" t="s">
        <v>10</v>
      </c>
      <c r="D2707" s="9" t="n">
        <v>44549</v>
      </c>
      <c r="E2707" s="10" t="n">
        <v>-211.98</v>
      </c>
      <c r="F2707" s="8" t="s">
        <v>34</v>
      </c>
      <c r="G2707" s="8" t="s">
        <v>12</v>
      </c>
      <c r="H2707" s="11" t="s">
        <v>13</v>
      </c>
      <c r="I2707" s="8" t="s">
        <v>26</v>
      </c>
    </row>
    <row r="2708" customFormat="false" ht="14.25" hidden="false" customHeight="false" outlineLevel="0" collapsed="false">
      <c r="A2708" s="8" t="n">
        <v>2707</v>
      </c>
      <c r="B2708" s="8" t="s">
        <v>182</v>
      </c>
      <c r="C2708" s="8" t="s">
        <v>10</v>
      </c>
      <c r="D2708" s="9" t="n">
        <v>44549</v>
      </c>
      <c r="E2708" s="10" t="n">
        <v>-15080.49</v>
      </c>
      <c r="F2708" s="8" t="s">
        <v>34</v>
      </c>
      <c r="G2708" s="8" t="s">
        <v>36</v>
      </c>
      <c r="H2708" s="11" t="s">
        <v>37</v>
      </c>
      <c r="I2708" s="8" t="s">
        <v>14</v>
      </c>
    </row>
    <row r="2709" customFormat="false" ht="14.25" hidden="false" customHeight="false" outlineLevel="0" collapsed="false">
      <c r="A2709" s="8" t="n">
        <v>2708</v>
      </c>
      <c r="B2709" s="8" t="s">
        <v>78</v>
      </c>
      <c r="C2709" s="8" t="s">
        <v>10</v>
      </c>
      <c r="D2709" s="9" t="n">
        <v>44549</v>
      </c>
      <c r="E2709" s="10" t="n">
        <v>21039.6</v>
      </c>
      <c r="F2709" s="8" t="s">
        <v>11</v>
      </c>
      <c r="G2709" s="8" t="s">
        <v>12</v>
      </c>
      <c r="H2709" s="11" t="s">
        <v>13</v>
      </c>
      <c r="I2709" s="8" t="s">
        <v>24</v>
      </c>
    </row>
    <row r="2710" customFormat="false" ht="14.25" hidden="false" customHeight="false" outlineLevel="0" collapsed="false">
      <c r="A2710" s="8" t="n">
        <v>2709</v>
      </c>
      <c r="B2710" s="8" t="s">
        <v>277</v>
      </c>
      <c r="C2710" s="8" t="s">
        <v>10</v>
      </c>
      <c r="D2710" s="9" t="n">
        <v>44549</v>
      </c>
      <c r="E2710" s="10" t="n">
        <v>21016.66</v>
      </c>
      <c r="F2710" s="8" t="s">
        <v>11</v>
      </c>
      <c r="G2710" s="8" t="s">
        <v>12</v>
      </c>
      <c r="H2710" s="11" t="s">
        <v>13</v>
      </c>
      <c r="I2710" s="8" t="s">
        <v>14</v>
      </c>
    </row>
    <row r="2711" customFormat="false" ht="14.25" hidden="false" customHeight="false" outlineLevel="0" collapsed="false">
      <c r="A2711" s="8" t="n">
        <v>2710</v>
      </c>
      <c r="B2711" s="8" t="s">
        <v>250</v>
      </c>
      <c r="C2711" s="8" t="s">
        <v>16</v>
      </c>
      <c r="D2711" s="9" t="n">
        <v>44549</v>
      </c>
      <c r="E2711" s="10" t="n">
        <v>20182.18</v>
      </c>
      <c r="F2711" s="8" t="s">
        <v>11</v>
      </c>
      <c r="G2711" s="8" t="s">
        <v>17</v>
      </c>
      <c r="H2711" s="11" t="s">
        <v>18</v>
      </c>
      <c r="I2711" s="8" t="s">
        <v>26</v>
      </c>
    </row>
    <row r="2712" customFormat="false" ht="14.25" hidden="false" customHeight="false" outlineLevel="0" collapsed="false">
      <c r="A2712" s="8" t="n">
        <v>2711</v>
      </c>
      <c r="B2712" s="8" t="s">
        <v>178</v>
      </c>
      <c r="C2712" s="8" t="s">
        <v>16</v>
      </c>
      <c r="D2712" s="9" t="n">
        <v>44550</v>
      </c>
      <c r="E2712" s="10" t="n">
        <v>160132.02</v>
      </c>
      <c r="F2712" s="8" t="s">
        <v>11</v>
      </c>
      <c r="G2712" s="8" t="s">
        <v>12</v>
      </c>
      <c r="H2712" s="11" t="s">
        <v>13</v>
      </c>
      <c r="I2712" s="8" t="s">
        <v>14</v>
      </c>
    </row>
    <row r="2713" customFormat="false" ht="14.25" hidden="false" customHeight="false" outlineLevel="0" collapsed="false">
      <c r="A2713" s="8" t="n">
        <v>2712</v>
      </c>
      <c r="B2713" s="8" t="s">
        <v>190</v>
      </c>
      <c r="C2713" s="8" t="s">
        <v>16</v>
      </c>
      <c r="D2713" s="9" t="n">
        <v>44550</v>
      </c>
      <c r="E2713" s="10" t="n">
        <v>-155.32</v>
      </c>
      <c r="F2713" s="8" t="s">
        <v>34</v>
      </c>
      <c r="G2713" s="8" t="s">
        <v>12</v>
      </c>
      <c r="H2713" s="11" t="s">
        <v>13</v>
      </c>
      <c r="I2713" s="8" t="s">
        <v>14</v>
      </c>
    </row>
    <row r="2714" customFormat="false" ht="14.25" hidden="false" customHeight="false" outlineLevel="0" collapsed="false">
      <c r="A2714" s="8" t="n">
        <v>2713</v>
      </c>
      <c r="B2714" s="8" t="s">
        <v>250</v>
      </c>
      <c r="C2714" s="8" t="s">
        <v>16</v>
      </c>
      <c r="D2714" s="9" t="n">
        <v>44551</v>
      </c>
      <c r="E2714" s="10" t="n">
        <v>2793.4</v>
      </c>
      <c r="F2714" s="8" t="s">
        <v>11</v>
      </c>
      <c r="G2714" s="8" t="s">
        <v>12</v>
      </c>
      <c r="H2714" s="11" t="s">
        <v>13</v>
      </c>
      <c r="I2714" s="8" t="s">
        <v>14</v>
      </c>
    </row>
    <row r="2715" customFormat="false" ht="14.25" hidden="false" customHeight="false" outlineLevel="0" collapsed="false">
      <c r="A2715" s="8" t="n">
        <v>2714</v>
      </c>
      <c r="B2715" s="8" t="s">
        <v>250</v>
      </c>
      <c r="C2715" s="8" t="s">
        <v>28</v>
      </c>
      <c r="D2715" s="9" t="n">
        <v>44551</v>
      </c>
      <c r="E2715" s="10" t="n">
        <v>-12335.96</v>
      </c>
      <c r="F2715" s="8" t="s">
        <v>34</v>
      </c>
      <c r="G2715" s="8" t="s">
        <v>12</v>
      </c>
      <c r="H2715" s="11" t="s">
        <v>13</v>
      </c>
      <c r="I2715" s="8" t="s">
        <v>14</v>
      </c>
    </row>
    <row r="2716" customFormat="false" ht="14.25" hidden="false" customHeight="false" outlineLevel="0" collapsed="false">
      <c r="A2716" s="8" t="n">
        <v>2715</v>
      </c>
      <c r="B2716" s="8" t="s">
        <v>78</v>
      </c>
      <c r="C2716" s="8" t="s">
        <v>16</v>
      </c>
      <c r="D2716" s="9" t="n">
        <v>44556</v>
      </c>
      <c r="E2716" s="10" t="n">
        <v>-13635.23</v>
      </c>
      <c r="F2716" s="8" t="s">
        <v>34</v>
      </c>
      <c r="G2716" s="8" t="s">
        <v>30</v>
      </c>
      <c r="H2716" s="11" t="s">
        <v>31</v>
      </c>
      <c r="I2716" s="8" t="s">
        <v>14</v>
      </c>
    </row>
    <row r="2717" customFormat="false" ht="14.25" hidden="false" customHeight="false" outlineLevel="0" collapsed="false">
      <c r="A2717" s="8" t="n">
        <v>2716</v>
      </c>
      <c r="B2717" s="8" t="s">
        <v>155</v>
      </c>
      <c r="C2717" s="8" t="s">
        <v>10</v>
      </c>
      <c r="D2717" s="9" t="n">
        <v>44556</v>
      </c>
      <c r="E2717" s="10" t="n">
        <v>132369.43</v>
      </c>
      <c r="F2717" s="8" t="s">
        <v>11</v>
      </c>
      <c r="G2717" s="8" t="s">
        <v>12</v>
      </c>
      <c r="H2717" s="11" t="s">
        <v>13</v>
      </c>
      <c r="I2717" s="8" t="s">
        <v>19</v>
      </c>
    </row>
    <row r="2718" customFormat="false" ht="14.25" hidden="false" customHeight="false" outlineLevel="0" collapsed="false">
      <c r="A2718" s="8" t="n">
        <v>2717</v>
      </c>
      <c r="B2718" s="8" t="s">
        <v>149</v>
      </c>
      <c r="C2718" s="8" t="s">
        <v>28</v>
      </c>
      <c r="D2718" s="9" t="n">
        <v>44557</v>
      </c>
      <c r="E2718" s="10" t="n">
        <v>5063.57</v>
      </c>
      <c r="F2718" s="8" t="s">
        <v>11</v>
      </c>
      <c r="G2718" s="8" t="s">
        <v>17</v>
      </c>
      <c r="H2718" s="11" t="s">
        <v>18</v>
      </c>
      <c r="I2718" s="8" t="s">
        <v>14</v>
      </c>
    </row>
    <row r="2719" customFormat="false" ht="14.25" hidden="false" customHeight="false" outlineLevel="0" collapsed="false">
      <c r="A2719" s="8" t="n">
        <v>2718</v>
      </c>
      <c r="B2719" s="8" t="s">
        <v>148</v>
      </c>
      <c r="C2719" s="8" t="s">
        <v>21</v>
      </c>
      <c r="D2719" s="9" t="n">
        <v>44557</v>
      </c>
      <c r="E2719" s="10" t="n">
        <v>5370.97</v>
      </c>
      <c r="F2719" s="8" t="s">
        <v>11</v>
      </c>
      <c r="G2719" s="8" t="s">
        <v>22</v>
      </c>
      <c r="H2719" s="11" t="s">
        <v>23</v>
      </c>
      <c r="I2719" s="8" t="s">
        <v>26</v>
      </c>
    </row>
    <row r="2720" customFormat="false" ht="14.25" hidden="false" customHeight="false" outlineLevel="0" collapsed="false">
      <c r="A2720" s="8" t="n">
        <v>2719</v>
      </c>
      <c r="B2720" s="8" t="s">
        <v>174</v>
      </c>
      <c r="C2720" s="8" t="s">
        <v>28</v>
      </c>
      <c r="D2720" s="9" t="n">
        <v>44557</v>
      </c>
      <c r="E2720" s="10" t="n">
        <v>4761.83</v>
      </c>
      <c r="F2720" s="8" t="s">
        <v>11</v>
      </c>
      <c r="G2720" s="8" t="s">
        <v>12</v>
      </c>
      <c r="H2720" s="11" t="s">
        <v>13</v>
      </c>
      <c r="I2720" s="8" t="s">
        <v>19</v>
      </c>
    </row>
    <row r="2721" customFormat="false" ht="14.25" hidden="false" customHeight="false" outlineLevel="0" collapsed="false">
      <c r="A2721" s="8" t="n">
        <v>2720</v>
      </c>
      <c r="B2721" s="8" t="s">
        <v>206</v>
      </c>
      <c r="C2721" s="8" t="s">
        <v>21</v>
      </c>
      <c r="D2721" s="9" t="n">
        <v>44557</v>
      </c>
      <c r="E2721" s="10" t="n">
        <v>5047.69</v>
      </c>
      <c r="F2721" s="8" t="s">
        <v>11</v>
      </c>
      <c r="G2721" s="8" t="s">
        <v>17</v>
      </c>
      <c r="H2721" s="11" t="s">
        <v>18</v>
      </c>
      <c r="I2721" s="8" t="s">
        <v>14</v>
      </c>
    </row>
    <row r="2722" customFormat="false" ht="14.25" hidden="false" customHeight="false" outlineLevel="0" collapsed="false">
      <c r="A2722" s="8" t="n">
        <v>2721</v>
      </c>
      <c r="B2722" s="8" t="s">
        <v>230</v>
      </c>
      <c r="C2722" s="8" t="s">
        <v>10</v>
      </c>
      <c r="D2722" s="9" t="n">
        <v>44557</v>
      </c>
      <c r="E2722" s="10" t="n">
        <v>5700.38</v>
      </c>
      <c r="F2722" s="8" t="s">
        <v>11</v>
      </c>
      <c r="G2722" s="8" t="s">
        <v>12</v>
      </c>
      <c r="H2722" s="11" t="s">
        <v>13</v>
      </c>
      <c r="I2722" s="8" t="s">
        <v>24</v>
      </c>
    </row>
    <row r="2723" customFormat="false" ht="14.25" hidden="false" customHeight="false" outlineLevel="0" collapsed="false">
      <c r="A2723" s="8" t="n">
        <v>2722</v>
      </c>
      <c r="B2723" s="8" t="s">
        <v>247</v>
      </c>
      <c r="C2723" s="8" t="s">
        <v>16</v>
      </c>
      <c r="D2723" s="9" t="n">
        <v>44557</v>
      </c>
      <c r="E2723" s="10" t="n">
        <v>5400.64</v>
      </c>
      <c r="F2723" s="8" t="s">
        <v>11</v>
      </c>
      <c r="G2723" s="8" t="s">
        <v>12</v>
      </c>
      <c r="H2723" s="11" t="s">
        <v>13</v>
      </c>
      <c r="I2723" s="8" t="s">
        <v>14</v>
      </c>
    </row>
    <row r="2724" customFormat="false" ht="14.25" hidden="false" customHeight="false" outlineLevel="0" collapsed="false">
      <c r="A2724" s="8" t="n">
        <v>2723</v>
      </c>
      <c r="B2724" s="8" t="s">
        <v>50</v>
      </c>
      <c r="C2724" s="8" t="s">
        <v>21</v>
      </c>
      <c r="D2724" s="9" t="n">
        <v>44557</v>
      </c>
      <c r="E2724" s="10" t="n">
        <v>10551.23</v>
      </c>
      <c r="F2724" s="8" t="s">
        <v>11</v>
      </c>
      <c r="G2724" s="8" t="s">
        <v>22</v>
      </c>
      <c r="H2724" s="11" t="s">
        <v>23</v>
      </c>
      <c r="I2724" s="8" t="s">
        <v>14</v>
      </c>
    </row>
    <row r="2725" customFormat="false" ht="14.25" hidden="false" customHeight="false" outlineLevel="0" collapsed="false">
      <c r="A2725" s="8" t="n">
        <v>2724</v>
      </c>
      <c r="B2725" s="8" t="s">
        <v>292</v>
      </c>
      <c r="C2725" s="8" t="s">
        <v>28</v>
      </c>
      <c r="D2725" s="9" t="n">
        <v>44558</v>
      </c>
      <c r="E2725" s="10" t="n">
        <v>10665.14</v>
      </c>
      <c r="F2725" s="8" t="s">
        <v>11</v>
      </c>
      <c r="G2725" s="8" t="s">
        <v>17</v>
      </c>
      <c r="H2725" s="11" t="s">
        <v>18</v>
      </c>
      <c r="I2725" s="8" t="s">
        <v>14</v>
      </c>
    </row>
    <row r="2726" customFormat="false" ht="14.25" hidden="false" customHeight="false" outlineLevel="0" collapsed="false">
      <c r="A2726" s="8" t="n">
        <v>2725</v>
      </c>
      <c r="B2726" s="8" t="s">
        <v>9</v>
      </c>
      <c r="C2726" s="8" t="s">
        <v>28</v>
      </c>
      <c r="D2726" s="9" t="n">
        <v>44558</v>
      </c>
      <c r="E2726" s="10" t="n">
        <v>9729.77</v>
      </c>
      <c r="F2726" s="8" t="s">
        <v>11</v>
      </c>
      <c r="G2726" s="8" t="s">
        <v>36</v>
      </c>
      <c r="H2726" s="11" t="s">
        <v>37</v>
      </c>
      <c r="I2726" s="8" t="s">
        <v>14</v>
      </c>
    </row>
  </sheetData>
  <autoFilter ref="A1:H2726"/>
  <hyperlinks>
    <hyperlink ref="H2" r:id="rId1" display="https://i.ibb.co/DznB5q4/Itau.png"/>
    <hyperlink ref="H3" r:id="rId2" display="https://i.ibb.co/LpJM38D/Nubank.png"/>
    <hyperlink ref="H4" r:id="rId3" display="https://i.ibb.co/LpJM38D/Nubank.png"/>
    <hyperlink ref="H5" r:id="rId4" display="https://i.ibb.co/LpJM38D/Nubank.png"/>
    <hyperlink ref="H6" r:id="rId5" display="https://i.ibb.co/68RXB19/Bradesco.png"/>
    <hyperlink ref="H7" r:id="rId6" display="https://i.ibb.co/DznB5q4/Itau.png"/>
    <hyperlink ref="H8" r:id="rId7" display="https://i.ibb.co/68RXB19/Bradesco.png"/>
    <hyperlink ref="H9" r:id="rId8" display="https://i.ibb.co/68RXB19/Bradesco.png"/>
    <hyperlink ref="H10" r:id="rId9" display="https://i.ibb.co/DznB5q4/Itau.png"/>
    <hyperlink ref="H11" r:id="rId10" display="https://i.ibb.co/DznB5q4/Itau.png"/>
    <hyperlink ref="H12" r:id="rId11" display="https://i.ibb.co/DznB5q4/Itau.png"/>
    <hyperlink ref="H13" r:id="rId12" display="https://i.ibb.co/LpJM38D/Nubank.png"/>
    <hyperlink ref="H14" r:id="rId13" display="https://i.ibb.co/FhY6B5f/Safra.png"/>
    <hyperlink ref="H15" r:id="rId14" display="https://i.ibb.co/DznB5q4/Itau.png"/>
    <hyperlink ref="H16" r:id="rId15" display="https://i.ibb.co/FhY6B5f/Safra.png"/>
    <hyperlink ref="H17" r:id="rId16" display="https://i.ibb.co/DznB5q4/Itau.png"/>
    <hyperlink ref="H18" r:id="rId17" display="https://i.ibb.co/LpJM38D/Nubank.png"/>
    <hyperlink ref="H19" r:id="rId18" display="https://i.ibb.co/DznB5q4/Itau.png"/>
    <hyperlink ref="H20" r:id="rId19" display="https://i.ibb.co/DznB5q4/Itau.png"/>
    <hyperlink ref="H21" r:id="rId20" display="https://i.ibb.co/68RXB19/Bradesco.png"/>
    <hyperlink ref="H22" r:id="rId21" display="https://i.ibb.co/LpJM38D/Nubank.png"/>
    <hyperlink ref="H23" r:id="rId22" display="https://i.ibb.co/zX8KX6R/Santander.png"/>
    <hyperlink ref="H24" r:id="rId23" display="https://i.ibb.co/zX8KX6R/Santander.png"/>
    <hyperlink ref="H25" r:id="rId24" display="https://i.ibb.co/LpJM38D/Nubank.png"/>
    <hyperlink ref="H26" r:id="rId25" display="https://i.ibb.co/DznB5q4/Itau.png"/>
    <hyperlink ref="H27" r:id="rId26" display="https://i.ibb.co/DznB5q4/Itau.png"/>
    <hyperlink ref="H28" r:id="rId27" display="https://i.ibb.co/LpJM38D/Nubank.png"/>
    <hyperlink ref="H29" r:id="rId28" display="https://i.ibb.co/DznB5q4/Itau.png"/>
    <hyperlink ref="H30" r:id="rId29" display="https://i.ibb.co/LpJM38D/Nubank.png"/>
    <hyperlink ref="H31" r:id="rId30" display="https://i.ibb.co/DznB5q4/Itau.png"/>
    <hyperlink ref="H32" r:id="rId31" display="https://i.ibb.co/DznB5q4/Itau.png"/>
    <hyperlink ref="H33" r:id="rId32" display="https://i.ibb.co/LpJM38D/Nubank.png"/>
    <hyperlink ref="H34" r:id="rId33" display="https://i.ibb.co/DznB5q4/Itau.png"/>
    <hyperlink ref="H35" r:id="rId34" display="https://i.ibb.co/LpJM38D/Nubank.png"/>
    <hyperlink ref="H36" r:id="rId35" display="https://i.ibb.co/DznB5q4/Itau.png"/>
    <hyperlink ref="H37" r:id="rId36" display="https://i.ibb.co/LpJM38D/Nubank.png"/>
    <hyperlink ref="H38" r:id="rId37" display="https://i.ibb.co/68RXB19/Bradesco.png"/>
    <hyperlink ref="H39" r:id="rId38" display="https://i.ibb.co/LpJM38D/Nubank.png"/>
    <hyperlink ref="H40" r:id="rId39" display="https://i.ibb.co/DznB5q4/Itau.png"/>
    <hyperlink ref="H41" r:id="rId40" display="https://i.ibb.co/zX8KX6R/Santander.png"/>
    <hyperlink ref="H42" r:id="rId41" display="https://i.ibb.co/DznB5q4/Itau.png"/>
    <hyperlink ref="H43" r:id="rId42" display="https://i.ibb.co/68RXB19/Bradesco.png"/>
    <hyperlink ref="H44" r:id="rId43" display="https://i.ibb.co/DznB5q4/Itau.png"/>
    <hyperlink ref="H45" r:id="rId44" display="https://i.ibb.co/zX8KX6R/Santander.png"/>
    <hyperlink ref="H46" r:id="rId45" display="https://i.ibb.co/DznB5q4/Itau.png"/>
    <hyperlink ref="H47" r:id="rId46" display="https://i.ibb.co/68RXB19/Bradesco.png"/>
    <hyperlink ref="H48" r:id="rId47" display="https://i.ibb.co/DznB5q4/Itau.png"/>
    <hyperlink ref="H49" r:id="rId48" display="https://i.ibb.co/DznB5q4/Itau.png"/>
    <hyperlink ref="H50" r:id="rId49" display="https://i.ibb.co/DznB5q4/Itau.png"/>
    <hyperlink ref="H51" r:id="rId50" display="https://i.ibb.co/zX8KX6R/Santander.png"/>
    <hyperlink ref="H52" r:id="rId51" display="https://i.ibb.co/DznB5q4/Itau.png"/>
    <hyperlink ref="H53" r:id="rId52" display="https://i.ibb.co/DznB5q4/Itau.png"/>
    <hyperlink ref="H54" r:id="rId53" display="https://i.ibb.co/FhY6B5f/Safra.png"/>
    <hyperlink ref="H55" r:id="rId54" display="https://i.ibb.co/DznB5q4/Itau.png"/>
    <hyperlink ref="H56" r:id="rId55" display="https://i.ibb.co/LpJM38D/Nubank.png"/>
    <hyperlink ref="H57" r:id="rId56" display="https://i.ibb.co/DznB5q4/Itau.png"/>
    <hyperlink ref="H58" r:id="rId57" display="https://i.ibb.co/LpJM38D/Nubank.png"/>
    <hyperlink ref="H59" r:id="rId58" display="https://i.ibb.co/DznB5q4/Itau.png"/>
    <hyperlink ref="H60" r:id="rId59" display="https://i.ibb.co/DznB5q4/Itau.png"/>
    <hyperlink ref="H61" r:id="rId60" display="https://i.ibb.co/DznB5q4/Itau.png"/>
    <hyperlink ref="H62" r:id="rId61" display="https://i.ibb.co/DznB5q4/Itau.png"/>
    <hyperlink ref="H63" r:id="rId62" display="https://i.ibb.co/DznB5q4/Itau.png"/>
    <hyperlink ref="H64" r:id="rId63" display="https://i.ibb.co/DznB5q4/Itau.png"/>
    <hyperlink ref="H65" r:id="rId64" display="https://i.ibb.co/DznB5q4/Itau.png"/>
    <hyperlink ref="H66" r:id="rId65" display="https://i.ibb.co/LpJM38D/Nubank.png"/>
    <hyperlink ref="H67" r:id="rId66" display="https://i.ibb.co/FhY6B5f/Safra.png"/>
    <hyperlink ref="H68" r:id="rId67" display="https://i.ibb.co/68RXB19/Bradesco.png"/>
    <hyperlink ref="H69" r:id="rId68" display="https://i.ibb.co/DznB5q4/Itau.png"/>
    <hyperlink ref="H70" r:id="rId69" display="https://i.ibb.co/DznB5q4/Itau.png"/>
    <hyperlink ref="H71" r:id="rId70" display="https://i.ibb.co/DznB5q4/Itau.png"/>
    <hyperlink ref="H72" r:id="rId71" display="https://i.ibb.co/LpJM38D/Nubank.png"/>
    <hyperlink ref="H73" r:id="rId72" display="https://i.ibb.co/LpJM38D/Nubank.png"/>
    <hyperlink ref="H74" r:id="rId73" display="https://i.ibb.co/zX8KX6R/Santander.png"/>
    <hyperlink ref="H75" r:id="rId74" display="https://i.ibb.co/DznB5q4/Itau.png"/>
    <hyperlink ref="H76" r:id="rId75" display="https://i.ibb.co/DznB5q4/Itau.png"/>
    <hyperlink ref="H77" r:id="rId76" display="https://i.ibb.co/DznB5q4/Itau.png"/>
    <hyperlink ref="H78" r:id="rId77" display="https://i.ibb.co/68RXB19/Bradesco.png"/>
    <hyperlink ref="H79" r:id="rId78" display="https://i.ibb.co/68RXB19/Bradesco.png"/>
    <hyperlink ref="H80" r:id="rId79" display="https://i.ibb.co/DznB5q4/Itau.png"/>
    <hyperlink ref="H81" r:id="rId80" display="https://i.ibb.co/DznB5q4/Itau.png"/>
    <hyperlink ref="H82" r:id="rId81" display="https://i.ibb.co/DznB5q4/Itau.png"/>
    <hyperlink ref="H83" r:id="rId82" display="https://i.ibb.co/DznB5q4/Itau.png"/>
    <hyperlink ref="H84" r:id="rId83" display="https://i.ibb.co/DznB5q4/Itau.png"/>
    <hyperlink ref="H85" r:id="rId84" display="https://i.ibb.co/zX8KX6R/Santander.png"/>
    <hyperlink ref="H86" r:id="rId85" display="https://i.ibb.co/LpJM38D/Nubank.png"/>
    <hyperlink ref="H87" r:id="rId86" display="https://i.ibb.co/LpJM38D/Nubank.png"/>
    <hyperlink ref="H88" r:id="rId87" display="https://i.ibb.co/DznB5q4/Itau.png"/>
    <hyperlink ref="H89" r:id="rId88" display="https://i.ibb.co/DznB5q4/Itau.png"/>
    <hyperlink ref="H90" r:id="rId89" display="https://i.ibb.co/LpJM38D/Nubank.png"/>
    <hyperlink ref="H91" r:id="rId90" display="https://i.ibb.co/LpJM38D/Nubank.png"/>
    <hyperlink ref="H92" r:id="rId91" display="https://i.ibb.co/LpJM38D/Nubank.png"/>
    <hyperlink ref="H93" r:id="rId92" display="https://i.ibb.co/FhY6B5f/Safra.png"/>
    <hyperlink ref="H94" r:id="rId93" display="https://i.ibb.co/zX8KX6R/Santander.png"/>
    <hyperlink ref="H95" r:id="rId94" display="https://i.ibb.co/DznB5q4/Itau.png"/>
    <hyperlink ref="H96" r:id="rId95" display="https://i.ibb.co/zX8KX6R/Santander.png"/>
    <hyperlink ref="H97" r:id="rId96" display="https://i.ibb.co/zX8KX6R/Santander.png"/>
    <hyperlink ref="H98" r:id="rId97" display="https://i.ibb.co/DznB5q4/Itau.png"/>
    <hyperlink ref="H99" r:id="rId98" display="https://i.ibb.co/DznB5q4/Itau.png"/>
    <hyperlink ref="H100" r:id="rId99" display="https://i.ibb.co/zX8KX6R/Santander.png"/>
    <hyperlink ref="H101" r:id="rId100" display="https://i.ibb.co/DznB5q4/Itau.png"/>
    <hyperlink ref="H102" r:id="rId101" display="https://i.ibb.co/DznB5q4/Itau.png"/>
    <hyperlink ref="H103" r:id="rId102" display="https://i.ibb.co/DznB5q4/Itau.png"/>
    <hyperlink ref="H104" r:id="rId103" display="https://i.ibb.co/68RXB19/Bradesco.png"/>
    <hyperlink ref="H105" r:id="rId104" display="https://i.ibb.co/DznB5q4/Itau.png"/>
    <hyperlink ref="H106" r:id="rId105" display="https://i.ibb.co/DznB5q4/Itau.png"/>
    <hyperlink ref="H107" r:id="rId106" display="https://i.ibb.co/FhY6B5f/Safra.png"/>
    <hyperlink ref="H108" r:id="rId107" display="https://i.ibb.co/DznB5q4/Itau.png"/>
    <hyperlink ref="H109" r:id="rId108" display="https://i.ibb.co/zX8KX6R/Santander.png"/>
    <hyperlink ref="H110" r:id="rId109" display="https://i.ibb.co/DznB5q4/Itau.png"/>
    <hyperlink ref="H111" r:id="rId110" display="https://i.ibb.co/DznB5q4/Itau.png"/>
    <hyperlink ref="H112" r:id="rId111" display="https://i.ibb.co/zX8KX6R/Santander.png"/>
    <hyperlink ref="H113" r:id="rId112" display="https://i.ibb.co/DznB5q4/Itau.png"/>
    <hyperlink ref="H114" r:id="rId113" display="https://i.ibb.co/DznB5q4/Itau.png"/>
    <hyperlink ref="H115" r:id="rId114" display="https://i.ibb.co/DznB5q4/Itau.png"/>
    <hyperlink ref="H116" r:id="rId115" display="https://i.ibb.co/LpJM38D/Nubank.png"/>
    <hyperlink ref="H117" r:id="rId116" display="https://i.ibb.co/DznB5q4/Itau.png"/>
    <hyperlink ref="H118" r:id="rId117" display="https://i.ibb.co/FhY6B5f/Safra.png"/>
    <hyperlink ref="H119" r:id="rId118" display="https://i.ibb.co/DznB5q4/Itau.png"/>
    <hyperlink ref="H120" r:id="rId119" display="https://i.ibb.co/zX8KX6R/Santander.png"/>
    <hyperlink ref="H121" r:id="rId120" display="https://i.ibb.co/LpJM38D/Nubank.png"/>
    <hyperlink ref="H122" r:id="rId121" display="https://i.ibb.co/DznB5q4/Itau.png"/>
    <hyperlink ref="H123" r:id="rId122" display="https://i.ibb.co/DznB5q4/Itau.png"/>
    <hyperlink ref="H124" r:id="rId123" display="https://i.ibb.co/DznB5q4/Itau.png"/>
    <hyperlink ref="H125" r:id="rId124" display="https://i.ibb.co/DznB5q4/Itau.png"/>
    <hyperlink ref="H126" r:id="rId125" display="https://i.ibb.co/FhY6B5f/Safra.png"/>
    <hyperlink ref="H127" r:id="rId126" display="https://i.ibb.co/68RXB19/Bradesco.png"/>
    <hyperlink ref="H128" r:id="rId127" display="https://i.ibb.co/DznB5q4/Itau.png"/>
    <hyperlink ref="H129" r:id="rId128" display="https://i.ibb.co/68RXB19/Bradesco.png"/>
    <hyperlink ref="H130" r:id="rId129" display="https://i.ibb.co/LpJM38D/Nubank.png"/>
    <hyperlink ref="H131" r:id="rId130" display="https://i.ibb.co/68RXB19/Bradesco.png"/>
    <hyperlink ref="H132" r:id="rId131" display="https://i.ibb.co/DznB5q4/Itau.png"/>
    <hyperlink ref="H133" r:id="rId132" display="https://i.ibb.co/DznB5q4/Itau.png"/>
    <hyperlink ref="H134" r:id="rId133" display="https://i.ibb.co/LpJM38D/Nubank.png"/>
    <hyperlink ref="H135" r:id="rId134" display="https://i.ibb.co/zX8KX6R/Santander.png"/>
    <hyperlink ref="H136" r:id="rId135" display="https://i.ibb.co/LpJM38D/Nubank.png"/>
    <hyperlink ref="H137" r:id="rId136" display="https://i.ibb.co/DznB5q4/Itau.png"/>
    <hyperlink ref="H138" r:id="rId137" display="https://i.ibb.co/DznB5q4/Itau.png"/>
    <hyperlink ref="H139" r:id="rId138" display="https://i.ibb.co/DznB5q4/Itau.png"/>
    <hyperlink ref="H140" r:id="rId139" display="https://i.ibb.co/DznB5q4/Itau.png"/>
    <hyperlink ref="H141" r:id="rId140" display="https://i.ibb.co/zX8KX6R/Santander.png"/>
    <hyperlink ref="H142" r:id="rId141" display="https://i.ibb.co/LpJM38D/Nubank.png"/>
    <hyperlink ref="H143" r:id="rId142" display="https://i.ibb.co/DznB5q4/Itau.png"/>
    <hyperlink ref="H144" r:id="rId143" display="https://i.ibb.co/DznB5q4/Itau.png"/>
    <hyperlink ref="H145" r:id="rId144" display="https://i.ibb.co/DznB5q4/Itau.png"/>
    <hyperlink ref="H146" r:id="rId145" display="https://i.ibb.co/zX8KX6R/Santander.png"/>
    <hyperlink ref="H147" r:id="rId146" display="https://i.ibb.co/DznB5q4/Itau.png"/>
    <hyperlink ref="H148" r:id="rId147" display="https://i.ibb.co/LpJM38D/Nubank.png"/>
    <hyperlink ref="H149" r:id="rId148" display="https://i.ibb.co/LpJM38D/Nubank.png"/>
    <hyperlink ref="H150" r:id="rId149" display="https://i.ibb.co/DznB5q4/Itau.png"/>
    <hyperlink ref="H151" r:id="rId150" display="https://i.ibb.co/68RXB19/Bradesco.png"/>
    <hyperlink ref="H152" r:id="rId151" display="https://i.ibb.co/DznB5q4/Itau.png"/>
    <hyperlink ref="H153" r:id="rId152" display="https://i.ibb.co/DznB5q4/Itau.png"/>
    <hyperlink ref="H154" r:id="rId153" display="https://i.ibb.co/LpJM38D/Nubank.png"/>
    <hyperlink ref="H155" r:id="rId154" display="https://i.ibb.co/DznB5q4/Itau.png"/>
    <hyperlink ref="H156" r:id="rId155" display="https://i.ibb.co/DznB5q4/Itau.png"/>
    <hyperlink ref="H157" r:id="rId156" display="https://i.ibb.co/DznB5q4/Itau.png"/>
    <hyperlink ref="H158" r:id="rId157" display="https://i.ibb.co/LpJM38D/Nubank.png"/>
    <hyperlink ref="H159" r:id="rId158" display="https://i.ibb.co/DznB5q4/Itau.png"/>
    <hyperlink ref="H160" r:id="rId159" display="https://i.ibb.co/68RXB19/Bradesco.png"/>
    <hyperlink ref="H161" r:id="rId160" display="https://i.ibb.co/DznB5q4/Itau.png"/>
    <hyperlink ref="H162" r:id="rId161" display="https://i.ibb.co/LpJM38D/Nubank.png"/>
    <hyperlink ref="H163" r:id="rId162" display="https://i.ibb.co/68RXB19/Bradesco.png"/>
    <hyperlink ref="H164" r:id="rId163" display="https://i.ibb.co/68RXB19/Bradesco.png"/>
    <hyperlink ref="H165" r:id="rId164" display="https://i.ibb.co/zX8KX6R/Santander.png"/>
    <hyperlink ref="H166" r:id="rId165" display="https://i.ibb.co/LpJM38D/Nubank.png"/>
    <hyperlink ref="H167" r:id="rId166" display="https://i.ibb.co/DznB5q4/Itau.png"/>
    <hyperlink ref="H168" r:id="rId167" display="https://i.ibb.co/zX8KX6R/Santander.png"/>
    <hyperlink ref="H169" r:id="rId168" display="https://i.ibb.co/68RXB19/Bradesco.png"/>
    <hyperlink ref="H170" r:id="rId169" display="https://i.ibb.co/68RXB19/Bradesco.png"/>
    <hyperlink ref="H171" r:id="rId170" display="https://i.ibb.co/LpJM38D/Nubank.png"/>
    <hyperlink ref="H172" r:id="rId171" display="https://i.ibb.co/LpJM38D/Nubank.png"/>
    <hyperlink ref="H173" r:id="rId172" display="https://i.ibb.co/LpJM38D/Nubank.png"/>
    <hyperlink ref="H174" r:id="rId173" display="https://i.ibb.co/DznB5q4/Itau.png"/>
    <hyperlink ref="H175" r:id="rId174" display="https://i.ibb.co/LpJM38D/Nubank.png"/>
    <hyperlink ref="H176" r:id="rId175" display="https://i.ibb.co/DznB5q4/Itau.png"/>
    <hyperlink ref="H177" r:id="rId176" display="https://i.ibb.co/DznB5q4/Itau.png"/>
    <hyperlink ref="H178" r:id="rId177" display="https://i.ibb.co/zX8KX6R/Santander.png"/>
    <hyperlink ref="H179" r:id="rId178" display="https://i.ibb.co/LpJM38D/Nubank.png"/>
    <hyperlink ref="H180" r:id="rId179" display="https://i.ibb.co/LpJM38D/Nubank.png"/>
    <hyperlink ref="H181" r:id="rId180" display="https://i.ibb.co/LpJM38D/Nubank.png"/>
    <hyperlink ref="H182" r:id="rId181" display="https://i.ibb.co/DznB5q4/Itau.png"/>
    <hyperlink ref="H183" r:id="rId182" display="https://i.ibb.co/LpJM38D/Nubank.png"/>
    <hyperlink ref="H184" r:id="rId183" display="https://i.ibb.co/DznB5q4/Itau.png"/>
    <hyperlink ref="H185" r:id="rId184" display="https://i.ibb.co/DznB5q4/Itau.png"/>
    <hyperlink ref="H186" r:id="rId185" display="https://i.ibb.co/LpJM38D/Nubank.png"/>
    <hyperlink ref="H187" r:id="rId186" display="https://i.ibb.co/DznB5q4/Itau.png"/>
    <hyperlink ref="H188" r:id="rId187" display="https://i.ibb.co/zX8KX6R/Santander.png"/>
    <hyperlink ref="H189" r:id="rId188" display="https://i.ibb.co/zX8KX6R/Santander.png"/>
    <hyperlink ref="H190" r:id="rId189" display="https://i.ibb.co/DznB5q4/Itau.png"/>
    <hyperlink ref="H191" r:id="rId190" display="https://i.ibb.co/zX8KX6R/Santander.png"/>
    <hyperlink ref="H192" r:id="rId191" display="https://i.ibb.co/DznB5q4/Itau.png"/>
    <hyperlink ref="H193" r:id="rId192" display="https://i.ibb.co/DznB5q4/Itau.png"/>
    <hyperlink ref="H194" r:id="rId193" display="https://i.ibb.co/LpJM38D/Nubank.png"/>
    <hyperlink ref="H195" r:id="rId194" display="https://i.ibb.co/DznB5q4/Itau.png"/>
    <hyperlink ref="H196" r:id="rId195" display="https://i.ibb.co/LpJM38D/Nubank.png"/>
    <hyperlink ref="H197" r:id="rId196" display="https://i.ibb.co/zX8KX6R/Santander.png"/>
    <hyperlink ref="H198" r:id="rId197" display="https://i.ibb.co/68RXB19/Bradesco.png"/>
    <hyperlink ref="H199" r:id="rId198" display="https://i.ibb.co/FhY6B5f/Safra.png"/>
    <hyperlink ref="H200" r:id="rId199" display="https://i.ibb.co/LpJM38D/Nubank.png"/>
    <hyperlink ref="H201" r:id="rId200" display="https://i.ibb.co/LpJM38D/Nubank.png"/>
    <hyperlink ref="H202" r:id="rId201" display="https://i.ibb.co/LpJM38D/Nubank.png"/>
    <hyperlink ref="H203" r:id="rId202" display="https://i.ibb.co/68RXB19/Bradesco.png"/>
    <hyperlink ref="H204" r:id="rId203" display="https://i.ibb.co/DznB5q4/Itau.png"/>
    <hyperlink ref="H205" r:id="rId204" display="https://i.ibb.co/LpJM38D/Nubank.png"/>
    <hyperlink ref="H206" r:id="rId205" display="https://i.ibb.co/68RXB19/Bradesco.png"/>
    <hyperlink ref="H207" r:id="rId206" display="https://i.ibb.co/68RXB19/Bradesco.png"/>
    <hyperlink ref="H208" r:id="rId207" display="https://i.ibb.co/DznB5q4/Itau.png"/>
    <hyperlink ref="H209" r:id="rId208" display="https://i.ibb.co/zX8KX6R/Santander.png"/>
    <hyperlink ref="H210" r:id="rId209" display="https://i.ibb.co/LpJM38D/Nubank.png"/>
    <hyperlink ref="H211" r:id="rId210" display="https://i.ibb.co/DznB5q4/Itau.png"/>
    <hyperlink ref="H212" r:id="rId211" display="https://i.ibb.co/zX8KX6R/Santander.png"/>
    <hyperlink ref="H213" r:id="rId212" display="https://i.ibb.co/DznB5q4/Itau.png"/>
    <hyperlink ref="H214" r:id="rId213" display="https://i.ibb.co/DznB5q4/Itau.png"/>
    <hyperlink ref="H215" r:id="rId214" display="https://i.ibb.co/zX8KX6R/Santander.png"/>
    <hyperlink ref="H216" r:id="rId215" display="https://i.ibb.co/LpJM38D/Nubank.png"/>
    <hyperlink ref="H217" r:id="rId216" display="https://i.ibb.co/DznB5q4/Itau.png"/>
    <hyperlink ref="H218" r:id="rId217" display="https://i.ibb.co/LpJM38D/Nubank.png"/>
    <hyperlink ref="H219" r:id="rId218" display="https://i.ibb.co/68RXB19/Bradesco.png"/>
    <hyperlink ref="H220" r:id="rId219" display="https://i.ibb.co/LpJM38D/Nubank.png"/>
    <hyperlink ref="H221" r:id="rId220" display="https://i.ibb.co/LpJM38D/Nubank.png"/>
    <hyperlink ref="H222" r:id="rId221" display="https://i.ibb.co/DznB5q4/Itau.png"/>
    <hyperlink ref="H223" r:id="rId222" display="https://i.ibb.co/DznB5q4/Itau.png"/>
    <hyperlink ref="H224" r:id="rId223" display="https://i.ibb.co/FhY6B5f/Safra.png"/>
    <hyperlink ref="H225" r:id="rId224" display="https://i.ibb.co/LpJM38D/Nubank.png"/>
    <hyperlink ref="H226" r:id="rId225" display="https://i.ibb.co/LpJM38D/Nubank.png"/>
    <hyperlink ref="H227" r:id="rId226" display="https://i.ibb.co/LpJM38D/Nubank.png"/>
    <hyperlink ref="H228" r:id="rId227" display="https://i.ibb.co/zX8KX6R/Santander.png"/>
    <hyperlink ref="H229" r:id="rId228" display="https://i.ibb.co/DznB5q4/Itau.png"/>
    <hyperlink ref="H230" r:id="rId229" display="https://i.ibb.co/DznB5q4/Itau.png"/>
    <hyperlink ref="H231" r:id="rId230" display="https://i.ibb.co/DznB5q4/Itau.png"/>
    <hyperlink ref="H232" r:id="rId231" display="https://i.ibb.co/LpJM38D/Nubank.png"/>
    <hyperlink ref="H233" r:id="rId232" display="https://i.ibb.co/68RXB19/Bradesco.png"/>
    <hyperlink ref="H234" r:id="rId233" display="https://i.ibb.co/DznB5q4/Itau.png"/>
    <hyperlink ref="H235" r:id="rId234" display="https://i.ibb.co/68RXB19/Bradesco.png"/>
    <hyperlink ref="H236" r:id="rId235" display="https://i.ibb.co/DznB5q4/Itau.png"/>
    <hyperlink ref="H237" r:id="rId236" display="https://i.ibb.co/FhY6B5f/Safra.png"/>
    <hyperlink ref="H238" r:id="rId237" display="https://i.ibb.co/LpJM38D/Nubank.png"/>
    <hyperlink ref="H239" r:id="rId238" display="https://i.ibb.co/DznB5q4/Itau.png"/>
    <hyperlink ref="H240" r:id="rId239" display="https://i.ibb.co/DznB5q4/Itau.png"/>
    <hyperlink ref="H241" r:id="rId240" display="https://i.ibb.co/DznB5q4/Itau.png"/>
    <hyperlink ref="H242" r:id="rId241" display="https://i.ibb.co/68RXB19/Bradesco.png"/>
    <hyperlink ref="H243" r:id="rId242" display="https://i.ibb.co/LpJM38D/Nubank.png"/>
    <hyperlink ref="H244" r:id="rId243" display="https://i.ibb.co/LpJM38D/Nubank.png"/>
    <hyperlink ref="H245" r:id="rId244" display="https://i.ibb.co/LpJM38D/Nubank.png"/>
    <hyperlink ref="H246" r:id="rId245" display="https://i.ibb.co/DznB5q4/Itau.png"/>
    <hyperlink ref="H247" r:id="rId246" display="https://i.ibb.co/DznB5q4/Itau.png"/>
    <hyperlink ref="H248" r:id="rId247" display="https://i.ibb.co/68RXB19/Bradesco.png"/>
    <hyperlink ref="H249" r:id="rId248" display="https://i.ibb.co/DznB5q4/Itau.png"/>
    <hyperlink ref="H250" r:id="rId249" display="https://i.ibb.co/DznB5q4/Itau.png"/>
    <hyperlink ref="H251" r:id="rId250" display="https://i.ibb.co/zX8KX6R/Santander.png"/>
    <hyperlink ref="H252" r:id="rId251" display="https://i.ibb.co/LpJM38D/Nubank.png"/>
    <hyperlink ref="H253" r:id="rId252" display="https://i.ibb.co/DznB5q4/Itau.png"/>
    <hyperlink ref="H254" r:id="rId253" display="https://i.ibb.co/DznB5q4/Itau.png"/>
    <hyperlink ref="H255" r:id="rId254" display="https://i.ibb.co/DznB5q4/Itau.png"/>
    <hyperlink ref="H256" r:id="rId255" display="https://i.ibb.co/LpJM38D/Nubank.png"/>
    <hyperlink ref="H257" r:id="rId256" display="https://i.ibb.co/zX8KX6R/Santander.png"/>
    <hyperlink ref="H258" r:id="rId257" display="https://i.ibb.co/DznB5q4/Itau.png"/>
    <hyperlink ref="H259" r:id="rId258" display="https://i.ibb.co/68RXB19/Bradesco.png"/>
    <hyperlink ref="H260" r:id="rId259" display="https://i.ibb.co/DznB5q4/Itau.png"/>
    <hyperlink ref="H261" r:id="rId260" display="https://i.ibb.co/LpJM38D/Nubank.png"/>
    <hyperlink ref="H262" r:id="rId261" display="https://i.ibb.co/DznB5q4/Itau.png"/>
    <hyperlink ref="H263" r:id="rId262" display="https://i.ibb.co/DznB5q4/Itau.png"/>
    <hyperlink ref="H264" r:id="rId263" display="https://i.ibb.co/LpJM38D/Nubank.png"/>
    <hyperlink ref="H265" r:id="rId264" display="https://i.ibb.co/DznB5q4/Itau.png"/>
    <hyperlink ref="H266" r:id="rId265" display="https://i.ibb.co/LpJM38D/Nubank.png"/>
    <hyperlink ref="H267" r:id="rId266" display="https://i.ibb.co/DznB5q4/Itau.png"/>
    <hyperlink ref="H268" r:id="rId267" display="https://i.ibb.co/DznB5q4/Itau.png"/>
    <hyperlink ref="H269" r:id="rId268" display="https://i.ibb.co/LpJM38D/Nubank.png"/>
    <hyperlink ref="H270" r:id="rId269" display="https://i.ibb.co/DznB5q4/Itau.png"/>
    <hyperlink ref="H271" r:id="rId270" display="https://i.ibb.co/FhY6B5f/Safra.png"/>
    <hyperlink ref="H272" r:id="rId271" display="https://i.ibb.co/LpJM38D/Nubank.png"/>
    <hyperlink ref="H273" r:id="rId272" display="https://i.ibb.co/68RXB19/Bradesco.png"/>
    <hyperlink ref="H274" r:id="rId273" display="https://i.ibb.co/LpJM38D/Nubank.png"/>
    <hyperlink ref="H275" r:id="rId274" display="https://i.ibb.co/FhY6B5f/Safra.png"/>
    <hyperlink ref="H276" r:id="rId275" display="https://i.ibb.co/DznB5q4/Itau.png"/>
    <hyperlink ref="H277" r:id="rId276" display="https://i.ibb.co/LpJM38D/Nubank.png"/>
    <hyperlink ref="H278" r:id="rId277" display="https://i.ibb.co/DznB5q4/Itau.png"/>
    <hyperlink ref="H279" r:id="rId278" display="https://i.ibb.co/LpJM38D/Nubank.png"/>
    <hyperlink ref="H280" r:id="rId279" display="https://i.ibb.co/LpJM38D/Nubank.png"/>
    <hyperlink ref="H281" r:id="rId280" display="https://i.ibb.co/LpJM38D/Nubank.png"/>
    <hyperlink ref="H282" r:id="rId281" display="https://i.ibb.co/DznB5q4/Itau.png"/>
    <hyperlink ref="H283" r:id="rId282" display="https://i.ibb.co/DznB5q4/Itau.png"/>
    <hyperlink ref="H284" r:id="rId283" display="https://i.ibb.co/FhY6B5f/Safra.png"/>
    <hyperlink ref="H285" r:id="rId284" display="https://i.ibb.co/LpJM38D/Nubank.png"/>
    <hyperlink ref="H286" r:id="rId285" display="https://i.ibb.co/68RXB19/Bradesco.png"/>
    <hyperlink ref="H287" r:id="rId286" display="https://i.ibb.co/FhY6B5f/Safra.png"/>
    <hyperlink ref="H288" r:id="rId287" display="https://i.ibb.co/68RXB19/Bradesco.png"/>
    <hyperlink ref="H289" r:id="rId288" display="https://i.ibb.co/LpJM38D/Nubank.png"/>
    <hyperlink ref="H290" r:id="rId289" display="https://i.ibb.co/zX8KX6R/Santander.png"/>
    <hyperlink ref="H291" r:id="rId290" display="https://i.ibb.co/DznB5q4/Itau.png"/>
    <hyperlink ref="H292" r:id="rId291" display="https://i.ibb.co/DznB5q4/Itau.png"/>
    <hyperlink ref="H293" r:id="rId292" display="https://i.ibb.co/DznB5q4/Itau.png"/>
    <hyperlink ref="H294" r:id="rId293" display="https://i.ibb.co/zX8KX6R/Santander.png"/>
    <hyperlink ref="H295" r:id="rId294" display="https://i.ibb.co/DznB5q4/Itau.png"/>
    <hyperlink ref="H296" r:id="rId295" display="https://i.ibb.co/68RXB19/Bradesco.png"/>
    <hyperlink ref="H297" r:id="rId296" display="https://i.ibb.co/DznB5q4/Itau.png"/>
    <hyperlink ref="H298" r:id="rId297" display="https://i.ibb.co/FhY6B5f/Safra.png"/>
    <hyperlink ref="H299" r:id="rId298" display="https://i.ibb.co/DznB5q4/Itau.png"/>
    <hyperlink ref="H300" r:id="rId299" display="https://i.ibb.co/DznB5q4/Itau.png"/>
    <hyperlink ref="H301" r:id="rId300" display="https://i.ibb.co/DznB5q4/Itau.png"/>
    <hyperlink ref="H302" r:id="rId301" display="https://i.ibb.co/LpJM38D/Nubank.png"/>
    <hyperlink ref="H303" r:id="rId302" display="https://i.ibb.co/DznB5q4/Itau.png"/>
    <hyperlink ref="H304" r:id="rId303" display="https://i.ibb.co/68RXB19/Bradesco.png"/>
    <hyperlink ref="H305" r:id="rId304" display="https://i.ibb.co/LpJM38D/Nubank.png"/>
    <hyperlink ref="H306" r:id="rId305" display="https://i.ibb.co/68RXB19/Bradesco.png"/>
    <hyperlink ref="H307" r:id="rId306" display="https://i.ibb.co/DznB5q4/Itau.png"/>
    <hyperlink ref="H308" r:id="rId307" display="https://i.ibb.co/68RXB19/Bradesco.png"/>
    <hyperlink ref="H309" r:id="rId308" display="https://i.ibb.co/DznB5q4/Itau.png"/>
    <hyperlink ref="H310" r:id="rId309" display="https://i.ibb.co/DznB5q4/Itau.png"/>
    <hyperlink ref="H311" r:id="rId310" display="https://i.ibb.co/zX8KX6R/Santander.png"/>
    <hyperlink ref="H312" r:id="rId311" display="https://i.ibb.co/LpJM38D/Nubank.png"/>
    <hyperlink ref="H313" r:id="rId312" display="https://i.ibb.co/LpJM38D/Nubank.png"/>
    <hyperlink ref="H314" r:id="rId313" display="https://i.ibb.co/LpJM38D/Nubank.png"/>
    <hyperlink ref="H315" r:id="rId314" display="https://i.ibb.co/DznB5q4/Itau.png"/>
    <hyperlink ref="H316" r:id="rId315" display="https://i.ibb.co/LpJM38D/Nubank.png"/>
    <hyperlink ref="H317" r:id="rId316" display="https://i.ibb.co/68RXB19/Bradesco.png"/>
    <hyperlink ref="H318" r:id="rId317" display="https://i.ibb.co/68RXB19/Bradesco.png"/>
    <hyperlink ref="H319" r:id="rId318" display="https://i.ibb.co/FhY6B5f/Safra.png"/>
    <hyperlink ref="H320" r:id="rId319" display="https://i.ibb.co/DznB5q4/Itau.png"/>
    <hyperlink ref="H321" r:id="rId320" display="https://i.ibb.co/DznB5q4/Itau.png"/>
    <hyperlink ref="H322" r:id="rId321" display="https://i.ibb.co/LpJM38D/Nubank.png"/>
    <hyperlink ref="H323" r:id="rId322" display="https://i.ibb.co/zX8KX6R/Santander.png"/>
    <hyperlink ref="H324" r:id="rId323" display="https://i.ibb.co/DznB5q4/Itau.png"/>
    <hyperlink ref="H325" r:id="rId324" display="https://i.ibb.co/DznB5q4/Itau.png"/>
    <hyperlink ref="H326" r:id="rId325" display="https://i.ibb.co/DznB5q4/Itau.png"/>
    <hyperlink ref="H327" r:id="rId326" display="https://i.ibb.co/zX8KX6R/Santander.png"/>
    <hyperlink ref="H328" r:id="rId327" display="https://i.ibb.co/DznB5q4/Itau.png"/>
    <hyperlink ref="H329" r:id="rId328" display="https://i.ibb.co/LpJM38D/Nubank.png"/>
    <hyperlink ref="H330" r:id="rId329" display="https://i.ibb.co/LpJM38D/Nubank.png"/>
    <hyperlink ref="H331" r:id="rId330" display="https://i.ibb.co/DznB5q4/Itau.png"/>
    <hyperlink ref="H332" r:id="rId331" display="https://i.ibb.co/LpJM38D/Nubank.png"/>
    <hyperlink ref="H333" r:id="rId332" display="https://i.ibb.co/DznB5q4/Itau.png"/>
    <hyperlink ref="H334" r:id="rId333" display="https://i.ibb.co/LpJM38D/Nubank.png"/>
    <hyperlink ref="H335" r:id="rId334" display="https://i.ibb.co/DznB5q4/Itau.png"/>
    <hyperlink ref="H336" r:id="rId335" display="https://i.ibb.co/68RXB19/Bradesco.png"/>
    <hyperlink ref="H337" r:id="rId336" display="https://i.ibb.co/zX8KX6R/Santander.png"/>
    <hyperlink ref="H338" r:id="rId337" display="https://i.ibb.co/LpJM38D/Nubank.png"/>
    <hyperlink ref="H339" r:id="rId338" display="https://i.ibb.co/LpJM38D/Nubank.png"/>
    <hyperlink ref="H340" r:id="rId339" display="https://i.ibb.co/LpJM38D/Nubank.png"/>
    <hyperlink ref="H341" r:id="rId340" display="https://i.ibb.co/zX8KX6R/Santander.png"/>
    <hyperlink ref="H342" r:id="rId341" display="https://i.ibb.co/DznB5q4/Itau.png"/>
    <hyperlink ref="H343" r:id="rId342" display="https://i.ibb.co/68RXB19/Bradesco.png"/>
    <hyperlink ref="H344" r:id="rId343" display="https://i.ibb.co/LpJM38D/Nubank.png"/>
    <hyperlink ref="H345" r:id="rId344" display="https://i.ibb.co/zX8KX6R/Santander.png"/>
    <hyperlink ref="H346" r:id="rId345" display="https://i.ibb.co/LpJM38D/Nubank.png"/>
    <hyperlink ref="H347" r:id="rId346" display="https://i.ibb.co/68RXB19/Bradesco.png"/>
    <hyperlink ref="H348" r:id="rId347" display="https://i.ibb.co/LpJM38D/Nubank.png"/>
    <hyperlink ref="H349" r:id="rId348" display="https://i.ibb.co/LpJM38D/Nubank.png"/>
    <hyperlink ref="H350" r:id="rId349" display="https://i.ibb.co/DznB5q4/Itau.png"/>
    <hyperlink ref="H351" r:id="rId350" display="https://i.ibb.co/LpJM38D/Nubank.png"/>
    <hyperlink ref="H352" r:id="rId351" display="https://i.ibb.co/DznB5q4/Itau.png"/>
    <hyperlink ref="H353" r:id="rId352" display="https://i.ibb.co/LpJM38D/Nubank.png"/>
    <hyperlink ref="H354" r:id="rId353" display="https://i.ibb.co/DznB5q4/Itau.png"/>
    <hyperlink ref="H355" r:id="rId354" display="https://i.ibb.co/DznB5q4/Itau.png"/>
    <hyperlink ref="H356" r:id="rId355" display="https://i.ibb.co/LpJM38D/Nubank.png"/>
    <hyperlink ref="H357" r:id="rId356" display="https://i.ibb.co/DznB5q4/Itau.png"/>
    <hyperlink ref="H358" r:id="rId357" display="https://i.ibb.co/DznB5q4/Itau.png"/>
    <hyperlink ref="H359" r:id="rId358" display="https://i.ibb.co/LpJM38D/Nubank.png"/>
    <hyperlink ref="H360" r:id="rId359" display="https://i.ibb.co/DznB5q4/Itau.png"/>
    <hyperlink ref="H361" r:id="rId360" display="https://i.ibb.co/LpJM38D/Nubank.png"/>
    <hyperlink ref="H362" r:id="rId361" display="https://i.ibb.co/DznB5q4/Itau.png"/>
    <hyperlink ref="H363" r:id="rId362" display="https://i.ibb.co/DznB5q4/Itau.png"/>
    <hyperlink ref="H364" r:id="rId363" display="https://i.ibb.co/68RXB19/Bradesco.png"/>
    <hyperlink ref="H365" r:id="rId364" display="https://i.ibb.co/DznB5q4/Itau.png"/>
    <hyperlink ref="H366" r:id="rId365" display="https://i.ibb.co/DznB5q4/Itau.png"/>
    <hyperlink ref="H367" r:id="rId366" display="https://i.ibb.co/zX8KX6R/Santander.png"/>
    <hyperlink ref="H368" r:id="rId367" display="https://i.ibb.co/LpJM38D/Nubank.png"/>
    <hyperlink ref="H369" r:id="rId368" display="https://i.ibb.co/DznB5q4/Itau.png"/>
    <hyperlink ref="H370" r:id="rId369" display="https://i.ibb.co/68RXB19/Bradesco.png"/>
    <hyperlink ref="H371" r:id="rId370" display="https://i.ibb.co/LpJM38D/Nubank.png"/>
    <hyperlink ref="H372" r:id="rId371" display="https://i.ibb.co/LpJM38D/Nubank.png"/>
    <hyperlink ref="H373" r:id="rId372" display="https://i.ibb.co/DznB5q4/Itau.png"/>
    <hyperlink ref="H374" r:id="rId373" display="https://i.ibb.co/68RXB19/Bradesco.png"/>
    <hyperlink ref="H375" r:id="rId374" display="https://i.ibb.co/DznB5q4/Itau.png"/>
    <hyperlink ref="H376" r:id="rId375" display="https://i.ibb.co/LpJM38D/Nubank.png"/>
    <hyperlink ref="H377" r:id="rId376" display="https://i.ibb.co/zX8KX6R/Santander.png"/>
    <hyperlink ref="H378" r:id="rId377" display="https://i.ibb.co/zX8KX6R/Santander.png"/>
    <hyperlink ref="H379" r:id="rId378" display="https://i.ibb.co/DznB5q4/Itau.png"/>
    <hyperlink ref="H380" r:id="rId379" display="https://i.ibb.co/DznB5q4/Itau.png"/>
    <hyperlink ref="H381" r:id="rId380" display="https://i.ibb.co/LpJM38D/Nubank.png"/>
    <hyperlink ref="H382" r:id="rId381" display="https://i.ibb.co/LpJM38D/Nubank.png"/>
    <hyperlink ref="H383" r:id="rId382" display="https://i.ibb.co/LpJM38D/Nubank.png"/>
    <hyperlink ref="H384" r:id="rId383" display="https://i.ibb.co/DznB5q4/Itau.png"/>
    <hyperlink ref="H385" r:id="rId384" display="https://i.ibb.co/DznB5q4/Itau.png"/>
    <hyperlink ref="H386" r:id="rId385" display="https://i.ibb.co/zX8KX6R/Santander.png"/>
    <hyperlink ref="H387" r:id="rId386" display="https://i.ibb.co/DznB5q4/Itau.png"/>
    <hyperlink ref="H388" r:id="rId387" display="https://i.ibb.co/LpJM38D/Nubank.png"/>
    <hyperlink ref="H389" r:id="rId388" display="https://i.ibb.co/zX8KX6R/Santander.png"/>
    <hyperlink ref="H390" r:id="rId389" display="https://i.ibb.co/DznB5q4/Itau.png"/>
    <hyperlink ref="H391" r:id="rId390" display="https://i.ibb.co/68RXB19/Bradesco.png"/>
    <hyperlink ref="H392" r:id="rId391" display="https://i.ibb.co/68RXB19/Bradesco.png"/>
    <hyperlink ref="H393" r:id="rId392" display="https://i.ibb.co/LpJM38D/Nubank.png"/>
    <hyperlink ref="H394" r:id="rId393" display="https://i.ibb.co/LpJM38D/Nubank.png"/>
    <hyperlink ref="H395" r:id="rId394" display="https://i.ibb.co/LpJM38D/Nubank.png"/>
    <hyperlink ref="H396" r:id="rId395" display="https://i.ibb.co/LpJM38D/Nubank.png"/>
    <hyperlink ref="H397" r:id="rId396" display="https://i.ibb.co/DznB5q4/Itau.png"/>
    <hyperlink ref="H398" r:id="rId397" display="https://i.ibb.co/DznB5q4/Itau.png"/>
    <hyperlink ref="H399" r:id="rId398" display="https://i.ibb.co/DznB5q4/Itau.png"/>
    <hyperlink ref="H400" r:id="rId399" display="https://i.ibb.co/DznB5q4/Itau.png"/>
    <hyperlink ref="H401" r:id="rId400" display="https://i.ibb.co/zX8KX6R/Santander.png"/>
    <hyperlink ref="H402" r:id="rId401" display="https://i.ibb.co/FhY6B5f/Safra.png"/>
    <hyperlink ref="H403" r:id="rId402" display="https://i.ibb.co/DznB5q4/Itau.png"/>
    <hyperlink ref="H404" r:id="rId403" display="https://i.ibb.co/DznB5q4/Itau.png"/>
    <hyperlink ref="H405" r:id="rId404" display="https://i.ibb.co/zX8KX6R/Santander.png"/>
    <hyperlink ref="H406" r:id="rId405" display="https://i.ibb.co/DznB5q4/Itau.png"/>
    <hyperlink ref="H407" r:id="rId406" display="https://i.ibb.co/LpJM38D/Nubank.png"/>
    <hyperlink ref="H408" r:id="rId407" display="https://i.ibb.co/DznB5q4/Itau.png"/>
    <hyperlink ref="H409" r:id="rId408" display="https://i.ibb.co/LpJM38D/Nubank.png"/>
    <hyperlink ref="H410" r:id="rId409" display="https://i.ibb.co/DznB5q4/Itau.png"/>
    <hyperlink ref="H411" r:id="rId410" display="https://i.ibb.co/DznB5q4/Itau.png"/>
    <hyperlink ref="H412" r:id="rId411" display="https://i.ibb.co/DznB5q4/Itau.png"/>
    <hyperlink ref="H413" r:id="rId412" display="https://i.ibb.co/DznB5q4/Itau.png"/>
    <hyperlink ref="H414" r:id="rId413" display="https://i.ibb.co/DznB5q4/Itau.png"/>
    <hyperlink ref="H415" r:id="rId414" display="https://i.ibb.co/DznB5q4/Itau.png"/>
    <hyperlink ref="H416" r:id="rId415" display="https://i.ibb.co/DznB5q4/Itau.png"/>
    <hyperlink ref="H417" r:id="rId416" display="https://i.ibb.co/LpJM38D/Nubank.png"/>
    <hyperlink ref="H418" r:id="rId417" display="https://i.ibb.co/DznB5q4/Itau.png"/>
    <hyperlink ref="H419" r:id="rId418" display="https://i.ibb.co/68RXB19/Bradesco.png"/>
    <hyperlink ref="H420" r:id="rId419" display="https://i.ibb.co/LpJM38D/Nubank.png"/>
    <hyperlink ref="H421" r:id="rId420" display="https://i.ibb.co/DznB5q4/Itau.png"/>
    <hyperlink ref="H422" r:id="rId421" display="https://i.ibb.co/LpJM38D/Nubank.png"/>
    <hyperlink ref="H423" r:id="rId422" display="https://i.ibb.co/DznB5q4/Itau.png"/>
    <hyperlink ref="H424" r:id="rId423" display="https://i.ibb.co/DznB5q4/Itau.png"/>
    <hyperlink ref="H425" r:id="rId424" display="https://i.ibb.co/zX8KX6R/Santander.png"/>
    <hyperlink ref="H426" r:id="rId425" display="https://i.ibb.co/DznB5q4/Itau.png"/>
    <hyperlink ref="H427" r:id="rId426" display="https://i.ibb.co/LpJM38D/Nubank.png"/>
    <hyperlink ref="H428" r:id="rId427" display="https://i.ibb.co/FhY6B5f/Safra.png"/>
    <hyperlink ref="H429" r:id="rId428" display="https://i.ibb.co/DznB5q4/Itau.png"/>
    <hyperlink ref="H430" r:id="rId429" display="https://i.ibb.co/zX8KX6R/Santander.png"/>
    <hyperlink ref="H431" r:id="rId430" display="https://i.ibb.co/68RXB19/Bradesco.png"/>
    <hyperlink ref="H432" r:id="rId431" display="https://i.ibb.co/LpJM38D/Nubank.png"/>
    <hyperlink ref="H433" r:id="rId432" display="https://i.ibb.co/zX8KX6R/Santander.png"/>
    <hyperlink ref="H434" r:id="rId433" display="https://i.ibb.co/68RXB19/Bradesco.png"/>
    <hyperlink ref="H435" r:id="rId434" display="https://i.ibb.co/LpJM38D/Nubank.png"/>
    <hyperlink ref="H436" r:id="rId435" display="https://i.ibb.co/DznB5q4/Itau.png"/>
    <hyperlink ref="H437" r:id="rId436" display="https://i.ibb.co/zX8KX6R/Santander.png"/>
    <hyperlink ref="H438" r:id="rId437" display="https://i.ibb.co/zX8KX6R/Santander.png"/>
    <hyperlink ref="H439" r:id="rId438" display="https://i.ibb.co/DznB5q4/Itau.png"/>
    <hyperlink ref="H440" r:id="rId439" display="https://i.ibb.co/68RXB19/Bradesco.png"/>
    <hyperlink ref="H441" r:id="rId440" display="https://i.ibb.co/DznB5q4/Itau.png"/>
    <hyperlink ref="H442" r:id="rId441" display="https://i.ibb.co/LpJM38D/Nubank.png"/>
    <hyperlink ref="H443" r:id="rId442" display="https://i.ibb.co/DznB5q4/Itau.png"/>
    <hyperlink ref="H444" r:id="rId443" display="https://i.ibb.co/68RXB19/Bradesco.png"/>
    <hyperlink ref="H445" r:id="rId444" display="https://i.ibb.co/68RXB19/Bradesco.png"/>
    <hyperlink ref="H446" r:id="rId445" display="https://i.ibb.co/FhY6B5f/Safra.png"/>
    <hyperlink ref="H447" r:id="rId446" display="https://i.ibb.co/DznB5q4/Itau.png"/>
    <hyperlink ref="H448" r:id="rId447" display="https://i.ibb.co/zX8KX6R/Santander.png"/>
    <hyperlink ref="H449" r:id="rId448" display="https://i.ibb.co/LpJM38D/Nubank.png"/>
    <hyperlink ref="H450" r:id="rId449" display="https://i.ibb.co/68RXB19/Bradesco.png"/>
    <hyperlink ref="H451" r:id="rId450" display="https://i.ibb.co/DznB5q4/Itau.png"/>
    <hyperlink ref="H452" r:id="rId451" display="https://i.ibb.co/DznB5q4/Itau.png"/>
    <hyperlink ref="H453" r:id="rId452" display="https://i.ibb.co/DznB5q4/Itau.png"/>
    <hyperlink ref="H454" r:id="rId453" display="https://i.ibb.co/zX8KX6R/Santander.png"/>
    <hyperlink ref="H455" r:id="rId454" display="https://i.ibb.co/68RXB19/Bradesco.png"/>
    <hyperlink ref="H456" r:id="rId455" display="https://i.ibb.co/LpJM38D/Nubank.png"/>
    <hyperlink ref="H457" r:id="rId456" display="https://i.ibb.co/LpJM38D/Nubank.png"/>
    <hyperlink ref="H458" r:id="rId457" display="https://i.ibb.co/LpJM38D/Nubank.png"/>
    <hyperlink ref="H459" r:id="rId458" display="https://i.ibb.co/zX8KX6R/Santander.png"/>
    <hyperlink ref="H460" r:id="rId459" display="https://i.ibb.co/DznB5q4/Itau.png"/>
    <hyperlink ref="H461" r:id="rId460" display="https://i.ibb.co/DznB5q4/Itau.png"/>
    <hyperlink ref="H462" r:id="rId461" display="https://i.ibb.co/DznB5q4/Itau.png"/>
    <hyperlink ref="H463" r:id="rId462" display="https://i.ibb.co/FhY6B5f/Safra.png"/>
    <hyperlink ref="H464" r:id="rId463" display="https://i.ibb.co/DznB5q4/Itau.png"/>
    <hyperlink ref="H465" r:id="rId464" display="https://i.ibb.co/DznB5q4/Itau.png"/>
    <hyperlink ref="H466" r:id="rId465" display="https://i.ibb.co/DznB5q4/Itau.png"/>
    <hyperlink ref="H467" r:id="rId466" display="https://i.ibb.co/zX8KX6R/Santander.png"/>
    <hyperlink ref="H468" r:id="rId467" display="https://i.ibb.co/DznB5q4/Itau.png"/>
    <hyperlink ref="H469" r:id="rId468" display="https://i.ibb.co/DznB5q4/Itau.png"/>
    <hyperlink ref="H470" r:id="rId469" display="https://i.ibb.co/DznB5q4/Itau.png"/>
    <hyperlink ref="H471" r:id="rId470" display="https://i.ibb.co/FhY6B5f/Safra.png"/>
    <hyperlink ref="H472" r:id="rId471" display="https://i.ibb.co/68RXB19/Bradesco.png"/>
    <hyperlink ref="H473" r:id="rId472" display="https://i.ibb.co/zX8KX6R/Santander.png"/>
    <hyperlink ref="H474" r:id="rId473" display="https://i.ibb.co/LpJM38D/Nubank.png"/>
    <hyperlink ref="H475" r:id="rId474" display="https://i.ibb.co/zX8KX6R/Santander.png"/>
    <hyperlink ref="H476" r:id="rId475" display="https://i.ibb.co/LpJM38D/Nubank.png"/>
    <hyperlink ref="H477" r:id="rId476" display="https://i.ibb.co/DznB5q4/Itau.png"/>
    <hyperlink ref="H478" r:id="rId477" display="https://i.ibb.co/zX8KX6R/Santander.png"/>
    <hyperlink ref="H479" r:id="rId478" display="https://i.ibb.co/LpJM38D/Nubank.png"/>
    <hyperlink ref="H480" r:id="rId479" display="https://i.ibb.co/DznB5q4/Itau.png"/>
    <hyperlink ref="H481" r:id="rId480" display="https://i.ibb.co/LpJM38D/Nubank.png"/>
    <hyperlink ref="H482" r:id="rId481" display="https://i.ibb.co/LpJM38D/Nubank.png"/>
    <hyperlink ref="H483" r:id="rId482" display="https://i.ibb.co/68RXB19/Bradesco.png"/>
    <hyperlink ref="H484" r:id="rId483" display="https://i.ibb.co/DznB5q4/Itau.png"/>
    <hyperlink ref="H485" r:id="rId484" display="https://i.ibb.co/DznB5q4/Itau.png"/>
    <hyperlink ref="H486" r:id="rId485" display="https://i.ibb.co/zX8KX6R/Santander.png"/>
    <hyperlink ref="H487" r:id="rId486" display="https://i.ibb.co/DznB5q4/Itau.png"/>
    <hyperlink ref="H488" r:id="rId487" display="https://i.ibb.co/DznB5q4/Itau.png"/>
    <hyperlink ref="H489" r:id="rId488" display="https://i.ibb.co/68RXB19/Bradesco.png"/>
    <hyperlink ref="H490" r:id="rId489" display="https://i.ibb.co/DznB5q4/Itau.png"/>
    <hyperlink ref="H491" r:id="rId490" display="https://i.ibb.co/LpJM38D/Nubank.png"/>
    <hyperlink ref="H492" r:id="rId491" display="https://i.ibb.co/DznB5q4/Itau.png"/>
    <hyperlink ref="H493" r:id="rId492" display="https://i.ibb.co/DznB5q4/Itau.png"/>
    <hyperlink ref="H494" r:id="rId493" display="https://i.ibb.co/LpJM38D/Nubank.png"/>
    <hyperlink ref="H495" r:id="rId494" display="https://i.ibb.co/zX8KX6R/Santander.png"/>
    <hyperlink ref="H496" r:id="rId495" display="https://i.ibb.co/DznB5q4/Itau.png"/>
    <hyperlink ref="H497" r:id="rId496" display="https://i.ibb.co/DznB5q4/Itau.png"/>
    <hyperlink ref="H498" r:id="rId497" display="https://i.ibb.co/DznB5q4/Itau.png"/>
    <hyperlink ref="H499" r:id="rId498" display="https://i.ibb.co/68RXB19/Bradesco.png"/>
    <hyperlink ref="H500" r:id="rId499" display="https://i.ibb.co/DznB5q4/Itau.png"/>
    <hyperlink ref="H501" r:id="rId500" display="https://i.ibb.co/DznB5q4/Itau.png"/>
    <hyperlink ref="H502" r:id="rId501" display="https://i.ibb.co/zX8KX6R/Santander.png"/>
    <hyperlink ref="H503" r:id="rId502" display="https://i.ibb.co/68RXB19/Bradesco.png"/>
    <hyperlink ref="H504" r:id="rId503" display="https://i.ibb.co/FhY6B5f/Safra.png"/>
    <hyperlink ref="H505" r:id="rId504" display="https://i.ibb.co/LpJM38D/Nubank.png"/>
    <hyperlink ref="H506" r:id="rId505" display="https://i.ibb.co/DznB5q4/Itau.png"/>
    <hyperlink ref="H507" r:id="rId506" display="https://i.ibb.co/68RXB19/Bradesco.png"/>
    <hyperlink ref="H508" r:id="rId507" display="https://i.ibb.co/68RXB19/Bradesco.png"/>
    <hyperlink ref="H509" r:id="rId508" display="https://i.ibb.co/DznB5q4/Itau.png"/>
    <hyperlink ref="H510" r:id="rId509" display="https://i.ibb.co/zX8KX6R/Santander.png"/>
    <hyperlink ref="H511" r:id="rId510" display="https://i.ibb.co/DznB5q4/Itau.png"/>
    <hyperlink ref="H512" r:id="rId511" display="https://i.ibb.co/zX8KX6R/Santander.png"/>
    <hyperlink ref="H513" r:id="rId512" display="https://i.ibb.co/DznB5q4/Itau.png"/>
    <hyperlink ref="H514" r:id="rId513" display="https://i.ibb.co/DznB5q4/Itau.png"/>
    <hyperlink ref="H515" r:id="rId514" display="https://i.ibb.co/DznB5q4/Itau.png"/>
    <hyperlink ref="H516" r:id="rId515" display="https://i.ibb.co/DznB5q4/Itau.png"/>
    <hyperlink ref="H517" r:id="rId516" display="https://i.ibb.co/FhY6B5f/Safra.png"/>
    <hyperlink ref="H518" r:id="rId517" display="https://i.ibb.co/LpJM38D/Nubank.png"/>
    <hyperlink ref="H519" r:id="rId518" display="https://i.ibb.co/DznB5q4/Itau.png"/>
    <hyperlink ref="H520" r:id="rId519" display="https://i.ibb.co/DznB5q4/Itau.png"/>
    <hyperlink ref="H521" r:id="rId520" display="https://i.ibb.co/LpJM38D/Nubank.png"/>
    <hyperlink ref="H522" r:id="rId521" display="https://i.ibb.co/DznB5q4/Itau.png"/>
    <hyperlink ref="H523" r:id="rId522" display="https://i.ibb.co/DznB5q4/Itau.png"/>
    <hyperlink ref="H524" r:id="rId523" display="https://i.ibb.co/DznB5q4/Itau.png"/>
    <hyperlink ref="H525" r:id="rId524" display="https://i.ibb.co/DznB5q4/Itau.png"/>
    <hyperlink ref="H526" r:id="rId525" display="https://i.ibb.co/zX8KX6R/Santander.png"/>
    <hyperlink ref="H527" r:id="rId526" display="https://i.ibb.co/DznB5q4/Itau.png"/>
    <hyperlink ref="H528" r:id="rId527" display="https://i.ibb.co/DznB5q4/Itau.png"/>
    <hyperlink ref="H529" r:id="rId528" display="https://i.ibb.co/68RXB19/Bradesco.png"/>
    <hyperlink ref="H530" r:id="rId529" display="https://i.ibb.co/DznB5q4/Itau.png"/>
    <hyperlink ref="H531" r:id="rId530" display="https://i.ibb.co/DznB5q4/Itau.png"/>
    <hyperlink ref="H532" r:id="rId531" display="https://i.ibb.co/DznB5q4/Itau.png"/>
    <hyperlink ref="H533" r:id="rId532" display="https://i.ibb.co/DznB5q4/Itau.png"/>
    <hyperlink ref="H534" r:id="rId533" display="https://i.ibb.co/DznB5q4/Itau.png"/>
    <hyperlink ref="H535" r:id="rId534" display="https://i.ibb.co/FhY6B5f/Safra.png"/>
    <hyperlink ref="H536" r:id="rId535" display="https://i.ibb.co/LpJM38D/Nubank.png"/>
    <hyperlink ref="H537" r:id="rId536" display="https://i.ibb.co/zX8KX6R/Santander.png"/>
    <hyperlink ref="H538" r:id="rId537" display="https://i.ibb.co/zX8KX6R/Santander.png"/>
    <hyperlink ref="H539" r:id="rId538" display="https://i.ibb.co/zX8KX6R/Santander.png"/>
    <hyperlink ref="H540" r:id="rId539" display="https://i.ibb.co/zX8KX6R/Santander.png"/>
    <hyperlink ref="H541" r:id="rId540" display="https://i.ibb.co/LpJM38D/Nubank.png"/>
    <hyperlink ref="H542" r:id="rId541" display="https://i.ibb.co/DznB5q4/Itau.png"/>
    <hyperlink ref="H543" r:id="rId542" display="https://i.ibb.co/DznB5q4/Itau.png"/>
    <hyperlink ref="H544" r:id="rId543" display="https://i.ibb.co/FhY6B5f/Safra.png"/>
    <hyperlink ref="H545" r:id="rId544" display="https://i.ibb.co/DznB5q4/Itau.png"/>
    <hyperlink ref="H546" r:id="rId545" display="https://i.ibb.co/DznB5q4/Itau.png"/>
    <hyperlink ref="H547" r:id="rId546" display="https://i.ibb.co/68RXB19/Bradesco.png"/>
    <hyperlink ref="H548" r:id="rId547" display="https://i.ibb.co/DznB5q4/Itau.png"/>
    <hyperlink ref="H549" r:id="rId548" display="https://i.ibb.co/DznB5q4/Itau.png"/>
    <hyperlink ref="H550" r:id="rId549" display="https://i.ibb.co/DznB5q4/Itau.png"/>
    <hyperlink ref="H551" r:id="rId550" display="https://i.ibb.co/LpJM38D/Nubank.png"/>
    <hyperlink ref="H552" r:id="rId551" display="https://i.ibb.co/zX8KX6R/Santander.png"/>
    <hyperlink ref="H553" r:id="rId552" display="https://i.ibb.co/LpJM38D/Nubank.png"/>
    <hyperlink ref="H554" r:id="rId553" display="https://i.ibb.co/LpJM38D/Nubank.png"/>
    <hyperlink ref="H555" r:id="rId554" display="https://i.ibb.co/LpJM38D/Nubank.png"/>
    <hyperlink ref="H556" r:id="rId555" display="https://i.ibb.co/68RXB19/Bradesco.png"/>
    <hyperlink ref="H557" r:id="rId556" display="https://i.ibb.co/LpJM38D/Nubank.png"/>
    <hyperlink ref="H558" r:id="rId557" display="https://i.ibb.co/LpJM38D/Nubank.png"/>
    <hyperlink ref="H559" r:id="rId558" display="https://i.ibb.co/DznB5q4/Itau.png"/>
    <hyperlink ref="H560" r:id="rId559" display="https://i.ibb.co/LpJM38D/Nubank.png"/>
    <hyperlink ref="H561" r:id="rId560" display="https://i.ibb.co/FhY6B5f/Safra.png"/>
    <hyperlink ref="H562" r:id="rId561" display="https://i.ibb.co/LpJM38D/Nubank.png"/>
    <hyperlink ref="H563" r:id="rId562" display="https://i.ibb.co/zX8KX6R/Santander.png"/>
    <hyperlink ref="H564" r:id="rId563" display="https://i.ibb.co/DznB5q4/Itau.png"/>
    <hyperlink ref="H565" r:id="rId564" display="https://i.ibb.co/LpJM38D/Nubank.png"/>
    <hyperlink ref="H566" r:id="rId565" display="https://i.ibb.co/DznB5q4/Itau.png"/>
    <hyperlink ref="H567" r:id="rId566" display="https://i.ibb.co/FhY6B5f/Safra.png"/>
    <hyperlink ref="H568" r:id="rId567" display="https://i.ibb.co/DznB5q4/Itau.png"/>
    <hyperlink ref="H569" r:id="rId568" display="https://i.ibb.co/LpJM38D/Nubank.png"/>
    <hyperlink ref="H570" r:id="rId569" display="https://i.ibb.co/DznB5q4/Itau.png"/>
    <hyperlink ref="H571" r:id="rId570" display="https://i.ibb.co/zX8KX6R/Santander.png"/>
    <hyperlink ref="H572" r:id="rId571" display="https://i.ibb.co/zX8KX6R/Santander.png"/>
    <hyperlink ref="H573" r:id="rId572" display="https://i.ibb.co/68RXB19/Bradesco.png"/>
    <hyperlink ref="H574" r:id="rId573" display="https://i.ibb.co/zX8KX6R/Santander.png"/>
    <hyperlink ref="H575" r:id="rId574" display="https://i.ibb.co/DznB5q4/Itau.png"/>
    <hyperlink ref="H576" r:id="rId575" display="https://i.ibb.co/68RXB19/Bradesco.png"/>
    <hyperlink ref="H577" r:id="rId576" display="https://i.ibb.co/LpJM38D/Nubank.png"/>
    <hyperlink ref="H578" r:id="rId577" display="https://i.ibb.co/LpJM38D/Nubank.png"/>
    <hyperlink ref="H579" r:id="rId578" display="https://i.ibb.co/FhY6B5f/Safra.png"/>
    <hyperlink ref="H580" r:id="rId579" display="https://i.ibb.co/DznB5q4/Itau.png"/>
    <hyperlink ref="H581" r:id="rId580" display="https://i.ibb.co/DznB5q4/Itau.png"/>
    <hyperlink ref="H582" r:id="rId581" display="https://i.ibb.co/68RXB19/Bradesco.png"/>
    <hyperlink ref="H583" r:id="rId582" display="https://i.ibb.co/zX8KX6R/Santander.png"/>
    <hyperlink ref="H584" r:id="rId583" display="https://i.ibb.co/FhY6B5f/Safra.png"/>
    <hyperlink ref="H585" r:id="rId584" display="https://i.ibb.co/DznB5q4/Itau.png"/>
    <hyperlink ref="H586" r:id="rId585" display="https://i.ibb.co/DznB5q4/Itau.png"/>
    <hyperlink ref="H587" r:id="rId586" display="https://i.ibb.co/DznB5q4/Itau.png"/>
    <hyperlink ref="H588" r:id="rId587" display="https://i.ibb.co/68RXB19/Bradesco.png"/>
    <hyperlink ref="H589" r:id="rId588" display="https://i.ibb.co/zX8KX6R/Santander.png"/>
    <hyperlink ref="H590" r:id="rId589" display="https://i.ibb.co/zX8KX6R/Santander.png"/>
    <hyperlink ref="H591" r:id="rId590" display="https://i.ibb.co/zX8KX6R/Santander.png"/>
    <hyperlink ref="H592" r:id="rId591" display="https://i.ibb.co/DznB5q4/Itau.png"/>
    <hyperlink ref="H593" r:id="rId592" display="https://i.ibb.co/DznB5q4/Itau.png"/>
    <hyperlink ref="H594" r:id="rId593" display="https://i.ibb.co/DznB5q4/Itau.png"/>
    <hyperlink ref="H595" r:id="rId594" display="https://i.ibb.co/LpJM38D/Nubank.png"/>
    <hyperlink ref="H596" r:id="rId595" display="https://i.ibb.co/DznB5q4/Itau.png"/>
    <hyperlink ref="H597" r:id="rId596" display="https://i.ibb.co/DznB5q4/Itau.png"/>
    <hyperlink ref="H598" r:id="rId597" display="https://i.ibb.co/DznB5q4/Itau.png"/>
    <hyperlink ref="H599" r:id="rId598" display="https://i.ibb.co/DznB5q4/Itau.png"/>
    <hyperlink ref="H600" r:id="rId599" display="https://i.ibb.co/68RXB19/Bradesco.png"/>
    <hyperlink ref="H601" r:id="rId600" display="https://i.ibb.co/FhY6B5f/Safra.png"/>
    <hyperlink ref="H602" r:id="rId601" display="https://i.ibb.co/LpJM38D/Nubank.png"/>
    <hyperlink ref="H603" r:id="rId602" display="https://i.ibb.co/LpJM38D/Nubank.png"/>
    <hyperlink ref="H604" r:id="rId603" display="https://i.ibb.co/LpJM38D/Nubank.png"/>
    <hyperlink ref="H605" r:id="rId604" display="https://i.ibb.co/DznB5q4/Itau.png"/>
    <hyperlink ref="H606" r:id="rId605" display="https://i.ibb.co/DznB5q4/Itau.png"/>
    <hyperlink ref="H607" r:id="rId606" display="https://i.ibb.co/DznB5q4/Itau.png"/>
    <hyperlink ref="H608" r:id="rId607" display="https://i.ibb.co/DznB5q4/Itau.png"/>
    <hyperlink ref="H609" r:id="rId608" display="https://i.ibb.co/DznB5q4/Itau.png"/>
    <hyperlink ref="H610" r:id="rId609" display="https://i.ibb.co/DznB5q4/Itau.png"/>
    <hyperlink ref="H611" r:id="rId610" display="https://i.ibb.co/zX8KX6R/Santander.png"/>
    <hyperlink ref="H612" r:id="rId611" display="https://i.ibb.co/DznB5q4/Itau.png"/>
    <hyperlink ref="H613" r:id="rId612" display="https://i.ibb.co/LpJM38D/Nubank.png"/>
    <hyperlink ref="H614" r:id="rId613" display="https://i.ibb.co/LpJM38D/Nubank.png"/>
    <hyperlink ref="H615" r:id="rId614" display="https://i.ibb.co/DznB5q4/Itau.png"/>
    <hyperlink ref="H616" r:id="rId615" display="https://i.ibb.co/DznB5q4/Itau.png"/>
    <hyperlink ref="H617" r:id="rId616" display="https://i.ibb.co/68RXB19/Bradesco.png"/>
    <hyperlink ref="H618" r:id="rId617" display="https://i.ibb.co/DznB5q4/Itau.png"/>
    <hyperlink ref="H619" r:id="rId618" display="https://i.ibb.co/68RXB19/Bradesco.png"/>
    <hyperlink ref="H620" r:id="rId619" display="https://i.ibb.co/LpJM38D/Nubank.png"/>
    <hyperlink ref="H621" r:id="rId620" display="https://i.ibb.co/LpJM38D/Nubank.png"/>
    <hyperlink ref="H622" r:id="rId621" display="https://i.ibb.co/FhY6B5f/Safra.png"/>
    <hyperlink ref="H623" r:id="rId622" display="https://i.ibb.co/LpJM38D/Nubank.png"/>
    <hyperlink ref="H624" r:id="rId623" display="https://i.ibb.co/FhY6B5f/Safra.png"/>
    <hyperlink ref="H625" r:id="rId624" display="https://i.ibb.co/LpJM38D/Nubank.png"/>
    <hyperlink ref="H626" r:id="rId625" display="https://i.ibb.co/DznB5q4/Itau.png"/>
    <hyperlink ref="H627" r:id="rId626" display="https://i.ibb.co/LpJM38D/Nubank.png"/>
    <hyperlink ref="H628" r:id="rId627" display="https://i.ibb.co/LpJM38D/Nubank.png"/>
    <hyperlink ref="H629" r:id="rId628" display="https://i.ibb.co/DznB5q4/Itau.png"/>
    <hyperlink ref="H630" r:id="rId629" display="https://i.ibb.co/LpJM38D/Nubank.png"/>
    <hyperlink ref="H631" r:id="rId630" display="https://i.ibb.co/DznB5q4/Itau.png"/>
    <hyperlink ref="H632" r:id="rId631" display="https://i.ibb.co/DznB5q4/Itau.png"/>
    <hyperlink ref="H633" r:id="rId632" display="https://i.ibb.co/68RXB19/Bradesco.png"/>
    <hyperlink ref="H634" r:id="rId633" display="https://i.ibb.co/DznB5q4/Itau.png"/>
    <hyperlink ref="H635" r:id="rId634" display="https://i.ibb.co/DznB5q4/Itau.png"/>
    <hyperlink ref="H636" r:id="rId635" display="https://i.ibb.co/LpJM38D/Nubank.png"/>
    <hyperlink ref="H637" r:id="rId636" display="https://i.ibb.co/DznB5q4/Itau.png"/>
    <hyperlink ref="H638" r:id="rId637" display="https://i.ibb.co/LpJM38D/Nubank.png"/>
    <hyperlink ref="H639" r:id="rId638" display="https://i.ibb.co/zX8KX6R/Santander.png"/>
    <hyperlink ref="H640" r:id="rId639" display="https://i.ibb.co/DznB5q4/Itau.png"/>
    <hyperlink ref="H641" r:id="rId640" display="https://i.ibb.co/FhY6B5f/Safra.png"/>
    <hyperlink ref="H642" r:id="rId641" display="https://i.ibb.co/LpJM38D/Nubank.png"/>
    <hyperlink ref="H643" r:id="rId642" display="https://i.ibb.co/LpJM38D/Nubank.png"/>
    <hyperlink ref="H644" r:id="rId643" display="https://i.ibb.co/zX8KX6R/Santander.png"/>
    <hyperlink ref="H645" r:id="rId644" display="https://i.ibb.co/LpJM38D/Nubank.png"/>
    <hyperlink ref="H646" r:id="rId645" display="https://i.ibb.co/DznB5q4/Itau.png"/>
    <hyperlink ref="H647" r:id="rId646" display="https://i.ibb.co/LpJM38D/Nubank.png"/>
    <hyperlink ref="H648" r:id="rId647" display="https://i.ibb.co/zX8KX6R/Santander.png"/>
    <hyperlink ref="H649" r:id="rId648" display="https://i.ibb.co/zX8KX6R/Santander.png"/>
    <hyperlink ref="H650" r:id="rId649" display="https://i.ibb.co/DznB5q4/Itau.png"/>
    <hyperlink ref="H651" r:id="rId650" display="https://i.ibb.co/zX8KX6R/Santander.png"/>
    <hyperlink ref="H652" r:id="rId651" display="https://i.ibb.co/DznB5q4/Itau.png"/>
    <hyperlink ref="H653" r:id="rId652" display="https://i.ibb.co/LpJM38D/Nubank.png"/>
    <hyperlink ref="H654" r:id="rId653" display="https://i.ibb.co/LpJM38D/Nubank.png"/>
    <hyperlink ref="H655" r:id="rId654" display="https://i.ibb.co/DznB5q4/Itau.png"/>
    <hyperlink ref="H656" r:id="rId655" display="https://i.ibb.co/DznB5q4/Itau.png"/>
    <hyperlink ref="H657" r:id="rId656" display="https://i.ibb.co/LpJM38D/Nubank.png"/>
    <hyperlink ref="H658" r:id="rId657" display="https://i.ibb.co/zX8KX6R/Santander.png"/>
    <hyperlink ref="H659" r:id="rId658" display="https://i.ibb.co/LpJM38D/Nubank.png"/>
    <hyperlink ref="H660" r:id="rId659" display="https://i.ibb.co/68RXB19/Bradesco.png"/>
    <hyperlink ref="H661" r:id="rId660" display="https://i.ibb.co/DznB5q4/Itau.png"/>
    <hyperlink ref="H662" r:id="rId661" display="https://i.ibb.co/DznB5q4/Itau.png"/>
    <hyperlink ref="H663" r:id="rId662" display="https://i.ibb.co/68RXB19/Bradesco.png"/>
    <hyperlink ref="H664" r:id="rId663" display="https://i.ibb.co/zX8KX6R/Santander.png"/>
    <hyperlink ref="H665" r:id="rId664" display="https://i.ibb.co/DznB5q4/Itau.png"/>
    <hyperlink ref="H666" r:id="rId665" display="https://i.ibb.co/DznB5q4/Itau.png"/>
    <hyperlink ref="H667" r:id="rId666" display="https://i.ibb.co/LpJM38D/Nubank.png"/>
    <hyperlink ref="H668" r:id="rId667" display="https://i.ibb.co/DznB5q4/Itau.png"/>
    <hyperlink ref="H669" r:id="rId668" display="https://i.ibb.co/LpJM38D/Nubank.png"/>
    <hyperlink ref="H670" r:id="rId669" display="https://i.ibb.co/LpJM38D/Nubank.png"/>
    <hyperlink ref="H671" r:id="rId670" display="https://i.ibb.co/DznB5q4/Itau.png"/>
    <hyperlink ref="H672" r:id="rId671" display="https://i.ibb.co/DznB5q4/Itau.png"/>
    <hyperlink ref="H673" r:id="rId672" display="https://i.ibb.co/LpJM38D/Nubank.png"/>
    <hyperlink ref="H674" r:id="rId673" display="https://i.ibb.co/LpJM38D/Nubank.png"/>
    <hyperlink ref="H675" r:id="rId674" display="https://i.ibb.co/LpJM38D/Nubank.png"/>
    <hyperlink ref="H676" r:id="rId675" display="https://i.ibb.co/LpJM38D/Nubank.png"/>
    <hyperlink ref="H677" r:id="rId676" display="https://i.ibb.co/LpJM38D/Nubank.png"/>
    <hyperlink ref="H678" r:id="rId677" display="https://i.ibb.co/zX8KX6R/Santander.png"/>
    <hyperlink ref="H679" r:id="rId678" display="https://i.ibb.co/68RXB19/Bradesco.png"/>
    <hyperlink ref="H680" r:id="rId679" display="https://i.ibb.co/LpJM38D/Nubank.png"/>
    <hyperlink ref="H681" r:id="rId680" display="https://i.ibb.co/LpJM38D/Nubank.png"/>
    <hyperlink ref="H682" r:id="rId681" display="https://i.ibb.co/68RXB19/Bradesco.png"/>
    <hyperlink ref="H683" r:id="rId682" display="https://i.ibb.co/DznB5q4/Itau.png"/>
    <hyperlink ref="H684" r:id="rId683" display="https://i.ibb.co/LpJM38D/Nubank.png"/>
    <hyperlink ref="H685" r:id="rId684" display="https://i.ibb.co/LpJM38D/Nubank.png"/>
    <hyperlink ref="H686" r:id="rId685" display="https://i.ibb.co/DznB5q4/Itau.png"/>
    <hyperlink ref="H687" r:id="rId686" display="https://i.ibb.co/DznB5q4/Itau.png"/>
    <hyperlink ref="H688" r:id="rId687" display="https://i.ibb.co/zX8KX6R/Santander.png"/>
    <hyperlink ref="H689" r:id="rId688" display="https://i.ibb.co/68RXB19/Bradesco.png"/>
    <hyperlink ref="H690" r:id="rId689" display="https://i.ibb.co/LpJM38D/Nubank.png"/>
    <hyperlink ref="H691" r:id="rId690" display="https://i.ibb.co/zX8KX6R/Santander.png"/>
    <hyperlink ref="H692" r:id="rId691" display="https://i.ibb.co/DznB5q4/Itau.png"/>
    <hyperlink ref="H693" r:id="rId692" display="https://i.ibb.co/LpJM38D/Nubank.png"/>
    <hyperlink ref="H694" r:id="rId693" display="https://i.ibb.co/LpJM38D/Nubank.png"/>
    <hyperlink ref="H695" r:id="rId694" display="https://i.ibb.co/FhY6B5f/Safra.png"/>
    <hyperlink ref="H696" r:id="rId695" display="https://i.ibb.co/68RXB19/Bradesco.png"/>
    <hyperlink ref="H697" r:id="rId696" display="https://i.ibb.co/DznB5q4/Itau.png"/>
    <hyperlink ref="H698" r:id="rId697" display="https://i.ibb.co/LpJM38D/Nubank.png"/>
    <hyperlink ref="H699" r:id="rId698" display="https://i.ibb.co/DznB5q4/Itau.png"/>
    <hyperlink ref="H700" r:id="rId699" display="https://i.ibb.co/zX8KX6R/Santander.png"/>
    <hyperlink ref="H701" r:id="rId700" display="https://i.ibb.co/DznB5q4/Itau.png"/>
    <hyperlink ref="H702" r:id="rId701" display="https://i.ibb.co/68RXB19/Bradesco.png"/>
    <hyperlink ref="H703" r:id="rId702" display="https://i.ibb.co/LpJM38D/Nubank.png"/>
    <hyperlink ref="H704" r:id="rId703" display="https://i.ibb.co/LpJM38D/Nubank.png"/>
    <hyperlink ref="H705" r:id="rId704" display="https://i.ibb.co/DznB5q4/Itau.png"/>
    <hyperlink ref="H706" r:id="rId705" display="https://i.ibb.co/68RXB19/Bradesco.png"/>
    <hyperlink ref="H707" r:id="rId706" display="https://i.ibb.co/DznB5q4/Itau.png"/>
    <hyperlink ref="H708" r:id="rId707" display="https://i.ibb.co/DznB5q4/Itau.png"/>
    <hyperlink ref="H709" r:id="rId708" display="https://i.ibb.co/DznB5q4/Itau.png"/>
    <hyperlink ref="H710" r:id="rId709" display="https://i.ibb.co/zX8KX6R/Santander.png"/>
    <hyperlink ref="H711" r:id="rId710" display="https://i.ibb.co/zX8KX6R/Santander.png"/>
    <hyperlink ref="H712" r:id="rId711" display="https://i.ibb.co/DznB5q4/Itau.png"/>
    <hyperlink ref="H713" r:id="rId712" display="https://i.ibb.co/DznB5q4/Itau.png"/>
    <hyperlink ref="H714" r:id="rId713" display="https://i.ibb.co/DznB5q4/Itau.png"/>
    <hyperlink ref="H715" r:id="rId714" display="https://i.ibb.co/DznB5q4/Itau.png"/>
    <hyperlink ref="H716" r:id="rId715" display="https://i.ibb.co/zX8KX6R/Santander.png"/>
    <hyperlink ref="H717" r:id="rId716" display="https://i.ibb.co/DznB5q4/Itau.png"/>
    <hyperlink ref="H718" r:id="rId717" display="https://i.ibb.co/68RXB19/Bradesco.png"/>
    <hyperlink ref="H719" r:id="rId718" display="https://i.ibb.co/DznB5q4/Itau.png"/>
    <hyperlink ref="H720" r:id="rId719" display="https://i.ibb.co/DznB5q4/Itau.png"/>
    <hyperlink ref="H721" r:id="rId720" display="https://i.ibb.co/LpJM38D/Nubank.png"/>
    <hyperlink ref="H722" r:id="rId721" display="https://i.ibb.co/LpJM38D/Nubank.png"/>
    <hyperlink ref="H723" r:id="rId722" display="https://i.ibb.co/LpJM38D/Nubank.png"/>
    <hyperlink ref="H724" r:id="rId723" display="https://i.ibb.co/DznB5q4/Itau.png"/>
    <hyperlink ref="H725" r:id="rId724" display="https://i.ibb.co/LpJM38D/Nubank.png"/>
    <hyperlink ref="H726" r:id="rId725" display="https://i.ibb.co/LpJM38D/Nubank.png"/>
    <hyperlink ref="H727" r:id="rId726" display="https://i.ibb.co/zX8KX6R/Santander.png"/>
    <hyperlink ref="H728" r:id="rId727" display="https://i.ibb.co/DznB5q4/Itau.png"/>
    <hyperlink ref="H729" r:id="rId728" display="https://i.ibb.co/DznB5q4/Itau.png"/>
    <hyperlink ref="H730" r:id="rId729" display="https://i.ibb.co/68RXB19/Bradesco.png"/>
    <hyperlink ref="H731" r:id="rId730" display="https://i.ibb.co/DznB5q4/Itau.png"/>
    <hyperlink ref="H732" r:id="rId731" display="https://i.ibb.co/zX8KX6R/Santander.png"/>
    <hyperlink ref="H733" r:id="rId732" display="https://i.ibb.co/LpJM38D/Nubank.png"/>
    <hyperlink ref="H734" r:id="rId733" display="https://i.ibb.co/68RXB19/Bradesco.png"/>
    <hyperlink ref="H735" r:id="rId734" display="https://i.ibb.co/zX8KX6R/Santander.png"/>
    <hyperlink ref="H736" r:id="rId735" display="https://i.ibb.co/DznB5q4/Itau.png"/>
    <hyperlink ref="H737" r:id="rId736" display="https://i.ibb.co/DznB5q4/Itau.png"/>
    <hyperlink ref="H738" r:id="rId737" display="https://i.ibb.co/DznB5q4/Itau.png"/>
    <hyperlink ref="H739" r:id="rId738" display="https://i.ibb.co/DznB5q4/Itau.png"/>
    <hyperlink ref="H740" r:id="rId739" display="https://i.ibb.co/LpJM38D/Nubank.png"/>
    <hyperlink ref="H741" r:id="rId740" display="https://i.ibb.co/DznB5q4/Itau.png"/>
    <hyperlink ref="H742" r:id="rId741" display="https://i.ibb.co/DznB5q4/Itau.png"/>
    <hyperlink ref="H743" r:id="rId742" display="https://i.ibb.co/FhY6B5f/Safra.png"/>
    <hyperlink ref="H744" r:id="rId743" display="https://i.ibb.co/LpJM38D/Nubank.png"/>
    <hyperlink ref="H745" r:id="rId744" display="https://i.ibb.co/zX8KX6R/Santander.png"/>
    <hyperlink ref="H746" r:id="rId745" display="https://i.ibb.co/FhY6B5f/Safra.png"/>
    <hyperlink ref="H747" r:id="rId746" display="https://i.ibb.co/DznB5q4/Itau.png"/>
    <hyperlink ref="H748" r:id="rId747" display="https://i.ibb.co/LpJM38D/Nubank.png"/>
    <hyperlink ref="H749" r:id="rId748" display="https://i.ibb.co/DznB5q4/Itau.png"/>
    <hyperlink ref="H750" r:id="rId749" display="https://i.ibb.co/LpJM38D/Nubank.png"/>
    <hyperlink ref="H751" r:id="rId750" display="https://i.ibb.co/FhY6B5f/Safra.png"/>
    <hyperlink ref="H752" r:id="rId751" display="https://i.ibb.co/LpJM38D/Nubank.png"/>
    <hyperlink ref="H753" r:id="rId752" display="https://i.ibb.co/zX8KX6R/Santander.png"/>
    <hyperlink ref="H754" r:id="rId753" display="https://i.ibb.co/DznB5q4/Itau.png"/>
    <hyperlink ref="H755" r:id="rId754" display="https://i.ibb.co/zX8KX6R/Santander.png"/>
    <hyperlink ref="H756" r:id="rId755" display="https://i.ibb.co/zX8KX6R/Santander.png"/>
    <hyperlink ref="H757" r:id="rId756" display="https://i.ibb.co/zX8KX6R/Santander.png"/>
    <hyperlink ref="H758" r:id="rId757" display="https://i.ibb.co/LpJM38D/Nubank.png"/>
    <hyperlink ref="H759" r:id="rId758" display="https://i.ibb.co/LpJM38D/Nubank.png"/>
    <hyperlink ref="H760" r:id="rId759" display="https://i.ibb.co/DznB5q4/Itau.png"/>
    <hyperlink ref="H761" r:id="rId760" display="https://i.ibb.co/DznB5q4/Itau.png"/>
    <hyperlink ref="H762" r:id="rId761" display="https://i.ibb.co/LpJM38D/Nubank.png"/>
    <hyperlink ref="H763" r:id="rId762" display="https://i.ibb.co/DznB5q4/Itau.png"/>
    <hyperlink ref="H764" r:id="rId763" display="https://i.ibb.co/DznB5q4/Itau.png"/>
    <hyperlink ref="H765" r:id="rId764" display="https://i.ibb.co/zX8KX6R/Santander.png"/>
    <hyperlink ref="H766" r:id="rId765" display="https://i.ibb.co/LpJM38D/Nubank.png"/>
    <hyperlink ref="H767" r:id="rId766" display="https://i.ibb.co/DznB5q4/Itau.png"/>
    <hyperlink ref="H768" r:id="rId767" display="https://i.ibb.co/LpJM38D/Nubank.png"/>
    <hyperlink ref="H769" r:id="rId768" display="https://i.ibb.co/FhY6B5f/Safra.png"/>
    <hyperlink ref="H770" r:id="rId769" display="https://i.ibb.co/DznB5q4/Itau.png"/>
    <hyperlink ref="H771" r:id="rId770" display="https://i.ibb.co/zX8KX6R/Santander.png"/>
    <hyperlink ref="H772" r:id="rId771" display="https://i.ibb.co/DznB5q4/Itau.png"/>
    <hyperlink ref="H773" r:id="rId772" display="https://i.ibb.co/LpJM38D/Nubank.png"/>
    <hyperlink ref="H774" r:id="rId773" display="https://i.ibb.co/DznB5q4/Itau.png"/>
    <hyperlink ref="H775" r:id="rId774" display="https://i.ibb.co/DznB5q4/Itau.png"/>
    <hyperlink ref="H776" r:id="rId775" display="https://i.ibb.co/DznB5q4/Itau.png"/>
    <hyperlink ref="H777" r:id="rId776" display="https://i.ibb.co/DznB5q4/Itau.png"/>
    <hyperlink ref="H778" r:id="rId777" display="https://i.ibb.co/68RXB19/Bradesco.png"/>
    <hyperlink ref="H779" r:id="rId778" display="https://i.ibb.co/FhY6B5f/Safra.png"/>
    <hyperlink ref="H780" r:id="rId779" display="https://i.ibb.co/zX8KX6R/Santander.png"/>
    <hyperlink ref="H781" r:id="rId780" display="https://i.ibb.co/zX8KX6R/Santander.png"/>
    <hyperlink ref="H782" r:id="rId781" display="https://i.ibb.co/LpJM38D/Nubank.png"/>
    <hyperlink ref="H783" r:id="rId782" display="https://i.ibb.co/DznB5q4/Itau.png"/>
    <hyperlink ref="H784" r:id="rId783" display="https://i.ibb.co/DznB5q4/Itau.png"/>
    <hyperlink ref="H785" r:id="rId784" display="https://i.ibb.co/DznB5q4/Itau.png"/>
    <hyperlink ref="H786" r:id="rId785" display="https://i.ibb.co/LpJM38D/Nubank.png"/>
    <hyperlink ref="H787" r:id="rId786" display="https://i.ibb.co/DznB5q4/Itau.png"/>
    <hyperlink ref="H788" r:id="rId787" display="https://i.ibb.co/DznB5q4/Itau.png"/>
    <hyperlink ref="H789" r:id="rId788" display="https://i.ibb.co/DznB5q4/Itau.png"/>
    <hyperlink ref="H790" r:id="rId789" display="https://i.ibb.co/DznB5q4/Itau.png"/>
    <hyperlink ref="H791" r:id="rId790" display="https://i.ibb.co/68RXB19/Bradesco.png"/>
    <hyperlink ref="H792" r:id="rId791" display="https://i.ibb.co/zX8KX6R/Santander.png"/>
    <hyperlink ref="H793" r:id="rId792" display="https://i.ibb.co/DznB5q4/Itau.png"/>
    <hyperlink ref="H794" r:id="rId793" display="https://i.ibb.co/DznB5q4/Itau.png"/>
    <hyperlink ref="H795" r:id="rId794" display="https://i.ibb.co/FhY6B5f/Safra.png"/>
    <hyperlink ref="H796" r:id="rId795" display="https://i.ibb.co/LpJM38D/Nubank.png"/>
    <hyperlink ref="H797" r:id="rId796" display="https://i.ibb.co/FhY6B5f/Safra.png"/>
    <hyperlink ref="H798" r:id="rId797" display="https://i.ibb.co/LpJM38D/Nubank.png"/>
    <hyperlink ref="H799" r:id="rId798" display="https://i.ibb.co/DznB5q4/Itau.png"/>
    <hyperlink ref="H800" r:id="rId799" display="https://i.ibb.co/zX8KX6R/Santander.png"/>
    <hyperlink ref="H801" r:id="rId800" display="https://i.ibb.co/68RXB19/Bradesco.png"/>
    <hyperlink ref="H802" r:id="rId801" display="https://i.ibb.co/68RXB19/Bradesco.png"/>
    <hyperlink ref="H803" r:id="rId802" display="https://i.ibb.co/LpJM38D/Nubank.png"/>
    <hyperlink ref="H804" r:id="rId803" display="https://i.ibb.co/68RXB19/Bradesco.png"/>
    <hyperlink ref="H805" r:id="rId804" display="https://i.ibb.co/68RXB19/Bradesco.png"/>
    <hyperlink ref="H806" r:id="rId805" display="https://i.ibb.co/DznB5q4/Itau.png"/>
    <hyperlink ref="H807" r:id="rId806" display="https://i.ibb.co/DznB5q4/Itau.png"/>
    <hyperlink ref="H808" r:id="rId807" display="https://i.ibb.co/LpJM38D/Nubank.png"/>
    <hyperlink ref="H809" r:id="rId808" display="https://i.ibb.co/DznB5q4/Itau.png"/>
    <hyperlink ref="H810" r:id="rId809" display="https://i.ibb.co/DznB5q4/Itau.png"/>
    <hyperlink ref="H811" r:id="rId810" display="https://i.ibb.co/DznB5q4/Itau.png"/>
    <hyperlink ref="H812" r:id="rId811" display="https://i.ibb.co/DznB5q4/Itau.png"/>
    <hyperlink ref="H813" r:id="rId812" display="https://i.ibb.co/DznB5q4/Itau.png"/>
    <hyperlink ref="H814" r:id="rId813" display="https://i.ibb.co/zX8KX6R/Santander.png"/>
    <hyperlink ref="H815" r:id="rId814" display="https://i.ibb.co/DznB5q4/Itau.png"/>
    <hyperlink ref="H816" r:id="rId815" display="https://i.ibb.co/LpJM38D/Nubank.png"/>
    <hyperlink ref="H817" r:id="rId816" display="https://i.ibb.co/DznB5q4/Itau.png"/>
    <hyperlink ref="H818" r:id="rId817" display="https://i.ibb.co/zX8KX6R/Santander.png"/>
    <hyperlink ref="H819" r:id="rId818" display="https://i.ibb.co/DznB5q4/Itau.png"/>
    <hyperlink ref="H820" r:id="rId819" display="https://i.ibb.co/zX8KX6R/Santander.png"/>
    <hyperlink ref="H821" r:id="rId820" display="https://i.ibb.co/DznB5q4/Itau.png"/>
    <hyperlink ref="H822" r:id="rId821" display="https://i.ibb.co/LpJM38D/Nubank.png"/>
    <hyperlink ref="H823" r:id="rId822" display="https://i.ibb.co/LpJM38D/Nubank.png"/>
    <hyperlink ref="H824" r:id="rId823" display="https://i.ibb.co/zX8KX6R/Santander.png"/>
    <hyperlink ref="H825" r:id="rId824" display="https://i.ibb.co/DznB5q4/Itau.png"/>
    <hyperlink ref="H826" r:id="rId825" display="https://i.ibb.co/LpJM38D/Nubank.png"/>
    <hyperlink ref="H827" r:id="rId826" display="https://i.ibb.co/DznB5q4/Itau.png"/>
    <hyperlink ref="H828" r:id="rId827" display="https://i.ibb.co/FhY6B5f/Safra.png"/>
    <hyperlink ref="H829" r:id="rId828" display="https://i.ibb.co/zX8KX6R/Santander.png"/>
    <hyperlink ref="H830" r:id="rId829" display="https://i.ibb.co/LpJM38D/Nubank.png"/>
    <hyperlink ref="H831" r:id="rId830" display="https://i.ibb.co/zX8KX6R/Santander.png"/>
    <hyperlink ref="H832" r:id="rId831" display="https://i.ibb.co/DznB5q4/Itau.png"/>
    <hyperlink ref="H833" r:id="rId832" display="https://i.ibb.co/LpJM38D/Nubank.png"/>
    <hyperlink ref="H834" r:id="rId833" display="https://i.ibb.co/DznB5q4/Itau.png"/>
    <hyperlink ref="H835" r:id="rId834" display="https://i.ibb.co/LpJM38D/Nubank.png"/>
    <hyperlink ref="H836" r:id="rId835" display="https://i.ibb.co/DznB5q4/Itau.png"/>
    <hyperlink ref="H837" r:id="rId836" display="https://i.ibb.co/zX8KX6R/Santander.png"/>
    <hyperlink ref="H838" r:id="rId837" display="https://i.ibb.co/DznB5q4/Itau.png"/>
    <hyperlink ref="H839" r:id="rId838" display="https://i.ibb.co/zX8KX6R/Santander.png"/>
    <hyperlink ref="H840" r:id="rId839" display="https://i.ibb.co/zX8KX6R/Santander.png"/>
    <hyperlink ref="H841" r:id="rId840" display="https://i.ibb.co/DznB5q4/Itau.png"/>
    <hyperlink ref="H842" r:id="rId841" display="https://i.ibb.co/LpJM38D/Nubank.png"/>
    <hyperlink ref="H843" r:id="rId842" display="https://i.ibb.co/LpJM38D/Nubank.png"/>
    <hyperlink ref="H844" r:id="rId843" display="https://i.ibb.co/68RXB19/Bradesco.png"/>
    <hyperlink ref="H845" r:id="rId844" display="https://i.ibb.co/LpJM38D/Nubank.png"/>
    <hyperlink ref="H846" r:id="rId845" display="https://i.ibb.co/zX8KX6R/Santander.png"/>
    <hyperlink ref="H847" r:id="rId846" display="https://i.ibb.co/LpJM38D/Nubank.png"/>
    <hyperlink ref="H848" r:id="rId847" display="https://i.ibb.co/DznB5q4/Itau.png"/>
    <hyperlink ref="H849" r:id="rId848" display="https://i.ibb.co/zX8KX6R/Santander.png"/>
    <hyperlink ref="H850" r:id="rId849" display="https://i.ibb.co/LpJM38D/Nubank.png"/>
    <hyperlink ref="H851" r:id="rId850" display="https://i.ibb.co/DznB5q4/Itau.png"/>
    <hyperlink ref="H852" r:id="rId851" display="https://i.ibb.co/LpJM38D/Nubank.png"/>
    <hyperlink ref="H853" r:id="rId852" display="https://i.ibb.co/DznB5q4/Itau.png"/>
    <hyperlink ref="H854" r:id="rId853" display="https://i.ibb.co/DznB5q4/Itau.png"/>
    <hyperlink ref="H855" r:id="rId854" display="https://i.ibb.co/LpJM38D/Nubank.png"/>
    <hyperlink ref="H856" r:id="rId855" display="https://i.ibb.co/DznB5q4/Itau.png"/>
    <hyperlink ref="H857" r:id="rId856" display="https://i.ibb.co/zX8KX6R/Santander.png"/>
    <hyperlink ref="H858" r:id="rId857" display="https://i.ibb.co/LpJM38D/Nubank.png"/>
    <hyperlink ref="H859" r:id="rId858" display="https://i.ibb.co/DznB5q4/Itau.png"/>
    <hyperlink ref="H860" r:id="rId859" display="https://i.ibb.co/FhY6B5f/Safra.png"/>
    <hyperlink ref="H861" r:id="rId860" display="https://i.ibb.co/LpJM38D/Nubank.png"/>
    <hyperlink ref="H862" r:id="rId861" display="https://i.ibb.co/LpJM38D/Nubank.png"/>
    <hyperlink ref="H863" r:id="rId862" display="https://i.ibb.co/LpJM38D/Nubank.png"/>
    <hyperlink ref="H864" r:id="rId863" display="https://i.ibb.co/zX8KX6R/Santander.png"/>
    <hyperlink ref="H865" r:id="rId864" display="https://i.ibb.co/LpJM38D/Nubank.png"/>
    <hyperlink ref="H866" r:id="rId865" display="https://i.ibb.co/FhY6B5f/Safra.png"/>
    <hyperlink ref="H867" r:id="rId866" display="https://i.ibb.co/LpJM38D/Nubank.png"/>
    <hyperlink ref="H868" r:id="rId867" display="https://i.ibb.co/LpJM38D/Nubank.png"/>
    <hyperlink ref="H869" r:id="rId868" display="https://i.ibb.co/LpJM38D/Nubank.png"/>
    <hyperlink ref="H870" r:id="rId869" display="https://i.ibb.co/68RXB19/Bradesco.png"/>
    <hyperlink ref="H871" r:id="rId870" display="https://i.ibb.co/zX8KX6R/Santander.png"/>
    <hyperlink ref="H872" r:id="rId871" display="https://i.ibb.co/DznB5q4/Itau.png"/>
    <hyperlink ref="H873" r:id="rId872" display="https://i.ibb.co/LpJM38D/Nubank.png"/>
    <hyperlink ref="H874" r:id="rId873" display="https://i.ibb.co/zX8KX6R/Santander.png"/>
    <hyperlink ref="H875" r:id="rId874" display="https://i.ibb.co/LpJM38D/Nubank.png"/>
    <hyperlink ref="H876" r:id="rId875" display="https://i.ibb.co/DznB5q4/Itau.png"/>
    <hyperlink ref="H877" r:id="rId876" display="https://i.ibb.co/DznB5q4/Itau.png"/>
    <hyperlink ref="H878" r:id="rId877" display="https://i.ibb.co/DznB5q4/Itau.png"/>
    <hyperlink ref="H879" r:id="rId878" display="https://i.ibb.co/68RXB19/Bradesco.png"/>
    <hyperlink ref="H880" r:id="rId879" display="https://i.ibb.co/LpJM38D/Nubank.png"/>
    <hyperlink ref="H881" r:id="rId880" display="https://i.ibb.co/DznB5q4/Itau.png"/>
    <hyperlink ref="H882" r:id="rId881" display="https://i.ibb.co/FhY6B5f/Safra.png"/>
    <hyperlink ref="H883" r:id="rId882" display="https://i.ibb.co/DznB5q4/Itau.png"/>
    <hyperlink ref="H884" r:id="rId883" display="https://i.ibb.co/LpJM38D/Nubank.png"/>
    <hyperlink ref="H885" r:id="rId884" display="https://i.ibb.co/LpJM38D/Nubank.png"/>
    <hyperlink ref="H886" r:id="rId885" display="https://i.ibb.co/68RXB19/Bradesco.png"/>
    <hyperlink ref="H887" r:id="rId886" display="https://i.ibb.co/DznB5q4/Itau.png"/>
    <hyperlink ref="H888" r:id="rId887" display="https://i.ibb.co/zX8KX6R/Santander.png"/>
    <hyperlink ref="H889" r:id="rId888" display="https://i.ibb.co/LpJM38D/Nubank.png"/>
    <hyperlink ref="H890" r:id="rId889" display="https://i.ibb.co/DznB5q4/Itau.png"/>
    <hyperlink ref="H891" r:id="rId890" display="https://i.ibb.co/DznB5q4/Itau.png"/>
    <hyperlink ref="H892" r:id="rId891" display="https://i.ibb.co/68RXB19/Bradesco.png"/>
    <hyperlink ref="H893" r:id="rId892" display="https://i.ibb.co/DznB5q4/Itau.png"/>
    <hyperlink ref="H894" r:id="rId893" display="https://i.ibb.co/DznB5q4/Itau.png"/>
    <hyperlink ref="H895" r:id="rId894" display="https://i.ibb.co/DznB5q4/Itau.png"/>
    <hyperlink ref="H896" r:id="rId895" display="https://i.ibb.co/DznB5q4/Itau.png"/>
    <hyperlink ref="H897" r:id="rId896" display="https://i.ibb.co/DznB5q4/Itau.png"/>
    <hyperlink ref="H898" r:id="rId897" display="https://i.ibb.co/DznB5q4/Itau.png"/>
    <hyperlink ref="H899" r:id="rId898" display="https://i.ibb.co/DznB5q4/Itau.png"/>
    <hyperlink ref="H900" r:id="rId899" display="https://i.ibb.co/DznB5q4/Itau.png"/>
    <hyperlink ref="H901" r:id="rId900" display="https://i.ibb.co/zX8KX6R/Santander.png"/>
    <hyperlink ref="H902" r:id="rId901" display="https://i.ibb.co/DznB5q4/Itau.png"/>
    <hyperlink ref="H903" r:id="rId902" display="https://i.ibb.co/DznB5q4/Itau.png"/>
    <hyperlink ref="H904" r:id="rId903" display="https://i.ibb.co/DznB5q4/Itau.png"/>
    <hyperlink ref="H905" r:id="rId904" display="https://i.ibb.co/LpJM38D/Nubank.png"/>
    <hyperlink ref="H906" r:id="rId905" display="https://i.ibb.co/68RXB19/Bradesco.png"/>
    <hyperlink ref="H907" r:id="rId906" display="https://i.ibb.co/LpJM38D/Nubank.png"/>
    <hyperlink ref="H908" r:id="rId907" display="https://i.ibb.co/DznB5q4/Itau.png"/>
    <hyperlink ref="H909" r:id="rId908" display="https://i.ibb.co/DznB5q4/Itau.png"/>
    <hyperlink ref="H910" r:id="rId909" display="https://i.ibb.co/zX8KX6R/Santander.png"/>
    <hyperlink ref="H911" r:id="rId910" display="https://i.ibb.co/LpJM38D/Nubank.png"/>
    <hyperlink ref="H912" r:id="rId911" display="https://i.ibb.co/LpJM38D/Nubank.png"/>
    <hyperlink ref="H913" r:id="rId912" display="https://i.ibb.co/DznB5q4/Itau.png"/>
    <hyperlink ref="H914" r:id="rId913" display="https://i.ibb.co/68RXB19/Bradesco.png"/>
    <hyperlink ref="H915" r:id="rId914" display="https://i.ibb.co/DznB5q4/Itau.png"/>
    <hyperlink ref="H916" r:id="rId915" display="https://i.ibb.co/DznB5q4/Itau.png"/>
    <hyperlink ref="H917" r:id="rId916" display="https://i.ibb.co/FhY6B5f/Safra.png"/>
    <hyperlink ref="H918" r:id="rId917" display="https://i.ibb.co/DznB5q4/Itau.png"/>
    <hyperlink ref="H919" r:id="rId918" display="https://i.ibb.co/LpJM38D/Nubank.png"/>
    <hyperlink ref="H920" r:id="rId919" display="https://i.ibb.co/zX8KX6R/Santander.png"/>
    <hyperlink ref="H921" r:id="rId920" display="https://i.ibb.co/LpJM38D/Nubank.png"/>
    <hyperlink ref="H922" r:id="rId921" display="https://i.ibb.co/LpJM38D/Nubank.png"/>
    <hyperlink ref="H923" r:id="rId922" display="https://i.ibb.co/zX8KX6R/Santander.png"/>
    <hyperlink ref="H924" r:id="rId923" display="https://i.ibb.co/LpJM38D/Nubank.png"/>
    <hyperlink ref="H925" r:id="rId924" display="https://i.ibb.co/LpJM38D/Nubank.png"/>
    <hyperlink ref="H926" r:id="rId925" display="https://i.ibb.co/FhY6B5f/Safra.png"/>
    <hyperlink ref="H927" r:id="rId926" display="https://i.ibb.co/LpJM38D/Nubank.png"/>
    <hyperlink ref="H928" r:id="rId927" display="https://i.ibb.co/LpJM38D/Nubank.png"/>
    <hyperlink ref="H929" r:id="rId928" display="https://i.ibb.co/DznB5q4/Itau.png"/>
    <hyperlink ref="H930" r:id="rId929" display="https://i.ibb.co/DznB5q4/Itau.png"/>
    <hyperlink ref="H931" r:id="rId930" display="https://i.ibb.co/zX8KX6R/Santander.png"/>
    <hyperlink ref="H932" r:id="rId931" display="https://i.ibb.co/FhY6B5f/Safra.png"/>
    <hyperlink ref="H933" r:id="rId932" display="https://i.ibb.co/DznB5q4/Itau.png"/>
    <hyperlink ref="H934" r:id="rId933" display="https://i.ibb.co/68RXB19/Bradesco.png"/>
    <hyperlink ref="H935" r:id="rId934" display="https://i.ibb.co/zX8KX6R/Santander.png"/>
    <hyperlink ref="H936" r:id="rId935" display="https://i.ibb.co/DznB5q4/Itau.png"/>
    <hyperlink ref="H937" r:id="rId936" display="https://i.ibb.co/DznB5q4/Itau.png"/>
    <hyperlink ref="H938" r:id="rId937" display="https://i.ibb.co/DznB5q4/Itau.png"/>
    <hyperlink ref="H939" r:id="rId938" display="https://i.ibb.co/LpJM38D/Nubank.png"/>
    <hyperlink ref="H940" r:id="rId939" display="https://i.ibb.co/LpJM38D/Nubank.png"/>
    <hyperlink ref="H941" r:id="rId940" display="https://i.ibb.co/DznB5q4/Itau.png"/>
    <hyperlink ref="H942" r:id="rId941" display="https://i.ibb.co/LpJM38D/Nubank.png"/>
    <hyperlink ref="H943" r:id="rId942" display="https://i.ibb.co/DznB5q4/Itau.png"/>
    <hyperlink ref="H944" r:id="rId943" display="https://i.ibb.co/zX8KX6R/Santander.png"/>
    <hyperlink ref="H945" r:id="rId944" display="https://i.ibb.co/DznB5q4/Itau.png"/>
    <hyperlink ref="H946" r:id="rId945" display="https://i.ibb.co/LpJM38D/Nubank.png"/>
    <hyperlink ref="H947" r:id="rId946" display="https://i.ibb.co/LpJM38D/Nubank.png"/>
    <hyperlink ref="H948" r:id="rId947" display="https://i.ibb.co/LpJM38D/Nubank.png"/>
    <hyperlink ref="H949" r:id="rId948" display="https://i.ibb.co/DznB5q4/Itau.png"/>
    <hyperlink ref="H950" r:id="rId949" display="https://i.ibb.co/FhY6B5f/Safra.png"/>
    <hyperlink ref="H951" r:id="rId950" display="https://i.ibb.co/LpJM38D/Nubank.png"/>
    <hyperlink ref="H952" r:id="rId951" display="https://i.ibb.co/LpJM38D/Nubank.png"/>
    <hyperlink ref="H953" r:id="rId952" display="https://i.ibb.co/DznB5q4/Itau.png"/>
    <hyperlink ref="H954" r:id="rId953" display="https://i.ibb.co/DznB5q4/Itau.png"/>
    <hyperlink ref="H955" r:id="rId954" display="https://i.ibb.co/LpJM38D/Nubank.png"/>
    <hyperlink ref="H956" r:id="rId955" display="https://i.ibb.co/zX8KX6R/Santander.png"/>
    <hyperlink ref="H957" r:id="rId956" display="https://i.ibb.co/DznB5q4/Itau.png"/>
    <hyperlink ref="H958" r:id="rId957" display="https://i.ibb.co/FhY6B5f/Safra.png"/>
    <hyperlink ref="H959" r:id="rId958" display="https://i.ibb.co/LpJM38D/Nubank.png"/>
    <hyperlink ref="H960" r:id="rId959" display="https://i.ibb.co/68RXB19/Bradesco.png"/>
    <hyperlink ref="H961" r:id="rId960" display="https://i.ibb.co/DznB5q4/Itau.png"/>
    <hyperlink ref="H962" r:id="rId961" display="https://i.ibb.co/DznB5q4/Itau.png"/>
    <hyperlink ref="H963" r:id="rId962" display="https://i.ibb.co/DznB5q4/Itau.png"/>
    <hyperlink ref="H964" r:id="rId963" display="https://i.ibb.co/FhY6B5f/Safra.png"/>
    <hyperlink ref="H965" r:id="rId964" display="https://i.ibb.co/zX8KX6R/Santander.png"/>
    <hyperlink ref="H966" r:id="rId965" display="https://i.ibb.co/DznB5q4/Itau.png"/>
    <hyperlink ref="H967" r:id="rId966" display="https://i.ibb.co/FhY6B5f/Safra.png"/>
    <hyperlink ref="H968" r:id="rId967" display="https://i.ibb.co/68RXB19/Bradesco.png"/>
    <hyperlink ref="H969" r:id="rId968" display="https://i.ibb.co/LpJM38D/Nubank.png"/>
    <hyperlink ref="H970" r:id="rId969" display="https://i.ibb.co/DznB5q4/Itau.png"/>
    <hyperlink ref="H971" r:id="rId970" display="https://i.ibb.co/FhY6B5f/Safra.png"/>
    <hyperlink ref="H972" r:id="rId971" display="https://i.ibb.co/DznB5q4/Itau.png"/>
    <hyperlink ref="H973" r:id="rId972" display="https://i.ibb.co/DznB5q4/Itau.png"/>
    <hyperlink ref="H974" r:id="rId973" display="https://i.ibb.co/DznB5q4/Itau.png"/>
    <hyperlink ref="H975" r:id="rId974" display="https://i.ibb.co/LpJM38D/Nubank.png"/>
    <hyperlink ref="H976" r:id="rId975" display="https://i.ibb.co/DznB5q4/Itau.png"/>
    <hyperlink ref="H977" r:id="rId976" display="https://i.ibb.co/LpJM38D/Nubank.png"/>
    <hyperlink ref="H978" r:id="rId977" display="https://i.ibb.co/DznB5q4/Itau.png"/>
    <hyperlink ref="H979" r:id="rId978" display="https://i.ibb.co/68RXB19/Bradesco.png"/>
    <hyperlink ref="H980" r:id="rId979" display="https://i.ibb.co/DznB5q4/Itau.png"/>
    <hyperlink ref="H981" r:id="rId980" display="https://i.ibb.co/DznB5q4/Itau.png"/>
    <hyperlink ref="H982" r:id="rId981" display="https://i.ibb.co/68RXB19/Bradesco.png"/>
    <hyperlink ref="H983" r:id="rId982" display="https://i.ibb.co/DznB5q4/Itau.png"/>
    <hyperlink ref="H984" r:id="rId983" display="https://i.ibb.co/zX8KX6R/Santander.png"/>
    <hyperlink ref="H985" r:id="rId984" display="https://i.ibb.co/zX8KX6R/Santander.png"/>
    <hyperlink ref="H986" r:id="rId985" display="https://i.ibb.co/LpJM38D/Nubank.png"/>
    <hyperlink ref="H987" r:id="rId986" display="https://i.ibb.co/DznB5q4/Itau.png"/>
    <hyperlink ref="H988" r:id="rId987" display="https://i.ibb.co/DznB5q4/Itau.png"/>
    <hyperlink ref="H989" r:id="rId988" display="https://i.ibb.co/DznB5q4/Itau.png"/>
    <hyperlink ref="H990" r:id="rId989" display="https://i.ibb.co/zX8KX6R/Santander.png"/>
    <hyperlink ref="H991" r:id="rId990" display="https://i.ibb.co/zX8KX6R/Santander.png"/>
    <hyperlink ref="H992" r:id="rId991" display="https://i.ibb.co/LpJM38D/Nubank.png"/>
    <hyperlink ref="H993" r:id="rId992" display="https://i.ibb.co/68RXB19/Bradesco.png"/>
    <hyperlink ref="H994" r:id="rId993" display="https://i.ibb.co/LpJM38D/Nubank.png"/>
    <hyperlink ref="H995" r:id="rId994" display="https://i.ibb.co/zX8KX6R/Santander.png"/>
    <hyperlink ref="H996" r:id="rId995" display="https://i.ibb.co/zX8KX6R/Santander.png"/>
    <hyperlink ref="H997" r:id="rId996" display="https://i.ibb.co/DznB5q4/Itau.png"/>
    <hyperlink ref="H998" r:id="rId997" display="https://i.ibb.co/LpJM38D/Nubank.png"/>
    <hyperlink ref="H999" r:id="rId998" display="https://i.ibb.co/LpJM38D/Nubank.png"/>
    <hyperlink ref="H1000" r:id="rId999" display="https://i.ibb.co/68RXB19/Bradesco.png"/>
    <hyperlink ref="H1001" r:id="rId1000" display="https://i.ibb.co/LpJM38D/Nubank.png"/>
    <hyperlink ref="H1002" r:id="rId1001" display="https://i.ibb.co/LpJM38D/Nubank.png"/>
    <hyperlink ref="H1003" r:id="rId1002" display="https://i.ibb.co/zX8KX6R/Santander.png"/>
    <hyperlink ref="H1004" r:id="rId1003" display="https://i.ibb.co/FhY6B5f/Safra.png"/>
    <hyperlink ref="H1005" r:id="rId1004" display="https://i.ibb.co/LpJM38D/Nubank.png"/>
    <hyperlink ref="H1006" r:id="rId1005" display="https://i.ibb.co/68RXB19/Bradesco.png"/>
    <hyperlink ref="H1007" r:id="rId1006" display="https://i.ibb.co/DznB5q4/Itau.png"/>
    <hyperlink ref="H1008" r:id="rId1007" display="https://i.ibb.co/DznB5q4/Itau.png"/>
    <hyperlink ref="H1009" r:id="rId1008" display="https://i.ibb.co/DznB5q4/Itau.png"/>
    <hyperlink ref="H1010" r:id="rId1009" display="https://i.ibb.co/zX8KX6R/Santander.png"/>
    <hyperlink ref="H1011" r:id="rId1010" display="https://i.ibb.co/DznB5q4/Itau.png"/>
    <hyperlink ref="H1012" r:id="rId1011" display="https://i.ibb.co/zX8KX6R/Santander.png"/>
    <hyperlink ref="H1013" r:id="rId1012" display="https://i.ibb.co/DznB5q4/Itau.png"/>
    <hyperlink ref="H1014" r:id="rId1013" display="https://i.ibb.co/LpJM38D/Nubank.png"/>
    <hyperlink ref="H1015" r:id="rId1014" display="https://i.ibb.co/LpJM38D/Nubank.png"/>
    <hyperlink ref="H1016" r:id="rId1015" display="https://i.ibb.co/zX8KX6R/Santander.png"/>
    <hyperlink ref="H1017" r:id="rId1016" display="https://i.ibb.co/68RXB19/Bradesco.png"/>
    <hyperlink ref="H1018" r:id="rId1017" display="https://i.ibb.co/DznB5q4/Itau.png"/>
    <hyperlink ref="H1019" r:id="rId1018" display="https://i.ibb.co/DznB5q4/Itau.png"/>
    <hyperlink ref="H1020" r:id="rId1019" display="https://i.ibb.co/DznB5q4/Itau.png"/>
    <hyperlink ref="H1021" r:id="rId1020" display="https://i.ibb.co/zX8KX6R/Santander.png"/>
    <hyperlink ref="H1022" r:id="rId1021" display="https://i.ibb.co/DznB5q4/Itau.png"/>
    <hyperlink ref="H1023" r:id="rId1022" display="https://i.ibb.co/DznB5q4/Itau.png"/>
    <hyperlink ref="H1024" r:id="rId1023" display="https://i.ibb.co/DznB5q4/Itau.png"/>
    <hyperlink ref="H1025" r:id="rId1024" display="https://i.ibb.co/DznB5q4/Itau.png"/>
    <hyperlink ref="H1026" r:id="rId1025" display="https://i.ibb.co/zX8KX6R/Santander.png"/>
    <hyperlink ref="H1027" r:id="rId1026" display="https://i.ibb.co/68RXB19/Bradesco.png"/>
    <hyperlink ref="H1028" r:id="rId1027" display="https://i.ibb.co/DznB5q4/Itau.png"/>
    <hyperlink ref="H1029" r:id="rId1028" display="https://i.ibb.co/LpJM38D/Nubank.png"/>
    <hyperlink ref="H1030" r:id="rId1029" display="https://i.ibb.co/LpJM38D/Nubank.png"/>
    <hyperlink ref="H1031" r:id="rId1030" display="https://i.ibb.co/DznB5q4/Itau.png"/>
    <hyperlink ref="H1032" r:id="rId1031" display="https://i.ibb.co/LpJM38D/Nubank.png"/>
    <hyperlink ref="H1033" r:id="rId1032" display="https://i.ibb.co/zX8KX6R/Santander.png"/>
    <hyperlink ref="H1034" r:id="rId1033" display="https://i.ibb.co/LpJM38D/Nubank.png"/>
    <hyperlink ref="H1035" r:id="rId1034" display="https://i.ibb.co/DznB5q4/Itau.png"/>
    <hyperlink ref="H1036" r:id="rId1035" display="https://i.ibb.co/68RXB19/Bradesco.png"/>
    <hyperlink ref="H1037" r:id="rId1036" display="https://i.ibb.co/FhY6B5f/Safra.png"/>
    <hyperlink ref="H1038" r:id="rId1037" display="https://i.ibb.co/68RXB19/Bradesco.png"/>
    <hyperlink ref="H1039" r:id="rId1038" display="https://i.ibb.co/LpJM38D/Nubank.png"/>
    <hyperlink ref="H1040" r:id="rId1039" display="https://i.ibb.co/68RXB19/Bradesco.png"/>
    <hyperlink ref="H1041" r:id="rId1040" display="https://i.ibb.co/LpJM38D/Nubank.png"/>
    <hyperlink ref="H1042" r:id="rId1041" display="https://i.ibb.co/LpJM38D/Nubank.png"/>
    <hyperlink ref="H1043" r:id="rId1042" display="https://i.ibb.co/DznB5q4/Itau.png"/>
    <hyperlink ref="H1044" r:id="rId1043" display="https://i.ibb.co/DznB5q4/Itau.png"/>
    <hyperlink ref="H1045" r:id="rId1044" display="https://i.ibb.co/LpJM38D/Nubank.png"/>
    <hyperlink ref="H1046" r:id="rId1045" display="https://i.ibb.co/DznB5q4/Itau.png"/>
    <hyperlink ref="H1047" r:id="rId1046" display="https://i.ibb.co/LpJM38D/Nubank.png"/>
    <hyperlink ref="H1048" r:id="rId1047" display="https://i.ibb.co/DznB5q4/Itau.png"/>
    <hyperlink ref="H1049" r:id="rId1048" display="https://i.ibb.co/zX8KX6R/Santander.png"/>
    <hyperlink ref="H1050" r:id="rId1049" display="https://i.ibb.co/zX8KX6R/Santander.png"/>
    <hyperlink ref="H1051" r:id="rId1050" display="https://i.ibb.co/68RXB19/Bradesco.png"/>
    <hyperlink ref="H1052" r:id="rId1051" display="https://i.ibb.co/68RXB19/Bradesco.png"/>
    <hyperlink ref="H1053" r:id="rId1052" display="https://i.ibb.co/DznB5q4/Itau.png"/>
    <hyperlink ref="H1054" r:id="rId1053" display="https://i.ibb.co/DznB5q4/Itau.png"/>
    <hyperlink ref="H1055" r:id="rId1054" display="https://i.ibb.co/LpJM38D/Nubank.png"/>
    <hyperlink ref="H1056" r:id="rId1055" display="https://i.ibb.co/zX8KX6R/Santander.png"/>
    <hyperlink ref="H1057" r:id="rId1056" display="https://i.ibb.co/LpJM38D/Nubank.png"/>
    <hyperlink ref="H1058" r:id="rId1057" display="https://i.ibb.co/DznB5q4/Itau.png"/>
    <hyperlink ref="H1059" r:id="rId1058" display="https://i.ibb.co/LpJM38D/Nubank.png"/>
    <hyperlink ref="H1060" r:id="rId1059" display="https://i.ibb.co/DznB5q4/Itau.png"/>
    <hyperlink ref="H1061" r:id="rId1060" display="https://i.ibb.co/DznB5q4/Itau.png"/>
    <hyperlink ref="H1062" r:id="rId1061" display="https://i.ibb.co/zX8KX6R/Santander.png"/>
    <hyperlink ref="H1063" r:id="rId1062" display="https://i.ibb.co/DznB5q4/Itau.png"/>
    <hyperlink ref="H1064" r:id="rId1063" display="https://i.ibb.co/68RXB19/Bradesco.png"/>
    <hyperlink ref="H1065" r:id="rId1064" display="https://i.ibb.co/LpJM38D/Nubank.png"/>
    <hyperlink ref="H1066" r:id="rId1065" display="https://i.ibb.co/zX8KX6R/Santander.png"/>
    <hyperlink ref="H1067" r:id="rId1066" display="https://i.ibb.co/LpJM38D/Nubank.png"/>
    <hyperlink ref="H1068" r:id="rId1067" display="https://i.ibb.co/DznB5q4/Itau.png"/>
    <hyperlink ref="H1069" r:id="rId1068" display="https://i.ibb.co/DznB5q4/Itau.png"/>
    <hyperlink ref="H1070" r:id="rId1069" display="https://i.ibb.co/DznB5q4/Itau.png"/>
    <hyperlink ref="H1071" r:id="rId1070" display="https://i.ibb.co/68RXB19/Bradesco.png"/>
    <hyperlink ref="H1072" r:id="rId1071" display="https://i.ibb.co/68RXB19/Bradesco.png"/>
    <hyperlink ref="H1073" r:id="rId1072" display="https://i.ibb.co/FhY6B5f/Safra.png"/>
    <hyperlink ref="H1074" r:id="rId1073" display="https://i.ibb.co/68RXB19/Bradesco.png"/>
    <hyperlink ref="H1075" r:id="rId1074" display="https://i.ibb.co/zX8KX6R/Santander.png"/>
    <hyperlink ref="H1076" r:id="rId1075" display="https://i.ibb.co/LpJM38D/Nubank.png"/>
    <hyperlink ref="H1077" r:id="rId1076" display="https://i.ibb.co/DznB5q4/Itau.png"/>
    <hyperlink ref="H1078" r:id="rId1077" display="https://i.ibb.co/DznB5q4/Itau.png"/>
    <hyperlink ref="H1079" r:id="rId1078" display="https://i.ibb.co/LpJM38D/Nubank.png"/>
    <hyperlink ref="H1080" r:id="rId1079" display="https://i.ibb.co/zX8KX6R/Santander.png"/>
    <hyperlink ref="H1081" r:id="rId1080" display="https://i.ibb.co/68RXB19/Bradesco.png"/>
    <hyperlink ref="H1082" r:id="rId1081" display="https://i.ibb.co/DznB5q4/Itau.png"/>
    <hyperlink ref="H1083" r:id="rId1082" display="https://i.ibb.co/DznB5q4/Itau.png"/>
    <hyperlink ref="H1084" r:id="rId1083" display="https://i.ibb.co/68RXB19/Bradesco.png"/>
    <hyperlink ref="H1085" r:id="rId1084" display="https://i.ibb.co/68RXB19/Bradesco.png"/>
    <hyperlink ref="H1086" r:id="rId1085" display="https://i.ibb.co/zX8KX6R/Santander.png"/>
    <hyperlink ref="H1087" r:id="rId1086" display="https://i.ibb.co/68RXB19/Bradesco.png"/>
    <hyperlink ref="H1088" r:id="rId1087" display="https://i.ibb.co/DznB5q4/Itau.png"/>
    <hyperlink ref="H1089" r:id="rId1088" display="https://i.ibb.co/DznB5q4/Itau.png"/>
    <hyperlink ref="H1090" r:id="rId1089" display="https://i.ibb.co/DznB5q4/Itau.png"/>
    <hyperlink ref="H1091" r:id="rId1090" display="https://i.ibb.co/LpJM38D/Nubank.png"/>
    <hyperlink ref="H1092" r:id="rId1091" display="https://i.ibb.co/68RXB19/Bradesco.png"/>
    <hyperlink ref="H1093" r:id="rId1092" display="https://i.ibb.co/68RXB19/Bradesco.png"/>
    <hyperlink ref="H1094" r:id="rId1093" display="https://i.ibb.co/LpJM38D/Nubank.png"/>
    <hyperlink ref="H1095" r:id="rId1094" display="https://i.ibb.co/68RXB19/Bradesco.png"/>
    <hyperlink ref="H1096" r:id="rId1095" display="https://i.ibb.co/LpJM38D/Nubank.png"/>
    <hyperlink ref="H1097" r:id="rId1096" display="https://i.ibb.co/68RXB19/Bradesco.png"/>
    <hyperlink ref="H1098" r:id="rId1097" display="https://i.ibb.co/DznB5q4/Itau.png"/>
    <hyperlink ref="H1099" r:id="rId1098" display="https://i.ibb.co/FhY6B5f/Safra.png"/>
    <hyperlink ref="H1100" r:id="rId1099" display="https://i.ibb.co/68RXB19/Bradesco.png"/>
    <hyperlink ref="H1101" r:id="rId1100" display="https://i.ibb.co/DznB5q4/Itau.png"/>
    <hyperlink ref="H1102" r:id="rId1101" display="https://i.ibb.co/68RXB19/Bradesco.png"/>
    <hyperlink ref="H1103" r:id="rId1102" display="https://i.ibb.co/LpJM38D/Nubank.png"/>
    <hyperlink ref="H1104" r:id="rId1103" display="https://i.ibb.co/DznB5q4/Itau.png"/>
    <hyperlink ref="H1105" r:id="rId1104" display="https://i.ibb.co/DznB5q4/Itau.png"/>
    <hyperlink ref="H1106" r:id="rId1105" display="https://i.ibb.co/DznB5q4/Itau.png"/>
    <hyperlink ref="H1107" r:id="rId1106" display="https://i.ibb.co/DznB5q4/Itau.png"/>
    <hyperlink ref="H1108" r:id="rId1107" display="https://i.ibb.co/LpJM38D/Nubank.png"/>
    <hyperlink ref="H1109" r:id="rId1108" display="https://i.ibb.co/DznB5q4/Itau.png"/>
    <hyperlink ref="H1110" r:id="rId1109" display="https://i.ibb.co/DznB5q4/Itau.png"/>
    <hyperlink ref="H1111" r:id="rId1110" display="https://i.ibb.co/LpJM38D/Nubank.png"/>
    <hyperlink ref="H1112" r:id="rId1111" display="https://i.ibb.co/DznB5q4/Itau.png"/>
    <hyperlink ref="H1113" r:id="rId1112" display="https://i.ibb.co/DznB5q4/Itau.png"/>
    <hyperlink ref="H1114" r:id="rId1113" display="https://i.ibb.co/zX8KX6R/Santander.png"/>
    <hyperlink ref="H1115" r:id="rId1114" display="https://i.ibb.co/DznB5q4/Itau.png"/>
    <hyperlink ref="H1116" r:id="rId1115" display="https://i.ibb.co/DznB5q4/Itau.png"/>
    <hyperlink ref="H1117" r:id="rId1116" display="https://i.ibb.co/FhY6B5f/Safra.png"/>
    <hyperlink ref="H1118" r:id="rId1117" display="https://i.ibb.co/DznB5q4/Itau.png"/>
    <hyperlink ref="H1119" r:id="rId1118" display="https://i.ibb.co/LpJM38D/Nubank.png"/>
    <hyperlink ref="H1120" r:id="rId1119" display="https://i.ibb.co/DznB5q4/Itau.png"/>
    <hyperlink ref="H1121" r:id="rId1120" display="https://i.ibb.co/zX8KX6R/Santander.png"/>
    <hyperlink ref="H1122" r:id="rId1121" display="https://i.ibb.co/LpJM38D/Nubank.png"/>
    <hyperlink ref="H1123" r:id="rId1122" display="https://i.ibb.co/zX8KX6R/Santander.png"/>
    <hyperlink ref="H1124" r:id="rId1123" display="https://i.ibb.co/LpJM38D/Nubank.png"/>
    <hyperlink ref="H1125" r:id="rId1124" display="https://i.ibb.co/DznB5q4/Itau.png"/>
    <hyperlink ref="H1126" r:id="rId1125" display="https://i.ibb.co/zX8KX6R/Santander.png"/>
    <hyperlink ref="H1127" r:id="rId1126" display="https://i.ibb.co/LpJM38D/Nubank.png"/>
    <hyperlink ref="H1128" r:id="rId1127" display="https://i.ibb.co/zX8KX6R/Santander.png"/>
    <hyperlink ref="H1129" r:id="rId1128" display="https://i.ibb.co/zX8KX6R/Santander.png"/>
    <hyperlink ref="H1130" r:id="rId1129" display="https://i.ibb.co/FhY6B5f/Safra.png"/>
    <hyperlink ref="H1131" r:id="rId1130" display="https://i.ibb.co/DznB5q4/Itau.png"/>
    <hyperlink ref="H1132" r:id="rId1131" display="https://i.ibb.co/zX8KX6R/Santander.png"/>
    <hyperlink ref="H1133" r:id="rId1132" display="https://i.ibb.co/LpJM38D/Nubank.png"/>
    <hyperlink ref="H1134" r:id="rId1133" display="https://i.ibb.co/FhY6B5f/Safra.png"/>
    <hyperlink ref="H1135" r:id="rId1134" display="https://i.ibb.co/DznB5q4/Itau.png"/>
    <hyperlink ref="H1136" r:id="rId1135" display="https://i.ibb.co/FhY6B5f/Safra.png"/>
    <hyperlink ref="H1137" r:id="rId1136" display="https://i.ibb.co/LpJM38D/Nubank.png"/>
    <hyperlink ref="H1138" r:id="rId1137" display="https://i.ibb.co/DznB5q4/Itau.png"/>
    <hyperlink ref="H1139" r:id="rId1138" display="https://i.ibb.co/DznB5q4/Itau.png"/>
    <hyperlink ref="H1140" r:id="rId1139" display="https://i.ibb.co/DznB5q4/Itau.png"/>
    <hyperlink ref="H1141" r:id="rId1140" display="https://i.ibb.co/DznB5q4/Itau.png"/>
    <hyperlink ref="H1142" r:id="rId1141" display="https://i.ibb.co/DznB5q4/Itau.png"/>
    <hyperlink ref="H1143" r:id="rId1142" display="https://i.ibb.co/DznB5q4/Itau.png"/>
    <hyperlink ref="H1144" r:id="rId1143" display="https://i.ibb.co/68RXB19/Bradesco.png"/>
    <hyperlink ref="H1145" r:id="rId1144" display="https://i.ibb.co/68RXB19/Bradesco.png"/>
    <hyperlink ref="H1146" r:id="rId1145" display="https://i.ibb.co/68RXB19/Bradesco.png"/>
    <hyperlink ref="H1147" r:id="rId1146" display="https://i.ibb.co/LpJM38D/Nubank.png"/>
    <hyperlink ref="H1148" r:id="rId1147" display="https://i.ibb.co/DznB5q4/Itau.png"/>
    <hyperlink ref="H1149" r:id="rId1148" display="https://i.ibb.co/DznB5q4/Itau.png"/>
    <hyperlink ref="H1150" r:id="rId1149" display="https://i.ibb.co/68RXB19/Bradesco.png"/>
    <hyperlink ref="H1151" r:id="rId1150" display="https://i.ibb.co/DznB5q4/Itau.png"/>
    <hyperlink ref="H1152" r:id="rId1151" display="https://i.ibb.co/zX8KX6R/Santander.png"/>
    <hyperlink ref="H1153" r:id="rId1152" display="https://i.ibb.co/LpJM38D/Nubank.png"/>
    <hyperlink ref="H1154" r:id="rId1153" display="https://i.ibb.co/DznB5q4/Itau.png"/>
    <hyperlink ref="H1155" r:id="rId1154" display="https://i.ibb.co/LpJM38D/Nubank.png"/>
    <hyperlink ref="H1156" r:id="rId1155" display="https://i.ibb.co/DznB5q4/Itau.png"/>
    <hyperlink ref="H1157" r:id="rId1156" display="https://i.ibb.co/68RXB19/Bradesco.png"/>
    <hyperlink ref="H1158" r:id="rId1157" display="https://i.ibb.co/FhY6B5f/Safra.png"/>
    <hyperlink ref="H1159" r:id="rId1158" display="https://i.ibb.co/DznB5q4/Itau.png"/>
    <hyperlink ref="H1160" r:id="rId1159" display="https://i.ibb.co/DznB5q4/Itau.png"/>
    <hyperlink ref="H1161" r:id="rId1160" display="https://i.ibb.co/68RXB19/Bradesco.png"/>
    <hyperlink ref="H1162" r:id="rId1161" display="https://i.ibb.co/DznB5q4/Itau.png"/>
    <hyperlink ref="H1163" r:id="rId1162" display="https://i.ibb.co/68RXB19/Bradesco.png"/>
    <hyperlink ref="H1164" r:id="rId1163" display="https://i.ibb.co/DznB5q4/Itau.png"/>
    <hyperlink ref="H1165" r:id="rId1164" display="https://i.ibb.co/LpJM38D/Nubank.png"/>
    <hyperlink ref="H1166" r:id="rId1165" display="https://i.ibb.co/zX8KX6R/Santander.png"/>
    <hyperlink ref="H1167" r:id="rId1166" display="https://i.ibb.co/LpJM38D/Nubank.png"/>
    <hyperlink ref="H1168" r:id="rId1167" display="https://i.ibb.co/68RXB19/Bradesco.png"/>
    <hyperlink ref="H1169" r:id="rId1168" display="https://i.ibb.co/DznB5q4/Itau.png"/>
    <hyperlink ref="H1170" r:id="rId1169" display="https://i.ibb.co/zX8KX6R/Santander.png"/>
    <hyperlink ref="H1171" r:id="rId1170" display="https://i.ibb.co/zX8KX6R/Santander.png"/>
    <hyperlink ref="H1172" r:id="rId1171" display="https://i.ibb.co/FhY6B5f/Safra.png"/>
    <hyperlink ref="H1173" r:id="rId1172" display="https://i.ibb.co/DznB5q4/Itau.png"/>
    <hyperlink ref="H1174" r:id="rId1173" display="https://i.ibb.co/DznB5q4/Itau.png"/>
    <hyperlink ref="H1175" r:id="rId1174" display="https://i.ibb.co/68RXB19/Bradesco.png"/>
    <hyperlink ref="H1176" r:id="rId1175" display="https://i.ibb.co/LpJM38D/Nubank.png"/>
    <hyperlink ref="H1177" r:id="rId1176" display="https://i.ibb.co/DznB5q4/Itau.png"/>
    <hyperlink ref="H1178" r:id="rId1177" display="https://i.ibb.co/DznB5q4/Itau.png"/>
    <hyperlink ref="H1179" r:id="rId1178" display="https://i.ibb.co/DznB5q4/Itau.png"/>
    <hyperlink ref="H1180" r:id="rId1179" display="https://i.ibb.co/DznB5q4/Itau.png"/>
    <hyperlink ref="H1181" r:id="rId1180" display="https://i.ibb.co/zX8KX6R/Santander.png"/>
    <hyperlink ref="H1182" r:id="rId1181" display="https://i.ibb.co/FhY6B5f/Safra.png"/>
    <hyperlink ref="H1183" r:id="rId1182" display="https://i.ibb.co/LpJM38D/Nubank.png"/>
    <hyperlink ref="H1184" r:id="rId1183" display="https://i.ibb.co/LpJM38D/Nubank.png"/>
    <hyperlink ref="H1185" r:id="rId1184" display="https://i.ibb.co/LpJM38D/Nubank.png"/>
    <hyperlink ref="H1186" r:id="rId1185" display="https://i.ibb.co/68RXB19/Bradesco.png"/>
    <hyperlink ref="H1187" r:id="rId1186" display="https://i.ibb.co/68RXB19/Bradesco.png"/>
    <hyperlink ref="H1188" r:id="rId1187" display="https://i.ibb.co/LpJM38D/Nubank.png"/>
    <hyperlink ref="H1189" r:id="rId1188" display="https://i.ibb.co/zX8KX6R/Santander.png"/>
    <hyperlink ref="H1190" r:id="rId1189" display="https://i.ibb.co/zX8KX6R/Santander.png"/>
    <hyperlink ref="H1191" r:id="rId1190" display="https://i.ibb.co/LpJM38D/Nubank.png"/>
    <hyperlink ref="H1192" r:id="rId1191" display="https://i.ibb.co/zX8KX6R/Santander.png"/>
    <hyperlink ref="H1193" r:id="rId1192" display="https://i.ibb.co/DznB5q4/Itau.png"/>
    <hyperlink ref="H1194" r:id="rId1193" display="https://i.ibb.co/LpJM38D/Nubank.png"/>
    <hyperlink ref="H1195" r:id="rId1194" display="https://i.ibb.co/DznB5q4/Itau.png"/>
    <hyperlink ref="H1196" r:id="rId1195" display="https://i.ibb.co/LpJM38D/Nubank.png"/>
    <hyperlink ref="H1197" r:id="rId1196" display="https://i.ibb.co/DznB5q4/Itau.png"/>
    <hyperlink ref="H1198" r:id="rId1197" display="https://i.ibb.co/DznB5q4/Itau.png"/>
    <hyperlink ref="H1199" r:id="rId1198" display="https://i.ibb.co/zX8KX6R/Santander.png"/>
    <hyperlink ref="H1200" r:id="rId1199" display="https://i.ibb.co/DznB5q4/Itau.png"/>
    <hyperlink ref="H1201" r:id="rId1200" display="https://i.ibb.co/DznB5q4/Itau.png"/>
    <hyperlink ref="H1202" r:id="rId1201" display="https://i.ibb.co/DznB5q4/Itau.png"/>
    <hyperlink ref="H1203" r:id="rId1202" display="https://i.ibb.co/DznB5q4/Itau.png"/>
    <hyperlink ref="H1204" r:id="rId1203" display="https://i.ibb.co/LpJM38D/Nubank.png"/>
    <hyperlink ref="H1205" r:id="rId1204" display="https://i.ibb.co/zX8KX6R/Santander.png"/>
    <hyperlink ref="H1206" r:id="rId1205" display="https://i.ibb.co/DznB5q4/Itau.png"/>
    <hyperlink ref="H1207" r:id="rId1206" display="https://i.ibb.co/zX8KX6R/Santander.png"/>
    <hyperlink ref="H1208" r:id="rId1207" display="https://i.ibb.co/LpJM38D/Nubank.png"/>
    <hyperlink ref="H1209" r:id="rId1208" display="https://i.ibb.co/zX8KX6R/Santander.png"/>
    <hyperlink ref="H1210" r:id="rId1209" display="https://i.ibb.co/LpJM38D/Nubank.png"/>
    <hyperlink ref="H1211" r:id="rId1210" display="https://i.ibb.co/DznB5q4/Itau.png"/>
    <hyperlink ref="H1212" r:id="rId1211" display="https://i.ibb.co/zX8KX6R/Santander.png"/>
    <hyperlink ref="H1213" r:id="rId1212" display="https://i.ibb.co/zX8KX6R/Santander.png"/>
    <hyperlink ref="H1214" r:id="rId1213" display="https://i.ibb.co/DznB5q4/Itau.png"/>
    <hyperlink ref="H1215" r:id="rId1214" display="https://i.ibb.co/zX8KX6R/Santander.png"/>
    <hyperlink ref="H1216" r:id="rId1215" display="https://i.ibb.co/DznB5q4/Itau.png"/>
    <hyperlink ref="H1217" r:id="rId1216" display="https://i.ibb.co/zX8KX6R/Santander.png"/>
    <hyperlink ref="H1218" r:id="rId1217" display="https://i.ibb.co/zX8KX6R/Santander.png"/>
    <hyperlink ref="H1219" r:id="rId1218" display="https://i.ibb.co/LpJM38D/Nubank.png"/>
    <hyperlink ref="H1220" r:id="rId1219" display="https://i.ibb.co/DznB5q4/Itau.png"/>
    <hyperlink ref="H1221" r:id="rId1220" display="https://i.ibb.co/DznB5q4/Itau.png"/>
    <hyperlink ref="H1222" r:id="rId1221" display="https://i.ibb.co/DznB5q4/Itau.png"/>
    <hyperlink ref="H1223" r:id="rId1222" display="https://i.ibb.co/68RXB19/Bradesco.png"/>
    <hyperlink ref="H1224" r:id="rId1223" display="https://i.ibb.co/zX8KX6R/Santander.png"/>
    <hyperlink ref="H1225" r:id="rId1224" display="https://i.ibb.co/DznB5q4/Itau.png"/>
    <hyperlink ref="H1226" r:id="rId1225" display="https://i.ibb.co/LpJM38D/Nubank.png"/>
    <hyperlink ref="H1227" r:id="rId1226" display="https://i.ibb.co/LpJM38D/Nubank.png"/>
    <hyperlink ref="H1228" r:id="rId1227" display="https://i.ibb.co/DznB5q4/Itau.png"/>
    <hyperlink ref="H1229" r:id="rId1228" display="https://i.ibb.co/68RXB19/Bradesco.png"/>
    <hyperlink ref="H1230" r:id="rId1229" display="https://i.ibb.co/DznB5q4/Itau.png"/>
    <hyperlink ref="H1231" r:id="rId1230" display="https://i.ibb.co/DznB5q4/Itau.png"/>
    <hyperlink ref="H1232" r:id="rId1231" display="https://i.ibb.co/LpJM38D/Nubank.png"/>
    <hyperlink ref="H1233" r:id="rId1232" display="https://i.ibb.co/DznB5q4/Itau.png"/>
    <hyperlink ref="H1234" r:id="rId1233" display="https://i.ibb.co/LpJM38D/Nubank.png"/>
    <hyperlink ref="H1235" r:id="rId1234" display="https://i.ibb.co/FhY6B5f/Safra.png"/>
    <hyperlink ref="H1236" r:id="rId1235" display="https://i.ibb.co/FhY6B5f/Safra.png"/>
    <hyperlink ref="H1237" r:id="rId1236" display="https://i.ibb.co/zX8KX6R/Santander.png"/>
    <hyperlink ref="H1238" r:id="rId1237" display="https://i.ibb.co/LpJM38D/Nubank.png"/>
    <hyperlink ref="H1239" r:id="rId1238" display="https://i.ibb.co/LpJM38D/Nubank.png"/>
    <hyperlink ref="H1240" r:id="rId1239" display="https://i.ibb.co/zX8KX6R/Santander.png"/>
    <hyperlink ref="H1241" r:id="rId1240" display="https://i.ibb.co/FhY6B5f/Safra.png"/>
    <hyperlink ref="H1242" r:id="rId1241" display="https://i.ibb.co/DznB5q4/Itau.png"/>
    <hyperlink ref="H1243" r:id="rId1242" display="https://i.ibb.co/68RXB19/Bradesco.png"/>
    <hyperlink ref="H1244" r:id="rId1243" display="https://i.ibb.co/DznB5q4/Itau.png"/>
    <hyperlink ref="H1245" r:id="rId1244" display="https://i.ibb.co/68RXB19/Bradesco.png"/>
    <hyperlink ref="H1246" r:id="rId1245" display="https://i.ibb.co/DznB5q4/Itau.png"/>
    <hyperlink ref="H1247" r:id="rId1246" display="https://i.ibb.co/LpJM38D/Nubank.png"/>
    <hyperlink ref="H1248" r:id="rId1247" display="https://i.ibb.co/DznB5q4/Itau.png"/>
    <hyperlink ref="H1249" r:id="rId1248" display="https://i.ibb.co/zX8KX6R/Santander.png"/>
    <hyperlink ref="H1250" r:id="rId1249" display="https://i.ibb.co/zX8KX6R/Santander.png"/>
    <hyperlink ref="H1251" r:id="rId1250" display="https://i.ibb.co/DznB5q4/Itau.png"/>
    <hyperlink ref="H1252" r:id="rId1251" display="https://i.ibb.co/zX8KX6R/Santander.png"/>
    <hyperlink ref="H1253" r:id="rId1252" display="https://i.ibb.co/DznB5q4/Itau.png"/>
    <hyperlink ref="H1254" r:id="rId1253" display="https://i.ibb.co/DznB5q4/Itau.png"/>
    <hyperlink ref="H1255" r:id="rId1254" display="https://i.ibb.co/LpJM38D/Nubank.png"/>
    <hyperlink ref="H1256" r:id="rId1255" display="https://i.ibb.co/DznB5q4/Itau.png"/>
    <hyperlink ref="H1257" r:id="rId1256" display="https://i.ibb.co/DznB5q4/Itau.png"/>
    <hyperlink ref="H1258" r:id="rId1257" display="https://i.ibb.co/zX8KX6R/Santander.png"/>
    <hyperlink ref="H1259" r:id="rId1258" display="https://i.ibb.co/DznB5q4/Itau.png"/>
    <hyperlink ref="H1260" r:id="rId1259" display="https://i.ibb.co/LpJM38D/Nubank.png"/>
    <hyperlink ref="H1261" r:id="rId1260" display="https://i.ibb.co/DznB5q4/Itau.png"/>
    <hyperlink ref="H1262" r:id="rId1261" display="https://i.ibb.co/DznB5q4/Itau.png"/>
    <hyperlink ref="H1263" r:id="rId1262" display="https://i.ibb.co/DznB5q4/Itau.png"/>
    <hyperlink ref="H1264" r:id="rId1263" display="https://i.ibb.co/LpJM38D/Nubank.png"/>
    <hyperlink ref="H1265" r:id="rId1264" display="https://i.ibb.co/zX8KX6R/Santander.png"/>
    <hyperlink ref="H1266" r:id="rId1265" display="https://i.ibb.co/LpJM38D/Nubank.png"/>
    <hyperlink ref="H1267" r:id="rId1266" display="https://i.ibb.co/LpJM38D/Nubank.png"/>
    <hyperlink ref="H1268" r:id="rId1267" display="https://i.ibb.co/DznB5q4/Itau.png"/>
    <hyperlink ref="H1269" r:id="rId1268" display="https://i.ibb.co/DznB5q4/Itau.png"/>
    <hyperlink ref="H1270" r:id="rId1269" display="https://i.ibb.co/LpJM38D/Nubank.png"/>
    <hyperlink ref="H1271" r:id="rId1270" display="https://i.ibb.co/FhY6B5f/Safra.png"/>
    <hyperlink ref="H1272" r:id="rId1271" display="https://i.ibb.co/DznB5q4/Itau.png"/>
    <hyperlink ref="H1273" r:id="rId1272" display="https://i.ibb.co/DznB5q4/Itau.png"/>
    <hyperlink ref="H1274" r:id="rId1273" display="https://i.ibb.co/DznB5q4/Itau.png"/>
    <hyperlink ref="H1275" r:id="rId1274" display="https://i.ibb.co/LpJM38D/Nubank.png"/>
    <hyperlink ref="H1276" r:id="rId1275" display="https://i.ibb.co/zX8KX6R/Santander.png"/>
    <hyperlink ref="H1277" r:id="rId1276" display="https://i.ibb.co/DznB5q4/Itau.png"/>
    <hyperlink ref="H1278" r:id="rId1277" display="https://i.ibb.co/LpJM38D/Nubank.png"/>
    <hyperlink ref="H1279" r:id="rId1278" display="https://i.ibb.co/DznB5q4/Itau.png"/>
    <hyperlink ref="H1280" r:id="rId1279" display="https://i.ibb.co/zX8KX6R/Santander.png"/>
    <hyperlink ref="H1281" r:id="rId1280" display="https://i.ibb.co/LpJM38D/Nubank.png"/>
    <hyperlink ref="H1282" r:id="rId1281" display="https://i.ibb.co/DznB5q4/Itau.png"/>
    <hyperlink ref="H1283" r:id="rId1282" display="https://i.ibb.co/DznB5q4/Itau.png"/>
    <hyperlink ref="H1284" r:id="rId1283" display="https://i.ibb.co/DznB5q4/Itau.png"/>
    <hyperlink ref="H1285" r:id="rId1284" display="https://i.ibb.co/DznB5q4/Itau.png"/>
    <hyperlink ref="H1286" r:id="rId1285" display="https://i.ibb.co/LpJM38D/Nubank.png"/>
    <hyperlink ref="H1287" r:id="rId1286" display="https://i.ibb.co/LpJM38D/Nubank.png"/>
    <hyperlink ref="H1288" r:id="rId1287" display="https://i.ibb.co/LpJM38D/Nubank.png"/>
    <hyperlink ref="H1289" r:id="rId1288" display="https://i.ibb.co/68RXB19/Bradesco.png"/>
    <hyperlink ref="H1290" r:id="rId1289" display="https://i.ibb.co/FhY6B5f/Safra.png"/>
    <hyperlink ref="H1291" r:id="rId1290" display="https://i.ibb.co/FhY6B5f/Safra.png"/>
    <hyperlink ref="H1292" r:id="rId1291" display="https://i.ibb.co/DznB5q4/Itau.png"/>
    <hyperlink ref="H1293" r:id="rId1292" display="https://i.ibb.co/zX8KX6R/Santander.png"/>
    <hyperlink ref="H1294" r:id="rId1293" display="https://i.ibb.co/DznB5q4/Itau.png"/>
    <hyperlink ref="H1295" r:id="rId1294" display="https://i.ibb.co/zX8KX6R/Santander.png"/>
    <hyperlink ref="H1296" r:id="rId1295" display="https://i.ibb.co/DznB5q4/Itau.png"/>
    <hyperlink ref="H1297" r:id="rId1296" display="https://i.ibb.co/DznB5q4/Itau.png"/>
    <hyperlink ref="H1298" r:id="rId1297" display="https://i.ibb.co/zX8KX6R/Santander.png"/>
    <hyperlink ref="H1299" r:id="rId1298" display="https://i.ibb.co/DznB5q4/Itau.png"/>
    <hyperlink ref="H1300" r:id="rId1299" display="https://i.ibb.co/LpJM38D/Nubank.png"/>
    <hyperlink ref="H1301" r:id="rId1300" display="https://i.ibb.co/68RXB19/Bradesco.png"/>
    <hyperlink ref="H1302" r:id="rId1301" display="https://i.ibb.co/DznB5q4/Itau.png"/>
    <hyperlink ref="H1303" r:id="rId1302" display="https://i.ibb.co/LpJM38D/Nubank.png"/>
    <hyperlink ref="H1304" r:id="rId1303" display="https://i.ibb.co/DznB5q4/Itau.png"/>
    <hyperlink ref="H1305" r:id="rId1304" display="https://i.ibb.co/DznB5q4/Itau.png"/>
    <hyperlink ref="H1306" r:id="rId1305" display="https://i.ibb.co/DznB5q4/Itau.png"/>
    <hyperlink ref="H1307" r:id="rId1306" display="https://i.ibb.co/zX8KX6R/Santander.png"/>
    <hyperlink ref="H1308" r:id="rId1307" display="https://i.ibb.co/zX8KX6R/Santander.png"/>
    <hyperlink ref="H1309" r:id="rId1308" display="https://i.ibb.co/LpJM38D/Nubank.png"/>
    <hyperlink ref="H1310" r:id="rId1309" display="https://i.ibb.co/DznB5q4/Itau.png"/>
    <hyperlink ref="H1311" r:id="rId1310" display="https://i.ibb.co/LpJM38D/Nubank.png"/>
    <hyperlink ref="H1312" r:id="rId1311" display="https://i.ibb.co/DznB5q4/Itau.png"/>
    <hyperlink ref="H1313" r:id="rId1312" display="https://i.ibb.co/DznB5q4/Itau.png"/>
    <hyperlink ref="H1314" r:id="rId1313" display="https://i.ibb.co/LpJM38D/Nubank.png"/>
    <hyperlink ref="H1315" r:id="rId1314" display="https://i.ibb.co/DznB5q4/Itau.png"/>
    <hyperlink ref="H1316" r:id="rId1315" display="https://i.ibb.co/LpJM38D/Nubank.png"/>
    <hyperlink ref="H1317" r:id="rId1316" display="https://i.ibb.co/LpJM38D/Nubank.png"/>
    <hyperlink ref="H1318" r:id="rId1317" display="https://i.ibb.co/DznB5q4/Itau.png"/>
    <hyperlink ref="H1319" r:id="rId1318" display="https://i.ibb.co/LpJM38D/Nubank.png"/>
    <hyperlink ref="H1320" r:id="rId1319" display="https://i.ibb.co/DznB5q4/Itau.png"/>
    <hyperlink ref="H1321" r:id="rId1320" display="https://i.ibb.co/FhY6B5f/Safra.png"/>
    <hyperlink ref="H1322" r:id="rId1321" display="https://i.ibb.co/FhY6B5f/Safra.png"/>
    <hyperlink ref="H1323" r:id="rId1322" display="https://i.ibb.co/FhY6B5f/Safra.png"/>
    <hyperlink ref="H1324" r:id="rId1323" display="https://i.ibb.co/DznB5q4/Itau.png"/>
    <hyperlink ref="H1325" r:id="rId1324" display="https://i.ibb.co/DznB5q4/Itau.png"/>
    <hyperlink ref="H1326" r:id="rId1325" display="https://i.ibb.co/zX8KX6R/Santander.png"/>
    <hyperlink ref="H1327" r:id="rId1326" display="https://i.ibb.co/DznB5q4/Itau.png"/>
    <hyperlink ref="H1328" r:id="rId1327" display="https://i.ibb.co/DznB5q4/Itau.png"/>
    <hyperlink ref="H1329" r:id="rId1328" display="https://i.ibb.co/zX8KX6R/Santander.png"/>
    <hyperlink ref="H1330" r:id="rId1329" display="https://i.ibb.co/FhY6B5f/Safra.png"/>
    <hyperlink ref="H1331" r:id="rId1330" display="https://i.ibb.co/DznB5q4/Itau.png"/>
    <hyperlink ref="H1332" r:id="rId1331" display="https://i.ibb.co/DznB5q4/Itau.png"/>
    <hyperlink ref="H1333" r:id="rId1332" display="https://i.ibb.co/LpJM38D/Nubank.png"/>
    <hyperlink ref="H1334" r:id="rId1333" display="https://i.ibb.co/DznB5q4/Itau.png"/>
    <hyperlink ref="H1335" r:id="rId1334" display="https://i.ibb.co/zX8KX6R/Santander.png"/>
    <hyperlink ref="H1336" r:id="rId1335" display="https://i.ibb.co/LpJM38D/Nubank.png"/>
    <hyperlink ref="H1337" r:id="rId1336" display="https://i.ibb.co/LpJM38D/Nubank.png"/>
    <hyperlink ref="H1338" r:id="rId1337" display="https://i.ibb.co/zX8KX6R/Santander.png"/>
    <hyperlink ref="H1339" r:id="rId1338" display="https://i.ibb.co/zX8KX6R/Santander.png"/>
    <hyperlink ref="H1340" r:id="rId1339" display="https://i.ibb.co/DznB5q4/Itau.png"/>
    <hyperlink ref="H1341" r:id="rId1340" display="https://i.ibb.co/DznB5q4/Itau.png"/>
    <hyperlink ref="H1342" r:id="rId1341" display="https://i.ibb.co/68RXB19/Bradesco.png"/>
    <hyperlink ref="H1343" r:id="rId1342" display="https://i.ibb.co/LpJM38D/Nubank.png"/>
    <hyperlink ref="H1344" r:id="rId1343" display="https://i.ibb.co/zX8KX6R/Santander.png"/>
    <hyperlink ref="H1345" r:id="rId1344" display="https://i.ibb.co/68RXB19/Bradesco.png"/>
    <hyperlink ref="H1346" r:id="rId1345" display="https://i.ibb.co/FhY6B5f/Safra.png"/>
    <hyperlink ref="H1347" r:id="rId1346" display="https://i.ibb.co/DznB5q4/Itau.png"/>
    <hyperlink ref="H1348" r:id="rId1347" display="https://i.ibb.co/DznB5q4/Itau.png"/>
    <hyperlink ref="H1349" r:id="rId1348" display="https://i.ibb.co/zX8KX6R/Santander.png"/>
    <hyperlink ref="H1350" r:id="rId1349" display="https://i.ibb.co/zX8KX6R/Santander.png"/>
    <hyperlink ref="H1351" r:id="rId1350" display="https://i.ibb.co/68RXB19/Bradesco.png"/>
    <hyperlink ref="H1352" r:id="rId1351" display="https://i.ibb.co/DznB5q4/Itau.png"/>
    <hyperlink ref="H1353" r:id="rId1352" display="https://i.ibb.co/DznB5q4/Itau.png"/>
    <hyperlink ref="H1354" r:id="rId1353" display="https://i.ibb.co/68RXB19/Bradesco.png"/>
    <hyperlink ref="H1355" r:id="rId1354" display="https://i.ibb.co/LpJM38D/Nubank.png"/>
    <hyperlink ref="H1356" r:id="rId1355" display="https://i.ibb.co/LpJM38D/Nubank.png"/>
    <hyperlink ref="H1357" r:id="rId1356" display="https://i.ibb.co/68RXB19/Bradesco.png"/>
    <hyperlink ref="H1358" r:id="rId1357" display="https://i.ibb.co/FhY6B5f/Safra.png"/>
    <hyperlink ref="H1359" r:id="rId1358" display="https://i.ibb.co/LpJM38D/Nubank.png"/>
    <hyperlink ref="H1360" r:id="rId1359" display="https://i.ibb.co/zX8KX6R/Santander.png"/>
    <hyperlink ref="H1361" r:id="rId1360" display="https://i.ibb.co/DznB5q4/Itau.png"/>
    <hyperlink ref="H1362" r:id="rId1361" display="https://i.ibb.co/LpJM38D/Nubank.png"/>
    <hyperlink ref="H1363" r:id="rId1362" display="https://i.ibb.co/DznB5q4/Itau.png"/>
    <hyperlink ref="H1364" r:id="rId1363" display="https://i.ibb.co/DznB5q4/Itau.png"/>
    <hyperlink ref="H1365" r:id="rId1364" display="https://i.ibb.co/DznB5q4/Itau.png"/>
    <hyperlink ref="H1366" r:id="rId1365" display="https://i.ibb.co/68RXB19/Bradesco.png"/>
    <hyperlink ref="H1367" r:id="rId1366" display="https://i.ibb.co/LpJM38D/Nubank.png"/>
    <hyperlink ref="H1368" r:id="rId1367" display="https://i.ibb.co/DznB5q4/Itau.png"/>
    <hyperlink ref="H1369" r:id="rId1368" display="https://i.ibb.co/FhY6B5f/Safra.png"/>
    <hyperlink ref="H1370" r:id="rId1369" display="https://i.ibb.co/DznB5q4/Itau.png"/>
    <hyperlink ref="H1371" r:id="rId1370" display="https://i.ibb.co/LpJM38D/Nubank.png"/>
    <hyperlink ref="H1372" r:id="rId1371" display="https://i.ibb.co/DznB5q4/Itau.png"/>
    <hyperlink ref="H1373" r:id="rId1372" display="https://i.ibb.co/68RXB19/Bradesco.png"/>
    <hyperlink ref="H1374" r:id="rId1373" display="https://i.ibb.co/LpJM38D/Nubank.png"/>
    <hyperlink ref="H1375" r:id="rId1374" display="https://i.ibb.co/DznB5q4/Itau.png"/>
    <hyperlink ref="H1376" r:id="rId1375" display="https://i.ibb.co/DznB5q4/Itau.png"/>
    <hyperlink ref="H1377" r:id="rId1376" display="https://i.ibb.co/FhY6B5f/Safra.png"/>
    <hyperlink ref="H1378" r:id="rId1377" display="https://i.ibb.co/DznB5q4/Itau.png"/>
    <hyperlink ref="H1379" r:id="rId1378" display="https://i.ibb.co/DznB5q4/Itau.png"/>
    <hyperlink ref="H1380" r:id="rId1379" display="https://i.ibb.co/FhY6B5f/Safra.png"/>
    <hyperlink ref="H1381" r:id="rId1380" display="https://i.ibb.co/DznB5q4/Itau.png"/>
    <hyperlink ref="H1382" r:id="rId1381" display="https://i.ibb.co/LpJM38D/Nubank.png"/>
    <hyperlink ref="H1383" r:id="rId1382" display="https://i.ibb.co/DznB5q4/Itau.png"/>
    <hyperlink ref="H1384" r:id="rId1383" display="https://i.ibb.co/zX8KX6R/Santander.png"/>
    <hyperlink ref="H1385" r:id="rId1384" display="https://i.ibb.co/LpJM38D/Nubank.png"/>
    <hyperlink ref="H1386" r:id="rId1385" display="https://i.ibb.co/DznB5q4/Itau.png"/>
    <hyperlink ref="H1387" r:id="rId1386" display="https://i.ibb.co/FhY6B5f/Safra.png"/>
    <hyperlink ref="H1388" r:id="rId1387" display="https://i.ibb.co/DznB5q4/Itau.png"/>
    <hyperlink ref="H1389" r:id="rId1388" display="https://i.ibb.co/LpJM38D/Nubank.png"/>
    <hyperlink ref="H1390" r:id="rId1389" display="https://i.ibb.co/zX8KX6R/Santander.png"/>
    <hyperlink ref="H1391" r:id="rId1390" display="https://i.ibb.co/zX8KX6R/Santander.png"/>
    <hyperlink ref="H1392" r:id="rId1391" display="https://i.ibb.co/zX8KX6R/Santander.png"/>
    <hyperlink ref="H1393" r:id="rId1392" display="https://i.ibb.co/DznB5q4/Itau.png"/>
    <hyperlink ref="H1394" r:id="rId1393" display="https://i.ibb.co/DznB5q4/Itau.png"/>
    <hyperlink ref="H1395" r:id="rId1394" display="https://i.ibb.co/DznB5q4/Itau.png"/>
    <hyperlink ref="H1396" r:id="rId1395" display="https://i.ibb.co/LpJM38D/Nubank.png"/>
    <hyperlink ref="H1397" r:id="rId1396" display="https://i.ibb.co/DznB5q4/Itau.png"/>
    <hyperlink ref="H1398" r:id="rId1397" display="https://i.ibb.co/FhY6B5f/Safra.png"/>
    <hyperlink ref="H1399" r:id="rId1398" display="https://i.ibb.co/LpJM38D/Nubank.png"/>
    <hyperlink ref="H1400" r:id="rId1399" display="https://i.ibb.co/DznB5q4/Itau.png"/>
    <hyperlink ref="H1401" r:id="rId1400" display="https://i.ibb.co/LpJM38D/Nubank.png"/>
    <hyperlink ref="H1402" r:id="rId1401" display="https://i.ibb.co/DznB5q4/Itau.png"/>
    <hyperlink ref="H1403" r:id="rId1402" display="https://i.ibb.co/zX8KX6R/Santander.png"/>
    <hyperlink ref="H1404" r:id="rId1403" display="https://i.ibb.co/68RXB19/Bradesco.png"/>
    <hyperlink ref="H1405" r:id="rId1404" display="https://i.ibb.co/FhY6B5f/Safra.png"/>
    <hyperlink ref="H1406" r:id="rId1405" display="https://i.ibb.co/68RXB19/Bradesco.png"/>
    <hyperlink ref="H1407" r:id="rId1406" display="https://i.ibb.co/zX8KX6R/Santander.png"/>
    <hyperlink ref="H1408" r:id="rId1407" display="https://i.ibb.co/LpJM38D/Nubank.png"/>
    <hyperlink ref="H1409" r:id="rId1408" display="https://i.ibb.co/LpJM38D/Nubank.png"/>
    <hyperlink ref="H1410" r:id="rId1409" display="https://i.ibb.co/LpJM38D/Nubank.png"/>
    <hyperlink ref="H1411" r:id="rId1410" display="https://i.ibb.co/DznB5q4/Itau.png"/>
    <hyperlink ref="H1412" r:id="rId1411" display="https://i.ibb.co/LpJM38D/Nubank.png"/>
    <hyperlink ref="H1413" r:id="rId1412" display="https://i.ibb.co/68RXB19/Bradesco.png"/>
    <hyperlink ref="H1414" r:id="rId1413" display="https://i.ibb.co/LpJM38D/Nubank.png"/>
    <hyperlink ref="H1415" r:id="rId1414" display="https://i.ibb.co/DznB5q4/Itau.png"/>
    <hyperlink ref="H1416" r:id="rId1415" display="https://i.ibb.co/DznB5q4/Itau.png"/>
    <hyperlink ref="H1417" r:id="rId1416" display="https://i.ibb.co/DznB5q4/Itau.png"/>
    <hyperlink ref="H1418" r:id="rId1417" display="https://i.ibb.co/zX8KX6R/Santander.png"/>
    <hyperlink ref="H1419" r:id="rId1418" display="https://i.ibb.co/LpJM38D/Nubank.png"/>
    <hyperlink ref="H1420" r:id="rId1419" display="https://i.ibb.co/LpJM38D/Nubank.png"/>
    <hyperlink ref="H1421" r:id="rId1420" display="https://i.ibb.co/LpJM38D/Nubank.png"/>
    <hyperlink ref="H1422" r:id="rId1421" display="https://i.ibb.co/68RXB19/Bradesco.png"/>
    <hyperlink ref="H1423" r:id="rId1422" display="https://i.ibb.co/zX8KX6R/Santander.png"/>
    <hyperlink ref="H1424" r:id="rId1423" display="https://i.ibb.co/LpJM38D/Nubank.png"/>
    <hyperlink ref="H1425" r:id="rId1424" display="https://i.ibb.co/zX8KX6R/Santander.png"/>
    <hyperlink ref="H1426" r:id="rId1425" display="https://i.ibb.co/DznB5q4/Itau.png"/>
    <hyperlink ref="H1427" r:id="rId1426" display="https://i.ibb.co/zX8KX6R/Santander.png"/>
    <hyperlink ref="H1428" r:id="rId1427" display="https://i.ibb.co/LpJM38D/Nubank.png"/>
    <hyperlink ref="H1429" r:id="rId1428" display="https://i.ibb.co/zX8KX6R/Santander.png"/>
    <hyperlink ref="H1430" r:id="rId1429" display="https://i.ibb.co/LpJM38D/Nubank.png"/>
    <hyperlink ref="H1431" r:id="rId1430" display="https://i.ibb.co/DznB5q4/Itau.png"/>
    <hyperlink ref="H1432" r:id="rId1431" display="https://i.ibb.co/DznB5q4/Itau.png"/>
    <hyperlink ref="H1433" r:id="rId1432" display="https://i.ibb.co/DznB5q4/Itau.png"/>
    <hyperlink ref="H1434" r:id="rId1433" display="https://i.ibb.co/zX8KX6R/Santander.png"/>
    <hyperlink ref="H1435" r:id="rId1434" display="https://i.ibb.co/LpJM38D/Nubank.png"/>
    <hyperlink ref="H1436" r:id="rId1435" display="https://i.ibb.co/LpJM38D/Nubank.png"/>
    <hyperlink ref="H1437" r:id="rId1436" display="https://i.ibb.co/DznB5q4/Itau.png"/>
    <hyperlink ref="H1438" r:id="rId1437" display="https://i.ibb.co/68RXB19/Bradesco.png"/>
    <hyperlink ref="H1439" r:id="rId1438" display="https://i.ibb.co/zX8KX6R/Santander.png"/>
    <hyperlink ref="H1440" r:id="rId1439" display="https://i.ibb.co/DznB5q4/Itau.png"/>
    <hyperlink ref="H1441" r:id="rId1440" display="https://i.ibb.co/FhY6B5f/Safra.png"/>
    <hyperlink ref="H1442" r:id="rId1441" display="https://i.ibb.co/LpJM38D/Nubank.png"/>
    <hyperlink ref="H1443" r:id="rId1442" display="https://i.ibb.co/DznB5q4/Itau.png"/>
    <hyperlink ref="H1444" r:id="rId1443" display="https://i.ibb.co/zX8KX6R/Santander.png"/>
    <hyperlink ref="H1445" r:id="rId1444" display="https://i.ibb.co/LpJM38D/Nubank.png"/>
    <hyperlink ref="H1446" r:id="rId1445" display="https://i.ibb.co/DznB5q4/Itau.png"/>
    <hyperlink ref="H1447" r:id="rId1446" display="https://i.ibb.co/DznB5q4/Itau.png"/>
    <hyperlink ref="H1448" r:id="rId1447" display="https://i.ibb.co/LpJM38D/Nubank.png"/>
    <hyperlink ref="H1449" r:id="rId1448" display="https://i.ibb.co/zX8KX6R/Santander.png"/>
    <hyperlink ref="H1450" r:id="rId1449" display="https://i.ibb.co/68RXB19/Bradesco.png"/>
    <hyperlink ref="H1451" r:id="rId1450" display="https://i.ibb.co/zX8KX6R/Santander.png"/>
    <hyperlink ref="H1452" r:id="rId1451" display="https://i.ibb.co/zX8KX6R/Santander.png"/>
    <hyperlink ref="H1453" r:id="rId1452" display="https://i.ibb.co/zX8KX6R/Santander.png"/>
    <hyperlink ref="H1454" r:id="rId1453" display="https://i.ibb.co/LpJM38D/Nubank.png"/>
    <hyperlink ref="H1455" r:id="rId1454" display="https://i.ibb.co/zX8KX6R/Santander.png"/>
    <hyperlink ref="H1456" r:id="rId1455" display="https://i.ibb.co/DznB5q4/Itau.png"/>
    <hyperlink ref="H1457" r:id="rId1456" display="https://i.ibb.co/LpJM38D/Nubank.png"/>
    <hyperlink ref="H1458" r:id="rId1457" display="https://i.ibb.co/DznB5q4/Itau.png"/>
    <hyperlink ref="H1459" r:id="rId1458" display="https://i.ibb.co/DznB5q4/Itau.png"/>
    <hyperlink ref="H1460" r:id="rId1459" display="https://i.ibb.co/DznB5q4/Itau.png"/>
    <hyperlink ref="H1461" r:id="rId1460" display="https://i.ibb.co/LpJM38D/Nubank.png"/>
    <hyperlink ref="H1462" r:id="rId1461" display="https://i.ibb.co/DznB5q4/Itau.png"/>
    <hyperlink ref="H1463" r:id="rId1462" display="https://i.ibb.co/LpJM38D/Nubank.png"/>
    <hyperlink ref="H1464" r:id="rId1463" display="https://i.ibb.co/zX8KX6R/Santander.png"/>
    <hyperlink ref="H1465" r:id="rId1464" display="https://i.ibb.co/LpJM38D/Nubank.png"/>
    <hyperlink ref="H1466" r:id="rId1465" display="https://i.ibb.co/LpJM38D/Nubank.png"/>
    <hyperlink ref="H1467" r:id="rId1466" display="https://i.ibb.co/LpJM38D/Nubank.png"/>
    <hyperlink ref="H1468" r:id="rId1467" display="https://i.ibb.co/LpJM38D/Nubank.png"/>
    <hyperlink ref="H1469" r:id="rId1468" display="https://i.ibb.co/FhY6B5f/Safra.png"/>
    <hyperlink ref="H1470" r:id="rId1469" display="https://i.ibb.co/LpJM38D/Nubank.png"/>
    <hyperlink ref="H1471" r:id="rId1470" display="https://i.ibb.co/DznB5q4/Itau.png"/>
    <hyperlink ref="H1472" r:id="rId1471" display="https://i.ibb.co/68RXB19/Bradesco.png"/>
    <hyperlink ref="H1473" r:id="rId1472" display="https://i.ibb.co/DznB5q4/Itau.png"/>
    <hyperlink ref="H1474" r:id="rId1473" display="https://i.ibb.co/LpJM38D/Nubank.png"/>
    <hyperlink ref="H1475" r:id="rId1474" display="https://i.ibb.co/68RXB19/Bradesco.png"/>
    <hyperlink ref="H1476" r:id="rId1475" display="https://i.ibb.co/DznB5q4/Itau.png"/>
    <hyperlink ref="H1477" r:id="rId1476" display="https://i.ibb.co/zX8KX6R/Santander.png"/>
    <hyperlink ref="H1478" r:id="rId1477" display="https://i.ibb.co/68RXB19/Bradesco.png"/>
    <hyperlink ref="H1479" r:id="rId1478" display="https://i.ibb.co/68RXB19/Bradesco.png"/>
    <hyperlink ref="H1480" r:id="rId1479" display="https://i.ibb.co/DznB5q4/Itau.png"/>
    <hyperlink ref="H1481" r:id="rId1480" display="https://i.ibb.co/DznB5q4/Itau.png"/>
    <hyperlink ref="H1482" r:id="rId1481" display="https://i.ibb.co/DznB5q4/Itau.png"/>
    <hyperlink ref="H1483" r:id="rId1482" display="https://i.ibb.co/FhY6B5f/Safra.png"/>
    <hyperlink ref="H1484" r:id="rId1483" display="https://i.ibb.co/LpJM38D/Nubank.png"/>
    <hyperlink ref="H1485" r:id="rId1484" display="https://i.ibb.co/DznB5q4/Itau.png"/>
    <hyperlink ref="H1486" r:id="rId1485" display="https://i.ibb.co/68RXB19/Bradesco.png"/>
    <hyperlink ref="H1487" r:id="rId1486" display="https://i.ibb.co/LpJM38D/Nubank.png"/>
    <hyperlink ref="H1488" r:id="rId1487" display="https://i.ibb.co/FhY6B5f/Safra.png"/>
    <hyperlink ref="H1489" r:id="rId1488" display="https://i.ibb.co/FhY6B5f/Safra.png"/>
    <hyperlink ref="H1490" r:id="rId1489" display="https://i.ibb.co/zX8KX6R/Santander.png"/>
    <hyperlink ref="H1491" r:id="rId1490" display="https://i.ibb.co/DznB5q4/Itau.png"/>
    <hyperlink ref="H1492" r:id="rId1491" display="https://i.ibb.co/68RXB19/Bradesco.png"/>
    <hyperlink ref="H1493" r:id="rId1492" display="https://i.ibb.co/zX8KX6R/Santander.png"/>
    <hyperlink ref="H1494" r:id="rId1493" display="https://i.ibb.co/LpJM38D/Nubank.png"/>
    <hyperlink ref="H1495" r:id="rId1494" display="https://i.ibb.co/DznB5q4/Itau.png"/>
    <hyperlink ref="H1496" r:id="rId1495" display="https://i.ibb.co/zX8KX6R/Santander.png"/>
    <hyperlink ref="H1497" r:id="rId1496" display="https://i.ibb.co/zX8KX6R/Santander.png"/>
    <hyperlink ref="H1498" r:id="rId1497" display="https://i.ibb.co/DznB5q4/Itau.png"/>
    <hyperlink ref="H1499" r:id="rId1498" display="https://i.ibb.co/DznB5q4/Itau.png"/>
    <hyperlink ref="H1500" r:id="rId1499" display="https://i.ibb.co/68RXB19/Bradesco.png"/>
    <hyperlink ref="H1501" r:id="rId1500" display="https://i.ibb.co/68RXB19/Bradesco.png"/>
    <hyperlink ref="H1502" r:id="rId1501" display="https://i.ibb.co/FhY6B5f/Safra.png"/>
    <hyperlink ref="H1503" r:id="rId1502" display="https://i.ibb.co/68RXB19/Bradesco.png"/>
    <hyperlink ref="H1504" r:id="rId1503" display="https://i.ibb.co/LpJM38D/Nubank.png"/>
    <hyperlink ref="H1505" r:id="rId1504" display="https://i.ibb.co/zX8KX6R/Santander.png"/>
    <hyperlink ref="H1506" r:id="rId1505" display="https://i.ibb.co/LpJM38D/Nubank.png"/>
    <hyperlink ref="H1507" r:id="rId1506" display="https://i.ibb.co/68RXB19/Bradesco.png"/>
    <hyperlink ref="H1508" r:id="rId1507" display="https://i.ibb.co/LpJM38D/Nubank.png"/>
    <hyperlink ref="H1509" r:id="rId1508" display="https://i.ibb.co/LpJM38D/Nubank.png"/>
    <hyperlink ref="H1510" r:id="rId1509" display="https://i.ibb.co/DznB5q4/Itau.png"/>
    <hyperlink ref="H1511" r:id="rId1510" display="https://i.ibb.co/DznB5q4/Itau.png"/>
    <hyperlink ref="H1512" r:id="rId1511" display="https://i.ibb.co/LpJM38D/Nubank.png"/>
    <hyperlink ref="H1513" r:id="rId1512" display="https://i.ibb.co/DznB5q4/Itau.png"/>
    <hyperlink ref="H1514" r:id="rId1513" display="https://i.ibb.co/LpJM38D/Nubank.png"/>
    <hyperlink ref="H1515" r:id="rId1514" display="https://i.ibb.co/LpJM38D/Nubank.png"/>
    <hyperlink ref="H1516" r:id="rId1515" display="https://i.ibb.co/DznB5q4/Itau.png"/>
    <hyperlink ref="H1517" r:id="rId1516" display="https://i.ibb.co/LpJM38D/Nubank.png"/>
    <hyperlink ref="H1518" r:id="rId1517" display="https://i.ibb.co/DznB5q4/Itau.png"/>
    <hyperlink ref="H1519" r:id="rId1518" display="https://i.ibb.co/DznB5q4/Itau.png"/>
    <hyperlink ref="H1520" r:id="rId1519" display="https://i.ibb.co/DznB5q4/Itau.png"/>
    <hyperlink ref="H1521" r:id="rId1520" display="https://i.ibb.co/DznB5q4/Itau.png"/>
    <hyperlink ref="H1522" r:id="rId1521" display="https://i.ibb.co/FhY6B5f/Safra.png"/>
    <hyperlink ref="H1523" r:id="rId1522" display="https://i.ibb.co/DznB5q4/Itau.png"/>
    <hyperlink ref="H1524" r:id="rId1523" display="https://i.ibb.co/zX8KX6R/Santander.png"/>
    <hyperlink ref="H1525" r:id="rId1524" display="https://i.ibb.co/DznB5q4/Itau.png"/>
    <hyperlink ref="H1526" r:id="rId1525" display="https://i.ibb.co/68RXB19/Bradesco.png"/>
    <hyperlink ref="H1527" r:id="rId1526" display="https://i.ibb.co/DznB5q4/Itau.png"/>
    <hyperlink ref="H1528" r:id="rId1527" display="https://i.ibb.co/zX8KX6R/Santander.png"/>
    <hyperlink ref="H1529" r:id="rId1528" display="https://i.ibb.co/zX8KX6R/Santander.png"/>
    <hyperlink ref="H1530" r:id="rId1529" display="https://i.ibb.co/DznB5q4/Itau.png"/>
    <hyperlink ref="H1531" r:id="rId1530" display="https://i.ibb.co/LpJM38D/Nubank.png"/>
    <hyperlink ref="H1532" r:id="rId1531" display="https://i.ibb.co/DznB5q4/Itau.png"/>
    <hyperlink ref="H1533" r:id="rId1532" display="https://i.ibb.co/LpJM38D/Nubank.png"/>
    <hyperlink ref="H1534" r:id="rId1533" display="https://i.ibb.co/DznB5q4/Itau.png"/>
    <hyperlink ref="H1535" r:id="rId1534" display="https://i.ibb.co/DznB5q4/Itau.png"/>
    <hyperlink ref="H1536" r:id="rId1535" display="https://i.ibb.co/LpJM38D/Nubank.png"/>
    <hyperlink ref="H1537" r:id="rId1536" display="https://i.ibb.co/DznB5q4/Itau.png"/>
    <hyperlink ref="H1538" r:id="rId1537" display="https://i.ibb.co/zX8KX6R/Santander.png"/>
    <hyperlink ref="H1539" r:id="rId1538" display="https://i.ibb.co/DznB5q4/Itau.png"/>
    <hyperlink ref="H1540" r:id="rId1539" display="https://i.ibb.co/DznB5q4/Itau.png"/>
    <hyperlink ref="H1541" r:id="rId1540" display="https://i.ibb.co/DznB5q4/Itau.png"/>
    <hyperlink ref="H1542" r:id="rId1541" display="https://i.ibb.co/DznB5q4/Itau.png"/>
    <hyperlink ref="H1543" r:id="rId1542" display="https://i.ibb.co/LpJM38D/Nubank.png"/>
    <hyperlink ref="H1544" r:id="rId1543" display="https://i.ibb.co/LpJM38D/Nubank.png"/>
    <hyperlink ref="H1545" r:id="rId1544" display="https://i.ibb.co/LpJM38D/Nubank.png"/>
    <hyperlink ref="H1546" r:id="rId1545" display="https://i.ibb.co/FhY6B5f/Safra.png"/>
    <hyperlink ref="H1547" r:id="rId1546" display="https://i.ibb.co/DznB5q4/Itau.png"/>
    <hyperlink ref="H1548" r:id="rId1547" display="https://i.ibb.co/FhY6B5f/Safra.png"/>
    <hyperlink ref="H1549" r:id="rId1548" display="https://i.ibb.co/DznB5q4/Itau.png"/>
    <hyperlink ref="H1550" r:id="rId1549" display="https://i.ibb.co/LpJM38D/Nubank.png"/>
    <hyperlink ref="H1551" r:id="rId1550" display="https://i.ibb.co/DznB5q4/Itau.png"/>
    <hyperlink ref="H1552" r:id="rId1551" display="https://i.ibb.co/68RXB19/Bradesco.png"/>
    <hyperlink ref="H1553" r:id="rId1552" display="https://i.ibb.co/DznB5q4/Itau.png"/>
    <hyperlink ref="H1554" r:id="rId1553" display="https://i.ibb.co/LpJM38D/Nubank.png"/>
    <hyperlink ref="H1555" r:id="rId1554" display="https://i.ibb.co/zX8KX6R/Santander.png"/>
    <hyperlink ref="H1556" r:id="rId1555" display="https://i.ibb.co/68RXB19/Bradesco.png"/>
    <hyperlink ref="H1557" r:id="rId1556" display="https://i.ibb.co/DznB5q4/Itau.png"/>
    <hyperlink ref="H1558" r:id="rId1557" display="https://i.ibb.co/zX8KX6R/Santander.png"/>
    <hyperlink ref="H1559" r:id="rId1558" display="https://i.ibb.co/LpJM38D/Nubank.png"/>
    <hyperlink ref="H1560" r:id="rId1559" display="https://i.ibb.co/DznB5q4/Itau.png"/>
    <hyperlink ref="H1561" r:id="rId1560" display="https://i.ibb.co/DznB5q4/Itau.png"/>
    <hyperlink ref="H1562" r:id="rId1561" display="https://i.ibb.co/DznB5q4/Itau.png"/>
    <hyperlink ref="H1563" r:id="rId1562" display="https://i.ibb.co/zX8KX6R/Santander.png"/>
    <hyperlink ref="H1564" r:id="rId1563" display="https://i.ibb.co/DznB5q4/Itau.png"/>
    <hyperlink ref="H1565" r:id="rId1564" display="https://i.ibb.co/DznB5q4/Itau.png"/>
    <hyperlink ref="H1566" r:id="rId1565" display="https://i.ibb.co/LpJM38D/Nubank.png"/>
    <hyperlink ref="H1567" r:id="rId1566" display="https://i.ibb.co/LpJM38D/Nubank.png"/>
    <hyperlink ref="H1568" r:id="rId1567" display="https://i.ibb.co/LpJM38D/Nubank.png"/>
    <hyperlink ref="H1569" r:id="rId1568" display="https://i.ibb.co/68RXB19/Bradesco.png"/>
    <hyperlink ref="H1570" r:id="rId1569" display="https://i.ibb.co/DznB5q4/Itau.png"/>
    <hyperlink ref="H1571" r:id="rId1570" display="https://i.ibb.co/zX8KX6R/Santander.png"/>
    <hyperlink ref="H1572" r:id="rId1571" display="https://i.ibb.co/DznB5q4/Itau.png"/>
    <hyperlink ref="H1573" r:id="rId1572" display="https://i.ibb.co/DznB5q4/Itau.png"/>
    <hyperlink ref="H1574" r:id="rId1573" display="https://i.ibb.co/DznB5q4/Itau.png"/>
    <hyperlink ref="H1575" r:id="rId1574" display="https://i.ibb.co/DznB5q4/Itau.png"/>
    <hyperlink ref="H1576" r:id="rId1575" display="https://i.ibb.co/DznB5q4/Itau.png"/>
    <hyperlink ref="H1577" r:id="rId1576" display="https://i.ibb.co/zX8KX6R/Santander.png"/>
    <hyperlink ref="H1578" r:id="rId1577" display="https://i.ibb.co/DznB5q4/Itau.png"/>
    <hyperlink ref="H1579" r:id="rId1578" display="https://i.ibb.co/DznB5q4/Itau.png"/>
    <hyperlink ref="H1580" r:id="rId1579" display="https://i.ibb.co/FhY6B5f/Safra.png"/>
    <hyperlink ref="H1581" r:id="rId1580" display="https://i.ibb.co/DznB5q4/Itau.png"/>
    <hyperlink ref="H1582" r:id="rId1581" display="https://i.ibb.co/DznB5q4/Itau.png"/>
    <hyperlink ref="H1583" r:id="rId1582" display="https://i.ibb.co/LpJM38D/Nubank.png"/>
    <hyperlink ref="H1584" r:id="rId1583" display="https://i.ibb.co/LpJM38D/Nubank.png"/>
    <hyperlink ref="H1585" r:id="rId1584" display="https://i.ibb.co/zX8KX6R/Santander.png"/>
    <hyperlink ref="H1586" r:id="rId1585" display="https://i.ibb.co/zX8KX6R/Santander.png"/>
    <hyperlink ref="H1587" r:id="rId1586" display="https://i.ibb.co/DznB5q4/Itau.png"/>
    <hyperlink ref="H1588" r:id="rId1587" display="https://i.ibb.co/DznB5q4/Itau.png"/>
    <hyperlink ref="H1589" r:id="rId1588" display="https://i.ibb.co/68RXB19/Bradesco.png"/>
    <hyperlink ref="H1590" r:id="rId1589" display="https://i.ibb.co/DznB5q4/Itau.png"/>
    <hyperlink ref="H1591" r:id="rId1590" display="https://i.ibb.co/68RXB19/Bradesco.png"/>
    <hyperlink ref="H1592" r:id="rId1591" display="https://i.ibb.co/zX8KX6R/Santander.png"/>
    <hyperlink ref="H1593" r:id="rId1592" display="https://i.ibb.co/DznB5q4/Itau.png"/>
    <hyperlink ref="H1594" r:id="rId1593" display="https://i.ibb.co/zX8KX6R/Santander.png"/>
    <hyperlink ref="H1595" r:id="rId1594" display="https://i.ibb.co/LpJM38D/Nubank.png"/>
    <hyperlink ref="H1596" r:id="rId1595" display="https://i.ibb.co/68RXB19/Bradesco.png"/>
    <hyperlink ref="H1597" r:id="rId1596" display="https://i.ibb.co/DznB5q4/Itau.png"/>
    <hyperlink ref="H1598" r:id="rId1597" display="https://i.ibb.co/68RXB19/Bradesco.png"/>
    <hyperlink ref="H1599" r:id="rId1598" display="https://i.ibb.co/68RXB19/Bradesco.png"/>
    <hyperlink ref="H1600" r:id="rId1599" display="https://i.ibb.co/68RXB19/Bradesco.png"/>
    <hyperlink ref="H1601" r:id="rId1600" display="https://i.ibb.co/DznB5q4/Itau.png"/>
    <hyperlink ref="H1602" r:id="rId1601" display="https://i.ibb.co/DznB5q4/Itau.png"/>
    <hyperlink ref="H1603" r:id="rId1602" display="https://i.ibb.co/DznB5q4/Itau.png"/>
    <hyperlink ref="H1604" r:id="rId1603" display="https://i.ibb.co/DznB5q4/Itau.png"/>
    <hyperlink ref="H1605" r:id="rId1604" display="https://i.ibb.co/LpJM38D/Nubank.png"/>
    <hyperlink ref="H1606" r:id="rId1605" display="https://i.ibb.co/LpJM38D/Nubank.png"/>
    <hyperlink ref="H1607" r:id="rId1606" display="https://i.ibb.co/DznB5q4/Itau.png"/>
    <hyperlink ref="H1608" r:id="rId1607" display="https://i.ibb.co/FhY6B5f/Safra.png"/>
    <hyperlink ref="H1609" r:id="rId1608" display="https://i.ibb.co/DznB5q4/Itau.png"/>
    <hyperlink ref="H1610" r:id="rId1609" display="https://i.ibb.co/zX8KX6R/Santander.png"/>
    <hyperlink ref="H1611" r:id="rId1610" display="https://i.ibb.co/DznB5q4/Itau.png"/>
    <hyperlink ref="H1612" r:id="rId1611" display="https://i.ibb.co/68RXB19/Bradesco.png"/>
    <hyperlink ref="H1613" r:id="rId1612" display="https://i.ibb.co/FhY6B5f/Safra.png"/>
    <hyperlink ref="H1614" r:id="rId1613" display="https://i.ibb.co/DznB5q4/Itau.png"/>
    <hyperlink ref="H1615" r:id="rId1614" display="https://i.ibb.co/DznB5q4/Itau.png"/>
    <hyperlink ref="H1616" r:id="rId1615" display="https://i.ibb.co/LpJM38D/Nubank.png"/>
    <hyperlink ref="H1617" r:id="rId1616" display="https://i.ibb.co/DznB5q4/Itau.png"/>
    <hyperlink ref="H1618" r:id="rId1617" display="https://i.ibb.co/LpJM38D/Nubank.png"/>
    <hyperlink ref="H1619" r:id="rId1618" display="https://i.ibb.co/LpJM38D/Nubank.png"/>
    <hyperlink ref="H1620" r:id="rId1619" display="https://i.ibb.co/68RXB19/Bradesco.png"/>
    <hyperlink ref="H1621" r:id="rId1620" display="https://i.ibb.co/DznB5q4/Itau.png"/>
    <hyperlink ref="H1622" r:id="rId1621" display="https://i.ibb.co/DznB5q4/Itau.png"/>
    <hyperlink ref="H1623" r:id="rId1622" display="https://i.ibb.co/DznB5q4/Itau.png"/>
    <hyperlink ref="H1624" r:id="rId1623" display="https://i.ibb.co/DznB5q4/Itau.png"/>
    <hyperlink ref="H1625" r:id="rId1624" display="https://i.ibb.co/LpJM38D/Nubank.png"/>
    <hyperlink ref="H1626" r:id="rId1625" display="https://i.ibb.co/LpJM38D/Nubank.png"/>
    <hyperlink ref="H1627" r:id="rId1626" display="https://i.ibb.co/DznB5q4/Itau.png"/>
    <hyperlink ref="H1628" r:id="rId1627" display="https://i.ibb.co/LpJM38D/Nubank.png"/>
    <hyperlink ref="H1629" r:id="rId1628" display="https://i.ibb.co/68RXB19/Bradesco.png"/>
    <hyperlink ref="H1630" r:id="rId1629" display="https://i.ibb.co/DznB5q4/Itau.png"/>
    <hyperlink ref="H1631" r:id="rId1630" display="https://i.ibb.co/DznB5q4/Itau.png"/>
    <hyperlink ref="H1632" r:id="rId1631" display="https://i.ibb.co/68RXB19/Bradesco.png"/>
    <hyperlink ref="H1633" r:id="rId1632" display="https://i.ibb.co/LpJM38D/Nubank.png"/>
    <hyperlink ref="H1634" r:id="rId1633" display="https://i.ibb.co/FhY6B5f/Safra.png"/>
    <hyperlink ref="H1635" r:id="rId1634" display="https://i.ibb.co/DznB5q4/Itau.png"/>
    <hyperlink ref="H1636" r:id="rId1635" display="https://i.ibb.co/68RXB19/Bradesco.png"/>
    <hyperlink ref="H1637" r:id="rId1636" display="https://i.ibb.co/LpJM38D/Nubank.png"/>
    <hyperlink ref="H1638" r:id="rId1637" display="https://i.ibb.co/68RXB19/Bradesco.png"/>
    <hyperlink ref="H1639" r:id="rId1638" display="https://i.ibb.co/zX8KX6R/Santander.png"/>
    <hyperlink ref="H1640" r:id="rId1639" display="https://i.ibb.co/DznB5q4/Itau.png"/>
    <hyperlink ref="H1641" r:id="rId1640" display="https://i.ibb.co/68RXB19/Bradesco.png"/>
    <hyperlink ref="H1642" r:id="rId1641" display="https://i.ibb.co/68RXB19/Bradesco.png"/>
    <hyperlink ref="H1643" r:id="rId1642" display="https://i.ibb.co/LpJM38D/Nubank.png"/>
    <hyperlink ref="H1644" r:id="rId1643" display="https://i.ibb.co/DznB5q4/Itau.png"/>
    <hyperlink ref="H1645" r:id="rId1644" display="https://i.ibb.co/zX8KX6R/Santander.png"/>
    <hyperlink ref="H1646" r:id="rId1645" display="https://i.ibb.co/LpJM38D/Nubank.png"/>
    <hyperlink ref="H1647" r:id="rId1646" display="https://i.ibb.co/DznB5q4/Itau.png"/>
    <hyperlink ref="H1648" r:id="rId1647" display="https://i.ibb.co/LpJM38D/Nubank.png"/>
    <hyperlink ref="H1649" r:id="rId1648" display="https://i.ibb.co/FhY6B5f/Safra.png"/>
    <hyperlink ref="H1650" r:id="rId1649" display="https://i.ibb.co/DznB5q4/Itau.png"/>
    <hyperlink ref="H1651" r:id="rId1650" display="https://i.ibb.co/DznB5q4/Itau.png"/>
    <hyperlink ref="H1652" r:id="rId1651" display="https://i.ibb.co/DznB5q4/Itau.png"/>
    <hyperlink ref="H1653" r:id="rId1652" display="https://i.ibb.co/68RXB19/Bradesco.png"/>
    <hyperlink ref="H1654" r:id="rId1653" display="https://i.ibb.co/DznB5q4/Itau.png"/>
    <hyperlink ref="H1655" r:id="rId1654" display="https://i.ibb.co/DznB5q4/Itau.png"/>
    <hyperlink ref="H1656" r:id="rId1655" display="https://i.ibb.co/LpJM38D/Nubank.png"/>
    <hyperlink ref="H1657" r:id="rId1656" display="https://i.ibb.co/zX8KX6R/Santander.png"/>
    <hyperlink ref="H1658" r:id="rId1657" display="https://i.ibb.co/68RXB19/Bradesco.png"/>
    <hyperlink ref="H1659" r:id="rId1658" display="https://i.ibb.co/DznB5q4/Itau.png"/>
    <hyperlink ref="H1660" r:id="rId1659" display="https://i.ibb.co/DznB5q4/Itau.png"/>
    <hyperlink ref="H1661" r:id="rId1660" display="https://i.ibb.co/68RXB19/Bradesco.png"/>
    <hyperlink ref="H1662" r:id="rId1661" display="https://i.ibb.co/zX8KX6R/Santander.png"/>
    <hyperlink ref="H1663" r:id="rId1662" display="https://i.ibb.co/FhY6B5f/Safra.png"/>
    <hyperlink ref="H1664" r:id="rId1663" display="https://i.ibb.co/DznB5q4/Itau.png"/>
    <hyperlink ref="H1665" r:id="rId1664" display="https://i.ibb.co/LpJM38D/Nubank.png"/>
    <hyperlink ref="H1666" r:id="rId1665" display="https://i.ibb.co/68RXB19/Bradesco.png"/>
    <hyperlink ref="H1667" r:id="rId1666" display="https://i.ibb.co/LpJM38D/Nubank.png"/>
    <hyperlink ref="H1668" r:id="rId1667" display="https://i.ibb.co/LpJM38D/Nubank.png"/>
    <hyperlink ref="H1669" r:id="rId1668" display="https://i.ibb.co/68RXB19/Bradesco.png"/>
    <hyperlink ref="H1670" r:id="rId1669" display="https://i.ibb.co/DznB5q4/Itau.png"/>
    <hyperlink ref="H1671" r:id="rId1670" display="https://i.ibb.co/zX8KX6R/Santander.png"/>
    <hyperlink ref="H1672" r:id="rId1671" display="https://i.ibb.co/zX8KX6R/Santander.png"/>
    <hyperlink ref="H1673" r:id="rId1672" display="https://i.ibb.co/DznB5q4/Itau.png"/>
    <hyperlink ref="H1674" r:id="rId1673" display="https://i.ibb.co/DznB5q4/Itau.png"/>
    <hyperlink ref="H1675" r:id="rId1674" display="https://i.ibb.co/FhY6B5f/Safra.png"/>
    <hyperlink ref="H1676" r:id="rId1675" display="https://i.ibb.co/LpJM38D/Nubank.png"/>
    <hyperlink ref="H1677" r:id="rId1676" display="https://i.ibb.co/DznB5q4/Itau.png"/>
    <hyperlink ref="H1678" r:id="rId1677" display="https://i.ibb.co/LpJM38D/Nubank.png"/>
    <hyperlink ref="H1679" r:id="rId1678" display="https://i.ibb.co/DznB5q4/Itau.png"/>
    <hyperlink ref="H1680" r:id="rId1679" display="https://i.ibb.co/zX8KX6R/Santander.png"/>
    <hyperlink ref="H1681" r:id="rId1680" display="https://i.ibb.co/DznB5q4/Itau.png"/>
    <hyperlink ref="H1682" r:id="rId1681" display="https://i.ibb.co/DznB5q4/Itau.png"/>
    <hyperlink ref="H1683" r:id="rId1682" display="https://i.ibb.co/LpJM38D/Nubank.png"/>
    <hyperlink ref="H1684" r:id="rId1683" display="https://i.ibb.co/DznB5q4/Itau.png"/>
    <hyperlink ref="H1685" r:id="rId1684" display="https://i.ibb.co/zX8KX6R/Santander.png"/>
    <hyperlink ref="H1686" r:id="rId1685" display="https://i.ibb.co/zX8KX6R/Santander.png"/>
    <hyperlink ref="H1687" r:id="rId1686" display="https://i.ibb.co/zX8KX6R/Santander.png"/>
    <hyperlink ref="H1688" r:id="rId1687" display="https://i.ibb.co/zX8KX6R/Santander.png"/>
    <hyperlink ref="H1689" r:id="rId1688" display="https://i.ibb.co/LpJM38D/Nubank.png"/>
    <hyperlink ref="H1690" r:id="rId1689" display="https://i.ibb.co/zX8KX6R/Santander.png"/>
    <hyperlink ref="H1691" r:id="rId1690" display="https://i.ibb.co/DznB5q4/Itau.png"/>
    <hyperlink ref="H1692" r:id="rId1691" display="https://i.ibb.co/zX8KX6R/Santander.png"/>
    <hyperlink ref="H1693" r:id="rId1692" display="https://i.ibb.co/DznB5q4/Itau.png"/>
    <hyperlink ref="H1694" r:id="rId1693" display="https://i.ibb.co/LpJM38D/Nubank.png"/>
    <hyperlink ref="H1695" r:id="rId1694" display="https://i.ibb.co/LpJM38D/Nubank.png"/>
    <hyperlink ref="H1696" r:id="rId1695" display="https://i.ibb.co/LpJM38D/Nubank.png"/>
    <hyperlink ref="H1697" r:id="rId1696" display="https://i.ibb.co/DznB5q4/Itau.png"/>
    <hyperlink ref="H1698" r:id="rId1697" display="https://i.ibb.co/68RXB19/Bradesco.png"/>
    <hyperlink ref="H1699" r:id="rId1698" display="https://i.ibb.co/LpJM38D/Nubank.png"/>
    <hyperlink ref="H1700" r:id="rId1699" display="https://i.ibb.co/DznB5q4/Itau.png"/>
    <hyperlink ref="H1701" r:id="rId1700" display="https://i.ibb.co/zX8KX6R/Santander.png"/>
    <hyperlink ref="H1702" r:id="rId1701" display="https://i.ibb.co/68RXB19/Bradesco.png"/>
    <hyperlink ref="H1703" r:id="rId1702" display="https://i.ibb.co/DznB5q4/Itau.png"/>
    <hyperlink ref="H1704" r:id="rId1703" display="https://i.ibb.co/LpJM38D/Nubank.png"/>
    <hyperlink ref="H1705" r:id="rId1704" display="https://i.ibb.co/LpJM38D/Nubank.png"/>
    <hyperlink ref="H1706" r:id="rId1705" display="https://i.ibb.co/DznB5q4/Itau.png"/>
    <hyperlink ref="H1707" r:id="rId1706" display="https://i.ibb.co/LpJM38D/Nubank.png"/>
    <hyperlink ref="H1708" r:id="rId1707" display="https://i.ibb.co/zX8KX6R/Santander.png"/>
    <hyperlink ref="H1709" r:id="rId1708" display="https://i.ibb.co/DznB5q4/Itau.png"/>
    <hyperlink ref="H1710" r:id="rId1709" display="https://i.ibb.co/68RXB19/Bradesco.png"/>
    <hyperlink ref="H1711" r:id="rId1710" display="https://i.ibb.co/DznB5q4/Itau.png"/>
    <hyperlink ref="H1712" r:id="rId1711" display="https://i.ibb.co/LpJM38D/Nubank.png"/>
    <hyperlink ref="H1713" r:id="rId1712" display="https://i.ibb.co/68RXB19/Bradesco.png"/>
    <hyperlink ref="H1714" r:id="rId1713" display="https://i.ibb.co/DznB5q4/Itau.png"/>
    <hyperlink ref="H1715" r:id="rId1714" display="https://i.ibb.co/zX8KX6R/Santander.png"/>
    <hyperlink ref="H1716" r:id="rId1715" display="https://i.ibb.co/68RXB19/Bradesco.png"/>
    <hyperlink ref="H1717" r:id="rId1716" display="https://i.ibb.co/DznB5q4/Itau.png"/>
    <hyperlink ref="H1718" r:id="rId1717" display="https://i.ibb.co/LpJM38D/Nubank.png"/>
    <hyperlink ref="H1719" r:id="rId1718" display="https://i.ibb.co/DznB5q4/Itau.png"/>
    <hyperlink ref="H1720" r:id="rId1719" display="https://i.ibb.co/DznB5q4/Itau.png"/>
    <hyperlink ref="H1721" r:id="rId1720" display="https://i.ibb.co/zX8KX6R/Santander.png"/>
    <hyperlink ref="H1722" r:id="rId1721" display="https://i.ibb.co/LpJM38D/Nubank.png"/>
    <hyperlink ref="H1723" r:id="rId1722" display="https://i.ibb.co/zX8KX6R/Santander.png"/>
    <hyperlink ref="H1724" r:id="rId1723" display="https://i.ibb.co/DznB5q4/Itau.png"/>
    <hyperlink ref="H1725" r:id="rId1724" display="https://i.ibb.co/DznB5q4/Itau.png"/>
    <hyperlink ref="H1726" r:id="rId1725" display="https://i.ibb.co/zX8KX6R/Santander.png"/>
    <hyperlink ref="H1727" r:id="rId1726" display="https://i.ibb.co/DznB5q4/Itau.png"/>
    <hyperlink ref="H1728" r:id="rId1727" display="https://i.ibb.co/FhY6B5f/Safra.png"/>
    <hyperlink ref="H1729" r:id="rId1728" display="https://i.ibb.co/DznB5q4/Itau.png"/>
    <hyperlink ref="H1730" r:id="rId1729" display="https://i.ibb.co/LpJM38D/Nubank.png"/>
    <hyperlink ref="H1731" r:id="rId1730" display="https://i.ibb.co/DznB5q4/Itau.png"/>
    <hyperlink ref="H1732" r:id="rId1731" display="https://i.ibb.co/DznB5q4/Itau.png"/>
    <hyperlink ref="H1733" r:id="rId1732" display="https://i.ibb.co/DznB5q4/Itau.png"/>
    <hyperlink ref="H1734" r:id="rId1733" display="https://i.ibb.co/68RXB19/Bradesco.png"/>
    <hyperlink ref="H1735" r:id="rId1734" display="https://i.ibb.co/LpJM38D/Nubank.png"/>
    <hyperlink ref="H1736" r:id="rId1735" display="https://i.ibb.co/DznB5q4/Itau.png"/>
    <hyperlink ref="H1737" r:id="rId1736" display="https://i.ibb.co/DznB5q4/Itau.png"/>
    <hyperlink ref="H1738" r:id="rId1737" display="https://i.ibb.co/DznB5q4/Itau.png"/>
    <hyperlink ref="H1739" r:id="rId1738" display="https://i.ibb.co/LpJM38D/Nubank.png"/>
    <hyperlink ref="H1740" r:id="rId1739" display="https://i.ibb.co/DznB5q4/Itau.png"/>
    <hyperlink ref="H1741" r:id="rId1740" display="https://i.ibb.co/zX8KX6R/Santander.png"/>
    <hyperlink ref="H1742" r:id="rId1741" display="https://i.ibb.co/DznB5q4/Itau.png"/>
    <hyperlink ref="H1743" r:id="rId1742" display="https://i.ibb.co/DznB5q4/Itau.png"/>
    <hyperlink ref="H1744" r:id="rId1743" display="https://i.ibb.co/zX8KX6R/Santander.png"/>
    <hyperlink ref="H1745" r:id="rId1744" display="https://i.ibb.co/DznB5q4/Itau.png"/>
    <hyperlink ref="H1746" r:id="rId1745" display="https://i.ibb.co/DznB5q4/Itau.png"/>
    <hyperlink ref="H1747" r:id="rId1746" display="https://i.ibb.co/DznB5q4/Itau.png"/>
    <hyperlink ref="H1748" r:id="rId1747" display="https://i.ibb.co/DznB5q4/Itau.png"/>
    <hyperlink ref="H1749" r:id="rId1748" display="https://i.ibb.co/LpJM38D/Nubank.png"/>
    <hyperlink ref="H1750" r:id="rId1749" display="https://i.ibb.co/FhY6B5f/Safra.png"/>
    <hyperlink ref="H1751" r:id="rId1750" display="https://i.ibb.co/DznB5q4/Itau.png"/>
    <hyperlink ref="H1752" r:id="rId1751" display="https://i.ibb.co/DznB5q4/Itau.png"/>
    <hyperlink ref="H1753" r:id="rId1752" display="https://i.ibb.co/zX8KX6R/Santander.png"/>
    <hyperlink ref="H1754" r:id="rId1753" display="https://i.ibb.co/zX8KX6R/Santander.png"/>
    <hyperlink ref="H1755" r:id="rId1754" display="https://i.ibb.co/LpJM38D/Nubank.png"/>
    <hyperlink ref="H1756" r:id="rId1755" display="https://i.ibb.co/LpJM38D/Nubank.png"/>
    <hyperlink ref="H1757" r:id="rId1756" display="https://i.ibb.co/LpJM38D/Nubank.png"/>
    <hyperlink ref="H1758" r:id="rId1757" display="https://i.ibb.co/68RXB19/Bradesco.png"/>
    <hyperlink ref="H1759" r:id="rId1758" display="https://i.ibb.co/LpJM38D/Nubank.png"/>
    <hyperlink ref="H1760" r:id="rId1759" display="https://i.ibb.co/DznB5q4/Itau.png"/>
    <hyperlink ref="H1761" r:id="rId1760" display="https://i.ibb.co/DznB5q4/Itau.png"/>
    <hyperlink ref="H1762" r:id="rId1761" display="https://i.ibb.co/LpJM38D/Nubank.png"/>
    <hyperlink ref="H1763" r:id="rId1762" display="https://i.ibb.co/zX8KX6R/Santander.png"/>
    <hyperlink ref="H1764" r:id="rId1763" display="https://i.ibb.co/DznB5q4/Itau.png"/>
    <hyperlink ref="H1765" r:id="rId1764" display="https://i.ibb.co/LpJM38D/Nubank.png"/>
    <hyperlink ref="H1766" r:id="rId1765" display="https://i.ibb.co/LpJM38D/Nubank.png"/>
    <hyperlink ref="H1767" r:id="rId1766" display="https://i.ibb.co/DznB5q4/Itau.png"/>
    <hyperlink ref="H1768" r:id="rId1767" display="https://i.ibb.co/zX8KX6R/Santander.png"/>
    <hyperlink ref="H1769" r:id="rId1768" display="https://i.ibb.co/DznB5q4/Itau.png"/>
    <hyperlink ref="H1770" r:id="rId1769" display="https://i.ibb.co/LpJM38D/Nubank.png"/>
    <hyperlink ref="H1771" r:id="rId1770" display="https://i.ibb.co/68RXB19/Bradesco.png"/>
    <hyperlink ref="H1772" r:id="rId1771" display="https://i.ibb.co/DznB5q4/Itau.png"/>
    <hyperlink ref="H1773" r:id="rId1772" display="https://i.ibb.co/DznB5q4/Itau.png"/>
    <hyperlink ref="H1774" r:id="rId1773" display="https://i.ibb.co/DznB5q4/Itau.png"/>
    <hyperlink ref="H1775" r:id="rId1774" display="https://i.ibb.co/LpJM38D/Nubank.png"/>
    <hyperlink ref="H1776" r:id="rId1775" display="https://i.ibb.co/LpJM38D/Nubank.png"/>
    <hyperlink ref="H1777" r:id="rId1776" display="https://i.ibb.co/DznB5q4/Itau.png"/>
    <hyperlink ref="H1778" r:id="rId1777" display="https://i.ibb.co/DznB5q4/Itau.png"/>
    <hyperlink ref="H1779" r:id="rId1778" display="https://i.ibb.co/LpJM38D/Nubank.png"/>
    <hyperlink ref="H1780" r:id="rId1779" display="https://i.ibb.co/DznB5q4/Itau.png"/>
    <hyperlink ref="H1781" r:id="rId1780" display="https://i.ibb.co/LpJM38D/Nubank.png"/>
    <hyperlink ref="H1782" r:id="rId1781" display="https://i.ibb.co/LpJM38D/Nubank.png"/>
    <hyperlink ref="H1783" r:id="rId1782" display="https://i.ibb.co/LpJM38D/Nubank.png"/>
    <hyperlink ref="H1784" r:id="rId1783" display="https://i.ibb.co/FhY6B5f/Safra.png"/>
    <hyperlink ref="H1785" r:id="rId1784" display="https://i.ibb.co/DznB5q4/Itau.png"/>
    <hyperlink ref="H1786" r:id="rId1785" display="https://i.ibb.co/LpJM38D/Nubank.png"/>
    <hyperlink ref="H1787" r:id="rId1786" display="https://i.ibb.co/DznB5q4/Itau.png"/>
    <hyperlink ref="H1788" r:id="rId1787" display="https://i.ibb.co/68RXB19/Bradesco.png"/>
    <hyperlink ref="H1789" r:id="rId1788" display="https://i.ibb.co/DznB5q4/Itau.png"/>
    <hyperlink ref="H1790" r:id="rId1789" display="https://i.ibb.co/LpJM38D/Nubank.png"/>
    <hyperlink ref="H1791" r:id="rId1790" display="https://i.ibb.co/DznB5q4/Itau.png"/>
    <hyperlink ref="H1792" r:id="rId1791" display="https://i.ibb.co/DznB5q4/Itau.png"/>
    <hyperlink ref="H1793" r:id="rId1792" display="https://i.ibb.co/68RXB19/Bradesco.png"/>
    <hyperlink ref="H1794" r:id="rId1793" display="https://i.ibb.co/zX8KX6R/Santander.png"/>
    <hyperlink ref="H1795" r:id="rId1794" display="https://i.ibb.co/DznB5q4/Itau.png"/>
    <hyperlink ref="H1796" r:id="rId1795" display="https://i.ibb.co/DznB5q4/Itau.png"/>
    <hyperlink ref="H1797" r:id="rId1796" display="https://i.ibb.co/DznB5q4/Itau.png"/>
    <hyperlink ref="H1798" r:id="rId1797" display="https://i.ibb.co/DznB5q4/Itau.png"/>
    <hyperlink ref="H1799" r:id="rId1798" display="https://i.ibb.co/68RXB19/Bradesco.png"/>
    <hyperlink ref="H1800" r:id="rId1799" display="https://i.ibb.co/DznB5q4/Itau.png"/>
    <hyperlink ref="H1801" r:id="rId1800" display="https://i.ibb.co/LpJM38D/Nubank.png"/>
    <hyperlink ref="H1802" r:id="rId1801" display="https://i.ibb.co/DznB5q4/Itau.png"/>
    <hyperlink ref="H1803" r:id="rId1802" display="https://i.ibb.co/DznB5q4/Itau.png"/>
    <hyperlink ref="H1804" r:id="rId1803" display="https://i.ibb.co/zX8KX6R/Santander.png"/>
    <hyperlink ref="H1805" r:id="rId1804" display="https://i.ibb.co/DznB5q4/Itau.png"/>
    <hyperlink ref="H1806" r:id="rId1805" display="https://i.ibb.co/DznB5q4/Itau.png"/>
    <hyperlink ref="H1807" r:id="rId1806" display="https://i.ibb.co/DznB5q4/Itau.png"/>
    <hyperlink ref="H1808" r:id="rId1807" display="https://i.ibb.co/68RXB19/Bradesco.png"/>
    <hyperlink ref="H1809" r:id="rId1808" display="https://i.ibb.co/DznB5q4/Itau.png"/>
    <hyperlink ref="H1810" r:id="rId1809" display="https://i.ibb.co/DznB5q4/Itau.png"/>
    <hyperlink ref="H1811" r:id="rId1810" display="https://i.ibb.co/LpJM38D/Nubank.png"/>
    <hyperlink ref="H1812" r:id="rId1811" display="https://i.ibb.co/DznB5q4/Itau.png"/>
    <hyperlink ref="H1813" r:id="rId1812" display="https://i.ibb.co/LpJM38D/Nubank.png"/>
    <hyperlink ref="H1814" r:id="rId1813" display="https://i.ibb.co/DznB5q4/Itau.png"/>
    <hyperlink ref="H1815" r:id="rId1814" display="https://i.ibb.co/zX8KX6R/Santander.png"/>
    <hyperlink ref="H1816" r:id="rId1815" display="https://i.ibb.co/DznB5q4/Itau.png"/>
    <hyperlink ref="H1817" r:id="rId1816" display="https://i.ibb.co/FhY6B5f/Safra.png"/>
    <hyperlink ref="H1818" r:id="rId1817" display="https://i.ibb.co/DznB5q4/Itau.png"/>
    <hyperlink ref="H1819" r:id="rId1818" display="https://i.ibb.co/DznB5q4/Itau.png"/>
    <hyperlink ref="H1820" r:id="rId1819" display="https://i.ibb.co/DznB5q4/Itau.png"/>
    <hyperlink ref="H1821" r:id="rId1820" display="https://i.ibb.co/LpJM38D/Nubank.png"/>
    <hyperlink ref="H1822" r:id="rId1821" display="https://i.ibb.co/DznB5q4/Itau.png"/>
    <hyperlink ref="H1823" r:id="rId1822" display="https://i.ibb.co/DznB5q4/Itau.png"/>
    <hyperlink ref="H1824" r:id="rId1823" display="https://i.ibb.co/zX8KX6R/Santander.png"/>
    <hyperlink ref="H1825" r:id="rId1824" display="https://i.ibb.co/LpJM38D/Nubank.png"/>
    <hyperlink ref="H1826" r:id="rId1825" display="https://i.ibb.co/LpJM38D/Nubank.png"/>
    <hyperlink ref="H1827" r:id="rId1826" display="https://i.ibb.co/DznB5q4/Itau.png"/>
    <hyperlink ref="H1828" r:id="rId1827" display="https://i.ibb.co/zX8KX6R/Santander.png"/>
    <hyperlink ref="H1829" r:id="rId1828" display="https://i.ibb.co/DznB5q4/Itau.png"/>
    <hyperlink ref="H1830" r:id="rId1829" display="https://i.ibb.co/LpJM38D/Nubank.png"/>
    <hyperlink ref="H1831" r:id="rId1830" display="https://i.ibb.co/LpJM38D/Nubank.png"/>
    <hyperlink ref="H1832" r:id="rId1831" display="https://i.ibb.co/LpJM38D/Nubank.png"/>
    <hyperlink ref="H1833" r:id="rId1832" display="https://i.ibb.co/DznB5q4/Itau.png"/>
    <hyperlink ref="H1834" r:id="rId1833" display="https://i.ibb.co/68RXB19/Bradesco.png"/>
    <hyperlink ref="H1835" r:id="rId1834" display="https://i.ibb.co/DznB5q4/Itau.png"/>
    <hyperlink ref="H1836" r:id="rId1835" display="https://i.ibb.co/68RXB19/Bradesco.png"/>
    <hyperlink ref="H1837" r:id="rId1836" display="https://i.ibb.co/DznB5q4/Itau.png"/>
    <hyperlink ref="H1838" r:id="rId1837" display="https://i.ibb.co/DznB5q4/Itau.png"/>
    <hyperlink ref="H1839" r:id="rId1838" display="https://i.ibb.co/DznB5q4/Itau.png"/>
    <hyperlink ref="H1840" r:id="rId1839" display="https://i.ibb.co/FhY6B5f/Safra.png"/>
    <hyperlink ref="H1841" r:id="rId1840" display="https://i.ibb.co/zX8KX6R/Santander.png"/>
    <hyperlink ref="H1842" r:id="rId1841" display="https://i.ibb.co/LpJM38D/Nubank.png"/>
    <hyperlink ref="H1843" r:id="rId1842" display="https://i.ibb.co/DznB5q4/Itau.png"/>
    <hyperlink ref="H1844" r:id="rId1843" display="https://i.ibb.co/DznB5q4/Itau.png"/>
    <hyperlink ref="H1845" r:id="rId1844" display="https://i.ibb.co/zX8KX6R/Santander.png"/>
    <hyperlink ref="H1846" r:id="rId1845" display="https://i.ibb.co/zX8KX6R/Santander.png"/>
    <hyperlink ref="H1847" r:id="rId1846" display="https://i.ibb.co/DznB5q4/Itau.png"/>
    <hyperlink ref="H1848" r:id="rId1847" display="https://i.ibb.co/DznB5q4/Itau.png"/>
    <hyperlink ref="H1849" r:id="rId1848" display="https://i.ibb.co/LpJM38D/Nubank.png"/>
    <hyperlink ref="H1850" r:id="rId1849" display="https://i.ibb.co/DznB5q4/Itau.png"/>
    <hyperlink ref="H1851" r:id="rId1850" display="https://i.ibb.co/zX8KX6R/Santander.png"/>
    <hyperlink ref="H1852" r:id="rId1851" display="https://i.ibb.co/DznB5q4/Itau.png"/>
    <hyperlink ref="H1853" r:id="rId1852" display="https://i.ibb.co/68RXB19/Bradesco.png"/>
    <hyperlink ref="H1854" r:id="rId1853" display="https://i.ibb.co/LpJM38D/Nubank.png"/>
    <hyperlink ref="H1855" r:id="rId1854" display="https://i.ibb.co/DznB5q4/Itau.png"/>
    <hyperlink ref="H1856" r:id="rId1855" display="https://i.ibb.co/LpJM38D/Nubank.png"/>
    <hyperlink ref="H1857" r:id="rId1856" display="https://i.ibb.co/LpJM38D/Nubank.png"/>
    <hyperlink ref="H1858" r:id="rId1857" display="https://i.ibb.co/DznB5q4/Itau.png"/>
    <hyperlink ref="H1859" r:id="rId1858" display="https://i.ibb.co/DznB5q4/Itau.png"/>
    <hyperlink ref="H1860" r:id="rId1859" display="https://i.ibb.co/zX8KX6R/Santander.png"/>
    <hyperlink ref="H1861" r:id="rId1860" display="https://i.ibb.co/DznB5q4/Itau.png"/>
    <hyperlink ref="H1862" r:id="rId1861" display="https://i.ibb.co/LpJM38D/Nubank.png"/>
    <hyperlink ref="H1863" r:id="rId1862" display="https://i.ibb.co/DznB5q4/Itau.png"/>
    <hyperlink ref="H1864" r:id="rId1863" display="https://i.ibb.co/68RXB19/Bradesco.png"/>
    <hyperlink ref="H1865" r:id="rId1864" display="https://i.ibb.co/LpJM38D/Nubank.png"/>
    <hyperlink ref="H1866" r:id="rId1865" display="https://i.ibb.co/DznB5q4/Itau.png"/>
    <hyperlink ref="H1867" r:id="rId1866" display="https://i.ibb.co/DznB5q4/Itau.png"/>
    <hyperlink ref="H1868" r:id="rId1867" display="https://i.ibb.co/68RXB19/Bradesco.png"/>
    <hyperlink ref="H1869" r:id="rId1868" display="https://i.ibb.co/zX8KX6R/Santander.png"/>
    <hyperlink ref="H1870" r:id="rId1869" display="https://i.ibb.co/LpJM38D/Nubank.png"/>
    <hyperlink ref="H1871" r:id="rId1870" display="https://i.ibb.co/LpJM38D/Nubank.png"/>
    <hyperlink ref="H1872" r:id="rId1871" display="https://i.ibb.co/LpJM38D/Nubank.png"/>
    <hyperlink ref="H1873" r:id="rId1872" display="https://i.ibb.co/DznB5q4/Itau.png"/>
    <hyperlink ref="H1874" r:id="rId1873" display="https://i.ibb.co/68RXB19/Bradesco.png"/>
    <hyperlink ref="H1875" r:id="rId1874" display="https://i.ibb.co/68RXB19/Bradesco.png"/>
    <hyperlink ref="H1876" r:id="rId1875" display="https://i.ibb.co/LpJM38D/Nubank.png"/>
    <hyperlink ref="H1877" r:id="rId1876" display="https://i.ibb.co/LpJM38D/Nubank.png"/>
    <hyperlink ref="H1878" r:id="rId1877" display="https://i.ibb.co/68RXB19/Bradesco.png"/>
    <hyperlink ref="H1879" r:id="rId1878" display="https://i.ibb.co/zX8KX6R/Santander.png"/>
    <hyperlink ref="H1880" r:id="rId1879" display="https://i.ibb.co/LpJM38D/Nubank.png"/>
    <hyperlink ref="H1881" r:id="rId1880" display="https://i.ibb.co/zX8KX6R/Santander.png"/>
    <hyperlink ref="H1882" r:id="rId1881" display="https://i.ibb.co/DznB5q4/Itau.png"/>
    <hyperlink ref="H1883" r:id="rId1882" display="https://i.ibb.co/68RXB19/Bradesco.png"/>
    <hyperlink ref="H1884" r:id="rId1883" display="https://i.ibb.co/FhY6B5f/Safra.png"/>
    <hyperlink ref="H1885" r:id="rId1884" display="https://i.ibb.co/LpJM38D/Nubank.png"/>
    <hyperlink ref="H1886" r:id="rId1885" display="https://i.ibb.co/DznB5q4/Itau.png"/>
    <hyperlink ref="H1887" r:id="rId1886" display="https://i.ibb.co/DznB5q4/Itau.png"/>
    <hyperlink ref="H1888" r:id="rId1887" display="https://i.ibb.co/DznB5q4/Itau.png"/>
    <hyperlink ref="H1889" r:id="rId1888" display="https://i.ibb.co/LpJM38D/Nubank.png"/>
    <hyperlink ref="H1890" r:id="rId1889" display="https://i.ibb.co/DznB5q4/Itau.png"/>
    <hyperlink ref="H1891" r:id="rId1890" display="https://i.ibb.co/LpJM38D/Nubank.png"/>
    <hyperlink ref="H1892" r:id="rId1891" display="https://i.ibb.co/LpJM38D/Nubank.png"/>
    <hyperlink ref="H1893" r:id="rId1892" display="https://i.ibb.co/LpJM38D/Nubank.png"/>
    <hyperlink ref="H1894" r:id="rId1893" display="https://i.ibb.co/DznB5q4/Itau.png"/>
    <hyperlink ref="H1895" r:id="rId1894" display="https://i.ibb.co/DznB5q4/Itau.png"/>
    <hyperlink ref="H1896" r:id="rId1895" display="https://i.ibb.co/LpJM38D/Nubank.png"/>
    <hyperlink ref="H1897" r:id="rId1896" display="https://i.ibb.co/zX8KX6R/Santander.png"/>
    <hyperlink ref="H1898" r:id="rId1897" display="https://i.ibb.co/68RXB19/Bradesco.png"/>
    <hyperlink ref="H1899" r:id="rId1898" display="https://i.ibb.co/zX8KX6R/Santander.png"/>
    <hyperlink ref="H1900" r:id="rId1899" display="https://i.ibb.co/DznB5q4/Itau.png"/>
    <hyperlink ref="H1901" r:id="rId1900" display="https://i.ibb.co/LpJM38D/Nubank.png"/>
    <hyperlink ref="H1902" r:id="rId1901" display="https://i.ibb.co/DznB5q4/Itau.png"/>
    <hyperlink ref="H1903" r:id="rId1902" display="https://i.ibb.co/68RXB19/Bradesco.png"/>
    <hyperlink ref="H1904" r:id="rId1903" display="https://i.ibb.co/LpJM38D/Nubank.png"/>
    <hyperlink ref="H1905" r:id="rId1904" display="https://i.ibb.co/DznB5q4/Itau.png"/>
    <hyperlink ref="H1906" r:id="rId1905" display="https://i.ibb.co/68RXB19/Bradesco.png"/>
    <hyperlink ref="H1907" r:id="rId1906" display="https://i.ibb.co/DznB5q4/Itau.png"/>
    <hyperlink ref="H1908" r:id="rId1907" display="https://i.ibb.co/FhY6B5f/Safra.png"/>
    <hyperlink ref="H1909" r:id="rId1908" display="https://i.ibb.co/DznB5q4/Itau.png"/>
    <hyperlink ref="H1910" r:id="rId1909" display="https://i.ibb.co/FhY6B5f/Safra.png"/>
    <hyperlink ref="H1911" r:id="rId1910" display="https://i.ibb.co/LpJM38D/Nubank.png"/>
    <hyperlink ref="H1912" r:id="rId1911" display="https://i.ibb.co/LpJM38D/Nubank.png"/>
    <hyperlink ref="H1913" r:id="rId1912" display="https://i.ibb.co/LpJM38D/Nubank.png"/>
    <hyperlink ref="H1914" r:id="rId1913" display="https://i.ibb.co/LpJM38D/Nubank.png"/>
    <hyperlink ref="H1915" r:id="rId1914" display="https://i.ibb.co/DznB5q4/Itau.png"/>
    <hyperlink ref="H1916" r:id="rId1915" display="https://i.ibb.co/DznB5q4/Itau.png"/>
    <hyperlink ref="H1917" r:id="rId1916" display="https://i.ibb.co/68RXB19/Bradesco.png"/>
    <hyperlink ref="H1918" r:id="rId1917" display="https://i.ibb.co/zX8KX6R/Santander.png"/>
    <hyperlink ref="H1919" r:id="rId1918" display="https://i.ibb.co/DznB5q4/Itau.png"/>
    <hyperlink ref="H1920" r:id="rId1919" display="https://i.ibb.co/zX8KX6R/Santander.png"/>
    <hyperlink ref="H1921" r:id="rId1920" display="https://i.ibb.co/DznB5q4/Itau.png"/>
    <hyperlink ref="H1922" r:id="rId1921" display="https://i.ibb.co/LpJM38D/Nubank.png"/>
    <hyperlink ref="H1923" r:id="rId1922" display="https://i.ibb.co/68RXB19/Bradesco.png"/>
    <hyperlink ref="H1924" r:id="rId1923" display="https://i.ibb.co/68RXB19/Bradesco.png"/>
    <hyperlink ref="H1925" r:id="rId1924" display="https://i.ibb.co/68RXB19/Bradesco.png"/>
    <hyperlink ref="H1926" r:id="rId1925" display="https://i.ibb.co/DznB5q4/Itau.png"/>
    <hyperlink ref="H1927" r:id="rId1926" display="https://i.ibb.co/LpJM38D/Nubank.png"/>
    <hyperlink ref="H1928" r:id="rId1927" display="https://i.ibb.co/DznB5q4/Itau.png"/>
    <hyperlink ref="H1929" r:id="rId1928" display="https://i.ibb.co/DznB5q4/Itau.png"/>
    <hyperlink ref="H1930" r:id="rId1929" display="https://i.ibb.co/DznB5q4/Itau.png"/>
    <hyperlink ref="H1931" r:id="rId1930" display="https://i.ibb.co/zX8KX6R/Santander.png"/>
    <hyperlink ref="H1932" r:id="rId1931" display="https://i.ibb.co/DznB5q4/Itau.png"/>
    <hyperlink ref="H1933" r:id="rId1932" display="https://i.ibb.co/zX8KX6R/Santander.png"/>
    <hyperlink ref="H1934" r:id="rId1933" display="https://i.ibb.co/zX8KX6R/Santander.png"/>
    <hyperlink ref="H1935" r:id="rId1934" display="https://i.ibb.co/DznB5q4/Itau.png"/>
    <hyperlink ref="H1936" r:id="rId1935" display="https://i.ibb.co/zX8KX6R/Santander.png"/>
    <hyperlink ref="H1937" r:id="rId1936" display="https://i.ibb.co/DznB5q4/Itau.png"/>
    <hyperlink ref="H1938" r:id="rId1937" display="https://i.ibb.co/zX8KX6R/Santander.png"/>
    <hyperlink ref="H1939" r:id="rId1938" display="https://i.ibb.co/DznB5q4/Itau.png"/>
    <hyperlink ref="H1940" r:id="rId1939" display="https://i.ibb.co/zX8KX6R/Santander.png"/>
    <hyperlink ref="H1941" r:id="rId1940" display="https://i.ibb.co/DznB5q4/Itau.png"/>
    <hyperlink ref="H1942" r:id="rId1941" display="https://i.ibb.co/DznB5q4/Itau.png"/>
    <hyperlink ref="H1943" r:id="rId1942" display="https://i.ibb.co/zX8KX6R/Santander.png"/>
    <hyperlink ref="H1944" r:id="rId1943" display="https://i.ibb.co/LpJM38D/Nubank.png"/>
    <hyperlink ref="H1945" r:id="rId1944" display="https://i.ibb.co/DznB5q4/Itau.png"/>
    <hyperlink ref="H1946" r:id="rId1945" display="https://i.ibb.co/DznB5q4/Itau.png"/>
    <hyperlink ref="H1947" r:id="rId1946" display="https://i.ibb.co/68RXB19/Bradesco.png"/>
    <hyperlink ref="H1948" r:id="rId1947" display="https://i.ibb.co/68RXB19/Bradesco.png"/>
    <hyperlink ref="H1949" r:id="rId1948" display="https://i.ibb.co/FhY6B5f/Safra.png"/>
    <hyperlink ref="H1950" r:id="rId1949" display="https://i.ibb.co/DznB5q4/Itau.png"/>
    <hyperlink ref="H1951" r:id="rId1950" display="https://i.ibb.co/DznB5q4/Itau.png"/>
    <hyperlink ref="H1952" r:id="rId1951" display="https://i.ibb.co/LpJM38D/Nubank.png"/>
    <hyperlink ref="H1953" r:id="rId1952" display="https://i.ibb.co/LpJM38D/Nubank.png"/>
    <hyperlink ref="H1954" r:id="rId1953" display="https://i.ibb.co/LpJM38D/Nubank.png"/>
    <hyperlink ref="H1955" r:id="rId1954" display="https://i.ibb.co/DznB5q4/Itau.png"/>
    <hyperlink ref="H1956" r:id="rId1955" display="https://i.ibb.co/DznB5q4/Itau.png"/>
    <hyperlink ref="H1957" r:id="rId1956" display="https://i.ibb.co/DznB5q4/Itau.png"/>
    <hyperlink ref="H1958" r:id="rId1957" display="https://i.ibb.co/DznB5q4/Itau.png"/>
    <hyperlink ref="H1959" r:id="rId1958" display="https://i.ibb.co/DznB5q4/Itau.png"/>
    <hyperlink ref="H1960" r:id="rId1959" display="https://i.ibb.co/LpJM38D/Nubank.png"/>
    <hyperlink ref="H1961" r:id="rId1960" display="https://i.ibb.co/LpJM38D/Nubank.png"/>
    <hyperlink ref="H1962" r:id="rId1961" display="https://i.ibb.co/68RXB19/Bradesco.png"/>
    <hyperlink ref="H1963" r:id="rId1962" display="https://i.ibb.co/zX8KX6R/Santander.png"/>
    <hyperlink ref="H1964" r:id="rId1963" display="https://i.ibb.co/DznB5q4/Itau.png"/>
    <hyperlink ref="H1965" r:id="rId1964" display="https://i.ibb.co/zX8KX6R/Santander.png"/>
    <hyperlink ref="H1966" r:id="rId1965" display="https://i.ibb.co/zX8KX6R/Santander.png"/>
    <hyperlink ref="H1967" r:id="rId1966" display="https://i.ibb.co/DznB5q4/Itau.png"/>
    <hyperlink ref="H1968" r:id="rId1967" display="https://i.ibb.co/DznB5q4/Itau.png"/>
    <hyperlink ref="H1969" r:id="rId1968" display="https://i.ibb.co/DznB5q4/Itau.png"/>
    <hyperlink ref="H1970" r:id="rId1969" display="https://i.ibb.co/68RXB19/Bradesco.png"/>
    <hyperlink ref="H1971" r:id="rId1970" display="https://i.ibb.co/LpJM38D/Nubank.png"/>
    <hyperlink ref="H1972" r:id="rId1971" display="https://i.ibb.co/zX8KX6R/Santander.png"/>
    <hyperlink ref="H1973" r:id="rId1972" display="https://i.ibb.co/FhY6B5f/Safra.png"/>
    <hyperlink ref="H1974" r:id="rId1973" display="https://i.ibb.co/FhY6B5f/Safra.png"/>
    <hyperlink ref="H1975" r:id="rId1974" display="https://i.ibb.co/LpJM38D/Nubank.png"/>
    <hyperlink ref="H1976" r:id="rId1975" display="https://i.ibb.co/DznB5q4/Itau.png"/>
    <hyperlink ref="H1977" r:id="rId1976" display="https://i.ibb.co/zX8KX6R/Santander.png"/>
    <hyperlink ref="H1978" r:id="rId1977" display="https://i.ibb.co/DznB5q4/Itau.png"/>
    <hyperlink ref="H1979" r:id="rId1978" display="https://i.ibb.co/LpJM38D/Nubank.png"/>
    <hyperlink ref="H1980" r:id="rId1979" display="https://i.ibb.co/zX8KX6R/Santander.png"/>
    <hyperlink ref="H1981" r:id="rId1980" display="https://i.ibb.co/68RXB19/Bradesco.png"/>
    <hyperlink ref="H1982" r:id="rId1981" display="https://i.ibb.co/FhY6B5f/Safra.png"/>
    <hyperlink ref="H1983" r:id="rId1982" display="https://i.ibb.co/DznB5q4/Itau.png"/>
    <hyperlink ref="H1984" r:id="rId1983" display="https://i.ibb.co/68RXB19/Bradesco.png"/>
    <hyperlink ref="H1985" r:id="rId1984" display="https://i.ibb.co/LpJM38D/Nubank.png"/>
    <hyperlink ref="H1986" r:id="rId1985" display="https://i.ibb.co/LpJM38D/Nubank.png"/>
    <hyperlink ref="H1987" r:id="rId1986" display="https://i.ibb.co/LpJM38D/Nubank.png"/>
    <hyperlink ref="H1988" r:id="rId1987" display="https://i.ibb.co/DznB5q4/Itau.png"/>
    <hyperlink ref="H1989" r:id="rId1988" display="https://i.ibb.co/zX8KX6R/Santander.png"/>
    <hyperlink ref="H1990" r:id="rId1989" display="https://i.ibb.co/zX8KX6R/Santander.png"/>
    <hyperlink ref="H1991" r:id="rId1990" display="https://i.ibb.co/LpJM38D/Nubank.png"/>
    <hyperlink ref="H1992" r:id="rId1991" display="https://i.ibb.co/DznB5q4/Itau.png"/>
    <hyperlink ref="H1993" r:id="rId1992" display="https://i.ibb.co/LpJM38D/Nubank.png"/>
    <hyperlink ref="H1994" r:id="rId1993" display="https://i.ibb.co/zX8KX6R/Santander.png"/>
    <hyperlink ref="H1995" r:id="rId1994" display="https://i.ibb.co/DznB5q4/Itau.png"/>
    <hyperlink ref="H1996" r:id="rId1995" display="https://i.ibb.co/DznB5q4/Itau.png"/>
    <hyperlink ref="H1997" r:id="rId1996" display="https://i.ibb.co/LpJM38D/Nubank.png"/>
    <hyperlink ref="H1998" r:id="rId1997" display="https://i.ibb.co/DznB5q4/Itau.png"/>
    <hyperlink ref="H1999" r:id="rId1998" display="https://i.ibb.co/FhY6B5f/Safra.png"/>
    <hyperlink ref="H2000" r:id="rId1999" display="https://i.ibb.co/68RXB19/Bradesco.png"/>
    <hyperlink ref="H2001" r:id="rId2000" display="https://i.ibb.co/LpJM38D/Nubank.png"/>
    <hyperlink ref="H2002" r:id="rId2001" display="https://i.ibb.co/FhY6B5f/Safra.png"/>
    <hyperlink ref="H2003" r:id="rId2002" display="https://i.ibb.co/68RXB19/Bradesco.png"/>
    <hyperlink ref="H2004" r:id="rId2003" display="https://i.ibb.co/LpJM38D/Nubank.png"/>
    <hyperlink ref="H2005" r:id="rId2004" display="https://i.ibb.co/LpJM38D/Nubank.png"/>
    <hyperlink ref="H2006" r:id="rId2005" display="https://i.ibb.co/DznB5q4/Itau.png"/>
    <hyperlink ref="H2007" r:id="rId2006" display="https://i.ibb.co/DznB5q4/Itau.png"/>
    <hyperlink ref="H2008" r:id="rId2007" display="https://i.ibb.co/zX8KX6R/Santander.png"/>
    <hyperlink ref="H2009" r:id="rId2008" display="https://i.ibb.co/LpJM38D/Nubank.png"/>
    <hyperlink ref="H2010" r:id="rId2009" display="https://i.ibb.co/zX8KX6R/Santander.png"/>
    <hyperlink ref="H2011" r:id="rId2010" display="https://i.ibb.co/DznB5q4/Itau.png"/>
    <hyperlink ref="H2012" r:id="rId2011" display="https://i.ibb.co/zX8KX6R/Santander.png"/>
    <hyperlink ref="H2013" r:id="rId2012" display="https://i.ibb.co/DznB5q4/Itau.png"/>
    <hyperlink ref="H2014" r:id="rId2013" display="https://i.ibb.co/DznB5q4/Itau.png"/>
    <hyperlink ref="H2015" r:id="rId2014" display="https://i.ibb.co/LpJM38D/Nubank.png"/>
    <hyperlink ref="H2016" r:id="rId2015" display="https://i.ibb.co/LpJM38D/Nubank.png"/>
    <hyperlink ref="H2017" r:id="rId2016" display="https://i.ibb.co/FhY6B5f/Safra.png"/>
    <hyperlink ref="H2018" r:id="rId2017" display="https://i.ibb.co/DznB5q4/Itau.png"/>
    <hyperlink ref="H2019" r:id="rId2018" display="https://i.ibb.co/zX8KX6R/Santander.png"/>
    <hyperlink ref="H2020" r:id="rId2019" display="https://i.ibb.co/DznB5q4/Itau.png"/>
    <hyperlink ref="H2021" r:id="rId2020" display="https://i.ibb.co/DznB5q4/Itau.png"/>
    <hyperlink ref="H2022" r:id="rId2021" display="https://i.ibb.co/LpJM38D/Nubank.png"/>
    <hyperlink ref="H2023" r:id="rId2022" display="https://i.ibb.co/DznB5q4/Itau.png"/>
    <hyperlink ref="H2024" r:id="rId2023" display="https://i.ibb.co/zX8KX6R/Santander.png"/>
    <hyperlink ref="H2025" r:id="rId2024" display="https://i.ibb.co/zX8KX6R/Santander.png"/>
    <hyperlink ref="H2026" r:id="rId2025" display="https://i.ibb.co/zX8KX6R/Santander.png"/>
    <hyperlink ref="H2027" r:id="rId2026" display="https://i.ibb.co/LpJM38D/Nubank.png"/>
    <hyperlink ref="H2028" r:id="rId2027" display="https://i.ibb.co/DznB5q4/Itau.png"/>
    <hyperlink ref="H2029" r:id="rId2028" display="https://i.ibb.co/LpJM38D/Nubank.png"/>
    <hyperlink ref="H2030" r:id="rId2029" display="https://i.ibb.co/LpJM38D/Nubank.png"/>
    <hyperlink ref="H2031" r:id="rId2030" display="https://i.ibb.co/DznB5q4/Itau.png"/>
    <hyperlink ref="H2032" r:id="rId2031" display="https://i.ibb.co/DznB5q4/Itau.png"/>
    <hyperlink ref="H2033" r:id="rId2032" display="https://i.ibb.co/DznB5q4/Itau.png"/>
    <hyperlink ref="H2034" r:id="rId2033" display="https://i.ibb.co/68RXB19/Bradesco.png"/>
    <hyperlink ref="H2035" r:id="rId2034" display="https://i.ibb.co/DznB5q4/Itau.png"/>
    <hyperlink ref="H2036" r:id="rId2035" display="https://i.ibb.co/zX8KX6R/Santander.png"/>
    <hyperlink ref="H2037" r:id="rId2036" display="https://i.ibb.co/LpJM38D/Nubank.png"/>
    <hyperlink ref="H2038" r:id="rId2037" display="https://i.ibb.co/zX8KX6R/Santander.png"/>
    <hyperlink ref="H2039" r:id="rId2038" display="https://i.ibb.co/DznB5q4/Itau.png"/>
    <hyperlink ref="H2040" r:id="rId2039" display="https://i.ibb.co/DznB5q4/Itau.png"/>
    <hyperlink ref="H2041" r:id="rId2040" display="https://i.ibb.co/FhY6B5f/Safra.png"/>
    <hyperlink ref="H2042" r:id="rId2041" display="https://i.ibb.co/LpJM38D/Nubank.png"/>
    <hyperlink ref="H2043" r:id="rId2042" display="https://i.ibb.co/DznB5q4/Itau.png"/>
    <hyperlink ref="H2044" r:id="rId2043" display="https://i.ibb.co/LpJM38D/Nubank.png"/>
    <hyperlink ref="H2045" r:id="rId2044" display="https://i.ibb.co/DznB5q4/Itau.png"/>
    <hyperlink ref="H2046" r:id="rId2045" display="https://i.ibb.co/DznB5q4/Itau.png"/>
    <hyperlink ref="H2047" r:id="rId2046" display="https://i.ibb.co/LpJM38D/Nubank.png"/>
    <hyperlink ref="H2048" r:id="rId2047" display="https://i.ibb.co/zX8KX6R/Santander.png"/>
    <hyperlink ref="H2049" r:id="rId2048" display="https://i.ibb.co/zX8KX6R/Santander.png"/>
    <hyperlink ref="H2050" r:id="rId2049" display="https://i.ibb.co/zX8KX6R/Santander.png"/>
    <hyperlink ref="H2051" r:id="rId2050" display="https://i.ibb.co/zX8KX6R/Santander.png"/>
    <hyperlink ref="H2052" r:id="rId2051" display="https://i.ibb.co/zX8KX6R/Santander.png"/>
    <hyperlink ref="H2053" r:id="rId2052" display="https://i.ibb.co/FhY6B5f/Safra.png"/>
    <hyperlink ref="H2054" r:id="rId2053" display="https://i.ibb.co/LpJM38D/Nubank.png"/>
    <hyperlink ref="H2055" r:id="rId2054" display="https://i.ibb.co/DznB5q4/Itau.png"/>
    <hyperlink ref="H2056" r:id="rId2055" display="https://i.ibb.co/DznB5q4/Itau.png"/>
    <hyperlink ref="H2057" r:id="rId2056" display="https://i.ibb.co/FhY6B5f/Safra.png"/>
    <hyperlink ref="H2058" r:id="rId2057" display="https://i.ibb.co/DznB5q4/Itau.png"/>
    <hyperlink ref="H2059" r:id="rId2058" display="https://i.ibb.co/LpJM38D/Nubank.png"/>
    <hyperlink ref="H2060" r:id="rId2059" display="https://i.ibb.co/DznB5q4/Itau.png"/>
    <hyperlink ref="H2061" r:id="rId2060" display="https://i.ibb.co/DznB5q4/Itau.png"/>
    <hyperlink ref="H2062" r:id="rId2061" display="https://i.ibb.co/DznB5q4/Itau.png"/>
    <hyperlink ref="H2063" r:id="rId2062" display="https://i.ibb.co/68RXB19/Bradesco.png"/>
    <hyperlink ref="H2064" r:id="rId2063" display="https://i.ibb.co/DznB5q4/Itau.png"/>
    <hyperlink ref="H2065" r:id="rId2064" display="https://i.ibb.co/FhY6B5f/Safra.png"/>
    <hyperlink ref="H2066" r:id="rId2065" display="https://i.ibb.co/FhY6B5f/Safra.png"/>
    <hyperlink ref="H2067" r:id="rId2066" display="https://i.ibb.co/zX8KX6R/Santander.png"/>
    <hyperlink ref="H2068" r:id="rId2067" display="https://i.ibb.co/FhY6B5f/Safra.png"/>
    <hyperlink ref="H2069" r:id="rId2068" display="https://i.ibb.co/DznB5q4/Itau.png"/>
    <hyperlink ref="H2070" r:id="rId2069" display="https://i.ibb.co/LpJM38D/Nubank.png"/>
    <hyperlink ref="H2071" r:id="rId2070" display="https://i.ibb.co/LpJM38D/Nubank.png"/>
    <hyperlink ref="H2072" r:id="rId2071" display="https://i.ibb.co/zX8KX6R/Santander.png"/>
    <hyperlink ref="H2073" r:id="rId2072" display="https://i.ibb.co/DznB5q4/Itau.png"/>
    <hyperlink ref="H2074" r:id="rId2073" display="https://i.ibb.co/DznB5q4/Itau.png"/>
    <hyperlink ref="H2075" r:id="rId2074" display="https://i.ibb.co/LpJM38D/Nubank.png"/>
    <hyperlink ref="H2076" r:id="rId2075" display="https://i.ibb.co/LpJM38D/Nubank.png"/>
    <hyperlink ref="H2077" r:id="rId2076" display="https://i.ibb.co/DznB5q4/Itau.png"/>
    <hyperlink ref="H2078" r:id="rId2077" display="https://i.ibb.co/zX8KX6R/Santander.png"/>
    <hyperlink ref="H2079" r:id="rId2078" display="https://i.ibb.co/DznB5q4/Itau.png"/>
    <hyperlink ref="H2080" r:id="rId2079" display="https://i.ibb.co/zX8KX6R/Santander.png"/>
    <hyperlink ref="H2081" r:id="rId2080" display="https://i.ibb.co/zX8KX6R/Santander.png"/>
    <hyperlink ref="H2082" r:id="rId2081" display="https://i.ibb.co/LpJM38D/Nubank.png"/>
    <hyperlink ref="H2083" r:id="rId2082" display="https://i.ibb.co/DznB5q4/Itau.png"/>
    <hyperlink ref="H2084" r:id="rId2083" display="https://i.ibb.co/DznB5q4/Itau.png"/>
    <hyperlink ref="H2085" r:id="rId2084" display="https://i.ibb.co/68RXB19/Bradesco.png"/>
    <hyperlink ref="H2086" r:id="rId2085" display="https://i.ibb.co/zX8KX6R/Santander.png"/>
    <hyperlink ref="H2087" r:id="rId2086" display="https://i.ibb.co/DznB5q4/Itau.png"/>
    <hyperlink ref="H2088" r:id="rId2087" display="https://i.ibb.co/68RXB19/Bradesco.png"/>
    <hyperlink ref="H2089" r:id="rId2088" display="https://i.ibb.co/DznB5q4/Itau.png"/>
    <hyperlink ref="H2090" r:id="rId2089" display="https://i.ibb.co/DznB5q4/Itau.png"/>
    <hyperlink ref="H2091" r:id="rId2090" display="https://i.ibb.co/DznB5q4/Itau.png"/>
    <hyperlink ref="H2092" r:id="rId2091" display="https://i.ibb.co/FhY6B5f/Safra.png"/>
    <hyperlink ref="H2093" r:id="rId2092" display="https://i.ibb.co/DznB5q4/Itau.png"/>
    <hyperlink ref="H2094" r:id="rId2093" display="https://i.ibb.co/zX8KX6R/Santander.png"/>
    <hyperlink ref="H2095" r:id="rId2094" display="https://i.ibb.co/DznB5q4/Itau.png"/>
    <hyperlink ref="H2096" r:id="rId2095" display="https://i.ibb.co/DznB5q4/Itau.png"/>
    <hyperlink ref="H2097" r:id="rId2096" display="https://i.ibb.co/zX8KX6R/Santander.png"/>
    <hyperlink ref="H2098" r:id="rId2097" display="https://i.ibb.co/DznB5q4/Itau.png"/>
    <hyperlink ref="H2099" r:id="rId2098" display="https://i.ibb.co/LpJM38D/Nubank.png"/>
    <hyperlink ref="H2100" r:id="rId2099" display="https://i.ibb.co/zX8KX6R/Santander.png"/>
    <hyperlink ref="H2101" r:id="rId2100" display="https://i.ibb.co/DznB5q4/Itau.png"/>
    <hyperlink ref="H2102" r:id="rId2101" display="https://i.ibb.co/68RXB19/Bradesco.png"/>
    <hyperlink ref="H2103" r:id="rId2102" display="https://i.ibb.co/DznB5q4/Itau.png"/>
    <hyperlink ref="H2104" r:id="rId2103" display="https://i.ibb.co/zX8KX6R/Santander.png"/>
    <hyperlink ref="H2105" r:id="rId2104" display="https://i.ibb.co/LpJM38D/Nubank.png"/>
    <hyperlink ref="H2106" r:id="rId2105" display="https://i.ibb.co/DznB5q4/Itau.png"/>
    <hyperlink ref="H2107" r:id="rId2106" display="https://i.ibb.co/DznB5q4/Itau.png"/>
    <hyperlink ref="H2108" r:id="rId2107" display="https://i.ibb.co/zX8KX6R/Santander.png"/>
    <hyperlink ref="H2109" r:id="rId2108" display="https://i.ibb.co/DznB5q4/Itau.png"/>
    <hyperlink ref="H2110" r:id="rId2109" display="https://i.ibb.co/DznB5q4/Itau.png"/>
    <hyperlink ref="H2111" r:id="rId2110" display="https://i.ibb.co/zX8KX6R/Santander.png"/>
    <hyperlink ref="H2112" r:id="rId2111" display="https://i.ibb.co/zX8KX6R/Santander.png"/>
    <hyperlink ref="H2113" r:id="rId2112" display="https://i.ibb.co/FhY6B5f/Safra.png"/>
    <hyperlink ref="H2114" r:id="rId2113" display="https://i.ibb.co/DznB5q4/Itau.png"/>
    <hyperlink ref="H2115" r:id="rId2114" display="https://i.ibb.co/zX8KX6R/Santander.png"/>
    <hyperlink ref="H2116" r:id="rId2115" display="https://i.ibb.co/DznB5q4/Itau.png"/>
    <hyperlink ref="H2117" r:id="rId2116" display="https://i.ibb.co/DznB5q4/Itau.png"/>
    <hyperlink ref="H2118" r:id="rId2117" display="https://i.ibb.co/DznB5q4/Itau.png"/>
    <hyperlink ref="H2119" r:id="rId2118" display="https://i.ibb.co/LpJM38D/Nubank.png"/>
    <hyperlink ref="H2120" r:id="rId2119" display="https://i.ibb.co/DznB5q4/Itau.png"/>
    <hyperlink ref="H2121" r:id="rId2120" display="https://i.ibb.co/LpJM38D/Nubank.png"/>
    <hyperlink ref="H2122" r:id="rId2121" display="https://i.ibb.co/DznB5q4/Itau.png"/>
    <hyperlink ref="H2123" r:id="rId2122" display="https://i.ibb.co/zX8KX6R/Santander.png"/>
    <hyperlink ref="H2124" r:id="rId2123" display="https://i.ibb.co/zX8KX6R/Santander.png"/>
    <hyperlink ref="H2125" r:id="rId2124" display="https://i.ibb.co/68RXB19/Bradesco.png"/>
    <hyperlink ref="H2126" r:id="rId2125" display="https://i.ibb.co/zX8KX6R/Santander.png"/>
    <hyperlink ref="H2127" r:id="rId2126" display="https://i.ibb.co/68RXB19/Bradesco.png"/>
    <hyperlink ref="H2128" r:id="rId2127" display="https://i.ibb.co/LpJM38D/Nubank.png"/>
    <hyperlink ref="H2129" r:id="rId2128" display="https://i.ibb.co/LpJM38D/Nubank.png"/>
    <hyperlink ref="H2130" r:id="rId2129" display="https://i.ibb.co/DznB5q4/Itau.png"/>
    <hyperlink ref="H2131" r:id="rId2130" display="https://i.ibb.co/zX8KX6R/Santander.png"/>
    <hyperlink ref="H2132" r:id="rId2131" display="https://i.ibb.co/DznB5q4/Itau.png"/>
    <hyperlink ref="H2133" r:id="rId2132" display="https://i.ibb.co/68RXB19/Bradesco.png"/>
    <hyperlink ref="H2134" r:id="rId2133" display="https://i.ibb.co/DznB5q4/Itau.png"/>
    <hyperlink ref="H2135" r:id="rId2134" display="https://i.ibb.co/DznB5q4/Itau.png"/>
    <hyperlink ref="H2136" r:id="rId2135" display="https://i.ibb.co/DznB5q4/Itau.png"/>
    <hyperlink ref="H2137" r:id="rId2136" display="https://i.ibb.co/LpJM38D/Nubank.png"/>
    <hyperlink ref="H2138" r:id="rId2137" display="https://i.ibb.co/LpJM38D/Nubank.png"/>
    <hyperlink ref="H2139" r:id="rId2138" display="https://i.ibb.co/LpJM38D/Nubank.png"/>
    <hyperlink ref="H2140" r:id="rId2139" display="https://i.ibb.co/68RXB19/Bradesco.png"/>
    <hyperlink ref="H2141" r:id="rId2140" display="https://i.ibb.co/DznB5q4/Itau.png"/>
    <hyperlink ref="H2142" r:id="rId2141" display="https://i.ibb.co/DznB5q4/Itau.png"/>
    <hyperlink ref="H2143" r:id="rId2142" display="https://i.ibb.co/68RXB19/Bradesco.png"/>
    <hyperlink ref="H2144" r:id="rId2143" display="https://i.ibb.co/zX8KX6R/Santander.png"/>
    <hyperlink ref="H2145" r:id="rId2144" display="https://i.ibb.co/LpJM38D/Nubank.png"/>
    <hyperlink ref="H2146" r:id="rId2145" display="https://i.ibb.co/zX8KX6R/Santander.png"/>
    <hyperlink ref="H2147" r:id="rId2146" display="https://i.ibb.co/68RXB19/Bradesco.png"/>
    <hyperlink ref="H2148" r:id="rId2147" display="https://i.ibb.co/68RXB19/Bradesco.png"/>
    <hyperlink ref="H2149" r:id="rId2148" display="https://i.ibb.co/zX8KX6R/Santander.png"/>
    <hyperlink ref="H2150" r:id="rId2149" display="https://i.ibb.co/LpJM38D/Nubank.png"/>
    <hyperlink ref="H2151" r:id="rId2150" display="https://i.ibb.co/68RXB19/Bradesco.png"/>
    <hyperlink ref="H2152" r:id="rId2151" display="https://i.ibb.co/DznB5q4/Itau.png"/>
    <hyperlink ref="H2153" r:id="rId2152" display="https://i.ibb.co/DznB5q4/Itau.png"/>
    <hyperlink ref="H2154" r:id="rId2153" display="https://i.ibb.co/zX8KX6R/Santander.png"/>
    <hyperlink ref="H2155" r:id="rId2154" display="https://i.ibb.co/LpJM38D/Nubank.png"/>
    <hyperlink ref="H2156" r:id="rId2155" display="https://i.ibb.co/LpJM38D/Nubank.png"/>
    <hyperlink ref="H2157" r:id="rId2156" display="https://i.ibb.co/zX8KX6R/Santander.png"/>
    <hyperlink ref="H2158" r:id="rId2157" display="https://i.ibb.co/68RXB19/Bradesco.png"/>
    <hyperlink ref="H2159" r:id="rId2158" display="https://i.ibb.co/DznB5q4/Itau.png"/>
    <hyperlink ref="H2160" r:id="rId2159" display="https://i.ibb.co/DznB5q4/Itau.png"/>
    <hyperlink ref="H2161" r:id="rId2160" display="https://i.ibb.co/DznB5q4/Itau.png"/>
    <hyperlink ref="H2162" r:id="rId2161" display="https://i.ibb.co/LpJM38D/Nubank.png"/>
    <hyperlink ref="H2163" r:id="rId2162" display="https://i.ibb.co/DznB5q4/Itau.png"/>
    <hyperlink ref="H2164" r:id="rId2163" display="https://i.ibb.co/LpJM38D/Nubank.png"/>
    <hyperlink ref="H2165" r:id="rId2164" display="https://i.ibb.co/LpJM38D/Nubank.png"/>
    <hyperlink ref="H2166" r:id="rId2165" display="https://i.ibb.co/zX8KX6R/Santander.png"/>
    <hyperlink ref="H2167" r:id="rId2166" display="https://i.ibb.co/LpJM38D/Nubank.png"/>
    <hyperlink ref="H2168" r:id="rId2167" display="https://i.ibb.co/LpJM38D/Nubank.png"/>
    <hyperlink ref="H2169" r:id="rId2168" display="https://i.ibb.co/DznB5q4/Itau.png"/>
    <hyperlink ref="H2170" r:id="rId2169" display="https://i.ibb.co/LpJM38D/Nubank.png"/>
    <hyperlink ref="H2171" r:id="rId2170" display="https://i.ibb.co/DznB5q4/Itau.png"/>
    <hyperlink ref="H2172" r:id="rId2171" display="https://i.ibb.co/LpJM38D/Nubank.png"/>
    <hyperlink ref="H2173" r:id="rId2172" display="https://i.ibb.co/zX8KX6R/Santander.png"/>
    <hyperlink ref="H2174" r:id="rId2173" display="https://i.ibb.co/DznB5q4/Itau.png"/>
    <hyperlink ref="H2175" r:id="rId2174" display="https://i.ibb.co/LpJM38D/Nubank.png"/>
    <hyperlink ref="H2176" r:id="rId2175" display="https://i.ibb.co/FhY6B5f/Safra.png"/>
    <hyperlink ref="H2177" r:id="rId2176" display="https://i.ibb.co/DznB5q4/Itau.png"/>
    <hyperlink ref="H2178" r:id="rId2177" display="https://i.ibb.co/DznB5q4/Itau.png"/>
    <hyperlink ref="H2179" r:id="rId2178" display="https://i.ibb.co/DznB5q4/Itau.png"/>
    <hyperlink ref="H2180" r:id="rId2179" display="https://i.ibb.co/DznB5q4/Itau.png"/>
    <hyperlink ref="H2181" r:id="rId2180" display="https://i.ibb.co/DznB5q4/Itau.png"/>
    <hyperlink ref="H2182" r:id="rId2181" display="https://i.ibb.co/DznB5q4/Itau.png"/>
    <hyperlink ref="H2183" r:id="rId2182" display="https://i.ibb.co/LpJM38D/Nubank.png"/>
    <hyperlink ref="H2184" r:id="rId2183" display="https://i.ibb.co/DznB5q4/Itau.png"/>
    <hyperlink ref="H2185" r:id="rId2184" display="https://i.ibb.co/zX8KX6R/Santander.png"/>
    <hyperlink ref="H2186" r:id="rId2185" display="https://i.ibb.co/68RXB19/Bradesco.png"/>
    <hyperlink ref="H2187" r:id="rId2186" display="https://i.ibb.co/LpJM38D/Nubank.png"/>
    <hyperlink ref="H2188" r:id="rId2187" display="https://i.ibb.co/DznB5q4/Itau.png"/>
    <hyperlink ref="H2189" r:id="rId2188" display="https://i.ibb.co/LpJM38D/Nubank.png"/>
    <hyperlink ref="H2190" r:id="rId2189" display="https://i.ibb.co/LpJM38D/Nubank.png"/>
    <hyperlink ref="H2191" r:id="rId2190" display="https://i.ibb.co/DznB5q4/Itau.png"/>
    <hyperlink ref="H2192" r:id="rId2191" display="https://i.ibb.co/LpJM38D/Nubank.png"/>
    <hyperlink ref="H2193" r:id="rId2192" display="https://i.ibb.co/DznB5q4/Itau.png"/>
    <hyperlink ref="H2194" r:id="rId2193" display="https://i.ibb.co/DznB5q4/Itau.png"/>
    <hyperlink ref="H2195" r:id="rId2194" display="https://i.ibb.co/LpJM38D/Nubank.png"/>
    <hyperlink ref="H2196" r:id="rId2195" display="https://i.ibb.co/DznB5q4/Itau.png"/>
    <hyperlink ref="H2197" r:id="rId2196" display="https://i.ibb.co/DznB5q4/Itau.png"/>
    <hyperlink ref="H2198" r:id="rId2197" display="https://i.ibb.co/zX8KX6R/Santander.png"/>
    <hyperlink ref="H2199" r:id="rId2198" display="https://i.ibb.co/DznB5q4/Itau.png"/>
    <hyperlink ref="H2200" r:id="rId2199" display="https://i.ibb.co/DznB5q4/Itau.png"/>
    <hyperlink ref="H2201" r:id="rId2200" display="https://i.ibb.co/DznB5q4/Itau.png"/>
    <hyperlink ref="H2202" r:id="rId2201" display="https://i.ibb.co/zX8KX6R/Santander.png"/>
    <hyperlink ref="H2203" r:id="rId2202" display="https://i.ibb.co/FhY6B5f/Safra.png"/>
    <hyperlink ref="H2204" r:id="rId2203" display="https://i.ibb.co/zX8KX6R/Santander.png"/>
    <hyperlink ref="H2205" r:id="rId2204" display="https://i.ibb.co/zX8KX6R/Santander.png"/>
    <hyperlink ref="H2206" r:id="rId2205" display="https://i.ibb.co/DznB5q4/Itau.png"/>
    <hyperlink ref="H2207" r:id="rId2206" display="https://i.ibb.co/DznB5q4/Itau.png"/>
    <hyperlink ref="H2208" r:id="rId2207" display="https://i.ibb.co/zX8KX6R/Santander.png"/>
    <hyperlink ref="H2209" r:id="rId2208" display="https://i.ibb.co/DznB5q4/Itau.png"/>
    <hyperlink ref="H2210" r:id="rId2209" display="https://i.ibb.co/FhY6B5f/Safra.png"/>
    <hyperlink ref="H2211" r:id="rId2210" display="https://i.ibb.co/FhY6B5f/Safra.png"/>
    <hyperlink ref="H2212" r:id="rId2211" display="https://i.ibb.co/zX8KX6R/Santander.png"/>
    <hyperlink ref="H2213" r:id="rId2212" display="https://i.ibb.co/LpJM38D/Nubank.png"/>
    <hyperlink ref="H2214" r:id="rId2213" display="https://i.ibb.co/LpJM38D/Nubank.png"/>
    <hyperlink ref="H2215" r:id="rId2214" display="https://i.ibb.co/LpJM38D/Nubank.png"/>
    <hyperlink ref="H2216" r:id="rId2215" display="https://i.ibb.co/DznB5q4/Itau.png"/>
    <hyperlink ref="H2217" r:id="rId2216" display="https://i.ibb.co/68RXB19/Bradesco.png"/>
    <hyperlink ref="H2218" r:id="rId2217" display="https://i.ibb.co/68RXB19/Bradesco.png"/>
    <hyperlink ref="H2219" r:id="rId2218" display="https://i.ibb.co/DznB5q4/Itau.png"/>
    <hyperlink ref="H2220" r:id="rId2219" display="https://i.ibb.co/FhY6B5f/Safra.png"/>
    <hyperlink ref="H2221" r:id="rId2220" display="https://i.ibb.co/zX8KX6R/Santander.png"/>
    <hyperlink ref="H2222" r:id="rId2221" display="https://i.ibb.co/LpJM38D/Nubank.png"/>
    <hyperlink ref="H2223" r:id="rId2222" display="https://i.ibb.co/DznB5q4/Itau.png"/>
    <hyperlink ref="H2224" r:id="rId2223" display="https://i.ibb.co/zX8KX6R/Santander.png"/>
    <hyperlink ref="H2225" r:id="rId2224" display="https://i.ibb.co/FhY6B5f/Safra.png"/>
    <hyperlink ref="H2226" r:id="rId2225" display="https://i.ibb.co/DznB5q4/Itau.png"/>
    <hyperlink ref="H2227" r:id="rId2226" display="https://i.ibb.co/zX8KX6R/Santander.png"/>
    <hyperlink ref="H2228" r:id="rId2227" display="https://i.ibb.co/DznB5q4/Itau.png"/>
    <hyperlink ref="H2229" r:id="rId2228" display="https://i.ibb.co/DznB5q4/Itau.png"/>
    <hyperlink ref="H2230" r:id="rId2229" display="https://i.ibb.co/DznB5q4/Itau.png"/>
    <hyperlink ref="H2231" r:id="rId2230" display="https://i.ibb.co/DznB5q4/Itau.png"/>
    <hyperlink ref="H2232" r:id="rId2231" display="https://i.ibb.co/zX8KX6R/Santander.png"/>
    <hyperlink ref="H2233" r:id="rId2232" display="https://i.ibb.co/DznB5q4/Itau.png"/>
    <hyperlink ref="H2234" r:id="rId2233" display="https://i.ibb.co/LpJM38D/Nubank.png"/>
    <hyperlink ref="H2235" r:id="rId2234" display="https://i.ibb.co/68RXB19/Bradesco.png"/>
    <hyperlink ref="H2236" r:id="rId2235" display="https://i.ibb.co/zX8KX6R/Santander.png"/>
    <hyperlink ref="H2237" r:id="rId2236" display="https://i.ibb.co/DznB5q4/Itau.png"/>
    <hyperlink ref="H2238" r:id="rId2237" display="https://i.ibb.co/DznB5q4/Itau.png"/>
    <hyperlink ref="H2239" r:id="rId2238" display="https://i.ibb.co/zX8KX6R/Santander.png"/>
    <hyperlink ref="H2240" r:id="rId2239" display="https://i.ibb.co/FhY6B5f/Safra.png"/>
    <hyperlink ref="H2241" r:id="rId2240" display="https://i.ibb.co/FhY6B5f/Safra.png"/>
    <hyperlink ref="H2242" r:id="rId2241" display="https://i.ibb.co/zX8KX6R/Santander.png"/>
    <hyperlink ref="H2243" r:id="rId2242" display="https://i.ibb.co/zX8KX6R/Santander.png"/>
    <hyperlink ref="H2244" r:id="rId2243" display="https://i.ibb.co/DznB5q4/Itau.png"/>
    <hyperlink ref="H2245" r:id="rId2244" display="https://i.ibb.co/LpJM38D/Nubank.png"/>
    <hyperlink ref="H2246" r:id="rId2245" display="https://i.ibb.co/68RXB19/Bradesco.png"/>
    <hyperlink ref="H2247" r:id="rId2246" display="https://i.ibb.co/DznB5q4/Itau.png"/>
    <hyperlink ref="H2248" r:id="rId2247" display="https://i.ibb.co/68RXB19/Bradesco.png"/>
    <hyperlink ref="H2249" r:id="rId2248" display="https://i.ibb.co/68RXB19/Bradesco.png"/>
    <hyperlink ref="H2250" r:id="rId2249" display="https://i.ibb.co/LpJM38D/Nubank.png"/>
    <hyperlink ref="H2251" r:id="rId2250" display="https://i.ibb.co/LpJM38D/Nubank.png"/>
    <hyperlink ref="H2252" r:id="rId2251" display="https://i.ibb.co/FhY6B5f/Safra.png"/>
    <hyperlink ref="H2253" r:id="rId2252" display="https://i.ibb.co/68RXB19/Bradesco.png"/>
    <hyperlink ref="H2254" r:id="rId2253" display="https://i.ibb.co/LpJM38D/Nubank.png"/>
    <hyperlink ref="H2255" r:id="rId2254" display="https://i.ibb.co/68RXB19/Bradesco.png"/>
    <hyperlink ref="H2256" r:id="rId2255" display="https://i.ibb.co/DznB5q4/Itau.png"/>
    <hyperlink ref="H2257" r:id="rId2256" display="https://i.ibb.co/LpJM38D/Nubank.png"/>
    <hyperlink ref="H2258" r:id="rId2257" display="https://i.ibb.co/LpJM38D/Nubank.png"/>
    <hyperlink ref="H2259" r:id="rId2258" display="https://i.ibb.co/DznB5q4/Itau.png"/>
    <hyperlink ref="H2260" r:id="rId2259" display="https://i.ibb.co/LpJM38D/Nubank.png"/>
    <hyperlink ref="H2261" r:id="rId2260" display="https://i.ibb.co/zX8KX6R/Santander.png"/>
    <hyperlink ref="H2262" r:id="rId2261" display="https://i.ibb.co/DznB5q4/Itau.png"/>
    <hyperlink ref="H2263" r:id="rId2262" display="https://i.ibb.co/LpJM38D/Nubank.png"/>
    <hyperlink ref="H2264" r:id="rId2263" display="https://i.ibb.co/DznB5q4/Itau.png"/>
    <hyperlink ref="H2265" r:id="rId2264" display="https://i.ibb.co/LpJM38D/Nubank.png"/>
    <hyperlink ref="H2266" r:id="rId2265" display="https://i.ibb.co/68RXB19/Bradesco.png"/>
    <hyperlink ref="H2267" r:id="rId2266" display="https://i.ibb.co/LpJM38D/Nubank.png"/>
    <hyperlink ref="H2268" r:id="rId2267" display="https://i.ibb.co/LpJM38D/Nubank.png"/>
    <hyperlink ref="H2269" r:id="rId2268" display="https://i.ibb.co/DznB5q4/Itau.png"/>
    <hyperlink ref="H2270" r:id="rId2269" display="https://i.ibb.co/FhY6B5f/Safra.png"/>
    <hyperlink ref="H2271" r:id="rId2270" display="https://i.ibb.co/LpJM38D/Nubank.png"/>
    <hyperlink ref="H2272" r:id="rId2271" display="https://i.ibb.co/DznB5q4/Itau.png"/>
    <hyperlink ref="H2273" r:id="rId2272" display="https://i.ibb.co/DznB5q4/Itau.png"/>
    <hyperlink ref="H2274" r:id="rId2273" display="https://i.ibb.co/LpJM38D/Nubank.png"/>
    <hyperlink ref="H2275" r:id="rId2274" display="https://i.ibb.co/LpJM38D/Nubank.png"/>
    <hyperlink ref="H2276" r:id="rId2275" display="https://i.ibb.co/DznB5q4/Itau.png"/>
    <hyperlink ref="H2277" r:id="rId2276" display="https://i.ibb.co/DznB5q4/Itau.png"/>
    <hyperlink ref="H2278" r:id="rId2277" display="https://i.ibb.co/zX8KX6R/Santander.png"/>
    <hyperlink ref="H2279" r:id="rId2278" display="https://i.ibb.co/LpJM38D/Nubank.png"/>
    <hyperlink ref="H2280" r:id="rId2279" display="https://i.ibb.co/FhY6B5f/Safra.png"/>
    <hyperlink ref="H2281" r:id="rId2280" display="https://i.ibb.co/LpJM38D/Nubank.png"/>
    <hyperlink ref="H2282" r:id="rId2281" display="https://i.ibb.co/DznB5q4/Itau.png"/>
    <hyperlink ref="H2283" r:id="rId2282" display="https://i.ibb.co/LpJM38D/Nubank.png"/>
    <hyperlink ref="H2284" r:id="rId2283" display="https://i.ibb.co/DznB5q4/Itau.png"/>
    <hyperlink ref="H2285" r:id="rId2284" display="https://i.ibb.co/LpJM38D/Nubank.png"/>
    <hyperlink ref="H2286" r:id="rId2285" display="https://i.ibb.co/DznB5q4/Itau.png"/>
    <hyperlink ref="H2287" r:id="rId2286" display="https://i.ibb.co/DznB5q4/Itau.png"/>
    <hyperlink ref="H2288" r:id="rId2287" display="https://i.ibb.co/DznB5q4/Itau.png"/>
    <hyperlink ref="H2289" r:id="rId2288" display="https://i.ibb.co/DznB5q4/Itau.png"/>
    <hyperlink ref="H2290" r:id="rId2289" display="https://i.ibb.co/DznB5q4/Itau.png"/>
    <hyperlink ref="H2291" r:id="rId2290" display="https://i.ibb.co/zX8KX6R/Santander.png"/>
    <hyperlink ref="H2292" r:id="rId2291" display="https://i.ibb.co/DznB5q4/Itau.png"/>
    <hyperlink ref="H2293" r:id="rId2292" display="https://i.ibb.co/LpJM38D/Nubank.png"/>
    <hyperlink ref="H2294" r:id="rId2293" display="https://i.ibb.co/FhY6B5f/Safra.png"/>
    <hyperlink ref="H2295" r:id="rId2294" display="https://i.ibb.co/DznB5q4/Itau.png"/>
    <hyperlink ref="H2296" r:id="rId2295" display="https://i.ibb.co/zX8KX6R/Santander.png"/>
    <hyperlink ref="H2297" r:id="rId2296" display="https://i.ibb.co/FhY6B5f/Safra.png"/>
    <hyperlink ref="H2298" r:id="rId2297" display="https://i.ibb.co/DznB5q4/Itau.png"/>
    <hyperlink ref="H2299" r:id="rId2298" display="https://i.ibb.co/FhY6B5f/Safra.png"/>
    <hyperlink ref="H2300" r:id="rId2299" display="https://i.ibb.co/LpJM38D/Nubank.png"/>
    <hyperlink ref="H2301" r:id="rId2300" display="https://i.ibb.co/DznB5q4/Itau.png"/>
    <hyperlink ref="H2302" r:id="rId2301" display="https://i.ibb.co/DznB5q4/Itau.png"/>
    <hyperlink ref="H2303" r:id="rId2302" display="https://i.ibb.co/DznB5q4/Itau.png"/>
    <hyperlink ref="H2304" r:id="rId2303" display="https://i.ibb.co/LpJM38D/Nubank.png"/>
    <hyperlink ref="H2305" r:id="rId2304" display="https://i.ibb.co/DznB5q4/Itau.png"/>
    <hyperlink ref="H2306" r:id="rId2305" display="https://i.ibb.co/LpJM38D/Nubank.png"/>
    <hyperlink ref="H2307" r:id="rId2306" display="https://i.ibb.co/LpJM38D/Nubank.png"/>
    <hyperlink ref="H2308" r:id="rId2307" display="https://i.ibb.co/68RXB19/Bradesco.png"/>
    <hyperlink ref="H2309" r:id="rId2308" display="https://i.ibb.co/FhY6B5f/Safra.png"/>
    <hyperlink ref="H2310" r:id="rId2309" display="https://i.ibb.co/DznB5q4/Itau.png"/>
    <hyperlink ref="H2311" r:id="rId2310" display="https://i.ibb.co/LpJM38D/Nubank.png"/>
    <hyperlink ref="H2312" r:id="rId2311" display="https://i.ibb.co/DznB5q4/Itau.png"/>
    <hyperlink ref="H2313" r:id="rId2312" display="https://i.ibb.co/DznB5q4/Itau.png"/>
    <hyperlink ref="H2314" r:id="rId2313" display="https://i.ibb.co/DznB5q4/Itau.png"/>
    <hyperlink ref="H2315" r:id="rId2314" display="https://i.ibb.co/DznB5q4/Itau.png"/>
    <hyperlink ref="H2316" r:id="rId2315" display="https://i.ibb.co/DznB5q4/Itau.png"/>
    <hyperlink ref="H2317" r:id="rId2316" display="https://i.ibb.co/68RXB19/Bradesco.png"/>
    <hyperlink ref="H2318" r:id="rId2317" display="https://i.ibb.co/DznB5q4/Itau.png"/>
    <hyperlink ref="H2319" r:id="rId2318" display="https://i.ibb.co/DznB5q4/Itau.png"/>
    <hyperlink ref="H2320" r:id="rId2319" display="https://i.ibb.co/DznB5q4/Itau.png"/>
    <hyperlink ref="H2321" r:id="rId2320" display="https://i.ibb.co/LpJM38D/Nubank.png"/>
    <hyperlink ref="H2322" r:id="rId2321" display="https://i.ibb.co/DznB5q4/Itau.png"/>
    <hyperlink ref="H2323" r:id="rId2322" display="https://i.ibb.co/DznB5q4/Itau.png"/>
    <hyperlink ref="H2324" r:id="rId2323" display="https://i.ibb.co/LpJM38D/Nubank.png"/>
    <hyperlink ref="H2325" r:id="rId2324" display="https://i.ibb.co/LpJM38D/Nubank.png"/>
    <hyperlink ref="H2326" r:id="rId2325" display="https://i.ibb.co/FhY6B5f/Safra.png"/>
    <hyperlink ref="H2327" r:id="rId2326" display="https://i.ibb.co/DznB5q4/Itau.png"/>
    <hyperlink ref="H2328" r:id="rId2327" display="https://i.ibb.co/DznB5q4/Itau.png"/>
    <hyperlink ref="H2329" r:id="rId2328" display="https://i.ibb.co/DznB5q4/Itau.png"/>
    <hyperlink ref="H2330" r:id="rId2329" display="https://i.ibb.co/68RXB19/Bradesco.png"/>
    <hyperlink ref="H2331" r:id="rId2330" display="https://i.ibb.co/zX8KX6R/Santander.png"/>
    <hyperlink ref="H2332" r:id="rId2331" display="https://i.ibb.co/DznB5q4/Itau.png"/>
    <hyperlink ref="H2333" r:id="rId2332" display="https://i.ibb.co/FhY6B5f/Safra.png"/>
    <hyperlink ref="H2334" r:id="rId2333" display="https://i.ibb.co/DznB5q4/Itau.png"/>
    <hyperlink ref="H2335" r:id="rId2334" display="https://i.ibb.co/LpJM38D/Nubank.png"/>
    <hyperlink ref="H2336" r:id="rId2335" display="https://i.ibb.co/DznB5q4/Itau.png"/>
    <hyperlink ref="H2337" r:id="rId2336" display="https://i.ibb.co/LpJM38D/Nubank.png"/>
    <hyperlink ref="H2338" r:id="rId2337" display="https://i.ibb.co/DznB5q4/Itau.png"/>
    <hyperlink ref="H2339" r:id="rId2338" display="https://i.ibb.co/DznB5q4/Itau.png"/>
    <hyperlink ref="H2340" r:id="rId2339" display="https://i.ibb.co/DznB5q4/Itau.png"/>
    <hyperlink ref="H2341" r:id="rId2340" display="https://i.ibb.co/FhY6B5f/Safra.png"/>
    <hyperlink ref="H2342" r:id="rId2341" display="https://i.ibb.co/LpJM38D/Nubank.png"/>
    <hyperlink ref="H2343" r:id="rId2342" display="https://i.ibb.co/zX8KX6R/Santander.png"/>
    <hyperlink ref="H2344" r:id="rId2343" display="https://i.ibb.co/68RXB19/Bradesco.png"/>
    <hyperlink ref="H2345" r:id="rId2344" display="https://i.ibb.co/LpJM38D/Nubank.png"/>
    <hyperlink ref="H2346" r:id="rId2345" display="https://i.ibb.co/DznB5q4/Itau.png"/>
    <hyperlink ref="H2347" r:id="rId2346" display="https://i.ibb.co/68RXB19/Bradesco.png"/>
    <hyperlink ref="H2348" r:id="rId2347" display="https://i.ibb.co/LpJM38D/Nubank.png"/>
    <hyperlink ref="H2349" r:id="rId2348" display="https://i.ibb.co/zX8KX6R/Santander.png"/>
    <hyperlink ref="H2350" r:id="rId2349" display="https://i.ibb.co/LpJM38D/Nubank.png"/>
    <hyperlink ref="H2351" r:id="rId2350" display="https://i.ibb.co/LpJM38D/Nubank.png"/>
    <hyperlink ref="H2352" r:id="rId2351" display="https://i.ibb.co/LpJM38D/Nubank.png"/>
    <hyperlink ref="H2353" r:id="rId2352" display="https://i.ibb.co/DznB5q4/Itau.png"/>
    <hyperlink ref="H2354" r:id="rId2353" display="https://i.ibb.co/LpJM38D/Nubank.png"/>
    <hyperlink ref="H2355" r:id="rId2354" display="https://i.ibb.co/zX8KX6R/Santander.png"/>
    <hyperlink ref="H2356" r:id="rId2355" display="https://i.ibb.co/DznB5q4/Itau.png"/>
    <hyperlink ref="H2357" r:id="rId2356" display="https://i.ibb.co/LpJM38D/Nubank.png"/>
    <hyperlink ref="H2358" r:id="rId2357" display="https://i.ibb.co/DznB5q4/Itau.png"/>
    <hyperlink ref="H2359" r:id="rId2358" display="https://i.ibb.co/DznB5q4/Itau.png"/>
    <hyperlink ref="H2360" r:id="rId2359" display="https://i.ibb.co/LpJM38D/Nubank.png"/>
    <hyperlink ref="H2361" r:id="rId2360" display="https://i.ibb.co/DznB5q4/Itau.png"/>
    <hyperlink ref="H2362" r:id="rId2361" display="https://i.ibb.co/68RXB19/Bradesco.png"/>
    <hyperlink ref="H2363" r:id="rId2362" display="https://i.ibb.co/LpJM38D/Nubank.png"/>
    <hyperlink ref="H2364" r:id="rId2363" display="https://i.ibb.co/68RXB19/Bradesco.png"/>
    <hyperlink ref="H2365" r:id="rId2364" display="https://i.ibb.co/LpJM38D/Nubank.png"/>
    <hyperlink ref="H2366" r:id="rId2365" display="https://i.ibb.co/DznB5q4/Itau.png"/>
    <hyperlink ref="H2367" r:id="rId2366" display="https://i.ibb.co/DznB5q4/Itau.png"/>
    <hyperlink ref="H2368" r:id="rId2367" display="https://i.ibb.co/zX8KX6R/Santander.png"/>
    <hyperlink ref="H2369" r:id="rId2368" display="https://i.ibb.co/LpJM38D/Nubank.png"/>
    <hyperlink ref="H2370" r:id="rId2369" display="https://i.ibb.co/DznB5q4/Itau.png"/>
    <hyperlink ref="H2371" r:id="rId2370" display="https://i.ibb.co/zX8KX6R/Santander.png"/>
    <hyperlink ref="H2372" r:id="rId2371" display="https://i.ibb.co/FhY6B5f/Safra.png"/>
    <hyperlink ref="H2373" r:id="rId2372" display="https://i.ibb.co/zX8KX6R/Santander.png"/>
    <hyperlink ref="H2374" r:id="rId2373" display="https://i.ibb.co/zX8KX6R/Santander.png"/>
    <hyperlink ref="H2375" r:id="rId2374" display="https://i.ibb.co/zX8KX6R/Santander.png"/>
    <hyperlink ref="H2376" r:id="rId2375" display="https://i.ibb.co/DznB5q4/Itau.png"/>
    <hyperlink ref="H2377" r:id="rId2376" display="https://i.ibb.co/FhY6B5f/Safra.png"/>
    <hyperlink ref="H2378" r:id="rId2377" display="https://i.ibb.co/LpJM38D/Nubank.png"/>
    <hyperlink ref="H2379" r:id="rId2378" display="https://i.ibb.co/68RXB19/Bradesco.png"/>
    <hyperlink ref="H2380" r:id="rId2379" display="https://i.ibb.co/DznB5q4/Itau.png"/>
    <hyperlink ref="H2381" r:id="rId2380" display="https://i.ibb.co/LpJM38D/Nubank.png"/>
    <hyperlink ref="H2382" r:id="rId2381" display="https://i.ibb.co/DznB5q4/Itau.png"/>
    <hyperlink ref="H2383" r:id="rId2382" display="https://i.ibb.co/LpJM38D/Nubank.png"/>
    <hyperlink ref="H2384" r:id="rId2383" display="https://i.ibb.co/DznB5q4/Itau.png"/>
    <hyperlink ref="H2385" r:id="rId2384" display="https://i.ibb.co/LpJM38D/Nubank.png"/>
    <hyperlink ref="H2386" r:id="rId2385" display="https://i.ibb.co/LpJM38D/Nubank.png"/>
    <hyperlink ref="H2387" r:id="rId2386" display="https://i.ibb.co/68RXB19/Bradesco.png"/>
    <hyperlink ref="H2388" r:id="rId2387" display="https://i.ibb.co/zX8KX6R/Santander.png"/>
    <hyperlink ref="H2389" r:id="rId2388" display="https://i.ibb.co/zX8KX6R/Santander.png"/>
    <hyperlink ref="H2390" r:id="rId2389" display="https://i.ibb.co/DznB5q4/Itau.png"/>
    <hyperlink ref="H2391" r:id="rId2390" display="https://i.ibb.co/DznB5q4/Itau.png"/>
    <hyperlink ref="H2392" r:id="rId2391" display="https://i.ibb.co/LpJM38D/Nubank.png"/>
    <hyperlink ref="H2393" r:id="rId2392" display="https://i.ibb.co/FhY6B5f/Safra.png"/>
    <hyperlink ref="H2394" r:id="rId2393" display="https://i.ibb.co/DznB5q4/Itau.png"/>
    <hyperlink ref="H2395" r:id="rId2394" display="https://i.ibb.co/DznB5q4/Itau.png"/>
    <hyperlink ref="H2396" r:id="rId2395" display="https://i.ibb.co/DznB5q4/Itau.png"/>
    <hyperlink ref="H2397" r:id="rId2396" display="https://i.ibb.co/DznB5q4/Itau.png"/>
    <hyperlink ref="H2398" r:id="rId2397" display="https://i.ibb.co/DznB5q4/Itau.png"/>
    <hyperlink ref="H2399" r:id="rId2398" display="https://i.ibb.co/DznB5q4/Itau.png"/>
    <hyperlink ref="H2400" r:id="rId2399" display="https://i.ibb.co/zX8KX6R/Santander.png"/>
    <hyperlink ref="H2401" r:id="rId2400" display="https://i.ibb.co/DznB5q4/Itau.png"/>
    <hyperlink ref="H2402" r:id="rId2401" display="https://i.ibb.co/LpJM38D/Nubank.png"/>
    <hyperlink ref="H2403" r:id="rId2402" display="https://i.ibb.co/zX8KX6R/Santander.png"/>
    <hyperlink ref="H2404" r:id="rId2403" display="https://i.ibb.co/68RXB19/Bradesco.png"/>
    <hyperlink ref="H2405" r:id="rId2404" display="https://i.ibb.co/zX8KX6R/Santander.png"/>
    <hyperlink ref="H2406" r:id="rId2405" display="https://i.ibb.co/DznB5q4/Itau.png"/>
    <hyperlink ref="H2407" r:id="rId2406" display="https://i.ibb.co/zX8KX6R/Santander.png"/>
    <hyperlink ref="H2408" r:id="rId2407" display="https://i.ibb.co/LpJM38D/Nubank.png"/>
    <hyperlink ref="H2409" r:id="rId2408" display="https://i.ibb.co/DznB5q4/Itau.png"/>
    <hyperlink ref="H2410" r:id="rId2409" display="https://i.ibb.co/DznB5q4/Itau.png"/>
    <hyperlink ref="H2411" r:id="rId2410" display="https://i.ibb.co/zX8KX6R/Santander.png"/>
    <hyperlink ref="H2412" r:id="rId2411" display="https://i.ibb.co/DznB5q4/Itau.png"/>
    <hyperlink ref="H2413" r:id="rId2412" display="https://i.ibb.co/zX8KX6R/Santander.png"/>
    <hyperlink ref="H2414" r:id="rId2413" display="https://i.ibb.co/DznB5q4/Itau.png"/>
    <hyperlink ref="H2415" r:id="rId2414" display="https://i.ibb.co/DznB5q4/Itau.png"/>
    <hyperlink ref="H2416" r:id="rId2415" display="https://i.ibb.co/DznB5q4/Itau.png"/>
    <hyperlink ref="H2417" r:id="rId2416" display="https://i.ibb.co/DznB5q4/Itau.png"/>
    <hyperlink ref="H2418" r:id="rId2417" display="https://i.ibb.co/68RXB19/Bradesco.png"/>
    <hyperlink ref="H2419" r:id="rId2418" display="https://i.ibb.co/FhY6B5f/Safra.png"/>
    <hyperlink ref="H2420" r:id="rId2419" display="https://i.ibb.co/DznB5q4/Itau.png"/>
    <hyperlink ref="H2421" r:id="rId2420" display="https://i.ibb.co/LpJM38D/Nubank.png"/>
    <hyperlink ref="H2422" r:id="rId2421" display="https://i.ibb.co/zX8KX6R/Santander.png"/>
    <hyperlink ref="H2423" r:id="rId2422" display="https://i.ibb.co/FhY6B5f/Safra.png"/>
    <hyperlink ref="H2424" r:id="rId2423" display="https://i.ibb.co/LpJM38D/Nubank.png"/>
    <hyperlink ref="H2425" r:id="rId2424" display="https://i.ibb.co/DznB5q4/Itau.png"/>
    <hyperlink ref="H2426" r:id="rId2425" display="https://i.ibb.co/DznB5q4/Itau.png"/>
    <hyperlink ref="H2427" r:id="rId2426" display="https://i.ibb.co/FhY6B5f/Safra.png"/>
    <hyperlink ref="H2428" r:id="rId2427" display="https://i.ibb.co/DznB5q4/Itau.png"/>
    <hyperlink ref="H2429" r:id="rId2428" display="https://i.ibb.co/DznB5q4/Itau.png"/>
    <hyperlink ref="H2430" r:id="rId2429" display="https://i.ibb.co/DznB5q4/Itau.png"/>
    <hyperlink ref="H2431" r:id="rId2430" display="https://i.ibb.co/DznB5q4/Itau.png"/>
    <hyperlink ref="H2432" r:id="rId2431" display="https://i.ibb.co/DznB5q4/Itau.png"/>
    <hyperlink ref="H2433" r:id="rId2432" display="https://i.ibb.co/zX8KX6R/Santander.png"/>
    <hyperlink ref="H2434" r:id="rId2433" display="https://i.ibb.co/LpJM38D/Nubank.png"/>
    <hyperlink ref="H2435" r:id="rId2434" display="https://i.ibb.co/68RXB19/Bradesco.png"/>
    <hyperlink ref="H2436" r:id="rId2435" display="https://i.ibb.co/DznB5q4/Itau.png"/>
    <hyperlink ref="H2437" r:id="rId2436" display="https://i.ibb.co/DznB5q4/Itau.png"/>
    <hyperlink ref="H2438" r:id="rId2437" display="https://i.ibb.co/DznB5q4/Itau.png"/>
    <hyperlink ref="H2439" r:id="rId2438" display="https://i.ibb.co/zX8KX6R/Santander.png"/>
    <hyperlink ref="H2440" r:id="rId2439" display="https://i.ibb.co/DznB5q4/Itau.png"/>
    <hyperlink ref="H2441" r:id="rId2440" display="https://i.ibb.co/zX8KX6R/Santander.png"/>
    <hyperlink ref="H2442" r:id="rId2441" display="https://i.ibb.co/DznB5q4/Itau.png"/>
    <hyperlink ref="H2443" r:id="rId2442" display="https://i.ibb.co/68RXB19/Bradesco.png"/>
    <hyperlink ref="H2444" r:id="rId2443" display="https://i.ibb.co/DznB5q4/Itau.png"/>
    <hyperlink ref="H2445" r:id="rId2444" display="https://i.ibb.co/DznB5q4/Itau.png"/>
    <hyperlink ref="H2446" r:id="rId2445" display="https://i.ibb.co/DznB5q4/Itau.png"/>
    <hyperlink ref="H2447" r:id="rId2446" display="https://i.ibb.co/DznB5q4/Itau.png"/>
    <hyperlink ref="H2448" r:id="rId2447" display="https://i.ibb.co/DznB5q4/Itau.png"/>
    <hyperlink ref="H2449" r:id="rId2448" display="https://i.ibb.co/FhY6B5f/Safra.png"/>
    <hyperlink ref="H2450" r:id="rId2449" display="https://i.ibb.co/LpJM38D/Nubank.png"/>
    <hyperlink ref="H2451" r:id="rId2450" display="https://i.ibb.co/DznB5q4/Itau.png"/>
    <hyperlink ref="H2452" r:id="rId2451" display="https://i.ibb.co/68RXB19/Bradesco.png"/>
    <hyperlink ref="H2453" r:id="rId2452" display="https://i.ibb.co/LpJM38D/Nubank.png"/>
    <hyperlink ref="H2454" r:id="rId2453" display="https://i.ibb.co/LpJM38D/Nubank.png"/>
    <hyperlink ref="H2455" r:id="rId2454" display="https://i.ibb.co/68RXB19/Bradesco.png"/>
    <hyperlink ref="H2456" r:id="rId2455" display="https://i.ibb.co/FhY6B5f/Safra.png"/>
    <hyperlink ref="H2457" r:id="rId2456" display="https://i.ibb.co/68RXB19/Bradesco.png"/>
    <hyperlink ref="H2458" r:id="rId2457" display="https://i.ibb.co/zX8KX6R/Santander.png"/>
    <hyperlink ref="H2459" r:id="rId2458" display="https://i.ibb.co/LpJM38D/Nubank.png"/>
    <hyperlink ref="H2460" r:id="rId2459" display="https://i.ibb.co/DznB5q4/Itau.png"/>
    <hyperlink ref="H2461" r:id="rId2460" display="https://i.ibb.co/LpJM38D/Nubank.png"/>
    <hyperlink ref="H2462" r:id="rId2461" display="https://i.ibb.co/LpJM38D/Nubank.png"/>
    <hyperlink ref="H2463" r:id="rId2462" display="https://i.ibb.co/LpJM38D/Nubank.png"/>
    <hyperlink ref="H2464" r:id="rId2463" display="https://i.ibb.co/LpJM38D/Nubank.png"/>
    <hyperlink ref="H2465" r:id="rId2464" display="https://i.ibb.co/zX8KX6R/Santander.png"/>
    <hyperlink ref="H2466" r:id="rId2465" display="https://i.ibb.co/LpJM38D/Nubank.png"/>
    <hyperlink ref="H2467" r:id="rId2466" display="https://i.ibb.co/68RXB19/Bradesco.png"/>
    <hyperlink ref="H2468" r:id="rId2467" display="https://i.ibb.co/FhY6B5f/Safra.png"/>
    <hyperlink ref="H2469" r:id="rId2468" display="https://i.ibb.co/DznB5q4/Itau.png"/>
    <hyperlink ref="H2470" r:id="rId2469" display="https://i.ibb.co/DznB5q4/Itau.png"/>
    <hyperlink ref="H2471" r:id="rId2470" display="https://i.ibb.co/DznB5q4/Itau.png"/>
    <hyperlink ref="H2472" r:id="rId2471" display="https://i.ibb.co/LpJM38D/Nubank.png"/>
    <hyperlink ref="H2473" r:id="rId2472" display="https://i.ibb.co/FhY6B5f/Safra.png"/>
    <hyperlink ref="H2474" r:id="rId2473" display="https://i.ibb.co/LpJM38D/Nubank.png"/>
    <hyperlink ref="H2475" r:id="rId2474" display="https://i.ibb.co/68RXB19/Bradesco.png"/>
    <hyperlink ref="H2476" r:id="rId2475" display="https://i.ibb.co/68RXB19/Bradesco.png"/>
    <hyperlink ref="H2477" r:id="rId2476" display="https://i.ibb.co/zX8KX6R/Santander.png"/>
    <hyperlink ref="H2478" r:id="rId2477" display="https://i.ibb.co/FhY6B5f/Safra.png"/>
    <hyperlink ref="H2479" r:id="rId2478" display="https://i.ibb.co/FhY6B5f/Safra.png"/>
    <hyperlink ref="H2480" r:id="rId2479" display="https://i.ibb.co/DznB5q4/Itau.png"/>
    <hyperlink ref="H2481" r:id="rId2480" display="https://i.ibb.co/zX8KX6R/Santander.png"/>
    <hyperlink ref="H2482" r:id="rId2481" display="https://i.ibb.co/LpJM38D/Nubank.png"/>
    <hyperlink ref="H2483" r:id="rId2482" display="https://i.ibb.co/zX8KX6R/Santander.png"/>
    <hyperlink ref="H2484" r:id="rId2483" display="https://i.ibb.co/zX8KX6R/Santander.png"/>
    <hyperlink ref="H2485" r:id="rId2484" display="https://i.ibb.co/68RXB19/Bradesco.png"/>
    <hyperlink ref="H2486" r:id="rId2485" display="https://i.ibb.co/LpJM38D/Nubank.png"/>
    <hyperlink ref="H2487" r:id="rId2486" display="https://i.ibb.co/LpJM38D/Nubank.png"/>
    <hyperlink ref="H2488" r:id="rId2487" display="https://i.ibb.co/DznB5q4/Itau.png"/>
    <hyperlink ref="H2489" r:id="rId2488" display="https://i.ibb.co/LpJM38D/Nubank.png"/>
    <hyperlink ref="H2490" r:id="rId2489" display="https://i.ibb.co/LpJM38D/Nubank.png"/>
    <hyperlink ref="H2491" r:id="rId2490" display="https://i.ibb.co/DznB5q4/Itau.png"/>
    <hyperlink ref="H2492" r:id="rId2491" display="https://i.ibb.co/DznB5q4/Itau.png"/>
    <hyperlink ref="H2493" r:id="rId2492" display="https://i.ibb.co/zX8KX6R/Santander.png"/>
    <hyperlink ref="H2494" r:id="rId2493" display="https://i.ibb.co/LpJM38D/Nubank.png"/>
    <hyperlink ref="H2495" r:id="rId2494" display="https://i.ibb.co/LpJM38D/Nubank.png"/>
    <hyperlink ref="H2496" r:id="rId2495" display="https://i.ibb.co/DznB5q4/Itau.png"/>
    <hyperlink ref="H2497" r:id="rId2496" display="https://i.ibb.co/LpJM38D/Nubank.png"/>
    <hyperlink ref="H2498" r:id="rId2497" display="https://i.ibb.co/LpJM38D/Nubank.png"/>
    <hyperlink ref="H2499" r:id="rId2498" display="https://i.ibb.co/zX8KX6R/Santander.png"/>
    <hyperlink ref="H2500" r:id="rId2499" display="https://i.ibb.co/zX8KX6R/Santander.png"/>
    <hyperlink ref="H2501" r:id="rId2500" display="https://i.ibb.co/DznB5q4/Itau.png"/>
    <hyperlink ref="H2502" r:id="rId2501" display="https://i.ibb.co/DznB5q4/Itau.png"/>
    <hyperlink ref="H2503" r:id="rId2502" display="https://i.ibb.co/LpJM38D/Nubank.png"/>
    <hyperlink ref="H2504" r:id="rId2503" display="https://i.ibb.co/DznB5q4/Itau.png"/>
    <hyperlink ref="H2505" r:id="rId2504" display="https://i.ibb.co/DznB5q4/Itau.png"/>
    <hyperlink ref="H2506" r:id="rId2505" display="https://i.ibb.co/DznB5q4/Itau.png"/>
    <hyperlink ref="H2507" r:id="rId2506" display="https://i.ibb.co/zX8KX6R/Santander.png"/>
    <hyperlink ref="H2508" r:id="rId2507" display="https://i.ibb.co/DznB5q4/Itau.png"/>
    <hyperlink ref="H2509" r:id="rId2508" display="https://i.ibb.co/LpJM38D/Nubank.png"/>
    <hyperlink ref="H2510" r:id="rId2509" display="https://i.ibb.co/DznB5q4/Itau.png"/>
    <hyperlink ref="H2511" r:id="rId2510" display="https://i.ibb.co/DznB5q4/Itau.png"/>
    <hyperlink ref="H2512" r:id="rId2511" display="https://i.ibb.co/zX8KX6R/Santander.png"/>
    <hyperlink ref="H2513" r:id="rId2512" display="https://i.ibb.co/LpJM38D/Nubank.png"/>
    <hyperlink ref="H2514" r:id="rId2513" display="https://i.ibb.co/DznB5q4/Itau.png"/>
    <hyperlink ref="H2515" r:id="rId2514" display="https://i.ibb.co/DznB5q4/Itau.png"/>
    <hyperlink ref="H2516" r:id="rId2515" display="https://i.ibb.co/DznB5q4/Itau.png"/>
    <hyperlink ref="H2517" r:id="rId2516" display="https://i.ibb.co/DznB5q4/Itau.png"/>
    <hyperlink ref="H2518" r:id="rId2517" display="https://i.ibb.co/DznB5q4/Itau.png"/>
    <hyperlink ref="H2519" r:id="rId2518" display="https://i.ibb.co/DznB5q4/Itau.png"/>
    <hyperlink ref="H2520" r:id="rId2519" display="https://i.ibb.co/LpJM38D/Nubank.png"/>
    <hyperlink ref="H2521" r:id="rId2520" display="https://i.ibb.co/zX8KX6R/Santander.png"/>
    <hyperlink ref="H2522" r:id="rId2521" display="https://i.ibb.co/LpJM38D/Nubank.png"/>
    <hyperlink ref="H2523" r:id="rId2522" display="https://i.ibb.co/FhY6B5f/Safra.png"/>
    <hyperlink ref="H2524" r:id="rId2523" display="https://i.ibb.co/DznB5q4/Itau.png"/>
    <hyperlink ref="H2525" r:id="rId2524" display="https://i.ibb.co/DznB5q4/Itau.png"/>
    <hyperlink ref="H2526" r:id="rId2525" display="https://i.ibb.co/zX8KX6R/Santander.png"/>
    <hyperlink ref="H2527" r:id="rId2526" display="https://i.ibb.co/DznB5q4/Itau.png"/>
    <hyperlink ref="H2528" r:id="rId2527" display="https://i.ibb.co/LpJM38D/Nubank.png"/>
    <hyperlink ref="H2529" r:id="rId2528" display="https://i.ibb.co/DznB5q4/Itau.png"/>
    <hyperlink ref="H2530" r:id="rId2529" display="https://i.ibb.co/LpJM38D/Nubank.png"/>
    <hyperlink ref="H2531" r:id="rId2530" display="https://i.ibb.co/LpJM38D/Nubank.png"/>
    <hyperlink ref="H2532" r:id="rId2531" display="https://i.ibb.co/zX8KX6R/Santander.png"/>
    <hyperlink ref="H2533" r:id="rId2532" display="https://i.ibb.co/LpJM38D/Nubank.png"/>
    <hyperlink ref="H2534" r:id="rId2533" display="https://i.ibb.co/68RXB19/Bradesco.png"/>
    <hyperlink ref="H2535" r:id="rId2534" display="https://i.ibb.co/DznB5q4/Itau.png"/>
    <hyperlink ref="H2536" r:id="rId2535" display="https://i.ibb.co/68RXB19/Bradesco.png"/>
    <hyperlink ref="H2537" r:id="rId2536" display="https://i.ibb.co/zX8KX6R/Santander.png"/>
    <hyperlink ref="H2538" r:id="rId2537" display="https://i.ibb.co/LpJM38D/Nubank.png"/>
    <hyperlink ref="H2539" r:id="rId2538" display="https://i.ibb.co/DznB5q4/Itau.png"/>
    <hyperlink ref="H2540" r:id="rId2539" display="https://i.ibb.co/zX8KX6R/Santander.png"/>
    <hyperlink ref="H2541" r:id="rId2540" display="https://i.ibb.co/DznB5q4/Itau.png"/>
    <hyperlink ref="H2542" r:id="rId2541" display="https://i.ibb.co/DznB5q4/Itau.png"/>
    <hyperlink ref="H2543" r:id="rId2542" display="https://i.ibb.co/DznB5q4/Itau.png"/>
    <hyperlink ref="H2544" r:id="rId2543" display="https://i.ibb.co/DznB5q4/Itau.png"/>
    <hyperlink ref="H2545" r:id="rId2544" display="https://i.ibb.co/zX8KX6R/Santander.png"/>
    <hyperlink ref="H2546" r:id="rId2545" display="https://i.ibb.co/FhY6B5f/Safra.png"/>
    <hyperlink ref="H2547" r:id="rId2546" display="https://i.ibb.co/68RXB19/Bradesco.png"/>
    <hyperlink ref="H2548" r:id="rId2547" display="https://i.ibb.co/LpJM38D/Nubank.png"/>
    <hyperlink ref="H2549" r:id="rId2548" display="https://i.ibb.co/DznB5q4/Itau.png"/>
    <hyperlink ref="H2550" r:id="rId2549" display="https://i.ibb.co/DznB5q4/Itau.png"/>
    <hyperlink ref="H2551" r:id="rId2550" display="https://i.ibb.co/DznB5q4/Itau.png"/>
    <hyperlink ref="H2552" r:id="rId2551" display="https://i.ibb.co/LpJM38D/Nubank.png"/>
    <hyperlink ref="H2553" r:id="rId2552" display="https://i.ibb.co/zX8KX6R/Santander.png"/>
    <hyperlink ref="H2554" r:id="rId2553" display="https://i.ibb.co/LpJM38D/Nubank.png"/>
    <hyperlink ref="H2555" r:id="rId2554" display="https://i.ibb.co/DznB5q4/Itau.png"/>
    <hyperlink ref="H2556" r:id="rId2555" display="https://i.ibb.co/DznB5q4/Itau.png"/>
    <hyperlink ref="H2557" r:id="rId2556" display="https://i.ibb.co/68RXB19/Bradesco.png"/>
    <hyperlink ref="H2558" r:id="rId2557" display="https://i.ibb.co/FhY6B5f/Safra.png"/>
    <hyperlink ref="H2559" r:id="rId2558" display="https://i.ibb.co/zX8KX6R/Santander.png"/>
    <hyperlink ref="H2560" r:id="rId2559" display="https://i.ibb.co/DznB5q4/Itau.png"/>
    <hyperlink ref="H2561" r:id="rId2560" display="https://i.ibb.co/DznB5q4/Itau.png"/>
    <hyperlink ref="H2562" r:id="rId2561" display="https://i.ibb.co/LpJM38D/Nubank.png"/>
    <hyperlink ref="H2563" r:id="rId2562" display="https://i.ibb.co/FhY6B5f/Safra.png"/>
    <hyperlink ref="H2564" r:id="rId2563" display="https://i.ibb.co/DznB5q4/Itau.png"/>
    <hyperlink ref="H2565" r:id="rId2564" display="https://i.ibb.co/LpJM38D/Nubank.png"/>
    <hyperlink ref="H2566" r:id="rId2565" display="https://i.ibb.co/DznB5q4/Itau.png"/>
    <hyperlink ref="H2567" r:id="rId2566" display="https://i.ibb.co/zX8KX6R/Santander.png"/>
    <hyperlink ref="H2568" r:id="rId2567" display="https://i.ibb.co/LpJM38D/Nubank.png"/>
    <hyperlink ref="H2569" r:id="rId2568" display="https://i.ibb.co/zX8KX6R/Santander.png"/>
    <hyperlink ref="H2570" r:id="rId2569" display="https://i.ibb.co/DznB5q4/Itau.png"/>
    <hyperlink ref="H2571" r:id="rId2570" display="https://i.ibb.co/LpJM38D/Nubank.png"/>
    <hyperlink ref="H2572" r:id="rId2571" display="https://i.ibb.co/DznB5q4/Itau.png"/>
    <hyperlink ref="H2573" r:id="rId2572" display="https://i.ibb.co/LpJM38D/Nubank.png"/>
    <hyperlink ref="H2574" r:id="rId2573" display="https://i.ibb.co/DznB5q4/Itau.png"/>
    <hyperlink ref="H2575" r:id="rId2574" display="https://i.ibb.co/LpJM38D/Nubank.png"/>
    <hyperlink ref="H2576" r:id="rId2575" display="https://i.ibb.co/68RXB19/Bradesco.png"/>
    <hyperlink ref="H2577" r:id="rId2576" display="https://i.ibb.co/DznB5q4/Itau.png"/>
    <hyperlink ref="H2578" r:id="rId2577" display="https://i.ibb.co/DznB5q4/Itau.png"/>
    <hyperlink ref="H2579" r:id="rId2578" display="https://i.ibb.co/DznB5q4/Itau.png"/>
    <hyperlink ref="H2580" r:id="rId2579" display="https://i.ibb.co/zX8KX6R/Santander.png"/>
    <hyperlink ref="H2581" r:id="rId2580" display="https://i.ibb.co/DznB5q4/Itau.png"/>
    <hyperlink ref="H2582" r:id="rId2581" display="https://i.ibb.co/LpJM38D/Nubank.png"/>
    <hyperlink ref="H2583" r:id="rId2582" display="https://i.ibb.co/LpJM38D/Nubank.png"/>
    <hyperlink ref="H2584" r:id="rId2583" display="https://i.ibb.co/LpJM38D/Nubank.png"/>
    <hyperlink ref="H2585" r:id="rId2584" display="https://i.ibb.co/LpJM38D/Nubank.png"/>
    <hyperlink ref="H2586" r:id="rId2585" display="https://i.ibb.co/LpJM38D/Nubank.png"/>
    <hyperlink ref="H2587" r:id="rId2586" display="https://i.ibb.co/DznB5q4/Itau.png"/>
    <hyperlink ref="H2588" r:id="rId2587" display="https://i.ibb.co/DznB5q4/Itau.png"/>
    <hyperlink ref="H2589" r:id="rId2588" display="https://i.ibb.co/DznB5q4/Itau.png"/>
    <hyperlink ref="H2590" r:id="rId2589" display="https://i.ibb.co/DznB5q4/Itau.png"/>
    <hyperlink ref="H2591" r:id="rId2590" display="https://i.ibb.co/LpJM38D/Nubank.png"/>
    <hyperlink ref="H2592" r:id="rId2591" display="https://i.ibb.co/DznB5q4/Itau.png"/>
    <hyperlink ref="H2593" r:id="rId2592" display="https://i.ibb.co/DznB5q4/Itau.png"/>
    <hyperlink ref="H2594" r:id="rId2593" display="https://i.ibb.co/zX8KX6R/Santander.png"/>
    <hyperlink ref="H2595" r:id="rId2594" display="https://i.ibb.co/FhY6B5f/Safra.png"/>
    <hyperlink ref="H2596" r:id="rId2595" display="https://i.ibb.co/zX8KX6R/Santander.png"/>
    <hyperlink ref="H2597" r:id="rId2596" display="https://i.ibb.co/DznB5q4/Itau.png"/>
    <hyperlink ref="H2598" r:id="rId2597" display="https://i.ibb.co/zX8KX6R/Santander.png"/>
    <hyperlink ref="H2599" r:id="rId2598" display="https://i.ibb.co/zX8KX6R/Santander.png"/>
    <hyperlink ref="H2600" r:id="rId2599" display="https://i.ibb.co/DznB5q4/Itau.png"/>
    <hyperlink ref="H2601" r:id="rId2600" display="https://i.ibb.co/DznB5q4/Itau.png"/>
    <hyperlink ref="H2602" r:id="rId2601" display="https://i.ibb.co/LpJM38D/Nubank.png"/>
    <hyperlink ref="H2603" r:id="rId2602" display="https://i.ibb.co/DznB5q4/Itau.png"/>
    <hyperlink ref="H2604" r:id="rId2603" display="https://i.ibb.co/LpJM38D/Nubank.png"/>
    <hyperlink ref="H2605" r:id="rId2604" display="https://i.ibb.co/68RXB19/Bradesco.png"/>
    <hyperlink ref="H2606" r:id="rId2605" display="https://i.ibb.co/FhY6B5f/Safra.png"/>
    <hyperlink ref="H2607" r:id="rId2606" display="https://i.ibb.co/68RXB19/Bradesco.png"/>
    <hyperlink ref="H2608" r:id="rId2607" display="https://i.ibb.co/DznB5q4/Itau.png"/>
    <hyperlink ref="H2609" r:id="rId2608" display="https://i.ibb.co/DznB5q4/Itau.png"/>
    <hyperlink ref="H2610" r:id="rId2609" display="https://i.ibb.co/FhY6B5f/Safra.png"/>
    <hyperlink ref="H2611" r:id="rId2610" display="https://i.ibb.co/DznB5q4/Itau.png"/>
    <hyperlink ref="H2612" r:id="rId2611" display="https://i.ibb.co/DznB5q4/Itau.png"/>
    <hyperlink ref="H2613" r:id="rId2612" display="https://i.ibb.co/zX8KX6R/Santander.png"/>
    <hyperlink ref="H2614" r:id="rId2613" display="https://i.ibb.co/68RXB19/Bradesco.png"/>
    <hyperlink ref="H2615" r:id="rId2614" display="https://i.ibb.co/DznB5q4/Itau.png"/>
    <hyperlink ref="H2616" r:id="rId2615" display="https://i.ibb.co/DznB5q4/Itau.png"/>
    <hyperlink ref="H2617" r:id="rId2616" display="https://i.ibb.co/DznB5q4/Itau.png"/>
    <hyperlink ref="H2618" r:id="rId2617" display="https://i.ibb.co/zX8KX6R/Santander.png"/>
    <hyperlink ref="H2619" r:id="rId2618" display="https://i.ibb.co/zX8KX6R/Santander.png"/>
    <hyperlink ref="H2620" r:id="rId2619" display="https://i.ibb.co/DznB5q4/Itau.png"/>
    <hyperlink ref="H2621" r:id="rId2620" display="https://i.ibb.co/zX8KX6R/Santander.png"/>
    <hyperlink ref="H2622" r:id="rId2621" display="https://i.ibb.co/FhY6B5f/Safra.png"/>
    <hyperlink ref="H2623" r:id="rId2622" display="https://i.ibb.co/DznB5q4/Itau.png"/>
    <hyperlink ref="H2624" r:id="rId2623" display="https://i.ibb.co/FhY6B5f/Safra.png"/>
    <hyperlink ref="H2625" r:id="rId2624" display="https://i.ibb.co/DznB5q4/Itau.png"/>
    <hyperlink ref="H2626" r:id="rId2625" display="https://i.ibb.co/FhY6B5f/Safra.png"/>
    <hyperlink ref="H2627" r:id="rId2626" display="https://i.ibb.co/68RXB19/Bradesco.png"/>
    <hyperlink ref="H2628" r:id="rId2627" display="https://i.ibb.co/DznB5q4/Itau.png"/>
    <hyperlink ref="H2629" r:id="rId2628" display="https://i.ibb.co/LpJM38D/Nubank.png"/>
    <hyperlink ref="H2630" r:id="rId2629" display="https://i.ibb.co/DznB5q4/Itau.png"/>
    <hyperlink ref="H2631" r:id="rId2630" display="https://i.ibb.co/LpJM38D/Nubank.png"/>
    <hyperlink ref="H2632" r:id="rId2631" display="https://i.ibb.co/FhY6B5f/Safra.png"/>
    <hyperlink ref="H2633" r:id="rId2632" display="https://i.ibb.co/LpJM38D/Nubank.png"/>
    <hyperlink ref="H2634" r:id="rId2633" display="https://i.ibb.co/zX8KX6R/Santander.png"/>
    <hyperlink ref="H2635" r:id="rId2634" display="https://i.ibb.co/LpJM38D/Nubank.png"/>
    <hyperlink ref="H2636" r:id="rId2635" display="https://i.ibb.co/DznB5q4/Itau.png"/>
    <hyperlink ref="H2637" r:id="rId2636" display="https://i.ibb.co/DznB5q4/Itau.png"/>
    <hyperlink ref="H2638" r:id="rId2637" display="https://i.ibb.co/LpJM38D/Nubank.png"/>
    <hyperlink ref="H2639" r:id="rId2638" display="https://i.ibb.co/LpJM38D/Nubank.png"/>
    <hyperlink ref="H2640" r:id="rId2639" display="https://i.ibb.co/FhY6B5f/Safra.png"/>
    <hyperlink ref="H2641" r:id="rId2640" display="https://i.ibb.co/LpJM38D/Nubank.png"/>
    <hyperlink ref="H2642" r:id="rId2641" display="https://i.ibb.co/DznB5q4/Itau.png"/>
    <hyperlink ref="H2643" r:id="rId2642" display="https://i.ibb.co/LpJM38D/Nubank.png"/>
    <hyperlink ref="H2644" r:id="rId2643" display="https://i.ibb.co/DznB5q4/Itau.png"/>
    <hyperlink ref="H2645" r:id="rId2644" display="https://i.ibb.co/LpJM38D/Nubank.png"/>
    <hyperlink ref="H2646" r:id="rId2645" display="https://i.ibb.co/LpJM38D/Nubank.png"/>
    <hyperlink ref="H2647" r:id="rId2646" display="https://i.ibb.co/DznB5q4/Itau.png"/>
    <hyperlink ref="H2648" r:id="rId2647" display="https://i.ibb.co/68RXB19/Bradesco.png"/>
    <hyperlink ref="H2649" r:id="rId2648" display="https://i.ibb.co/DznB5q4/Itau.png"/>
    <hyperlink ref="H2650" r:id="rId2649" display="https://i.ibb.co/FhY6B5f/Safra.png"/>
    <hyperlink ref="H2651" r:id="rId2650" display="https://i.ibb.co/DznB5q4/Itau.png"/>
    <hyperlink ref="H2652" r:id="rId2651" display="https://i.ibb.co/LpJM38D/Nubank.png"/>
    <hyperlink ref="H2653" r:id="rId2652" display="https://i.ibb.co/LpJM38D/Nubank.png"/>
    <hyperlink ref="H2654" r:id="rId2653" display="https://i.ibb.co/DznB5q4/Itau.png"/>
    <hyperlink ref="H2655" r:id="rId2654" display="https://i.ibb.co/68RXB19/Bradesco.png"/>
    <hyperlink ref="H2656" r:id="rId2655" display="https://i.ibb.co/DznB5q4/Itau.png"/>
    <hyperlink ref="H2657" r:id="rId2656" display="https://i.ibb.co/LpJM38D/Nubank.png"/>
    <hyperlink ref="H2658" r:id="rId2657" display="https://i.ibb.co/zX8KX6R/Santander.png"/>
    <hyperlink ref="H2659" r:id="rId2658" display="https://i.ibb.co/LpJM38D/Nubank.png"/>
    <hyperlink ref="H2660" r:id="rId2659" display="https://i.ibb.co/zX8KX6R/Santander.png"/>
    <hyperlink ref="H2661" r:id="rId2660" display="https://i.ibb.co/LpJM38D/Nubank.png"/>
    <hyperlink ref="H2662" r:id="rId2661" display="https://i.ibb.co/DznB5q4/Itau.png"/>
    <hyperlink ref="H2663" r:id="rId2662" display="https://i.ibb.co/DznB5q4/Itau.png"/>
    <hyperlink ref="H2664" r:id="rId2663" display="https://i.ibb.co/zX8KX6R/Santander.png"/>
    <hyperlink ref="H2665" r:id="rId2664" display="https://i.ibb.co/LpJM38D/Nubank.png"/>
    <hyperlink ref="H2666" r:id="rId2665" display="https://i.ibb.co/DznB5q4/Itau.png"/>
    <hyperlink ref="H2667" r:id="rId2666" display="https://i.ibb.co/68RXB19/Bradesco.png"/>
    <hyperlink ref="H2668" r:id="rId2667" display="https://i.ibb.co/DznB5q4/Itau.png"/>
    <hyperlink ref="H2669" r:id="rId2668" display="https://i.ibb.co/LpJM38D/Nubank.png"/>
    <hyperlink ref="H2670" r:id="rId2669" display="https://i.ibb.co/LpJM38D/Nubank.png"/>
    <hyperlink ref="H2671" r:id="rId2670" display="https://i.ibb.co/DznB5q4/Itau.png"/>
    <hyperlink ref="H2672" r:id="rId2671" display="https://i.ibb.co/LpJM38D/Nubank.png"/>
    <hyperlink ref="H2673" r:id="rId2672" display="https://i.ibb.co/LpJM38D/Nubank.png"/>
    <hyperlink ref="H2674" r:id="rId2673" display="https://i.ibb.co/DznB5q4/Itau.png"/>
    <hyperlink ref="H2675" r:id="rId2674" display="https://i.ibb.co/68RXB19/Bradesco.png"/>
    <hyperlink ref="H2676" r:id="rId2675" display="https://i.ibb.co/LpJM38D/Nubank.png"/>
    <hyperlink ref="H2677" r:id="rId2676" display="https://i.ibb.co/LpJM38D/Nubank.png"/>
    <hyperlink ref="H2678" r:id="rId2677" display="https://i.ibb.co/LpJM38D/Nubank.png"/>
    <hyperlink ref="H2679" r:id="rId2678" display="https://i.ibb.co/FhY6B5f/Safra.png"/>
    <hyperlink ref="H2680" r:id="rId2679" display="https://i.ibb.co/68RXB19/Bradesco.png"/>
    <hyperlink ref="H2681" r:id="rId2680" display="https://i.ibb.co/68RXB19/Bradesco.png"/>
    <hyperlink ref="H2682" r:id="rId2681" display="https://i.ibb.co/68RXB19/Bradesco.png"/>
    <hyperlink ref="H2683" r:id="rId2682" display="https://i.ibb.co/zX8KX6R/Santander.png"/>
    <hyperlink ref="H2684" r:id="rId2683" display="https://i.ibb.co/68RXB19/Bradesco.png"/>
    <hyperlink ref="H2685" r:id="rId2684" display="https://i.ibb.co/DznB5q4/Itau.png"/>
    <hyperlink ref="H2686" r:id="rId2685" display="https://i.ibb.co/DznB5q4/Itau.png"/>
    <hyperlink ref="H2687" r:id="rId2686" display="https://i.ibb.co/LpJM38D/Nubank.png"/>
    <hyperlink ref="H2688" r:id="rId2687" display="https://i.ibb.co/DznB5q4/Itau.png"/>
    <hyperlink ref="H2689" r:id="rId2688" display="https://i.ibb.co/68RXB19/Bradesco.png"/>
    <hyperlink ref="H2690" r:id="rId2689" display="https://i.ibb.co/zX8KX6R/Santander.png"/>
    <hyperlink ref="H2691" r:id="rId2690" display="https://i.ibb.co/LpJM38D/Nubank.png"/>
    <hyperlink ref="H2692" r:id="rId2691" display="https://i.ibb.co/DznB5q4/Itau.png"/>
    <hyperlink ref="H2693" r:id="rId2692" display="https://i.ibb.co/LpJM38D/Nubank.png"/>
    <hyperlink ref="H2694" r:id="rId2693" display="https://i.ibb.co/FhY6B5f/Safra.png"/>
    <hyperlink ref="H2695" r:id="rId2694" display="https://i.ibb.co/LpJM38D/Nubank.png"/>
    <hyperlink ref="H2696" r:id="rId2695" display="https://i.ibb.co/DznB5q4/Itau.png"/>
    <hyperlink ref="H2697" r:id="rId2696" display="https://i.ibb.co/68RXB19/Bradesco.png"/>
    <hyperlink ref="H2698" r:id="rId2697" display="https://i.ibb.co/DznB5q4/Itau.png"/>
    <hyperlink ref="H2699" r:id="rId2698" display="https://i.ibb.co/DznB5q4/Itau.png"/>
    <hyperlink ref="H2700" r:id="rId2699" display="https://i.ibb.co/DznB5q4/Itau.png"/>
    <hyperlink ref="H2701" r:id="rId2700" display="https://i.ibb.co/LpJM38D/Nubank.png"/>
    <hyperlink ref="H2702" r:id="rId2701" display="https://i.ibb.co/68RXB19/Bradesco.png"/>
    <hyperlink ref="H2703" r:id="rId2702" display="https://i.ibb.co/DznB5q4/Itau.png"/>
    <hyperlink ref="H2704" r:id="rId2703" display="https://i.ibb.co/LpJM38D/Nubank.png"/>
    <hyperlink ref="H2705" r:id="rId2704" display="https://i.ibb.co/DznB5q4/Itau.png"/>
    <hyperlink ref="H2706" r:id="rId2705" display="https://i.ibb.co/68RXB19/Bradesco.png"/>
    <hyperlink ref="H2707" r:id="rId2706" display="https://i.ibb.co/DznB5q4/Itau.png"/>
    <hyperlink ref="H2708" r:id="rId2707" display="https://i.ibb.co/zX8KX6R/Santander.png"/>
    <hyperlink ref="H2709" r:id="rId2708" display="https://i.ibb.co/DznB5q4/Itau.png"/>
    <hyperlink ref="H2710" r:id="rId2709" display="https://i.ibb.co/DznB5q4/Itau.png"/>
    <hyperlink ref="H2711" r:id="rId2710" display="https://i.ibb.co/LpJM38D/Nubank.png"/>
    <hyperlink ref="H2712" r:id="rId2711" display="https://i.ibb.co/DznB5q4/Itau.png"/>
    <hyperlink ref="H2713" r:id="rId2712" display="https://i.ibb.co/DznB5q4/Itau.png"/>
    <hyperlink ref="H2714" r:id="rId2713" display="https://i.ibb.co/DznB5q4/Itau.png"/>
    <hyperlink ref="H2715" r:id="rId2714" display="https://i.ibb.co/DznB5q4/Itau.png"/>
    <hyperlink ref="H2716" r:id="rId2715" display="https://i.ibb.co/FhY6B5f/Safra.png"/>
    <hyperlink ref="H2717" r:id="rId2716" display="https://i.ibb.co/DznB5q4/Itau.png"/>
    <hyperlink ref="H2718" r:id="rId2717" display="https://i.ibb.co/LpJM38D/Nubank.png"/>
    <hyperlink ref="H2719" r:id="rId2718" display="https://i.ibb.co/68RXB19/Bradesco.png"/>
    <hyperlink ref="H2720" r:id="rId2719" display="https://i.ibb.co/DznB5q4/Itau.png"/>
    <hyperlink ref="H2721" r:id="rId2720" display="https://i.ibb.co/LpJM38D/Nubank.png"/>
    <hyperlink ref="H2722" r:id="rId2721" display="https://i.ibb.co/DznB5q4/Itau.png"/>
    <hyperlink ref="H2723" r:id="rId2722" display="https://i.ibb.co/DznB5q4/Itau.png"/>
    <hyperlink ref="H2724" r:id="rId2723" display="https://i.ibb.co/68RXB19/Bradesco.png"/>
    <hyperlink ref="H2725" r:id="rId2724" display="https://i.ibb.co/LpJM38D/Nubank.png"/>
    <hyperlink ref="H2726" r:id="rId2725" display="https://i.ibb.co/zX8KX6R/Santander.png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2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2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9.33"/>
    <col collapsed="false" customWidth="true" hidden="false" outlineLevel="0" max="3" min="2" style="2" width="21.54"/>
    <col collapsed="false" customWidth="true" hidden="false" outlineLevel="0" max="4" min="4" style="3" width="22.82"/>
    <col collapsed="false" customWidth="true" hidden="false" outlineLevel="0" max="5" min="5" style="3" width="24.73"/>
    <col collapsed="false" customWidth="true" hidden="false" outlineLevel="0" max="6" min="6" style="4" width="24.73"/>
    <col collapsed="false" customWidth="true" hidden="false" outlineLevel="0" max="7" min="7" style="1" width="11.85"/>
    <col collapsed="false" customWidth="true" hidden="false" outlineLevel="0" max="8" min="8" style="1" width="9.47"/>
    <col collapsed="false" customWidth="true" hidden="false" outlineLevel="0" max="9" min="9" style="1" width="33.33"/>
    <col collapsed="false" customWidth="true" hidden="false" outlineLevel="0" max="10" min="10" style="1" width="16.52"/>
  </cols>
  <sheetData>
    <row r="1" customFormat="false" ht="14.25" hidden="false" customHeight="fals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12" t="s">
        <v>293</v>
      </c>
      <c r="F1" s="7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customFormat="false" ht="14.25" hidden="false" customHeight="false" outlineLevel="0" collapsed="false">
      <c r="A2" s="8" t="n">
        <v>1</v>
      </c>
      <c r="B2" s="8" t="s">
        <v>9</v>
      </c>
      <c r="C2" s="8" t="s">
        <v>10</v>
      </c>
      <c r="D2" s="9" t="n">
        <v>43832</v>
      </c>
      <c r="E2" s="9" t="str">
        <f aca="false">TEXT(D2,"MMM")</f>
        <v>jan</v>
      </c>
      <c r="F2" s="10" t="n">
        <v>675.87</v>
      </c>
      <c r="G2" s="8" t="s">
        <v>11</v>
      </c>
      <c r="H2" s="8" t="s">
        <v>12</v>
      </c>
      <c r="I2" s="11" t="s">
        <v>13</v>
      </c>
      <c r="J2" s="8" t="s">
        <v>14</v>
      </c>
    </row>
    <row r="3" customFormat="false" ht="14.25" hidden="false" customHeight="false" outlineLevel="0" collapsed="false">
      <c r="A3" s="8" t="n">
        <v>2</v>
      </c>
      <c r="B3" s="8" t="s">
        <v>15</v>
      </c>
      <c r="C3" s="8" t="s">
        <v>16</v>
      </c>
      <c r="D3" s="9" t="n">
        <v>43834</v>
      </c>
      <c r="E3" s="9" t="str">
        <f aca="false">TEXT(D3,"MMM")</f>
        <v>jan</v>
      </c>
      <c r="F3" s="10" t="n">
        <v>1562555.94</v>
      </c>
      <c r="G3" s="8" t="s">
        <v>11</v>
      </c>
      <c r="H3" s="8" t="s">
        <v>17</v>
      </c>
      <c r="I3" s="11" t="s">
        <v>18</v>
      </c>
      <c r="J3" s="8" t="s">
        <v>19</v>
      </c>
    </row>
    <row r="4" customFormat="false" ht="14.25" hidden="false" customHeight="false" outlineLevel="0" collapsed="false">
      <c r="A4" s="8" t="n">
        <v>3</v>
      </c>
      <c r="B4" s="8" t="s">
        <v>20</v>
      </c>
      <c r="C4" s="8" t="s">
        <v>10</v>
      </c>
      <c r="D4" s="9" t="n">
        <v>43834</v>
      </c>
      <c r="E4" s="9" t="str">
        <f aca="false">TEXT(D4,"MMM")</f>
        <v>jan</v>
      </c>
      <c r="F4" s="10" t="n">
        <v>4970.12</v>
      </c>
      <c r="G4" s="8" t="s">
        <v>11</v>
      </c>
      <c r="H4" s="8" t="s">
        <v>17</v>
      </c>
      <c r="I4" s="11" t="s">
        <v>18</v>
      </c>
      <c r="J4" s="8" t="s">
        <v>19</v>
      </c>
    </row>
    <row r="5" customFormat="false" ht="14.25" hidden="false" customHeight="false" outlineLevel="0" collapsed="false">
      <c r="A5" s="8" t="n">
        <v>4</v>
      </c>
      <c r="B5" s="8" t="s">
        <v>20</v>
      </c>
      <c r="C5" s="8" t="s">
        <v>10</v>
      </c>
      <c r="D5" s="9" t="n">
        <v>43834</v>
      </c>
      <c r="E5" s="9" t="str">
        <f aca="false">TEXT(D5,"MMM")</f>
        <v>jan</v>
      </c>
      <c r="F5" s="10" t="n">
        <v>6716.79</v>
      </c>
      <c r="G5" s="8" t="s">
        <v>11</v>
      </c>
      <c r="H5" s="8" t="s">
        <v>17</v>
      </c>
      <c r="I5" s="11" t="s">
        <v>18</v>
      </c>
      <c r="J5" s="8" t="s">
        <v>14</v>
      </c>
    </row>
    <row r="6" customFormat="false" ht="14.25" hidden="false" customHeight="false" outlineLevel="0" collapsed="false">
      <c r="A6" s="8" t="n">
        <v>5</v>
      </c>
      <c r="B6" s="8" t="s">
        <v>20</v>
      </c>
      <c r="C6" s="8" t="s">
        <v>21</v>
      </c>
      <c r="D6" s="9" t="n">
        <v>43834</v>
      </c>
      <c r="E6" s="9" t="str">
        <f aca="false">TEXT(D6,"MMM")</f>
        <v>jan</v>
      </c>
      <c r="F6" s="10" t="n">
        <v>7072.15</v>
      </c>
      <c r="G6" s="8" t="s">
        <v>11</v>
      </c>
      <c r="H6" s="8" t="s">
        <v>22</v>
      </c>
      <c r="I6" s="11" t="s">
        <v>23</v>
      </c>
      <c r="J6" s="8" t="s">
        <v>24</v>
      </c>
    </row>
    <row r="7" customFormat="false" ht="14.25" hidden="false" customHeight="false" outlineLevel="0" collapsed="false">
      <c r="A7" s="8" t="n">
        <v>6</v>
      </c>
      <c r="B7" s="8" t="s">
        <v>25</v>
      </c>
      <c r="C7" s="8" t="s">
        <v>10</v>
      </c>
      <c r="D7" s="9" t="n">
        <v>43835</v>
      </c>
      <c r="E7" s="9" t="str">
        <f aca="false">TEXT(D7,"MMM")</f>
        <v>jan</v>
      </c>
      <c r="F7" s="10" t="n">
        <v>6259.85</v>
      </c>
      <c r="G7" s="8" t="s">
        <v>11</v>
      </c>
      <c r="H7" s="8" t="s">
        <v>12</v>
      </c>
      <c r="I7" s="11" t="s">
        <v>13</v>
      </c>
      <c r="J7" s="8" t="s">
        <v>26</v>
      </c>
    </row>
    <row r="8" customFormat="false" ht="14.25" hidden="false" customHeight="false" outlineLevel="0" collapsed="false">
      <c r="A8" s="8" t="n">
        <v>7</v>
      </c>
      <c r="B8" s="8" t="s">
        <v>15</v>
      </c>
      <c r="C8" s="8" t="s">
        <v>10</v>
      </c>
      <c r="D8" s="9" t="n">
        <v>43835</v>
      </c>
      <c r="E8" s="9" t="str">
        <f aca="false">TEXT(D8,"MMM")</f>
        <v>jan</v>
      </c>
      <c r="F8" s="10" t="n">
        <v>6720.29</v>
      </c>
      <c r="G8" s="8" t="s">
        <v>11</v>
      </c>
      <c r="H8" s="8" t="s">
        <v>22</v>
      </c>
      <c r="I8" s="11" t="s">
        <v>23</v>
      </c>
      <c r="J8" s="8" t="s">
        <v>14</v>
      </c>
    </row>
    <row r="9" customFormat="false" ht="14.25" hidden="false" customHeight="false" outlineLevel="0" collapsed="false">
      <c r="A9" s="8" t="n">
        <v>8</v>
      </c>
      <c r="B9" s="8" t="s">
        <v>27</v>
      </c>
      <c r="C9" s="8" t="s">
        <v>28</v>
      </c>
      <c r="D9" s="9" t="n">
        <v>43835</v>
      </c>
      <c r="E9" s="9" t="str">
        <f aca="false">TEXT(D9,"MMM")</f>
        <v>jan</v>
      </c>
      <c r="F9" s="10" t="n">
        <v>6510.7</v>
      </c>
      <c r="G9" s="8" t="s">
        <v>11</v>
      </c>
      <c r="H9" s="8" t="s">
        <v>22</v>
      </c>
      <c r="I9" s="11" t="s">
        <v>23</v>
      </c>
      <c r="J9" s="8" t="s">
        <v>24</v>
      </c>
    </row>
    <row r="10" customFormat="false" ht="14.25" hidden="false" customHeight="false" outlineLevel="0" collapsed="false">
      <c r="A10" s="8" t="n">
        <v>9</v>
      </c>
      <c r="B10" s="8" t="s">
        <v>27</v>
      </c>
      <c r="C10" s="8" t="s">
        <v>21</v>
      </c>
      <c r="D10" s="9" t="n">
        <v>43835</v>
      </c>
      <c r="E10" s="9" t="str">
        <f aca="false">TEXT(D10,"MMM")</f>
        <v>jan</v>
      </c>
      <c r="F10" s="10" t="n">
        <v>5882.06</v>
      </c>
      <c r="G10" s="8" t="s">
        <v>11</v>
      </c>
      <c r="H10" s="8" t="s">
        <v>12</v>
      </c>
      <c r="I10" s="11" t="s">
        <v>13</v>
      </c>
      <c r="J10" s="8" t="s">
        <v>14</v>
      </c>
    </row>
    <row r="11" customFormat="false" ht="14.25" hidden="false" customHeight="false" outlineLevel="0" collapsed="false">
      <c r="A11" s="8" t="n">
        <v>10</v>
      </c>
      <c r="B11" s="8" t="s">
        <v>27</v>
      </c>
      <c r="C11" s="8" t="s">
        <v>28</v>
      </c>
      <c r="D11" s="9" t="n">
        <v>43835</v>
      </c>
      <c r="E11" s="9" t="str">
        <f aca="false">TEXT(D11,"MMM")</f>
        <v>jan</v>
      </c>
      <c r="F11" s="10" t="n">
        <v>6712.31</v>
      </c>
      <c r="G11" s="8" t="s">
        <v>11</v>
      </c>
      <c r="H11" s="8" t="s">
        <v>12</v>
      </c>
      <c r="I11" s="11" t="s">
        <v>13</v>
      </c>
      <c r="J11" s="8" t="s">
        <v>24</v>
      </c>
    </row>
    <row r="12" customFormat="false" ht="14.25" hidden="false" customHeight="false" outlineLevel="0" collapsed="false">
      <c r="A12" s="8" t="n">
        <v>11</v>
      </c>
      <c r="B12" s="8" t="s">
        <v>27</v>
      </c>
      <c r="C12" s="8" t="s">
        <v>16</v>
      </c>
      <c r="D12" s="9" t="n">
        <v>43835</v>
      </c>
      <c r="E12" s="9" t="str">
        <f aca="false">TEXT(D12,"MMM")</f>
        <v>jan</v>
      </c>
      <c r="F12" s="10" t="n">
        <v>6583.79</v>
      </c>
      <c r="G12" s="8" t="s">
        <v>11</v>
      </c>
      <c r="H12" s="8" t="s">
        <v>12</v>
      </c>
      <c r="I12" s="11" t="s">
        <v>13</v>
      </c>
      <c r="J12" s="8" t="s">
        <v>14</v>
      </c>
    </row>
    <row r="13" customFormat="false" ht="14.25" hidden="false" customHeight="false" outlineLevel="0" collapsed="false">
      <c r="A13" s="8" t="n">
        <v>12</v>
      </c>
      <c r="B13" s="8" t="s">
        <v>27</v>
      </c>
      <c r="C13" s="8" t="s">
        <v>28</v>
      </c>
      <c r="D13" s="9" t="n">
        <v>43835</v>
      </c>
      <c r="E13" s="9" t="str">
        <f aca="false">TEXT(D13,"MMM")</f>
        <v>jan</v>
      </c>
      <c r="F13" s="10" t="n">
        <v>7066.01</v>
      </c>
      <c r="G13" s="8" t="s">
        <v>11</v>
      </c>
      <c r="H13" s="8" t="s">
        <v>17</v>
      </c>
      <c r="I13" s="11" t="s">
        <v>18</v>
      </c>
      <c r="J13" s="8" t="s">
        <v>14</v>
      </c>
    </row>
    <row r="14" customFormat="false" ht="14.25" hidden="false" customHeight="false" outlineLevel="0" collapsed="false">
      <c r="A14" s="8" t="n">
        <v>13</v>
      </c>
      <c r="B14" s="8" t="s">
        <v>29</v>
      </c>
      <c r="C14" s="8" t="s">
        <v>16</v>
      </c>
      <c r="D14" s="9" t="n">
        <v>43836</v>
      </c>
      <c r="E14" s="9" t="str">
        <f aca="false">TEXT(D14,"MMM")</f>
        <v>jan</v>
      </c>
      <c r="F14" s="10" t="n">
        <v>1053538.56</v>
      </c>
      <c r="G14" s="8" t="s">
        <v>11</v>
      </c>
      <c r="H14" s="8" t="s">
        <v>30</v>
      </c>
      <c r="I14" s="11" t="s">
        <v>31</v>
      </c>
      <c r="J14" s="8" t="s">
        <v>26</v>
      </c>
    </row>
    <row r="15" customFormat="false" ht="14.25" hidden="false" customHeight="false" outlineLevel="0" collapsed="false">
      <c r="A15" s="8" t="n">
        <v>14</v>
      </c>
      <c r="B15" s="8" t="s">
        <v>15</v>
      </c>
      <c r="C15" s="8" t="s">
        <v>28</v>
      </c>
      <c r="D15" s="9" t="n">
        <v>43836</v>
      </c>
      <c r="E15" s="9" t="str">
        <f aca="false">TEXT(D15,"MMM")</f>
        <v>jan</v>
      </c>
      <c r="F15" s="10" t="n">
        <v>12261.57</v>
      </c>
      <c r="G15" s="8" t="s">
        <v>11</v>
      </c>
      <c r="H15" s="8" t="s">
        <v>12</v>
      </c>
      <c r="I15" s="11" t="s">
        <v>13</v>
      </c>
      <c r="J15" s="8" t="s">
        <v>14</v>
      </c>
    </row>
    <row r="16" customFormat="false" ht="14.25" hidden="false" customHeight="false" outlineLevel="0" collapsed="false">
      <c r="A16" s="8" t="n">
        <v>15</v>
      </c>
      <c r="B16" s="8" t="s">
        <v>15</v>
      </c>
      <c r="C16" s="8" t="s">
        <v>16</v>
      </c>
      <c r="D16" s="9" t="n">
        <v>43836</v>
      </c>
      <c r="E16" s="9" t="str">
        <f aca="false">TEXT(D16,"MMM")</f>
        <v>jan</v>
      </c>
      <c r="F16" s="10" t="n">
        <v>12769.64</v>
      </c>
      <c r="G16" s="8"/>
      <c r="H16" s="8" t="s">
        <v>30</v>
      </c>
      <c r="I16" s="11" t="s">
        <v>31</v>
      </c>
      <c r="J16" s="8" t="s">
        <v>14</v>
      </c>
    </row>
    <row r="17" customFormat="false" ht="14.25" hidden="false" customHeight="false" outlineLevel="0" collapsed="false">
      <c r="A17" s="8" t="n">
        <v>16</v>
      </c>
      <c r="B17" s="8" t="s">
        <v>32</v>
      </c>
      <c r="C17" s="8" t="s">
        <v>16</v>
      </c>
      <c r="D17" s="9" t="n">
        <v>43836</v>
      </c>
      <c r="E17" s="9" t="str">
        <f aca="false">TEXT(D17,"MMM")</f>
        <v>jan</v>
      </c>
      <c r="F17" s="10" t="n">
        <v>13544.81</v>
      </c>
      <c r="G17" s="8" t="s">
        <v>11</v>
      </c>
      <c r="H17" s="8" t="s">
        <v>12</v>
      </c>
      <c r="I17" s="11" t="s">
        <v>13</v>
      </c>
      <c r="J17" s="8" t="s">
        <v>19</v>
      </c>
    </row>
    <row r="18" customFormat="false" ht="14.25" hidden="false" customHeight="false" outlineLevel="0" collapsed="false">
      <c r="A18" s="8" t="n">
        <v>17</v>
      </c>
      <c r="B18" s="8" t="s">
        <v>32</v>
      </c>
      <c r="C18" s="8" t="s">
        <v>16</v>
      </c>
      <c r="D18" s="9" t="n">
        <v>43836</v>
      </c>
      <c r="E18" s="9" t="str">
        <f aca="false">TEXT(D18,"MMM")</f>
        <v>jan</v>
      </c>
      <c r="F18" s="10" t="n">
        <v>453183.64</v>
      </c>
      <c r="G18" s="8" t="s">
        <v>11</v>
      </c>
      <c r="H18" s="8" t="s">
        <v>17</v>
      </c>
      <c r="I18" s="11" t="s">
        <v>18</v>
      </c>
      <c r="J18" s="8" t="s">
        <v>14</v>
      </c>
    </row>
    <row r="19" customFormat="false" ht="14.25" hidden="false" customHeight="false" outlineLevel="0" collapsed="false">
      <c r="A19" s="8" t="n">
        <v>18</v>
      </c>
      <c r="B19" s="8" t="s">
        <v>33</v>
      </c>
      <c r="C19" s="8" t="s">
        <v>21</v>
      </c>
      <c r="D19" s="9" t="n">
        <v>43836</v>
      </c>
      <c r="E19" s="9" t="str">
        <f aca="false">TEXT(D19,"MMM")</f>
        <v>jan</v>
      </c>
      <c r="F19" s="10" t="n">
        <v>-1584.35</v>
      </c>
      <c r="G19" s="8" t="s">
        <v>34</v>
      </c>
      <c r="H19" s="8" t="s">
        <v>12</v>
      </c>
      <c r="I19" s="11" t="s">
        <v>13</v>
      </c>
      <c r="J19" s="8" t="s">
        <v>14</v>
      </c>
    </row>
    <row r="20" customFormat="false" ht="14.25" hidden="false" customHeight="false" outlineLevel="0" collapsed="false">
      <c r="A20" s="8" t="n">
        <v>19</v>
      </c>
      <c r="B20" s="8" t="s">
        <v>35</v>
      </c>
      <c r="C20" s="8" t="s">
        <v>16</v>
      </c>
      <c r="D20" s="9" t="n">
        <v>43836</v>
      </c>
      <c r="E20" s="9" t="str">
        <f aca="false">TEXT(D20,"MMM")</f>
        <v>jan</v>
      </c>
      <c r="F20" s="10" t="n">
        <v>29823.06</v>
      </c>
      <c r="G20" s="8" t="s">
        <v>11</v>
      </c>
      <c r="H20" s="8" t="s">
        <v>12</v>
      </c>
      <c r="I20" s="11" t="s">
        <v>13</v>
      </c>
      <c r="J20" s="8" t="s">
        <v>14</v>
      </c>
    </row>
    <row r="21" customFormat="false" ht="14.25" hidden="false" customHeight="false" outlineLevel="0" collapsed="false">
      <c r="A21" s="8" t="n">
        <v>20</v>
      </c>
      <c r="B21" s="8" t="s">
        <v>33</v>
      </c>
      <c r="C21" s="8" t="s">
        <v>28</v>
      </c>
      <c r="D21" s="9" t="n">
        <v>43836</v>
      </c>
      <c r="E21" s="9" t="str">
        <f aca="false">TEXT(D21,"MMM")</f>
        <v>jan</v>
      </c>
      <c r="F21" s="10" t="n">
        <v>24967.63</v>
      </c>
      <c r="G21" s="8" t="s">
        <v>11</v>
      </c>
      <c r="H21" s="8" t="s">
        <v>22</v>
      </c>
      <c r="I21" s="11" t="s">
        <v>23</v>
      </c>
      <c r="J21" s="8" t="s">
        <v>26</v>
      </c>
    </row>
    <row r="22" customFormat="false" ht="14.25" hidden="false" customHeight="false" outlineLevel="0" collapsed="false">
      <c r="A22" s="8" t="n">
        <v>21</v>
      </c>
      <c r="B22" s="8" t="s">
        <v>35</v>
      </c>
      <c r="C22" s="8" t="s">
        <v>10</v>
      </c>
      <c r="D22" s="9" t="n">
        <v>43836</v>
      </c>
      <c r="E22" s="9" t="str">
        <f aca="false">TEXT(D22,"MMM")</f>
        <v>jan</v>
      </c>
      <c r="F22" s="10" t="n">
        <v>27617.04</v>
      </c>
      <c r="G22" s="8" t="s">
        <v>11</v>
      </c>
      <c r="H22" s="8" t="s">
        <v>17</v>
      </c>
      <c r="I22" s="11" t="s">
        <v>18</v>
      </c>
      <c r="J22" s="8" t="s">
        <v>14</v>
      </c>
    </row>
    <row r="23" customFormat="false" ht="14.25" hidden="false" customHeight="false" outlineLevel="0" collapsed="false">
      <c r="A23" s="8" t="n">
        <v>22</v>
      </c>
      <c r="B23" s="8" t="s">
        <v>33</v>
      </c>
      <c r="C23" s="8" t="s">
        <v>16</v>
      </c>
      <c r="D23" s="9" t="n">
        <v>43836</v>
      </c>
      <c r="E23" s="9" t="str">
        <f aca="false">TEXT(D23,"MMM")</f>
        <v>jan</v>
      </c>
      <c r="F23" s="10" t="n">
        <v>28136.57</v>
      </c>
      <c r="G23" s="8" t="s">
        <v>11</v>
      </c>
      <c r="H23" s="8" t="s">
        <v>36</v>
      </c>
      <c r="I23" s="11" t="s">
        <v>37</v>
      </c>
      <c r="J23" s="8" t="s">
        <v>14</v>
      </c>
    </row>
    <row r="24" customFormat="false" ht="14.25" hidden="false" customHeight="false" outlineLevel="0" collapsed="false">
      <c r="A24" s="8" t="n">
        <v>23</v>
      </c>
      <c r="B24" s="8" t="s">
        <v>35</v>
      </c>
      <c r="C24" s="8" t="s">
        <v>21</v>
      </c>
      <c r="D24" s="9" t="n">
        <v>43836</v>
      </c>
      <c r="E24" s="9" t="str">
        <f aca="false">TEXT(D24,"MMM")</f>
        <v>jan</v>
      </c>
      <c r="F24" s="10" t="n">
        <v>23719.25</v>
      </c>
      <c r="G24" s="8" t="s">
        <v>11</v>
      </c>
      <c r="H24" s="8" t="s">
        <v>36</v>
      </c>
      <c r="I24" s="11" t="s">
        <v>37</v>
      </c>
      <c r="J24" s="8" t="s">
        <v>24</v>
      </c>
    </row>
    <row r="25" customFormat="false" ht="14.25" hidden="false" customHeight="false" outlineLevel="0" collapsed="false">
      <c r="A25" s="8" t="n">
        <v>24</v>
      </c>
      <c r="B25" s="8" t="s">
        <v>33</v>
      </c>
      <c r="C25" s="8" t="s">
        <v>10</v>
      </c>
      <c r="D25" s="9" t="n">
        <v>43836</v>
      </c>
      <c r="E25" s="9" t="str">
        <f aca="false">TEXT(D25,"MMM")</f>
        <v>jan</v>
      </c>
      <c r="F25" s="10" t="n">
        <v>24473.54</v>
      </c>
      <c r="G25" s="8" t="s">
        <v>11</v>
      </c>
      <c r="H25" s="8" t="s">
        <v>17</v>
      </c>
      <c r="I25" s="11" t="s">
        <v>18</v>
      </c>
      <c r="J25" s="8" t="s">
        <v>14</v>
      </c>
    </row>
    <row r="26" customFormat="false" ht="14.25" hidden="false" customHeight="false" outlineLevel="0" collapsed="false">
      <c r="A26" s="8" t="n">
        <v>25</v>
      </c>
      <c r="B26" s="8" t="s">
        <v>35</v>
      </c>
      <c r="C26" s="8" t="s">
        <v>16</v>
      </c>
      <c r="D26" s="9" t="n">
        <v>43836</v>
      </c>
      <c r="E26" s="9" t="str">
        <f aca="false">TEXT(D26,"MMM")</f>
        <v>jan</v>
      </c>
      <c r="F26" s="10" t="n">
        <v>-268.56</v>
      </c>
      <c r="G26" s="8" t="s">
        <v>34</v>
      </c>
      <c r="H26" s="8" t="s">
        <v>12</v>
      </c>
      <c r="I26" s="11" t="s">
        <v>13</v>
      </c>
      <c r="J26" s="8" t="s">
        <v>26</v>
      </c>
    </row>
    <row r="27" customFormat="false" ht="14.25" hidden="false" customHeight="false" outlineLevel="0" collapsed="false">
      <c r="A27" s="8" t="n">
        <v>26</v>
      </c>
      <c r="B27" s="8" t="s">
        <v>33</v>
      </c>
      <c r="C27" s="8" t="s">
        <v>16</v>
      </c>
      <c r="D27" s="9" t="n">
        <v>43836</v>
      </c>
      <c r="E27" s="9" t="str">
        <f aca="false">TEXT(D27,"MMM")</f>
        <v>jan</v>
      </c>
      <c r="F27" s="10" t="n">
        <v>-52492.86</v>
      </c>
      <c r="G27" s="8" t="s">
        <v>34</v>
      </c>
      <c r="H27" s="8" t="s">
        <v>12</v>
      </c>
      <c r="I27" s="11" t="s">
        <v>13</v>
      </c>
      <c r="J27" s="8" t="s">
        <v>14</v>
      </c>
    </row>
    <row r="28" customFormat="false" ht="14.25" hidden="false" customHeight="false" outlineLevel="0" collapsed="false">
      <c r="A28" s="8" t="n">
        <v>27</v>
      </c>
      <c r="B28" s="8" t="s">
        <v>35</v>
      </c>
      <c r="C28" s="8" t="s">
        <v>16</v>
      </c>
      <c r="D28" s="9" t="n">
        <v>43836</v>
      </c>
      <c r="E28" s="9" t="str">
        <f aca="false">TEXT(D28,"MMM")</f>
        <v>jan</v>
      </c>
      <c r="F28" s="10" t="n">
        <v>29336.04</v>
      </c>
      <c r="G28" s="8" t="s">
        <v>11</v>
      </c>
      <c r="H28" s="8" t="s">
        <v>17</v>
      </c>
      <c r="I28" s="11" t="s">
        <v>18</v>
      </c>
      <c r="J28" s="8" t="s">
        <v>26</v>
      </c>
    </row>
    <row r="29" customFormat="false" ht="14.25" hidden="false" customHeight="false" outlineLevel="0" collapsed="false">
      <c r="A29" s="8" t="n">
        <v>28</v>
      </c>
      <c r="B29" s="8" t="s">
        <v>15</v>
      </c>
      <c r="C29" s="8" t="s">
        <v>10</v>
      </c>
      <c r="D29" s="9" t="n">
        <v>43839</v>
      </c>
      <c r="E29" s="9" t="str">
        <f aca="false">TEXT(D29,"MMM")</f>
        <v>jan</v>
      </c>
      <c r="F29" s="10" t="n">
        <v>132518.4</v>
      </c>
      <c r="G29" s="8" t="s">
        <v>11</v>
      </c>
      <c r="H29" s="8" t="s">
        <v>12</v>
      </c>
      <c r="I29" s="11" t="s">
        <v>13</v>
      </c>
      <c r="J29" s="8" t="s">
        <v>26</v>
      </c>
    </row>
    <row r="30" customFormat="false" ht="14.25" hidden="false" customHeight="false" outlineLevel="0" collapsed="false">
      <c r="A30" s="8" t="n">
        <v>29</v>
      </c>
      <c r="B30" s="8" t="s">
        <v>38</v>
      </c>
      <c r="C30" s="8" t="s">
        <v>10</v>
      </c>
      <c r="D30" s="9" t="n">
        <v>43839</v>
      </c>
      <c r="E30" s="9" t="str">
        <f aca="false">TEXT(D30,"MMM")</f>
        <v>jan</v>
      </c>
      <c r="F30" s="10" t="n">
        <v>7633.59</v>
      </c>
      <c r="G30" s="8" t="s">
        <v>11</v>
      </c>
      <c r="H30" s="8" t="s">
        <v>17</v>
      </c>
      <c r="I30" s="11" t="s">
        <v>18</v>
      </c>
      <c r="J30" s="8" t="s">
        <v>24</v>
      </c>
    </row>
    <row r="31" customFormat="false" ht="14.25" hidden="false" customHeight="false" outlineLevel="0" collapsed="false">
      <c r="A31" s="8" t="n">
        <v>30</v>
      </c>
      <c r="B31" s="8" t="s">
        <v>39</v>
      </c>
      <c r="C31" s="8" t="s">
        <v>16</v>
      </c>
      <c r="D31" s="9" t="n">
        <v>43839</v>
      </c>
      <c r="E31" s="9" t="str">
        <f aca="false">TEXT(D31,"MMM")</f>
        <v>jan</v>
      </c>
      <c r="F31" s="10" t="n">
        <v>7412</v>
      </c>
      <c r="G31" s="8" t="s">
        <v>11</v>
      </c>
      <c r="H31" s="8" t="s">
        <v>12</v>
      </c>
      <c r="I31" s="11" t="s">
        <v>13</v>
      </c>
      <c r="J31" s="8" t="s">
        <v>14</v>
      </c>
    </row>
    <row r="32" customFormat="false" ht="14.25" hidden="false" customHeight="false" outlineLevel="0" collapsed="false">
      <c r="A32" s="8" t="n">
        <v>31</v>
      </c>
      <c r="B32" s="8" t="s">
        <v>40</v>
      </c>
      <c r="C32" s="8" t="s">
        <v>28</v>
      </c>
      <c r="D32" s="9" t="n">
        <v>43840</v>
      </c>
      <c r="E32" s="9" t="str">
        <f aca="false">TEXT(D32,"MMM")</f>
        <v>jan</v>
      </c>
      <c r="F32" s="10" t="n">
        <v>3706</v>
      </c>
      <c r="G32" s="8" t="s">
        <v>11</v>
      </c>
      <c r="H32" s="8" t="s">
        <v>12</v>
      </c>
      <c r="I32" s="11" t="s">
        <v>13</v>
      </c>
      <c r="J32" s="8" t="s">
        <v>14</v>
      </c>
    </row>
    <row r="33" customFormat="false" ht="14.25" hidden="false" customHeight="false" outlineLevel="0" collapsed="false">
      <c r="A33" s="8" t="n">
        <v>32</v>
      </c>
      <c r="B33" s="8" t="s">
        <v>41</v>
      </c>
      <c r="C33" s="8" t="s">
        <v>10</v>
      </c>
      <c r="D33" s="9" t="n">
        <v>43841</v>
      </c>
      <c r="E33" s="9" t="str">
        <f aca="false">TEXT(D33,"MMM")</f>
        <v>jan</v>
      </c>
      <c r="F33" s="10" t="n">
        <v>7412</v>
      </c>
      <c r="G33" s="8" t="s">
        <v>11</v>
      </c>
      <c r="H33" s="8" t="s">
        <v>17</v>
      </c>
      <c r="I33" s="11" t="s">
        <v>18</v>
      </c>
      <c r="J33" s="8" t="s">
        <v>26</v>
      </c>
    </row>
    <row r="34" customFormat="false" ht="14.25" hidden="false" customHeight="false" outlineLevel="0" collapsed="false">
      <c r="A34" s="8" t="n">
        <v>33</v>
      </c>
      <c r="B34" s="8" t="s">
        <v>15</v>
      </c>
      <c r="C34" s="8" t="s">
        <v>16</v>
      </c>
      <c r="D34" s="9" t="n">
        <v>43841</v>
      </c>
      <c r="E34" s="9" t="str">
        <f aca="false">TEXT(D34,"MMM")</f>
        <v>jan</v>
      </c>
      <c r="F34" s="10" t="n">
        <v>3706</v>
      </c>
      <c r="G34" s="8" t="s">
        <v>11</v>
      </c>
      <c r="H34" s="8" t="s">
        <v>12</v>
      </c>
      <c r="I34" s="11" t="s">
        <v>13</v>
      </c>
      <c r="J34" s="8" t="s">
        <v>26</v>
      </c>
    </row>
    <row r="35" customFormat="false" ht="14.25" hidden="false" customHeight="false" outlineLevel="0" collapsed="false">
      <c r="A35" s="8" t="n">
        <v>34</v>
      </c>
      <c r="B35" s="8" t="s">
        <v>42</v>
      </c>
      <c r="C35" s="8" t="s">
        <v>16</v>
      </c>
      <c r="D35" s="9" t="n">
        <v>43841</v>
      </c>
      <c r="E35" s="9" t="str">
        <f aca="false">TEXT(D35,"MMM")</f>
        <v>jan</v>
      </c>
      <c r="F35" s="10" t="n">
        <v>7412</v>
      </c>
      <c r="G35" s="8" t="s">
        <v>11</v>
      </c>
      <c r="H35" s="8" t="s">
        <v>17</v>
      </c>
      <c r="I35" s="11" t="s">
        <v>18</v>
      </c>
      <c r="J35" s="8" t="s">
        <v>14</v>
      </c>
    </row>
    <row r="36" customFormat="false" ht="14.25" hidden="false" customHeight="false" outlineLevel="0" collapsed="false">
      <c r="A36" s="8" t="n">
        <v>35</v>
      </c>
      <c r="B36" s="8" t="s">
        <v>43</v>
      </c>
      <c r="C36" s="8" t="s">
        <v>28</v>
      </c>
      <c r="D36" s="9" t="n">
        <v>43841</v>
      </c>
      <c r="E36" s="9" t="str">
        <f aca="false">TEXT(D36,"MMM")</f>
        <v>jan</v>
      </c>
      <c r="F36" s="10" t="n">
        <v>3706</v>
      </c>
      <c r="G36" s="8" t="s">
        <v>11</v>
      </c>
      <c r="H36" s="8" t="s">
        <v>12</v>
      </c>
      <c r="I36" s="11" t="s">
        <v>13</v>
      </c>
      <c r="J36" s="8" t="s">
        <v>14</v>
      </c>
    </row>
    <row r="37" customFormat="false" ht="14.25" hidden="false" customHeight="false" outlineLevel="0" collapsed="false">
      <c r="A37" s="8" t="n">
        <v>36</v>
      </c>
      <c r="B37" s="8" t="s">
        <v>44</v>
      </c>
      <c r="C37" s="8" t="s">
        <v>10</v>
      </c>
      <c r="D37" s="9" t="n">
        <v>43841</v>
      </c>
      <c r="E37" s="9" t="str">
        <f aca="false">TEXT(D37,"MMM")</f>
        <v>jan</v>
      </c>
      <c r="F37" s="10" t="n">
        <v>7412</v>
      </c>
      <c r="G37" s="8" t="s">
        <v>11</v>
      </c>
      <c r="H37" s="8" t="s">
        <v>17</v>
      </c>
      <c r="I37" s="11" t="s">
        <v>18</v>
      </c>
      <c r="J37" s="8" t="s">
        <v>14</v>
      </c>
    </row>
    <row r="38" customFormat="false" ht="14.25" hidden="false" customHeight="false" outlineLevel="0" collapsed="false">
      <c r="A38" s="8" t="n">
        <v>37</v>
      </c>
      <c r="B38" s="8" t="s">
        <v>45</v>
      </c>
      <c r="C38" s="8" t="s">
        <v>28</v>
      </c>
      <c r="D38" s="9" t="n">
        <v>43841</v>
      </c>
      <c r="E38" s="9" t="str">
        <f aca="false">TEXT(D38,"MMM")</f>
        <v>jan</v>
      </c>
      <c r="F38" s="10" t="n">
        <v>3706</v>
      </c>
      <c r="G38" s="8" t="s">
        <v>11</v>
      </c>
      <c r="H38" s="8" t="s">
        <v>22</v>
      </c>
      <c r="I38" s="11" t="s">
        <v>23</v>
      </c>
      <c r="J38" s="8" t="s">
        <v>24</v>
      </c>
    </row>
    <row r="39" customFormat="false" ht="14.25" hidden="false" customHeight="false" outlineLevel="0" collapsed="false">
      <c r="A39" s="8" t="n">
        <v>38</v>
      </c>
      <c r="B39" s="8" t="s">
        <v>44</v>
      </c>
      <c r="C39" s="8" t="s">
        <v>10</v>
      </c>
      <c r="D39" s="9" t="n">
        <v>43841</v>
      </c>
      <c r="E39" s="9" t="str">
        <f aca="false">TEXT(D39,"MMM")</f>
        <v>jan</v>
      </c>
      <c r="F39" s="10" t="n">
        <v>7412</v>
      </c>
      <c r="G39" s="8" t="s">
        <v>11</v>
      </c>
      <c r="H39" s="8" t="s">
        <v>17</v>
      </c>
      <c r="I39" s="11" t="s">
        <v>18</v>
      </c>
      <c r="J39" s="8" t="s">
        <v>14</v>
      </c>
    </row>
    <row r="40" customFormat="false" ht="14.25" hidden="false" customHeight="false" outlineLevel="0" collapsed="false">
      <c r="A40" s="8" t="n">
        <v>39</v>
      </c>
      <c r="B40" s="8" t="s">
        <v>43</v>
      </c>
      <c r="C40" s="8" t="s">
        <v>28</v>
      </c>
      <c r="D40" s="9" t="n">
        <v>43841</v>
      </c>
      <c r="E40" s="9" t="str">
        <f aca="false">TEXT(D40,"MMM")</f>
        <v>jan</v>
      </c>
      <c r="F40" s="10" t="n">
        <v>3706</v>
      </c>
      <c r="G40" s="8" t="s">
        <v>11</v>
      </c>
      <c r="H40" s="8" t="s">
        <v>12</v>
      </c>
      <c r="I40" s="11" t="s">
        <v>13</v>
      </c>
      <c r="J40" s="8" t="s">
        <v>26</v>
      </c>
    </row>
    <row r="41" customFormat="false" ht="14.25" hidden="false" customHeight="false" outlineLevel="0" collapsed="false">
      <c r="A41" s="8" t="n">
        <v>40</v>
      </c>
      <c r="B41" s="8" t="s">
        <v>46</v>
      </c>
      <c r="C41" s="8" t="s">
        <v>28</v>
      </c>
      <c r="D41" s="9" t="n">
        <v>43841</v>
      </c>
      <c r="E41" s="9" t="str">
        <f aca="false">TEXT(D41,"MMM")</f>
        <v>jan</v>
      </c>
      <c r="F41" s="10" t="n">
        <v>-8697.05</v>
      </c>
      <c r="G41" s="8" t="s">
        <v>34</v>
      </c>
      <c r="H41" s="8" t="s">
        <v>36</v>
      </c>
      <c r="I41" s="11" t="s">
        <v>37</v>
      </c>
      <c r="J41" s="8" t="s">
        <v>24</v>
      </c>
    </row>
    <row r="42" customFormat="false" ht="14.25" hidden="false" customHeight="false" outlineLevel="0" collapsed="false">
      <c r="A42" s="8" t="n">
        <v>41</v>
      </c>
      <c r="B42" s="8" t="s">
        <v>42</v>
      </c>
      <c r="C42" s="8" t="s">
        <v>10</v>
      </c>
      <c r="D42" s="9" t="n">
        <v>43841</v>
      </c>
      <c r="E42" s="9" t="str">
        <f aca="false">TEXT(D42,"MMM")</f>
        <v>jan</v>
      </c>
      <c r="F42" s="10" t="n">
        <v>41916.71</v>
      </c>
      <c r="G42" s="8" t="s">
        <v>11</v>
      </c>
      <c r="H42" s="8" t="s">
        <v>12</v>
      </c>
      <c r="I42" s="11" t="s">
        <v>13</v>
      </c>
      <c r="J42" s="8" t="s">
        <v>14</v>
      </c>
    </row>
    <row r="43" customFormat="false" ht="14.25" hidden="false" customHeight="false" outlineLevel="0" collapsed="false">
      <c r="A43" s="8" t="n">
        <v>42</v>
      </c>
      <c r="B43" s="8" t="s">
        <v>47</v>
      </c>
      <c r="C43" s="8" t="s">
        <v>21</v>
      </c>
      <c r="D43" s="9" t="n">
        <v>43841</v>
      </c>
      <c r="E43" s="9" t="str">
        <f aca="false">TEXT(D43,"MMM")</f>
        <v>jan</v>
      </c>
      <c r="F43" s="10" t="n">
        <v>53909.85</v>
      </c>
      <c r="G43" s="8" t="s">
        <v>11</v>
      </c>
      <c r="H43" s="8" t="s">
        <v>22</v>
      </c>
      <c r="I43" s="11" t="s">
        <v>23</v>
      </c>
      <c r="J43" s="8" t="s">
        <v>24</v>
      </c>
    </row>
    <row r="44" customFormat="false" ht="14.25" hidden="false" customHeight="false" outlineLevel="0" collapsed="false">
      <c r="A44" s="8" t="n">
        <v>43</v>
      </c>
      <c r="B44" s="8" t="s">
        <v>45</v>
      </c>
      <c r="C44" s="8" t="s">
        <v>28</v>
      </c>
      <c r="D44" s="9" t="n">
        <v>43841</v>
      </c>
      <c r="E44" s="9" t="str">
        <f aca="false">TEXT(D44,"MMM")</f>
        <v>jan</v>
      </c>
      <c r="F44" s="10" t="n">
        <v>-3881.89</v>
      </c>
      <c r="G44" s="8" t="s">
        <v>34</v>
      </c>
      <c r="H44" s="8" t="s">
        <v>12</v>
      </c>
      <c r="I44" s="11" t="s">
        <v>13</v>
      </c>
      <c r="J44" s="8" t="s">
        <v>14</v>
      </c>
    </row>
    <row r="45" customFormat="false" ht="14.25" hidden="false" customHeight="false" outlineLevel="0" collapsed="false">
      <c r="A45" s="8" t="n">
        <v>44</v>
      </c>
      <c r="B45" s="8" t="s">
        <v>46</v>
      </c>
      <c r="C45" s="8" t="s">
        <v>10</v>
      </c>
      <c r="D45" s="9" t="n">
        <v>43841</v>
      </c>
      <c r="E45" s="9" t="str">
        <f aca="false">TEXT(D45,"MMM")</f>
        <v>jan</v>
      </c>
      <c r="F45" s="10" t="n">
        <v>-6096.37</v>
      </c>
      <c r="G45" s="8" t="s">
        <v>34</v>
      </c>
      <c r="H45" s="8" t="s">
        <v>36</v>
      </c>
      <c r="I45" s="11" t="s">
        <v>37</v>
      </c>
      <c r="J45" s="8" t="s">
        <v>14</v>
      </c>
    </row>
    <row r="46" customFormat="false" ht="14.25" hidden="false" customHeight="false" outlineLevel="0" collapsed="false">
      <c r="A46" s="8" t="n">
        <v>45</v>
      </c>
      <c r="B46" s="8" t="s">
        <v>47</v>
      </c>
      <c r="C46" s="8" t="s">
        <v>28</v>
      </c>
      <c r="D46" s="9" t="n">
        <v>43841</v>
      </c>
      <c r="E46" s="9" t="str">
        <f aca="false">TEXT(D46,"MMM")</f>
        <v>jan</v>
      </c>
      <c r="F46" s="10" t="n">
        <v>-4480.46</v>
      </c>
      <c r="G46" s="8" t="s">
        <v>34</v>
      </c>
      <c r="H46" s="8" t="s">
        <v>12</v>
      </c>
      <c r="I46" s="11" t="s">
        <v>13</v>
      </c>
      <c r="J46" s="8" t="s">
        <v>14</v>
      </c>
    </row>
    <row r="47" customFormat="false" ht="14.25" hidden="false" customHeight="false" outlineLevel="0" collapsed="false">
      <c r="A47" s="8" t="n">
        <v>46</v>
      </c>
      <c r="B47" s="8" t="s">
        <v>40</v>
      </c>
      <c r="C47" s="8" t="s">
        <v>16</v>
      </c>
      <c r="D47" s="9" t="n">
        <v>43842</v>
      </c>
      <c r="E47" s="9" t="str">
        <f aca="false">TEXT(D47,"MMM")</f>
        <v>jan</v>
      </c>
      <c r="F47" s="10" t="n">
        <v>72147.34</v>
      </c>
      <c r="G47" s="8" t="s">
        <v>11</v>
      </c>
      <c r="H47" s="8" t="s">
        <v>22</v>
      </c>
      <c r="I47" s="11" t="s">
        <v>23</v>
      </c>
      <c r="J47" s="8" t="s">
        <v>14</v>
      </c>
    </row>
    <row r="48" customFormat="false" ht="14.25" hidden="false" customHeight="false" outlineLevel="0" collapsed="false">
      <c r="A48" s="8" t="n">
        <v>47</v>
      </c>
      <c r="B48" s="8" t="s">
        <v>15</v>
      </c>
      <c r="C48" s="8" t="s">
        <v>16</v>
      </c>
      <c r="D48" s="9" t="n">
        <v>43842</v>
      </c>
      <c r="E48" s="9" t="str">
        <f aca="false">TEXT(D48,"MMM")</f>
        <v>jan</v>
      </c>
      <c r="F48" s="10" t="n">
        <v>5576</v>
      </c>
      <c r="G48" s="8" t="s">
        <v>11</v>
      </c>
      <c r="H48" s="8" t="s">
        <v>12</v>
      </c>
      <c r="I48" s="11" t="s">
        <v>13</v>
      </c>
      <c r="J48" s="8" t="s">
        <v>14</v>
      </c>
    </row>
    <row r="49" customFormat="false" ht="14.25" hidden="false" customHeight="false" outlineLevel="0" collapsed="false">
      <c r="A49" s="8" t="n">
        <v>48</v>
      </c>
      <c r="B49" s="8" t="s">
        <v>15</v>
      </c>
      <c r="C49" s="8" t="s">
        <v>10</v>
      </c>
      <c r="D49" s="9" t="n">
        <v>43842</v>
      </c>
      <c r="E49" s="9" t="str">
        <f aca="false">TEXT(D49,"MMM")</f>
        <v>jan</v>
      </c>
      <c r="F49" s="10" t="n">
        <v>87877.38</v>
      </c>
      <c r="G49" s="8" t="s">
        <v>11</v>
      </c>
      <c r="H49" s="8" t="s">
        <v>12</v>
      </c>
      <c r="I49" s="11" t="s">
        <v>13</v>
      </c>
      <c r="J49" s="8" t="s">
        <v>14</v>
      </c>
    </row>
    <row r="50" customFormat="false" ht="14.25" hidden="false" customHeight="false" outlineLevel="0" collapsed="false">
      <c r="A50" s="8" t="n">
        <v>49</v>
      </c>
      <c r="B50" s="8" t="s">
        <v>48</v>
      </c>
      <c r="C50" s="8" t="s">
        <v>28</v>
      </c>
      <c r="D50" s="9" t="n">
        <v>43842</v>
      </c>
      <c r="E50" s="9" t="str">
        <f aca="false">TEXT(D50,"MMM")</f>
        <v>jan</v>
      </c>
      <c r="F50" s="10" t="n">
        <v>-27596.8</v>
      </c>
      <c r="G50" s="8" t="s">
        <v>34</v>
      </c>
      <c r="H50" s="8" t="s">
        <v>12</v>
      </c>
      <c r="I50" s="11" t="s">
        <v>13</v>
      </c>
      <c r="J50" s="8" t="s">
        <v>14</v>
      </c>
    </row>
    <row r="51" customFormat="false" ht="14.25" hidden="false" customHeight="false" outlineLevel="0" collapsed="false">
      <c r="A51" s="8" t="n">
        <v>50</v>
      </c>
      <c r="B51" s="8" t="s">
        <v>48</v>
      </c>
      <c r="C51" s="8" t="s">
        <v>16</v>
      </c>
      <c r="D51" s="9" t="n">
        <v>43842</v>
      </c>
      <c r="E51" s="9" t="str">
        <f aca="false">TEXT(D51,"MMM")</f>
        <v>jan</v>
      </c>
      <c r="F51" s="10" t="n">
        <v>4182</v>
      </c>
      <c r="G51" s="8" t="s">
        <v>11</v>
      </c>
      <c r="H51" s="8" t="s">
        <v>36</v>
      </c>
      <c r="I51" s="11" t="s">
        <v>37</v>
      </c>
      <c r="J51" s="8" t="s">
        <v>14</v>
      </c>
    </row>
    <row r="52" customFormat="false" ht="14.25" hidden="false" customHeight="false" outlineLevel="0" collapsed="false">
      <c r="A52" s="8" t="n">
        <v>51</v>
      </c>
      <c r="B52" s="8" t="s">
        <v>39</v>
      </c>
      <c r="C52" s="8" t="s">
        <v>16</v>
      </c>
      <c r="D52" s="9" t="n">
        <v>43842</v>
      </c>
      <c r="E52" s="9" t="str">
        <f aca="false">TEXT(D52,"MMM")</f>
        <v>jan</v>
      </c>
      <c r="F52" s="10" t="n">
        <v>4879</v>
      </c>
      <c r="G52" s="8" t="s">
        <v>11</v>
      </c>
      <c r="H52" s="8" t="s">
        <v>12</v>
      </c>
      <c r="I52" s="11" t="s">
        <v>13</v>
      </c>
      <c r="J52" s="8" t="s">
        <v>14</v>
      </c>
    </row>
    <row r="53" customFormat="false" ht="14.25" hidden="false" customHeight="false" outlineLevel="0" collapsed="false">
      <c r="A53" s="8" t="n">
        <v>52</v>
      </c>
      <c r="B53" s="8" t="s">
        <v>39</v>
      </c>
      <c r="C53" s="8" t="s">
        <v>21</v>
      </c>
      <c r="D53" s="9" t="n">
        <v>43842</v>
      </c>
      <c r="E53" s="9" t="str">
        <f aca="false">TEXT(D53,"MMM")</f>
        <v>jan</v>
      </c>
      <c r="F53" s="10" t="n">
        <v>4879</v>
      </c>
      <c r="G53" s="8" t="s">
        <v>11</v>
      </c>
      <c r="H53" s="8" t="s">
        <v>12</v>
      </c>
      <c r="I53" s="11" t="s">
        <v>13</v>
      </c>
      <c r="J53" s="8" t="s">
        <v>19</v>
      </c>
    </row>
    <row r="54" customFormat="false" ht="14.25" hidden="false" customHeight="false" outlineLevel="0" collapsed="false">
      <c r="A54" s="8" t="n">
        <v>53</v>
      </c>
      <c r="B54" s="8" t="s">
        <v>49</v>
      </c>
      <c r="C54" s="8" t="s">
        <v>10</v>
      </c>
      <c r="D54" s="9" t="n">
        <v>43842</v>
      </c>
      <c r="E54" s="9" t="str">
        <f aca="false">TEXT(D54,"MMM")</f>
        <v>jan</v>
      </c>
      <c r="F54" s="10" t="n">
        <v>4182</v>
      </c>
      <c r="G54" s="8" t="s">
        <v>11</v>
      </c>
      <c r="H54" s="8" t="s">
        <v>30</v>
      </c>
      <c r="I54" s="11" t="s">
        <v>31</v>
      </c>
      <c r="J54" s="8" t="s">
        <v>26</v>
      </c>
    </row>
    <row r="55" customFormat="false" ht="14.25" hidden="false" customHeight="false" outlineLevel="0" collapsed="false">
      <c r="A55" s="8" t="n">
        <v>54</v>
      </c>
      <c r="B55" s="8" t="s">
        <v>50</v>
      </c>
      <c r="C55" s="8" t="s">
        <v>16</v>
      </c>
      <c r="D55" s="9" t="n">
        <v>43843</v>
      </c>
      <c r="E55" s="9" t="str">
        <f aca="false">TEXT(D55,"MMM")</f>
        <v>jan</v>
      </c>
      <c r="F55" s="10" t="n">
        <v>3262.13</v>
      </c>
      <c r="G55" s="8" t="s">
        <v>11</v>
      </c>
      <c r="H55" s="8" t="s">
        <v>12</v>
      </c>
      <c r="I55" s="11" t="s">
        <v>13</v>
      </c>
      <c r="J55" s="8" t="s">
        <v>14</v>
      </c>
    </row>
    <row r="56" customFormat="false" ht="14.25" hidden="false" customHeight="false" outlineLevel="0" collapsed="false">
      <c r="A56" s="8" t="n">
        <v>55</v>
      </c>
      <c r="B56" s="8" t="s">
        <v>50</v>
      </c>
      <c r="C56" s="8" t="s">
        <v>10</v>
      </c>
      <c r="D56" s="9" t="n">
        <v>43843</v>
      </c>
      <c r="E56" s="9" t="str">
        <f aca="false">TEXT(D56,"MMM")</f>
        <v>jan</v>
      </c>
      <c r="F56" s="10" t="n">
        <v>3262.13</v>
      </c>
      <c r="G56" s="8" t="s">
        <v>11</v>
      </c>
      <c r="H56" s="8" t="s">
        <v>17</v>
      </c>
      <c r="I56" s="11" t="s">
        <v>18</v>
      </c>
      <c r="J56" s="8" t="s">
        <v>26</v>
      </c>
    </row>
    <row r="57" customFormat="false" ht="14.25" hidden="false" customHeight="false" outlineLevel="0" collapsed="false">
      <c r="A57" s="8" t="n">
        <v>56</v>
      </c>
      <c r="B57" s="8" t="s">
        <v>20</v>
      </c>
      <c r="C57" s="8" t="s">
        <v>10</v>
      </c>
      <c r="D57" s="9" t="n">
        <v>43843</v>
      </c>
      <c r="E57" s="9" t="str">
        <f aca="false">TEXT(D57,"MMM")</f>
        <v>jan</v>
      </c>
      <c r="F57" s="10" t="n">
        <v>-6453.16</v>
      </c>
      <c r="G57" s="8" t="s">
        <v>34</v>
      </c>
      <c r="H57" s="8" t="s">
        <v>12</v>
      </c>
      <c r="I57" s="11" t="s">
        <v>13</v>
      </c>
      <c r="J57" s="8" t="s">
        <v>26</v>
      </c>
    </row>
    <row r="58" customFormat="false" ht="14.25" hidden="false" customHeight="false" outlineLevel="0" collapsed="false">
      <c r="A58" s="8" t="n">
        <v>57</v>
      </c>
      <c r="B58" s="8" t="s">
        <v>15</v>
      </c>
      <c r="C58" s="8" t="s">
        <v>21</v>
      </c>
      <c r="D58" s="9" t="n">
        <v>43843</v>
      </c>
      <c r="E58" s="9" t="str">
        <f aca="false">TEXT(D58,"MMM")</f>
        <v>jan</v>
      </c>
      <c r="F58" s="10" t="n">
        <v>-323.89</v>
      </c>
      <c r="G58" s="8" t="s">
        <v>34</v>
      </c>
      <c r="H58" s="8" t="s">
        <v>17</v>
      </c>
      <c r="I58" s="11" t="s">
        <v>18</v>
      </c>
      <c r="J58" s="8" t="s">
        <v>26</v>
      </c>
    </row>
    <row r="59" customFormat="false" ht="14.25" hidden="false" customHeight="false" outlineLevel="0" collapsed="false">
      <c r="A59" s="8" t="n">
        <v>58</v>
      </c>
      <c r="B59" s="8" t="s">
        <v>15</v>
      </c>
      <c r="C59" s="8" t="s">
        <v>10</v>
      </c>
      <c r="D59" s="9" t="n">
        <v>43843</v>
      </c>
      <c r="E59" s="9" t="str">
        <f aca="false">TEXT(D59,"MMM")</f>
        <v>jan</v>
      </c>
      <c r="F59" s="10" t="n">
        <v>2439.5</v>
      </c>
      <c r="G59" s="8" t="s">
        <v>11</v>
      </c>
      <c r="H59" s="8" t="s">
        <v>12</v>
      </c>
      <c r="I59" s="11" t="s">
        <v>13</v>
      </c>
      <c r="J59" s="8" t="s">
        <v>14</v>
      </c>
    </row>
    <row r="60" customFormat="false" ht="14.25" hidden="false" customHeight="false" outlineLevel="0" collapsed="false">
      <c r="A60" s="8" t="n">
        <v>59</v>
      </c>
      <c r="B60" s="8" t="s">
        <v>20</v>
      </c>
      <c r="C60" s="8" t="s">
        <v>21</v>
      </c>
      <c r="D60" s="9" t="n">
        <v>43843</v>
      </c>
      <c r="E60" s="9" t="str">
        <f aca="false">TEXT(D60,"MMM")</f>
        <v>jan</v>
      </c>
      <c r="F60" s="10" t="n">
        <v>6273</v>
      </c>
      <c r="G60" s="8" t="s">
        <v>11</v>
      </c>
      <c r="H60" s="8" t="s">
        <v>12</v>
      </c>
      <c r="I60" s="11" t="s">
        <v>13</v>
      </c>
      <c r="J60" s="8" t="s">
        <v>14</v>
      </c>
    </row>
    <row r="61" customFormat="false" ht="14.25" hidden="false" customHeight="false" outlineLevel="0" collapsed="false">
      <c r="A61" s="8" t="n">
        <v>60</v>
      </c>
      <c r="B61" s="8" t="s">
        <v>20</v>
      </c>
      <c r="C61" s="8" t="s">
        <v>16</v>
      </c>
      <c r="D61" s="9" t="n">
        <v>43843</v>
      </c>
      <c r="E61" s="9" t="str">
        <f aca="false">TEXT(D61,"MMM")</f>
        <v>jan</v>
      </c>
      <c r="F61" s="10" t="n">
        <v>2439.5</v>
      </c>
      <c r="G61" s="8" t="s">
        <v>11</v>
      </c>
      <c r="H61" s="8" t="s">
        <v>12</v>
      </c>
      <c r="I61" s="11" t="s">
        <v>13</v>
      </c>
      <c r="J61" s="8" t="s">
        <v>14</v>
      </c>
    </row>
    <row r="62" customFormat="false" ht="14.25" hidden="false" customHeight="false" outlineLevel="0" collapsed="false">
      <c r="A62" s="8" t="n">
        <v>61</v>
      </c>
      <c r="B62" s="8" t="s">
        <v>20</v>
      </c>
      <c r="C62" s="8" t="s">
        <v>28</v>
      </c>
      <c r="D62" s="9" t="n">
        <v>43843</v>
      </c>
      <c r="E62" s="9" t="str">
        <f aca="false">TEXT(D62,"MMM")</f>
        <v>jan</v>
      </c>
      <c r="F62" s="10" t="n">
        <v>6273</v>
      </c>
      <c r="G62" s="8" t="s">
        <v>11</v>
      </c>
      <c r="H62" s="8" t="s">
        <v>12</v>
      </c>
      <c r="I62" s="11" t="s">
        <v>13</v>
      </c>
      <c r="J62" s="8" t="s">
        <v>26</v>
      </c>
    </row>
    <row r="63" customFormat="false" ht="14.25" hidden="false" customHeight="false" outlineLevel="0" collapsed="false">
      <c r="A63" s="8" t="n">
        <v>62</v>
      </c>
      <c r="B63" s="8" t="s">
        <v>51</v>
      </c>
      <c r="C63" s="8" t="s">
        <v>28</v>
      </c>
      <c r="D63" s="9" t="n">
        <v>43844</v>
      </c>
      <c r="E63" s="9" t="str">
        <f aca="false">TEXT(D63,"MMM")</f>
        <v>jan</v>
      </c>
      <c r="F63" s="10" t="n">
        <v>2439.5</v>
      </c>
      <c r="G63" s="8" t="s">
        <v>11</v>
      </c>
      <c r="H63" s="8" t="s">
        <v>12</v>
      </c>
      <c r="I63" s="11" t="s">
        <v>13</v>
      </c>
      <c r="J63" s="8" t="s">
        <v>26</v>
      </c>
    </row>
    <row r="64" customFormat="false" ht="14.25" hidden="false" customHeight="false" outlineLevel="0" collapsed="false">
      <c r="A64" s="8" t="n">
        <v>63</v>
      </c>
      <c r="B64" s="8" t="s">
        <v>15</v>
      </c>
      <c r="C64" s="8" t="s">
        <v>10</v>
      </c>
      <c r="D64" s="9" t="n">
        <v>43846</v>
      </c>
      <c r="E64" s="9" t="str">
        <f aca="false">TEXT(D64,"MMM")</f>
        <v>jan</v>
      </c>
      <c r="F64" s="10" t="n">
        <v>2439.5</v>
      </c>
      <c r="G64" s="8" t="s">
        <v>11</v>
      </c>
      <c r="H64" s="8" t="s">
        <v>12</v>
      </c>
      <c r="I64" s="11" t="s">
        <v>13</v>
      </c>
      <c r="J64" s="8" t="s">
        <v>26</v>
      </c>
    </row>
    <row r="65" customFormat="false" ht="14.25" hidden="false" customHeight="false" outlineLevel="0" collapsed="false">
      <c r="A65" s="8" t="n">
        <v>64</v>
      </c>
      <c r="B65" s="8" t="s">
        <v>52</v>
      </c>
      <c r="C65" s="8" t="s">
        <v>28</v>
      </c>
      <c r="D65" s="9" t="n">
        <v>43846</v>
      </c>
      <c r="E65" s="9" t="str">
        <f aca="false">TEXT(D65,"MMM")</f>
        <v>jan</v>
      </c>
      <c r="F65" s="10" t="n">
        <v>-19540.71</v>
      </c>
      <c r="G65" s="8" t="s">
        <v>34</v>
      </c>
      <c r="H65" s="8" t="s">
        <v>12</v>
      </c>
      <c r="I65" s="11" t="s">
        <v>13</v>
      </c>
      <c r="J65" s="8" t="s">
        <v>24</v>
      </c>
    </row>
    <row r="66" customFormat="false" ht="14.25" hidden="false" customHeight="false" outlineLevel="0" collapsed="false">
      <c r="A66" s="8" t="n">
        <v>65</v>
      </c>
      <c r="B66" s="8" t="s">
        <v>52</v>
      </c>
      <c r="C66" s="8" t="s">
        <v>28</v>
      </c>
      <c r="D66" s="9" t="n">
        <v>43846</v>
      </c>
      <c r="E66" s="9" t="str">
        <f aca="false">TEXT(D66,"MMM")</f>
        <v>jan</v>
      </c>
      <c r="F66" s="10" t="n">
        <v>42301.72</v>
      </c>
      <c r="G66" s="8" t="s">
        <v>11</v>
      </c>
      <c r="H66" s="8" t="s">
        <v>17</v>
      </c>
      <c r="I66" s="11" t="s">
        <v>18</v>
      </c>
      <c r="J66" s="8" t="s">
        <v>19</v>
      </c>
    </row>
    <row r="67" customFormat="false" ht="14.25" hidden="false" customHeight="false" outlineLevel="0" collapsed="false">
      <c r="A67" s="8" t="n">
        <v>66</v>
      </c>
      <c r="B67" s="8" t="s">
        <v>52</v>
      </c>
      <c r="C67" s="8" t="s">
        <v>16</v>
      </c>
      <c r="D67" s="9" t="n">
        <v>43846</v>
      </c>
      <c r="E67" s="9" t="str">
        <f aca="false">TEXT(D67,"MMM")</f>
        <v>jan</v>
      </c>
      <c r="F67" s="10" t="n">
        <v>-30972.9</v>
      </c>
      <c r="G67" s="8" t="s">
        <v>34</v>
      </c>
      <c r="H67" s="8" t="s">
        <v>30</v>
      </c>
      <c r="I67" s="11" t="s">
        <v>31</v>
      </c>
      <c r="J67" s="8" t="s">
        <v>14</v>
      </c>
    </row>
    <row r="68" customFormat="false" ht="14.25" hidden="false" customHeight="false" outlineLevel="0" collapsed="false">
      <c r="A68" s="8" t="n">
        <v>67</v>
      </c>
      <c r="B68" s="8" t="s">
        <v>53</v>
      </c>
      <c r="C68" s="8" t="s">
        <v>21</v>
      </c>
      <c r="D68" s="9" t="n">
        <v>43848</v>
      </c>
      <c r="E68" s="9" t="str">
        <f aca="false">TEXT(D68,"MMM")</f>
        <v>jan</v>
      </c>
      <c r="F68" s="10" t="n">
        <v>6970</v>
      </c>
      <c r="G68" s="8" t="s">
        <v>11</v>
      </c>
      <c r="H68" s="8" t="s">
        <v>22</v>
      </c>
      <c r="I68" s="11" t="s">
        <v>23</v>
      </c>
      <c r="J68" s="8" t="s">
        <v>19</v>
      </c>
    </row>
    <row r="69" customFormat="false" ht="14.25" hidden="false" customHeight="false" outlineLevel="0" collapsed="false">
      <c r="A69" s="8" t="n">
        <v>68</v>
      </c>
      <c r="B69" s="8" t="s">
        <v>54</v>
      </c>
      <c r="C69" s="8" t="s">
        <v>10</v>
      </c>
      <c r="D69" s="9" t="n">
        <v>43848</v>
      </c>
      <c r="E69" s="9" t="str">
        <f aca="false">TEXT(D69,"MMM")</f>
        <v>jan</v>
      </c>
      <c r="F69" s="10" t="n">
        <v>4530.5</v>
      </c>
      <c r="G69" s="8" t="s">
        <v>11</v>
      </c>
      <c r="H69" s="8" t="s">
        <v>12</v>
      </c>
      <c r="I69" s="11" t="s">
        <v>13</v>
      </c>
      <c r="J69" s="8" t="s">
        <v>14</v>
      </c>
    </row>
    <row r="70" customFormat="false" ht="14.25" hidden="false" customHeight="false" outlineLevel="0" collapsed="false">
      <c r="A70" s="8" t="n">
        <v>69</v>
      </c>
      <c r="B70" s="8" t="s">
        <v>41</v>
      </c>
      <c r="C70" s="8" t="s">
        <v>28</v>
      </c>
      <c r="D70" s="9" t="n">
        <v>43848</v>
      </c>
      <c r="E70" s="9" t="str">
        <f aca="false">TEXT(D70,"MMM")</f>
        <v>jan</v>
      </c>
      <c r="F70" s="10" t="n">
        <v>3136.5</v>
      </c>
      <c r="G70" s="8" t="s">
        <v>11</v>
      </c>
      <c r="H70" s="8" t="s">
        <v>12</v>
      </c>
      <c r="I70" s="11" t="s">
        <v>13</v>
      </c>
      <c r="J70" s="8" t="s">
        <v>14</v>
      </c>
    </row>
    <row r="71" customFormat="false" ht="14.25" hidden="false" customHeight="false" outlineLevel="0" collapsed="false">
      <c r="A71" s="8" t="n">
        <v>70</v>
      </c>
      <c r="B71" s="8" t="s">
        <v>15</v>
      </c>
      <c r="C71" s="8" t="s">
        <v>16</v>
      </c>
      <c r="D71" s="9" t="n">
        <v>43848</v>
      </c>
      <c r="E71" s="9" t="str">
        <f aca="false">TEXT(D71,"MMM")</f>
        <v>jan</v>
      </c>
      <c r="F71" s="10" t="n">
        <v>4530.5</v>
      </c>
      <c r="G71" s="8" t="s">
        <v>11</v>
      </c>
      <c r="H71" s="8" t="s">
        <v>12</v>
      </c>
      <c r="I71" s="11" t="s">
        <v>13</v>
      </c>
      <c r="J71" s="8" t="s">
        <v>14</v>
      </c>
    </row>
    <row r="72" customFormat="false" ht="14.25" hidden="false" customHeight="false" outlineLevel="0" collapsed="false">
      <c r="A72" s="8" t="n">
        <v>71</v>
      </c>
      <c r="B72" s="8" t="s">
        <v>27</v>
      </c>
      <c r="C72" s="8" t="s">
        <v>10</v>
      </c>
      <c r="D72" s="9" t="n">
        <v>43848</v>
      </c>
      <c r="E72" s="9" t="str">
        <f aca="false">TEXT(D72,"MMM")</f>
        <v>jan</v>
      </c>
      <c r="F72" s="10" t="n">
        <v>6970</v>
      </c>
      <c r="G72" s="8" t="s">
        <v>11</v>
      </c>
      <c r="H72" s="8" t="s">
        <v>17</v>
      </c>
      <c r="I72" s="11" t="s">
        <v>18</v>
      </c>
      <c r="J72" s="8" t="s">
        <v>24</v>
      </c>
    </row>
    <row r="73" customFormat="false" ht="14.25" hidden="false" customHeight="false" outlineLevel="0" collapsed="false">
      <c r="A73" s="8" t="n">
        <v>72</v>
      </c>
      <c r="B73" s="8" t="s">
        <v>55</v>
      </c>
      <c r="C73" s="8" t="s">
        <v>10</v>
      </c>
      <c r="D73" s="9" t="n">
        <v>43848</v>
      </c>
      <c r="E73" s="9" t="str">
        <f aca="false">TEXT(D73,"MMM")</f>
        <v>jan</v>
      </c>
      <c r="F73" s="10" t="n">
        <v>5576</v>
      </c>
      <c r="G73" s="8" t="s">
        <v>11</v>
      </c>
      <c r="H73" s="8" t="s">
        <v>17</v>
      </c>
      <c r="I73" s="11" t="s">
        <v>18</v>
      </c>
      <c r="J73" s="8" t="s">
        <v>19</v>
      </c>
    </row>
    <row r="74" customFormat="false" ht="14.25" hidden="false" customHeight="false" outlineLevel="0" collapsed="false">
      <c r="A74" s="8" t="n">
        <v>73</v>
      </c>
      <c r="B74" s="8" t="s">
        <v>27</v>
      </c>
      <c r="C74" s="8" t="s">
        <v>10</v>
      </c>
      <c r="D74" s="9" t="n">
        <v>43848</v>
      </c>
      <c r="E74" s="9" t="str">
        <f aca="false">TEXT(D74,"MMM")</f>
        <v>jan</v>
      </c>
      <c r="F74" s="10" t="n">
        <v>3972.9</v>
      </c>
      <c r="G74" s="8" t="s">
        <v>11</v>
      </c>
      <c r="H74" s="8" t="s">
        <v>36</v>
      </c>
      <c r="I74" s="11" t="s">
        <v>37</v>
      </c>
      <c r="J74" s="8" t="s">
        <v>14</v>
      </c>
    </row>
    <row r="75" customFormat="false" ht="14.25" hidden="false" customHeight="false" outlineLevel="0" collapsed="false">
      <c r="A75" s="8" t="n">
        <v>74</v>
      </c>
      <c r="B75" s="8" t="s">
        <v>55</v>
      </c>
      <c r="C75" s="8" t="s">
        <v>16</v>
      </c>
      <c r="D75" s="9" t="n">
        <v>43848</v>
      </c>
      <c r="E75" s="9" t="str">
        <f aca="false">TEXT(D75,"MMM")</f>
        <v>jan</v>
      </c>
      <c r="F75" s="10" t="n">
        <v>-32210.13</v>
      </c>
      <c r="G75" s="8" t="s">
        <v>34</v>
      </c>
      <c r="H75" s="8" t="s">
        <v>12</v>
      </c>
      <c r="I75" s="11" t="s">
        <v>13</v>
      </c>
      <c r="J75" s="8" t="s">
        <v>26</v>
      </c>
    </row>
    <row r="76" customFormat="false" ht="14.25" hidden="false" customHeight="false" outlineLevel="0" collapsed="false">
      <c r="A76" s="8" t="n">
        <v>75</v>
      </c>
      <c r="B76" s="8" t="s">
        <v>27</v>
      </c>
      <c r="C76" s="8" t="s">
        <v>16</v>
      </c>
      <c r="D76" s="9" t="n">
        <v>43848</v>
      </c>
      <c r="E76" s="9" t="str">
        <f aca="false">TEXT(D76,"MMM")</f>
        <v>jan</v>
      </c>
      <c r="F76" s="10" t="n">
        <v>3136.5</v>
      </c>
      <c r="G76" s="8" t="s">
        <v>11</v>
      </c>
      <c r="H76" s="8" t="s">
        <v>12</v>
      </c>
      <c r="I76" s="11" t="s">
        <v>13</v>
      </c>
      <c r="J76" s="8" t="s">
        <v>26</v>
      </c>
    </row>
    <row r="77" customFormat="false" ht="14.25" hidden="false" customHeight="false" outlineLevel="0" collapsed="false">
      <c r="A77" s="8" t="n">
        <v>76</v>
      </c>
      <c r="B77" s="8" t="s">
        <v>55</v>
      </c>
      <c r="C77" s="8" t="s">
        <v>21</v>
      </c>
      <c r="D77" s="9" t="n">
        <v>43848</v>
      </c>
      <c r="E77" s="9" t="str">
        <f aca="false">TEXT(D77,"MMM")</f>
        <v>jan</v>
      </c>
      <c r="F77" s="10" t="n">
        <v>5737.7</v>
      </c>
      <c r="G77" s="8" t="s">
        <v>11</v>
      </c>
      <c r="H77" s="8" t="s">
        <v>12</v>
      </c>
      <c r="I77" s="11" t="s">
        <v>13</v>
      </c>
      <c r="J77" s="8" t="s">
        <v>26</v>
      </c>
    </row>
    <row r="78" customFormat="false" ht="14.25" hidden="false" customHeight="false" outlineLevel="0" collapsed="false">
      <c r="A78" s="8" t="n">
        <v>77</v>
      </c>
      <c r="B78" s="8" t="s">
        <v>55</v>
      </c>
      <c r="C78" s="8" t="s">
        <v>10</v>
      </c>
      <c r="D78" s="9" t="n">
        <v>43848</v>
      </c>
      <c r="E78" s="9" t="str">
        <f aca="false">TEXT(D78,"MMM")</f>
        <v>jan</v>
      </c>
      <c r="F78" s="10" t="n">
        <v>3214.87</v>
      </c>
      <c r="G78" s="8" t="s">
        <v>11</v>
      </c>
      <c r="H78" s="8" t="s">
        <v>22</v>
      </c>
      <c r="I78" s="11" t="s">
        <v>23</v>
      </c>
      <c r="J78" s="8" t="s">
        <v>26</v>
      </c>
    </row>
    <row r="79" customFormat="false" ht="14.25" hidden="false" customHeight="false" outlineLevel="0" collapsed="false">
      <c r="A79" s="8" t="n">
        <v>78</v>
      </c>
      <c r="B79" s="8" t="s">
        <v>27</v>
      </c>
      <c r="C79" s="8" t="s">
        <v>16</v>
      </c>
      <c r="D79" s="9" t="n">
        <v>43848</v>
      </c>
      <c r="E79" s="9" t="str">
        <f aca="false">TEXT(D79,"MMM")</f>
        <v>jan</v>
      </c>
      <c r="F79" s="10" t="n">
        <v>131033.88</v>
      </c>
      <c r="G79" s="8" t="s">
        <v>11</v>
      </c>
      <c r="H79" s="8" t="s">
        <v>22</v>
      </c>
      <c r="I79" s="11" t="s">
        <v>23</v>
      </c>
      <c r="J79" s="8" t="s">
        <v>24</v>
      </c>
    </row>
    <row r="80" customFormat="false" ht="14.25" hidden="false" customHeight="false" outlineLevel="0" collapsed="false">
      <c r="A80" s="8" t="n">
        <v>79</v>
      </c>
      <c r="B80" s="8" t="s">
        <v>27</v>
      </c>
      <c r="C80" s="8" t="s">
        <v>28</v>
      </c>
      <c r="D80" s="9" t="n">
        <v>43848</v>
      </c>
      <c r="E80" s="9" t="str">
        <f aca="false">TEXT(D80,"MMM")</f>
        <v>jan</v>
      </c>
      <c r="F80" s="10" t="n">
        <v>-4756.57</v>
      </c>
      <c r="G80" s="8" t="s">
        <v>34</v>
      </c>
      <c r="H80" s="8" t="s">
        <v>12</v>
      </c>
      <c r="I80" s="11" t="s">
        <v>13</v>
      </c>
      <c r="J80" s="8" t="s">
        <v>24</v>
      </c>
    </row>
    <row r="81" customFormat="false" ht="14.25" hidden="false" customHeight="false" outlineLevel="0" collapsed="false">
      <c r="A81" s="8" t="n">
        <v>80</v>
      </c>
      <c r="B81" s="8" t="s">
        <v>50</v>
      </c>
      <c r="C81" s="8" t="s">
        <v>10</v>
      </c>
      <c r="D81" s="9" t="n">
        <v>43849</v>
      </c>
      <c r="E81" s="9" t="str">
        <f aca="false">TEXT(D81,"MMM")</f>
        <v>jan</v>
      </c>
      <c r="F81" s="10" t="n">
        <v>1519.71</v>
      </c>
      <c r="G81" s="8" t="s">
        <v>11</v>
      </c>
      <c r="H81" s="8" t="s">
        <v>12</v>
      </c>
      <c r="I81" s="11" t="s">
        <v>13</v>
      </c>
      <c r="J81" s="8" t="s">
        <v>14</v>
      </c>
    </row>
    <row r="82" customFormat="false" ht="14.25" hidden="false" customHeight="false" outlineLevel="0" collapsed="false">
      <c r="A82" s="8" t="n">
        <v>81</v>
      </c>
      <c r="B82" s="8" t="s">
        <v>25</v>
      </c>
      <c r="C82" s="8" t="s">
        <v>10</v>
      </c>
      <c r="D82" s="9" t="n">
        <v>43849</v>
      </c>
      <c r="E82" s="9" t="str">
        <f aca="false">TEXT(D82,"MMM")</f>
        <v>jan</v>
      </c>
      <c r="F82" s="10" t="n">
        <v>173417</v>
      </c>
      <c r="G82" s="8" t="s">
        <v>11</v>
      </c>
      <c r="H82" s="8" t="s">
        <v>12</v>
      </c>
      <c r="I82" s="11" t="s">
        <v>13</v>
      </c>
      <c r="J82" s="8" t="s">
        <v>14</v>
      </c>
    </row>
    <row r="83" customFormat="false" ht="14.25" hidden="false" customHeight="false" outlineLevel="0" collapsed="false">
      <c r="A83" s="8" t="n">
        <v>82</v>
      </c>
      <c r="B83" s="8" t="s">
        <v>15</v>
      </c>
      <c r="C83" s="8" t="s">
        <v>28</v>
      </c>
      <c r="D83" s="9" t="n">
        <v>43849</v>
      </c>
      <c r="E83" s="9" t="str">
        <f aca="false">TEXT(D83,"MMM")</f>
        <v>jan</v>
      </c>
      <c r="F83" s="10" t="n">
        <v>5576</v>
      </c>
      <c r="G83" s="8" t="s">
        <v>11</v>
      </c>
      <c r="H83" s="8" t="s">
        <v>12</v>
      </c>
      <c r="I83" s="11" t="s">
        <v>13</v>
      </c>
      <c r="J83" s="8" t="s">
        <v>14</v>
      </c>
    </row>
    <row r="84" customFormat="false" ht="14.25" hidden="false" customHeight="false" outlineLevel="0" collapsed="false">
      <c r="A84" s="8" t="n">
        <v>83</v>
      </c>
      <c r="B84" s="8" t="s">
        <v>56</v>
      </c>
      <c r="C84" s="8" t="s">
        <v>16</v>
      </c>
      <c r="D84" s="9" t="n">
        <v>43850</v>
      </c>
      <c r="E84" s="9" t="str">
        <f aca="false">TEXT(D84,"MMM")</f>
        <v>jan</v>
      </c>
      <c r="F84" s="10" t="n">
        <v>5576</v>
      </c>
      <c r="G84" s="8" t="s">
        <v>11</v>
      </c>
      <c r="H84" s="8" t="s">
        <v>12</v>
      </c>
      <c r="I84" s="11" t="s">
        <v>13</v>
      </c>
      <c r="J84" s="8" t="s">
        <v>26</v>
      </c>
    </row>
    <row r="85" customFormat="false" ht="14.25" hidden="false" customHeight="false" outlineLevel="0" collapsed="false">
      <c r="A85" s="8" t="n">
        <v>84</v>
      </c>
      <c r="B85" s="8" t="s">
        <v>56</v>
      </c>
      <c r="C85" s="8" t="s">
        <v>10</v>
      </c>
      <c r="D85" s="9" t="n">
        <v>43850</v>
      </c>
      <c r="E85" s="9" t="str">
        <f aca="false">TEXT(D85,"MMM")</f>
        <v>jan</v>
      </c>
      <c r="F85" s="10" t="n">
        <v>962.1</v>
      </c>
      <c r="G85" s="8" t="s">
        <v>11</v>
      </c>
      <c r="H85" s="8" t="s">
        <v>36</v>
      </c>
      <c r="I85" s="11" t="s">
        <v>37</v>
      </c>
      <c r="J85" s="8" t="s">
        <v>26</v>
      </c>
    </row>
    <row r="86" customFormat="false" ht="14.25" hidden="false" customHeight="false" outlineLevel="0" collapsed="false">
      <c r="A86" s="8" t="n">
        <v>85</v>
      </c>
      <c r="B86" s="8" t="s">
        <v>56</v>
      </c>
      <c r="C86" s="8" t="s">
        <v>21</v>
      </c>
      <c r="D86" s="9" t="n">
        <v>43850</v>
      </c>
      <c r="E86" s="9" t="str">
        <f aca="false">TEXT(D86,"MMM")</f>
        <v>jan</v>
      </c>
      <c r="F86" s="10" t="n">
        <v>-85596.63</v>
      </c>
      <c r="G86" s="8" t="s">
        <v>34</v>
      </c>
      <c r="H86" s="8" t="s">
        <v>17</v>
      </c>
      <c r="I86" s="11" t="s">
        <v>18</v>
      </c>
      <c r="J86" s="8" t="s">
        <v>24</v>
      </c>
    </row>
    <row r="87" customFormat="false" ht="14.25" hidden="false" customHeight="false" outlineLevel="0" collapsed="false">
      <c r="A87" s="8" t="n">
        <v>86</v>
      </c>
      <c r="B87" s="8" t="s">
        <v>32</v>
      </c>
      <c r="C87" s="8" t="s">
        <v>10</v>
      </c>
      <c r="D87" s="9" t="n">
        <v>43854</v>
      </c>
      <c r="E87" s="9" t="str">
        <f aca="false">TEXT(D87,"MMM")</f>
        <v>jan</v>
      </c>
      <c r="F87" s="10" t="n">
        <v>182281.2</v>
      </c>
      <c r="G87" s="8" t="s">
        <v>11</v>
      </c>
      <c r="H87" s="8" t="s">
        <v>17</v>
      </c>
      <c r="I87" s="11" t="s">
        <v>18</v>
      </c>
      <c r="J87" s="8" t="s">
        <v>26</v>
      </c>
    </row>
    <row r="88" customFormat="false" ht="14.25" hidden="false" customHeight="false" outlineLevel="0" collapsed="false">
      <c r="A88" s="8" t="n">
        <v>87</v>
      </c>
      <c r="B88" s="8" t="s">
        <v>32</v>
      </c>
      <c r="C88" s="8" t="s">
        <v>16</v>
      </c>
      <c r="D88" s="9" t="n">
        <v>43854</v>
      </c>
      <c r="E88" s="9" t="str">
        <f aca="false">TEXT(D88,"MMM")</f>
        <v>jan</v>
      </c>
      <c r="F88" s="10" t="n">
        <v>6426.12</v>
      </c>
      <c r="G88" s="8" t="s">
        <v>11</v>
      </c>
      <c r="H88" s="8" t="s">
        <v>12</v>
      </c>
      <c r="I88" s="11" t="s">
        <v>13</v>
      </c>
      <c r="J88" s="8" t="s">
        <v>14</v>
      </c>
    </row>
    <row r="89" customFormat="false" ht="14.25" hidden="false" customHeight="false" outlineLevel="0" collapsed="false">
      <c r="A89" s="8" t="n">
        <v>88</v>
      </c>
      <c r="B89" s="8" t="s">
        <v>32</v>
      </c>
      <c r="C89" s="8" t="s">
        <v>16</v>
      </c>
      <c r="D89" s="9" t="n">
        <v>43854</v>
      </c>
      <c r="E89" s="9" t="str">
        <f aca="false">TEXT(D89,"MMM")</f>
        <v>jan</v>
      </c>
      <c r="F89" s="10" t="n">
        <v>6426.12</v>
      </c>
      <c r="G89" s="8" t="s">
        <v>11</v>
      </c>
      <c r="H89" s="8" t="s">
        <v>12</v>
      </c>
      <c r="I89" s="11" t="s">
        <v>13</v>
      </c>
      <c r="J89" s="8" t="s">
        <v>14</v>
      </c>
    </row>
    <row r="90" customFormat="false" ht="14.25" hidden="false" customHeight="false" outlineLevel="0" collapsed="false">
      <c r="A90" s="8" t="n">
        <v>89</v>
      </c>
      <c r="B90" s="8" t="s">
        <v>57</v>
      </c>
      <c r="C90" s="8" t="s">
        <v>21</v>
      </c>
      <c r="D90" s="9" t="n">
        <v>43855</v>
      </c>
      <c r="E90" s="9" t="str">
        <f aca="false">TEXT(D90,"MMM")</f>
        <v>jan</v>
      </c>
      <c r="F90" s="10" t="n">
        <v>6426.12</v>
      </c>
      <c r="G90" s="8" t="s">
        <v>11</v>
      </c>
      <c r="H90" s="8" t="s">
        <v>17</v>
      </c>
      <c r="I90" s="11" t="s">
        <v>18</v>
      </c>
      <c r="J90" s="8" t="s">
        <v>14</v>
      </c>
    </row>
    <row r="91" customFormat="false" ht="14.25" hidden="false" customHeight="false" outlineLevel="0" collapsed="false">
      <c r="A91" s="8" t="n">
        <v>90</v>
      </c>
      <c r="B91" s="8" t="s">
        <v>44</v>
      </c>
      <c r="C91" s="8" t="s">
        <v>10</v>
      </c>
      <c r="D91" s="9" t="n">
        <v>43855</v>
      </c>
      <c r="E91" s="9" t="str">
        <f aca="false">TEXT(D91,"MMM")</f>
        <v>jan</v>
      </c>
      <c r="F91" s="10" t="n">
        <v>6426.12</v>
      </c>
      <c r="G91" s="8" t="s">
        <v>11</v>
      </c>
      <c r="H91" s="8" t="s">
        <v>17</v>
      </c>
      <c r="I91" s="11" t="s">
        <v>18</v>
      </c>
      <c r="J91" s="8" t="s">
        <v>14</v>
      </c>
    </row>
    <row r="92" customFormat="false" ht="14.25" hidden="false" customHeight="false" outlineLevel="0" collapsed="false">
      <c r="A92" s="8" t="n">
        <v>91</v>
      </c>
      <c r="B92" s="8" t="s">
        <v>43</v>
      </c>
      <c r="C92" s="8" t="s">
        <v>28</v>
      </c>
      <c r="D92" s="9" t="n">
        <v>43855</v>
      </c>
      <c r="E92" s="9" t="str">
        <f aca="false">TEXT(D92,"MMM")</f>
        <v>jan</v>
      </c>
      <c r="F92" s="10" t="n">
        <v>6426.09</v>
      </c>
      <c r="G92" s="8" t="s">
        <v>11</v>
      </c>
      <c r="H92" s="8" t="s">
        <v>17</v>
      </c>
      <c r="I92" s="11" t="s">
        <v>18</v>
      </c>
      <c r="J92" s="8" t="s">
        <v>19</v>
      </c>
    </row>
    <row r="93" customFormat="false" ht="14.25" hidden="false" customHeight="false" outlineLevel="0" collapsed="false">
      <c r="A93" s="8" t="n">
        <v>92</v>
      </c>
      <c r="B93" s="8" t="s">
        <v>45</v>
      </c>
      <c r="C93" s="8" t="s">
        <v>10</v>
      </c>
      <c r="D93" s="9" t="n">
        <v>43855</v>
      </c>
      <c r="E93" s="9" t="str">
        <f aca="false">TEXT(D93,"MMM")</f>
        <v>jan</v>
      </c>
      <c r="F93" s="10" t="n">
        <v>-1577.63</v>
      </c>
      <c r="G93" s="8" t="s">
        <v>34</v>
      </c>
      <c r="H93" s="8" t="s">
        <v>30</v>
      </c>
      <c r="I93" s="11" t="s">
        <v>31</v>
      </c>
      <c r="J93" s="8" t="s">
        <v>14</v>
      </c>
    </row>
    <row r="94" customFormat="false" ht="14.25" hidden="false" customHeight="false" outlineLevel="0" collapsed="false">
      <c r="A94" s="8" t="n">
        <v>93</v>
      </c>
      <c r="B94" s="8" t="s">
        <v>43</v>
      </c>
      <c r="C94" s="8" t="s">
        <v>10</v>
      </c>
      <c r="D94" s="9" t="n">
        <v>43855</v>
      </c>
      <c r="E94" s="9" t="str">
        <f aca="false">TEXT(D94,"MMM")</f>
        <v>jan</v>
      </c>
      <c r="F94" s="10" t="n">
        <v>-1431.08</v>
      </c>
      <c r="G94" s="8" t="s">
        <v>34</v>
      </c>
      <c r="H94" s="8" t="s">
        <v>36</v>
      </c>
      <c r="I94" s="11" t="s">
        <v>37</v>
      </c>
      <c r="J94" s="8" t="s">
        <v>24</v>
      </c>
    </row>
    <row r="95" customFormat="false" ht="14.25" hidden="false" customHeight="false" outlineLevel="0" collapsed="false">
      <c r="A95" s="8" t="n">
        <v>94</v>
      </c>
      <c r="B95" s="8" t="s">
        <v>47</v>
      </c>
      <c r="C95" s="8" t="s">
        <v>10</v>
      </c>
      <c r="D95" s="9" t="n">
        <v>43855</v>
      </c>
      <c r="E95" s="9" t="str">
        <f aca="false">TEXT(D95,"MMM")</f>
        <v>jan</v>
      </c>
      <c r="F95" s="10" t="n">
        <v>0</v>
      </c>
      <c r="G95" s="8" t="s">
        <v>34</v>
      </c>
      <c r="H95" s="8" t="s">
        <v>12</v>
      </c>
      <c r="I95" s="11" t="s">
        <v>13</v>
      </c>
      <c r="J95" s="8" t="s">
        <v>14</v>
      </c>
    </row>
    <row r="96" customFormat="false" ht="14.25" hidden="false" customHeight="false" outlineLevel="0" collapsed="false">
      <c r="A96" s="8" t="n">
        <v>95</v>
      </c>
      <c r="B96" s="8" t="s">
        <v>57</v>
      </c>
      <c r="C96" s="8" t="s">
        <v>16</v>
      </c>
      <c r="D96" s="9" t="n">
        <v>43855</v>
      </c>
      <c r="E96" s="9" t="str">
        <f aca="false">TEXT(D96,"MMM")</f>
        <v>jan</v>
      </c>
      <c r="F96" s="10" t="n">
        <v>39898.4</v>
      </c>
      <c r="G96" s="8" t="s">
        <v>11</v>
      </c>
      <c r="H96" s="8" t="s">
        <v>36</v>
      </c>
      <c r="I96" s="11" t="s">
        <v>37</v>
      </c>
      <c r="J96" s="8" t="s">
        <v>26</v>
      </c>
    </row>
    <row r="97" customFormat="false" ht="14.25" hidden="false" customHeight="false" outlineLevel="0" collapsed="false">
      <c r="A97" s="8" t="n">
        <v>96</v>
      </c>
      <c r="B97" s="8" t="s">
        <v>44</v>
      </c>
      <c r="C97" s="8" t="s">
        <v>16</v>
      </c>
      <c r="D97" s="9" t="n">
        <v>43855</v>
      </c>
      <c r="E97" s="9" t="str">
        <f aca="false">TEXT(D97,"MMM")</f>
        <v>jan</v>
      </c>
      <c r="F97" s="10" t="n">
        <v>183676.5</v>
      </c>
      <c r="G97" s="8" t="s">
        <v>11</v>
      </c>
      <c r="H97" s="8" t="s">
        <v>36</v>
      </c>
      <c r="I97" s="11" t="s">
        <v>37</v>
      </c>
      <c r="J97" s="8" t="s">
        <v>14</v>
      </c>
    </row>
    <row r="98" customFormat="false" ht="14.25" hidden="false" customHeight="false" outlineLevel="0" collapsed="false">
      <c r="A98" s="8" t="n">
        <v>97</v>
      </c>
      <c r="B98" s="8" t="s">
        <v>45</v>
      </c>
      <c r="C98" s="8" t="s">
        <v>28</v>
      </c>
      <c r="D98" s="9" t="n">
        <v>43855</v>
      </c>
      <c r="E98" s="9" t="str">
        <f aca="false">TEXT(D98,"MMM")</f>
        <v>jan</v>
      </c>
      <c r="F98" s="10" t="n">
        <v>18713.37</v>
      </c>
      <c r="G98" s="8" t="s">
        <v>11</v>
      </c>
      <c r="H98" s="8" t="s">
        <v>12</v>
      </c>
      <c r="I98" s="11" t="s">
        <v>13</v>
      </c>
      <c r="J98" s="8" t="s">
        <v>26</v>
      </c>
    </row>
    <row r="99" customFormat="false" ht="14.25" hidden="false" customHeight="false" outlineLevel="0" collapsed="false">
      <c r="A99" s="8" t="n">
        <v>98</v>
      </c>
      <c r="B99" s="8" t="s">
        <v>47</v>
      </c>
      <c r="C99" s="8" t="s">
        <v>28</v>
      </c>
      <c r="D99" s="9" t="n">
        <v>43855</v>
      </c>
      <c r="E99" s="9" t="str">
        <f aca="false">TEXT(D99,"MMM")</f>
        <v>jan</v>
      </c>
      <c r="F99" s="10" t="n">
        <v>20088.43</v>
      </c>
      <c r="G99" s="8" t="s">
        <v>11</v>
      </c>
      <c r="H99" s="8" t="s">
        <v>12</v>
      </c>
      <c r="I99" s="11" t="s">
        <v>13</v>
      </c>
      <c r="J99" s="8" t="s">
        <v>14</v>
      </c>
    </row>
    <row r="100" customFormat="false" ht="14.25" hidden="false" customHeight="false" outlineLevel="0" collapsed="false">
      <c r="A100" s="8" t="n">
        <v>99</v>
      </c>
      <c r="B100" s="8" t="s">
        <v>15</v>
      </c>
      <c r="C100" s="8" t="s">
        <v>28</v>
      </c>
      <c r="D100" s="9" t="n">
        <v>43856</v>
      </c>
      <c r="E100" s="9" t="str">
        <f aca="false">TEXT(D100,"MMM")</f>
        <v>jan</v>
      </c>
      <c r="F100" s="10" t="n">
        <v>19280.69</v>
      </c>
      <c r="G100" s="8" t="s">
        <v>11</v>
      </c>
      <c r="H100" s="8" t="s">
        <v>36</v>
      </c>
      <c r="I100" s="11" t="s">
        <v>37</v>
      </c>
      <c r="J100" s="8" t="s">
        <v>26</v>
      </c>
    </row>
    <row r="101" customFormat="false" ht="14.25" hidden="false" customHeight="false" outlineLevel="0" collapsed="false">
      <c r="A101" s="8" t="n">
        <v>100</v>
      </c>
      <c r="B101" s="8" t="s">
        <v>15</v>
      </c>
      <c r="C101" s="8" t="s">
        <v>28</v>
      </c>
      <c r="D101" s="9" t="n">
        <v>43856</v>
      </c>
      <c r="E101" s="9" t="str">
        <f aca="false">TEXT(D101,"MMM")</f>
        <v>jan</v>
      </c>
      <c r="F101" s="10" t="n">
        <v>67243.43</v>
      </c>
      <c r="G101" s="8" t="s">
        <v>11</v>
      </c>
      <c r="H101" s="8" t="s">
        <v>12</v>
      </c>
      <c r="I101" s="11" t="s">
        <v>13</v>
      </c>
      <c r="J101" s="8" t="s">
        <v>14</v>
      </c>
    </row>
    <row r="102" customFormat="false" ht="14.25" hidden="false" customHeight="false" outlineLevel="0" collapsed="false">
      <c r="A102" s="8" t="n">
        <v>101</v>
      </c>
      <c r="B102" s="8" t="s">
        <v>49</v>
      </c>
      <c r="C102" s="8" t="s">
        <v>16</v>
      </c>
      <c r="D102" s="9" t="n">
        <v>43856</v>
      </c>
      <c r="E102" s="9" t="str">
        <f aca="false">TEXT(D102,"MMM")</f>
        <v>jan</v>
      </c>
      <c r="F102" s="10" t="n">
        <v>-64376.96</v>
      </c>
      <c r="G102" s="8" t="s">
        <v>34</v>
      </c>
      <c r="H102" s="8" t="s">
        <v>12</v>
      </c>
      <c r="I102" s="11" t="s">
        <v>13</v>
      </c>
      <c r="J102" s="8" t="s">
        <v>26</v>
      </c>
    </row>
    <row r="103" customFormat="false" ht="14.25" hidden="false" customHeight="false" outlineLevel="0" collapsed="false">
      <c r="A103" s="8" t="n">
        <v>102</v>
      </c>
      <c r="B103" s="8" t="s">
        <v>58</v>
      </c>
      <c r="C103" s="8" t="s">
        <v>10</v>
      </c>
      <c r="D103" s="9" t="n">
        <v>43857</v>
      </c>
      <c r="E103" s="9" t="str">
        <f aca="false">TEXT(D103,"MMM")</f>
        <v>jan</v>
      </c>
      <c r="F103" s="10" t="n">
        <v>12148.43</v>
      </c>
      <c r="G103" s="8" t="s">
        <v>11</v>
      </c>
      <c r="H103" s="8" t="s">
        <v>12</v>
      </c>
      <c r="I103" s="11" t="s">
        <v>13</v>
      </c>
      <c r="J103" s="8" t="s">
        <v>26</v>
      </c>
    </row>
    <row r="104" customFormat="false" ht="14.25" hidden="false" customHeight="false" outlineLevel="0" collapsed="false">
      <c r="A104" s="8" t="n">
        <v>103</v>
      </c>
      <c r="B104" s="8" t="s">
        <v>59</v>
      </c>
      <c r="C104" s="8" t="s">
        <v>16</v>
      </c>
      <c r="D104" s="9" t="n">
        <v>43857</v>
      </c>
      <c r="E104" s="9" t="str">
        <f aca="false">TEXT(D104,"MMM")</f>
        <v>jan</v>
      </c>
      <c r="F104" s="10" t="n">
        <v>14099.35</v>
      </c>
      <c r="G104" s="8" t="s">
        <v>11</v>
      </c>
      <c r="H104" s="8" t="s">
        <v>22</v>
      </c>
      <c r="I104" s="11" t="s">
        <v>23</v>
      </c>
      <c r="J104" s="8" t="s">
        <v>14</v>
      </c>
    </row>
    <row r="105" customFormat="false" ht="14.25" hidden="false" customHeight="false" outlineLevel="0" collapsed="false">
      <c r="A105" s="8" t="n">
        <v>104</v>
      </c>
      <c r="B105" s="8" t="s">
        <v>58</v>
      </c>
      <c r="C105" s="8" t="s">
        <v>16</v>
      </c>
      <c r="D105" s="9" t="n">
        <v>43857</v>
      </c>
      <c r="E105" s="9" t="str">
        <f aca="false">TEXT(D105,"MMM")</f>
        <v>jan</v>
      </c>
      <c r="F105" s="10" t="n">
        <v>15106.45</v>
      </c>
      <c r="G105" s="8" t="s">
        <v>11</v>
      </c>
      <c r="H105" s="8" t="s">
        <v>12</v>
      </c>
      <c r="I105" s="11" t="s">
        <v>13</v>
      </c>
      <c r="J105" s="8" t="s">
        <v>26</v>
      </c>
    </row>
    <row r="106" customFormat="false" ht="14.25" hidden="false" customHeight="false" outlineLevel="0" collapsed="false">
      <c r="A106" s="8" t="n">
        <v>105</v>
      </c>
      <c r="B106" s="8" t="s">
        <v>59</v>
      </c>
      <c r="C106" s="8" t="s">
        <v>16</v>
      </c>
      <c r="D106" s="9" t="n">
        <v>43857</v>
      </c>
      <c r="E106" s="9" t="str">
        <f aca="false">TEXT(D106,"MMM")</f>
        <v>jan</v>
      </c>
      <c r="F106" s="10" t="n">
        <v>12779.75</v>
      </c>
      <c r="G106" s="8" t="s">
        <v>11</v>
      </c>
      <c r="H106" s="8" t="s">
        <v>12</v>
      </c>
      <c r="I106" s="11" t="s">
        <v>13</v>
      </c>
      <c r="J106" s="8" t="s">
        <v>19</v>
      </c>
    </row>
    <row r="107" customFormat="false" ht="14.25" hidden="false" customHeight="false" outlineLevel="0" collapsed="false">
      <c r="A107" s="8" t="n">
        <v>106</v>
      </c>
      <c r="B107" s="8" t="s">
        <v>59</v>
      </c>
      <c r="C107" s="8" t="s">
        <v>28</v>
      </c>
      <c r="D107" s="9" t="n">
        <v>43857</v>
      </c>
      <c r="E107" s="9" t="str">
        <f aca="false">TEXT(D107,"MMM")</f>
        <v>jan</v>
      </c>
      <c r="F107" s="10" t="n">
        <v>149098.62</v>
      </c>
      <c r="G107" s="8" t="s">
        <v>11</v>
      </c>
      <c r="H107" s="8" t="s">
        <v>30</v>
      </c>
      <c r="I107" s="11" t="s">
        <v>31</v>
      </c>
      <c r="J107" s="8" t="s">
        <v>26</v>
      </c>
    </row>
    <row r="108" customFormat="false" ht="14.25" hidden="false" customHeight="false" outlineLevel="0" collapsed="false">
      <c r="A108" s="8" t="n">
        <v>107</v>
      </c>
      <c r="B108" s="8" t="s">
        <v>58</v>
      </c>
      <c r="C108" s="8" t="s">
        <v>21</v>
      </c>
      <c r="D108" s="9" t="n">
        <v>43857</v>
      </c>
      <c r="E108" s="9" t="str">
        <f aca="false">TEXT(D108,"MMM")</f>
        <v>jan</v>
      </c>
      <c r="F108" s="10" t="n">
        <v>13298.84</v>
      </c>
      <c r="G108" s="8" t="s">
        <v>11</v>
      </c>
      <c r="H108" s="8" t="s">
        <v>12</v>
      </c>
      <c r="I108" s="11" t="s">
        <v>13</v>
      </c>
      <c r="J108" s="8" t="s">
        <v>14</v>
      </c>
    </row>
    <row r="109" customFormat="false" ht="14.25" hidden="false" customHeight="false" outlineLevel="0" collapsed="false">
      <c r="A109" s="8" t="n">
        <v>108</v>
      </c>
      <c r="B109" s="8" t="s">
        <v>58</v>
      </c>
      <c r="C109" s="8" t="s">
        <v>28</v>
      </c>
      <c r="D109" s="9" t="n">
        <v>43857</v>
      </c>
      <c r="E109" s="9" t="str">
        <f aca="false">TEXT(D109,"MMM")</f>
        <v>jan</v>
      </c>
      <c r="F109" s="10" t="n">
        <v>13294.77</v>
      </c>
      <c r="G109" s="8" t="s">
        <v>11</v>
      </c>
      <c r="H109" s="8" t="s">
        <v>36</v>
      </c>
      <c r="I109" s="11" t="s">
        <v>37</v>
      </c>
      <c r="J109" s="8" t="s">
        <v>14</v>
      </c>
    </row>
    <row r="110" customFormat="false" ht="14.25" hidden="false" customHeight="false" outlineLevel="0" collapsed="false">
      <c r="A110" s="8" t="n">
        <v>109</v>
      </c>
      <c r="B110" s="8" t="s">
        <v>59</v>
      </c>
      <c r="C110" s="8" t="s">
        <v>16</v>
      </c>
      <c r="D110" s="9" t="n">
        <v>43857</v>
      </c>
      <c r="E110" s="9" t="str">
        <f aca="false">TEXT(D110,"MMM")</f>
        <v>jan</v>
      </c>
      <c r="F110" s="10" t="n">
        <v>-60985.84</v>
      </c>
      <c r="G110" s="8" t="s">
        <v>34</v>
      </c>
      <c r="H110" s="8" t="s">
        <v>12</v>
      </c>
      <c r="I110" s="11" t="s">
        <v>13</v>
      </c>
      <c r="J110" s="8" t="s">
        <v>24</v>
      </c>
    </row>
    <row r="111" customFormat="false" ht="14.25" hidden="false" customHeight="false" outlineLevel="0" collapsed="false">
      <c r="A111" s="8" t="n">
        <v>110</v>
      </c>
      <c r="B111" s="8" t="s">
        <v>59</v>
      </c>
      <c r="C111" s="8" t="s">
        <v>28</v>
      </c>
      <c r="D111" s="9" t="n">
        <v>43857</v>
      </c>
      <c r="E111" s="9" t="str">
        <f aca="false">TEXT(D111,"MMM")</f>
        <v>jan</v>
      </c>
      <c r="F111" s="10" t="n">
        <v>35586.66</v>
      </c>
      <c r="G111" s="8" t="s">
        <v>11</v>
      </c>
      <c r="H111" s="8" t="s">
        <v>12</v>
      </c>
      <c r="I111" s="11" t="s">
        <v>13</v>
      </c>
      <c r="J111" s="8" t="s">
        <v>26</v>
      </c>
    </row>
    <row r="112" customFormat="false" ht="14.25" hidden="false" customHeight="false" outlineLevel="0" collapsed="false">
      <c r="A112" s="8" t="n">
        <v>111</v>
      </c>
      <c r="B112" s="8" t="s">
        <v>58</v>
      </c>
      <c r="C112" s="8" t="s">
        <v>21</v>
      </c>
      <c r="D112" s="9" t="n">
        <v>43857</v>
      </c>
      <c r="E112" s="9" t="str">
        <f aca="false">TEXT(D112,"MMM")</f>
        <v>jan</v>
      </c>
      <c r="F112" s="10" t="n">
        <v>35586.66</v>
      </c>
      <c r="G112" s="8" t="s">
        <v>11</v>
      </c>
      <c r="H112" s="8" t="s">
        <v>36</v>
      </c>
      <c r="I112" s="11" t="s">
        <v>37</v>
      </c>
      <c r="J112" s="8" t="s">
        <v>26</v>
      </c>
    </row>
    <row r="113" customFormat="false" ht="14.25" hidden="false" customHeight="false" outlineLevel="0" collapsed="false">
      <c r="A113" s="8" t="n">
        <v>112</v>
      </c>
      <c r="B113" s="8" t="s">
        <v>59</v>
      </c>
      <c r="C113" s="8" t="s">
        <v>21</v>
      </c>
      <c r="D113" s="9" t="n">
        <v>43857</v>
      </c>
      <c r="E113" s="9" t="str">
        <f aca="false">TEXT(D113,"MMM")</f>
        <v>jan</v>
      </c>
      <c r="F113" s="10" t="n">
        <v>35586.68</v>
      </c>
      <c r="G113" s="8" t="s">
        <v>11</v>
      </c>
      <c r="H113" s="8" t="s">
        <v>12</v>
      </c>
      <c r="I113" s="11" t="s">
        <v>13</v>
      </c>
      <c r="J113" s="8" t="s">
        <v>24</v>
      </c>
    </row>
    <row r="114" customFormat="false" ht="14.25" hidden="false" customHeight="false" outlineLevel="0" collapsed="false">
      <c r="A114" s="8" t="n">
        <v>113</v>
      </c>
      <c r="B114" s="8" t="s">
        <v>60</v>
      </c>
      <c r="C114" s="8" t="s">
        <v>21</v>
      </c>
      <c r="D114" s="9" t="n">
        <v>43860</v>
      </c>
      <c r="E114" s="9" t="str">
        <f aca="false">TEXT(D114,"MMM")</f>
        <v>jan</v>
      </c>
      <c r="F114" s="10" t="n">
        <v>-1088.4</v>
      </c>
      <c r="G114" s="8" t="s">
        <v>34</v>
      </c>
      <c r="H114" s="8" t="s">
        <v>12</v>
      </c>
      <c r="I114" s="11" t="s">
        <v>13</v>
      </c>
      <c r="J114" s="8" t="s">
        <v>26</v>
      </c>
    </row>
    <row r="115" customFormat="false" ht="14.25" hidden="false" customHeight="false" outlineLevel="0" collapsed="false">
      <c r="A115" s="8" t="n">
        <v>114</v>
      </c>
      <c r="B115" s="8" t="s">
        <v>15</v>
      </c>
      <c r="C115" s="8" t="s">
        <v>21</v>
      </c>
      <c r="D115" s="9" t="n">
        <v>43860</v>
      </c>
      <c r="E115" s="9" t="str">
        <f aca="false">TEXT(D115,"MMM")</f>
        <v>jan</v>
      </c>
      <c r="F115" s="10" t="n">
        <v>3545.37</v>
      </c>
      <c r="G115" s="8" t="s">
        <v>11</v>
      </c>
      <c r="H115" s="8" t="s">
        <v>12</v>
      </c>
      <c r="I115" s="11" t="s">
        <v>13</v>
      </c>
      <c r="J115" s="8" t="s">
        <v>14</v>
      </c>
    </row>
    <row r="116" customFormat="false" ht="14.25" hidden="false" customHeight="false" outlineLevel="0" collapsed="false">
      <c r="A116" s="8" t="n">
        <v>115</v>
      </c>
      <c r="B116" s="8" t="s">
        <v>39</v>
      </c>
      <c r="C116" s="8" t="s">
        <v>16</v>
      </c>
      <c r="D116" s="9" t="n">
        <v>43860</v>
      </c>
      <c r="E116" s="9" t="str">
        <f aca="false">TEXT(D116,"MMM")</f>
        <v>jan</v>
      </c>
      <c r="F116" s="10" t="n">
        <v>23012.32</v>
      </c>
      <c r="G116" s="8" t="s">
        <v>11</v>
      </c>
      <c r="H116" s="8" t="s">
        <v>17</v>
      </c>
      <c r="I116" s="11" t="s">
        <v>18</v>
      </c>
      <c r="J116" s="8" t="s">
        <v>24</v>
      </c>
    </row>
    <row r="117" customFormat="false" ht="14.25" hidden="false" customHeight="false" outlineLevel="0" collapsed="false">
      <c r="A117" s="8" t="n">
        <v>116</v>
      </c>
      <c r="B117" s="8" t="s">
        <v>20</v>
      </c>
      <c r="C117" s="8" t="s">
        <v>28</v>
      </c>
      <c r="D117" s="9" t="n">
        <v>43861</v>
      </c>
      <c r="E117" s="9" t="str">
        <f aca="false">TEXT(D117,"MMM")</f>
        <v>jan</v>
      </c>
      <c r="F117" s="10" t="n">
        <v>3725.2</v>
      </c>
      <c r="G117" s="8" t="s">
        <v>11</v>
      </c>
      <c r="H117" s="8" t="s">
        <v>12</v>
      </c>
      <c r="I117" s="11" t="s">
        <v>13</v>
      </c>
      <c r="J117" s="8" t="s">
        <v>14</v>
      </c>
    </row>
    <row r="118" customFormat="false" ht="14.25" hidden="false" customHeight="false" outlineLevel="0" collapsed="false">
      <c r="A118" s="8" t="n">
        <v>117</v>
      </c>
      <c r="B118" s="8" t="s">
        <v>20</v>
      </c>
      <c r="C118" s="8" t="s">
        <v>10</v>
      </c>
      <c r="D118" s="9" t="n">
        <v>43861</v>
      </c>
      <c r="E118" s="9" t="str">
        <f aca="false">TEXT(D118,"MMM")</f>
        <v>jan</v>
      </c>
      <c r="F118" s="10" t="n">
        <v>20394.98</v>
      </c>
      <c r="G118" s="8" t="s">
        <v>11</v>
      </c>
      <c r="H118" s="8" t="s">
        <v>30</v>
      </c>
      <c r="I118" s="11" t="s">
        <v>31</v>
      </c>
      <c r="J118" s="8" t="s">
        <v>26</v>
      </c>
    </row>
    <row r="119" customFormat="false" ht="14.25" hidden="false" customHeight="false" outlineLevel="0" collapsed="false">
      <c r="A119" s="8" t="n">
        <v>118</v>
      </c>
      <c r="B119" s="8" t="s">
        <v>61</v>
      </c>
      <c r="C119" s="8" t="s">
        <v>16</v>
      </c>
      <c r="D119" s="9" t="n">
        <v>43861</v>
      </c>
      <c r="E119" s="9" t="str">
        <f aca="false">TEXT(D119,"MMM")</f>
        <v>jan</v>
      </c>
      <c r="F119" s="10" t="n">
        <v>165831.18</v>
      </c>
      <c r="G119" s="8" t="s">
        <v>11</v>
      </c>
      <c r="H119" s="8" t="s">
        <v>12</v>
      </c>
      <c r="I119" s="11" t="s">
        <v>13</v>
      </c>
      <c r="J119" s="8" t="s">
        <v>26</v>
      </c>
    </row>
    <row r="120" customFormat="false" ht="14.25" hidden="false" customHeight="false" outlineLevel="0" collapsed="false">
      <c r="A120" s="8" t="n">
        <v>119</v>
      </c>
      <c r="B120" s="8" t="s">
        <v>62</v>
      </c>
      <c r="C120" s="8" t="s">
        <v>10</v>
      </c>
      <c r="D120" s="9" t="n">
        <v>43861</v>
      </c>
      <c r="E120" s="9" t="str">
        <f aca="false">TEXT(D120,"MMM")</f>
        <v>jan</v>
      </c>
      <c r="F120" s="10" t="n">
        <v>3687.21</v>
      </c>
      <c r="G120" s="8" t="s">
        <v>11</v>
      </c>
      <c r="H120" s="8" t="s">
        <v>36</v>
      </c>
      <c r="I120" s="11" t="s">
        <v>37</v>
      </c>
      <c r="J120" s="8" t="s">
        <v>14</v>
      </c>
    </row>
    <row r="121" customFormat="false" ht="14.25" hidden="false" customHeight="false" outlineLevel="0" collapsed="false">
      <c r="A121" s="8" t="n">
        <v>120</v>
      </c>
      <c r="B121" s="8" t="s">
        <v>33</v>
      </c>
      <c r="C121" s="8" t="s">
        <v>21</v>
      </c>
      <c r="D121" s="9" t="n">
        <v>43861</v>
      </c>
      <c r="E121" s="9" t="str">
        <f aca="false">TEXT(D121,"MMM")</f>
        <v>jan</v>
      </c>
      <c r="F121" s="10" t="n">
        <v>21452.97</v>
      </c>
      <c r="G121" s="8" t="s">
        <v>11</v>
      </c>
      <c r="H121" s="8" t="s">
        <v>17</v>
      </c>
      <c r="I121" s="11" t="s">
        <v>18</v>
      </c>
      <c r="J121" s="8" t="s">
        <v>24</v>
      </c>
    </row>
    <row r="122" customFormat="false" ht="14.25" hidden="false" customHeight="false" outlineLevel="0" collapsed="false">
      <c r="A122" s="8" t="n">
        <v>121</v>
      </c>
      <c r="B122" s="8" t="s">
        <v>20</v>
      </c>
      <c r="C122" s="8" t="s">
        <v>28</v>
      </c>
      <c r="D122" s="9" t="n">
        <v>43861</v>
      </c>
      <c r="E122" s="9" t="str">
        <f aca="false">TEXT(D122,"MMM")</f>
        <v>jan</v>
      </c>
      <c r="F122" s="10" t="n">
        <v>72269.33</v>
      </c>
      <c r="G122" s="8" t="s">
        <v>11</v>
      </c>
      <c r="H122" s="8" t="s">
        <v>12</v>
      </c>
      <c r="I122" s="11" t="s">
        <v>13</v>
      </c>
      <c r="J122" s="8" t="s">
        <v>26</v>
      </c>
    </row>
    <row r="123" customFormat="false" ht="14.25" hidden="false" customHeight="false" outlineLevel="0" collapsed="false">
      <c r="A123" s="8" t="n">
        <v>122</v>
      </c>
      <c r="B123" s="8" t="s">
        <v>61</v>
      </c>
      <c r="C123" s="8" t="s">
        <v>28</v>
      </c>
      <c r="D123" s="9" t="n">
        <v>43861</v>
      </c>
      <c r="E123" s="9" t="str">
        <f aca="false">TEXT(D123,"MMM")</f>
        <v>jan</v>
      </c>
      <c r="F123" s="10" t="n">
        <v>160739.54</v>
      </c>
      <c r="G123" s="8" t="s">
        <v>11</v>
      </c>
      <c r="H123" s="8" t="s">
        <v>12</v>
      </c>
      <c r="I123" s="11" t="s">
        <v>13</v>
      </c>
      <c r="J123" s="8" t="s">
        <v>14</v>
      </c>
    </row>
    <row r="124" customFormat="false" ht="14.25" hidden="false" customHeight="false" outlineLevel="0" collapsed="false">
      <c r="A124" s="8" t="n">
        <v>123</v>
      </c>
      <c r="B124" s="8" t="s">
        <v>62</v>
      </c>
      <c r="C124" s="8" t="s">
        <v>10</v>
      </c>
      <c r="D124" s="9" t="n">
        <v>43861</v>
      </c>
      <c r="E124" s="9" t="str">
        <f aca="false">TEXT(D124,"MMM")</f>
        <v>jan</v>
      </c>
      <c r="F124" s="10" t="n">
        <v>7956.3</v>
      </c>
      <c r="G124" s="8" t="s">
        <v>11</v>
      </c>
      <c r="H124" s="8" t="s">
        <v>12</v>
      </c>
      <c r="I124" s="11" t="s">
        <v>13</v>
      </c>
      <c r="J124" s="8" t="s">
        <v>14</v>
      </c>
    </row>
    <row r="125" customFormat="false" ht="14.25" hidden="false" customHeight="false" outlineLevel="0" collapsed="false">
      <c r="A125" s="8" t="n">
        <v>124</v>
      </c>
      <c r="B125" s="8" t="s">
        <v>33</v>
      </c>
      <c r="C125" s="8" t="s">
        <v>28</v>
      </c>
      <c r="D125" s="9" t="n">
        <v>43861</v>
      </c>
      <c r="E125" s="9" t="str">
        <f aca="false">TEXT(D125,"MMM")</f>
        <v>jan</v>
      </c>
      <c r="F125" s="10" t="n">
        <v>7009.77</v>
      </c>
      <c r="G125" s="8" t="s">
        <v>11</v>
      </c>
      <c r="H125" s="8" t="s">
        <v>12</v>
      </c>
      <c r="I125" s="11" t="s">
        <v>13</v>
      </c>
      <c r="J125" s="8" t="s">
        <v>14</v>
      </c>
    </row>
    <row r="126" customFormat="false" ht="14.25" hidden="false" customHeight="false" outlineLevel="0" collapsed="false">
      <c r="A126" s="8" t="n">
        <v>125</v>
      </c>
      <c r="B126" s="8" t="s">
        <v>63</v>
      </c>
      <c r="C126" s="8" t="s">
        <v>28</v>
      </c>
      <c r="D126" s="9" t="n">
        <v>43861</v>
      </c>
      <c r="E126" s="9" t="str">
        <f aca="false">TEXT(D126,"MMM")</f>
        <v>jan</v>
      </c>
      <c r="F126" s="10" t="n">
        <v>7767.7</v>
      </c>
      <c r="G126" s="8" t="s">
        <v>11</v>
      </c>
      <c r="H126" s="8" t="s">
        <v>30</v>
      </c>
      <c r="I126" s="11" t="s">
        <v>31</v>
      </c>
      <c r="J126" s="8" t="s">
        <v>19</v>
      </c>
    </row>
    <row r="127" customFormat="false" ht="14.25" hidden="false" customHeight="false" outlineLevel="0" collapsed="false">
      <c r="A127" s="8" t="n">
        <v>126</v>
      </c>
      <c r="B127" s="8" t="s">
        <v>61</v>
      </c>
      <c r="C127" s="8" t="s">
        <v>16</v>
      </c>
      <c r="D127" s="9" t="n">
        <v>43861</v>
      </c>
      <c r="E127" s="9" t="str">
        <f aca="false">TEXT(D127,"MMM")</f>
        <v>jan</v>
      </c>
      <c r="F127" s="10" t="n">
        <v>7467.7</v>
      </c>
      <c r="G127" s="8" t="s">
        <v>11</v>
      </c>
      <c r="H127" s="8" t="s">
        <v>22</v>
      </c>
      <c r="I127" s="11" t="s">
        <v>23</v>
      </c>
      <c r="J127" s="8" t="s">
        <v>19</v>
      </c>
    </row>
    <row r="128" customFormat="false" ht="14.25" hidden="false" customHeight="false" outlineLevel="0" collapsed="false">
      <c r="A128" s="8" t="n">
        <v>127</v>
      </c>
      <c r="B128" s="8" t="s">
        <v>62</v>
      </c>
      <c r="C128" s="8" t="s">
        <v>10</v>
      </c>
      <c r="D128" s="9" t="n">
        <v>43861</v>
      </c>
      <c r="E128" s="9" t="str">
        <f aca="false">TEXT(D128,"MMM")</f>
        <v>jan</v>
      </c>
      <c r="F128" s="10" t="n">
        <v>7431.74</v>
      </c>
      <c r="G128" s="8" t="s">
        <v>11</v>
      </c>
      <c r="H128" s="8" t="s">
        <v>12</v>
      </c>
      <c r="I128" s="11" t="s">
        <v>13</v>
      </c>
      <c r="J128" s="8" t="s">
        <v>19</v>
      </c>
    </row>
    <row r="129" customFormat="false" ht="14.25" hidden="false" customHeight="false" outlineLevel="0" collapsed="false">
      <c r="A129" s="8" t="n">
        <v>128</v>
      </c>
      <c r="B129" s="8" t="s">
        <v>33</v>
      </c>
      <c r="C129" s="8" t="s">
        <v>16</v>
      </c>
      <c r="D129" s="9" t="n">
        <v>43861</v>
      </c>
      <c r="E129" s="9" t="str">
        <f aca="false">TEXT(D129,"MMM")</f>
        <v>jan</v>
      </c>
      <c r="F129" s="10" t="n">
        <v>-1186.54</v>
      </c>
      <c r="G129" s="8" t="s">
        <v>34</v>
      </c>
      <c r="H129" s="8" t="s">
        <v>22</v>
      </c>
      <c r="I129" s="11" t="s">
        <v>23</v>
      </c>
      <c r="J129" s="8" t="s">
        <v>26</v>
      </c>
    </row>
    <row r="130" customFormat="false" ht="14.25" hidden="false" customHeight="false" outlineLevel="0" collapsed="false">
      <c r="A130" s="8" t="n">
        <v>129</v>
      </c>
      <c r="B130" s="8" t="s">
        <v>33</v>
      </c>
      <c r="C130" s="8" t="s">
        <v>16</v>
      </c>
      <c r="D130" s="9" t="n">
        <v>43861</v>
      </c>
      <c r="E130" s="9" t="str">
        <f aca="false">TEXT(D130,"MMM")</f>
        <v>jan</v>
      </c>
      <c r="F130" s="10" t="n">
        <v>-2967.65</v>
      </c>
      <c r="G130" s="8" t="s">
        <v>34</v>
      </c>
      <c r="H130" s="8" t="s">
        <v>17</v>
      </c>
      <c r="I130" s="11" t="s">
        <v>18</v>
      </c>
      <c r="J130" s="8" t="s">
        <v>19</v>
      </c>
    </row>
    <row r="131" customFormat="false" ht="14.25" hidden="false" customHeight="false" outlineLevel="0" collapsed="false">
      <c r="A131" s="8" t="n">
        <v>130</v>
      </c>
      <c r="B131" s="8" t="s">
        <v>33</v>
      </c>
      <c r="C131" s="8" t="s">
        <v>16</v>
      </c>
      <c r="D131" s="9" t="n">
        <v>43861</v>
      </c>
      <c r="E131" s="9" t="str">
        <f aca="false">TEXT(D131,"MMM")</f>
        <v>jan</v>
      </c>
      <c r="F131" s="10" t="n">
        <v>-8781.54</v>
      </c>
      <c r="G131" s="8" t="s">
        <v>34</v>
      </c>
      <c r="H131" s="8" t="s">
        <v>22</v>
      </c>
      <c r="I131" s="11" t="s">
        <v>23</v>
      </c>
      <c r="J131" s="8" t="s">
        <v>14</v>
      </c>
    </row>
    <row r="132" customFormat="false" ht="14.25" hidden="false" customHeight="false" outlineLevel="0" collapsed="false">
      <c r="A132" s="8" t="n">
        <v>131</v>
      </c>
      <c r="B132" s="8" t="s">
        <v>63</v>
      </c>
      <c r="C132" s="8" t="s">
        <v>28</v>
      </c>
      <c r="D132" s="9" t="n">
        <v>43861</v>
      </c>
      <c r="E132" s="9" t="str">
        <f aca="false">TEXT(D132,"MMM")</f>
        <v>jan</v>
      </c>
      <c r="F132" s="10" t="n">
        <v>32102.08</v>
      </c>
      <c r="G132" s="8" t="s">
        <v>11</v>
      </c>
      <c r="H132" s="8" t="s">
        <v>12</v>
      </c>
      <c r="I132" s="11" t="s">
        <v>13</v>
      </c>
      <c r="J132" s="8" t="s">
        <v>19</v>
      </c>
    </row>
    <row r="133" customFormat="false" ht="14.25" hidden="false" customHeight="false" outlineLevel="0" collapsed="false">
      <c r="A133" s="8" t="n">
        <v>132</v>
      </c>
      <c r="B133" s="8" t="s">
        <v>9</v>
      </c>
      <c r="C133" s="8" t="s">
        <v>16</v>
      </c>
      <c r="D133" s="9" t="n">
        <v>43862</v>
      </c>
      <c r="E133" s="9" t="str">
        <f aca="false">TEXT(D133,"MMM")</f>
        <v>fev</v>
      </c>
      <c r="F133" s="10" t="n">
        <v>26456.98</v>
      </c>
      <c r="G133" s="8" t="s">
        <v>11</v>
      </c>
      <c r="H133" s="8" t="s">
        <v>12</v>
      </c>
      <c r="I133" s="11" t="s">
        <v>13</v>
      </c>
      <c r="J133" s="8" t="s">
        <v>19</v>
      </c>
    </row>
    <row r="134" customFormat="false" ht="14.25" hidden="false" customHeight="false" outlineLevel="0" collapsed="false">
      <c r="A134" s="8" t="n">
        <v>133</v>
      </c>
      <c r="B134" s="8" t="s">
        <v>15</v>
      </c>
      <c r="C134" s="8" t="s">
        <v>21</v>
      </c>
      <c r="D134" s="9" t="n">
        <v>43862</v>
      </c>
      <c r="E134" s="9" t="str">
        <f aca="false">TEXT(D134,"MMM")</f>
        <v>fev</v>
      </c>
      <c r="F134" s="10" t="n">
        <v>17170</v>
      </c>
      <c r="G134" s="8" t="s">
        <v>11</v>
      </c>
      <c r="H134" s="8" t="s">
        <v>17</v>
      </c>
      <c r="I134" s="11" t="s">
        <v>18</v>
      </c>
      <c r="J134" s="8" t="s">
        <v>26</v>
      </c>
    </row>
    <row r="135" customFormat="false" ht="14.25" hidden="false" customHeight="false" outlineLevel="0" collapsed="false">
      <c r="A135" s="8" t="n">
        <v>134</v>
      </c>
      <c r="B135" s="8" t="s">
        <v>64</v>
      </c>
      <c r="C135" s="8" t="s">
        <v>28</v>
      </c>
      <c r="D135" s="9" t="n">
        <v>43863</v>
      </c>
      <c r="E135" s="9" t="str">
        <f aca="false">TEXT(D135,"MMM")</f>
        <v>fev</v>
      </c>
      <c r="F135" s="10" t="n">
        <v>27529.6</v>
      </c>
      <c r="G135" s="8" t="s">
        <v>11</v>
      </c>
      <c r="H135" s="8" t="s">
        <v>36</v>
      </c>
      <c r="I135" s="11" t="s">
        <v>37</v>
      </c>
      <c r="J135" s="8" t="s">
        <v>14</v>
      </c>
    </row>
    <row r="136" customFormat="false" ht="14.25" hidden="false" customHeight="false" outlineLevel="0" collapsed="false">
      <c r="A136" s="8" t="n">
        <v>135</v>
      </c>
      <c r="B136" s="8" t="s">
        <v>64</v>
      </c>
      <c r="C136" s="8" t="s">
        <v>21</v>
      </c>
      <c r="D136" s="9" t="n">
        <v>43863</v>
      </c>
      <c r="E136" s="9" t="str">
        <f aca="false">TEXT(D136,"MMM")</f>
        <v>fev</v>
      </c>
      <c r="F136" s="10" t="n">
        <v>17170</v>
      </c>
      <c r="G136" s="8" t="s">
        <v>11</v>
      </c>
      <c r="H136" s="8" t="s">
        <v>17</v>
      </c>
      <c r="I136" s="11" t="s">
        <v>18</v>
      </c>
      <c r="J136" s="8" t="s">
        <v>24</v>
      </c>
    </row>
    <row r="137" customFormat="false" ht="14.25" hidden="false" customHeight="false" outlineLevel="0" collapsed="false">
      <c r="A137" s="8" t="n">
        <v>136</v>
      </c>
      <c r="B137" s="8" t="s">
        <v>15</v>
      </c>
      <c r="C137" s="8" t="s">
        <v>10</v>
      </c>
      <c r="D137" s="9" t="n">
        <v>43863</v>
      </c>
      <c r="E137" s="9" t="str">
        <f aca="false">TEXT(D137,"MMM")</f>
        <v>fev</v>
      </c>
      <c r="F137" s="10" t="n">
        <v>26489.33</v>
      </c>
      <c r="G137" s="8" t="s">
        <v>11</v>
      </c>
      <c r="H137" s="8" t="s">
        <v>12</v>
      </c>
      <c r="I137" s="11" t="s">
        <v>13</v>
      </c>
      <c r="J137" s="8" t="s">
        <v>26</v>
      </c>
    </row>
    <row r="138" customFormat="false" ht="14.25" hidden="false" customHeight="false" outlineLevel="0" collapsed="false">
      <c r="A138" s="8" t="n">
        <v>137</v>
      </c>
      <c r="B138" s="8" t="s">
        <v>15</v>
      </c>
      <c r="C138" s="8" t="s">
        <v>10</v>
      </c>
      <c r="D138" s="9" t="n">
        <v>43863</v>
      </c>
      <c r="E138" s="9" t="str">
        <f aca="false">TEXT(D138,"MMM")</f>
        <v>fev</v>
      </c>
      <c r="F138" s="10" t="n">
        <v>17170</v>
      </c>
      <c r="G138" s="8" t="s">
        <v>11</v>
      </c>
      <c r="H138" s="8" t="s">
        <v>12</v>
      </c>
      <c r="I138" s="11" t="s">
        <v>13</v>
      </c>
      <c r="J138" s="8" t="s">
        <v>26</v>
      </c>
    </row>
    <row r="139" customFormat="false" ht="14.25" hidden="false" customHeight="false" outlineLevel="0" collapsed="false">
      <c r="A139" s="8" t="n">
        <v>138</v>
      </c>
      <c r="B139" s="8" t="s">
        <v>65</v>
      </c>
      <c r="C139" s="8" t="s">
        <v>28</v>
      </c>
      <c r="D139" s="9" t="n">
        <v>43864</v>
      </c>
      <c r="E139" s="9" t="str">
        <f aca="false">TEXT(D139,"MMM")</f>
        <v>fev</v>
      </c>
      <c r="F139" s="10" t="n">
        <v>17170</v>
      </c>
      <c r="G139" s="8" t="s">
        <v>11</v>
      </c>
      <c r="H139" s="8" t="s">
        <v>12</v>
      </c>
      <c r="I139" s="11" t="s">
        <v>13</v>
      </c>
      <c r="J139" s="8" t="s">
        <v>19</v>
      </c>
    </row>
    <row r="140" customFormat="false" ht="14.25" hidden="false" customHeight="false" outlineLevel="0" collapsed="false">
      <c r="A140" s="8" t="n">
        <v>139</v>
      </c>
      <c r="B140" s="8" t="s">
        <v>40</v>
      </c>
      <c r="C140" s="8" t="s">
        <v>10</v>
      </c>
      <c r="D140" s="9" t="n">
        <v>43864</v>
      </c>
      <c r="E140" s="9" t="str">
        <f aca="false">TEXT(D140,"MMM")</f>
        <v>fev</v>
      </c>
      <c r="F140" s="10" t="n">
        <v>25124.57</v>
      </c>
      <c r="G140" s="8" t="s">
        <v>11</v>
      </c>
      <c r="H140" s="8" t="s">
        <v>12</v>
      </c>
      <c r="I140" s="11" t="s">
        <v>13</v>
      </c>
      <c r="J140" s="8" t="s">
        <v>24</v>
      </c>
    </row>
    <row r="141" customFormat="false" ht="14.25" hidden="false" customHeight="false" outlineLevel="0" collapsed="false">
      <c r="A141" s="8" t="n">
        <v>140</v>
      </c>
      <c r="B141" s="8" t="s">
        <v>66</v>
      </c>
      <c r="C141" s="8" t="s">
        <v>21</v>
      </c>
      <c r="D141" s="9" t="n">
        <v>43864</v>
      </c>
      <c r="E141" s="9" t="str">
        <f aca="false">TEXT(D141,"MMM")</f>
        <v>fev</v>
      </c>
      <c r="F141" s="10" t="n">
        <v>27543.76</v>
      </c>
      <c r="G141" s="8" t="s">
        <v>11</v>
      </c>
      <c r="H141" s="8" t="s">
        <v>36</v>
      </c>
      <c r="I141" s="11" t="s">
        <v>37</v>
      </c>
      <c r="J141" s="8" t="s">
        <v>14</v>
      </c>
    </row>
    <row r="142" customFormat="false" ht="14.25" hidden="false" customHeight="false" outlineLevel="0" collapsed="false">
      <c r="A142" s="8" t="n">
        <v>141</v>
      </c>
      <c r="B142" s="8" t="s">
        <v>66</v>
      </c>
      <c r="C142" s="8" t="s">
        <v>21</v>
      </c>
      <c r="D142" s="9" t="n">
        <v>43864</v>
      </c>
      <c r="E142" s="9" t="str">
        <f aca="false">TEXT(D142,"MMM")</f>
        <v>fev</v>
      </c>
      <c r="F142" s="10" t="n">
        <v>-2060.77</v>
      </c>
      <c r="G142" s="8" t="s">
        <v>34</v>
      </c>
      <c r="H142" s="8" t="s">
        <v>17</v>
      </c>
      <c r="I142" s="11" t="s">
        <v>18</v>
      </c>
      <c r="J142" s="8" t="s">
        <v>19</v>
      </c>
    </row>
    <row r="143" customFormat="false" ht="14.25" hidden="false" customHeight="false" outlineLevel="0" collapsed="false">
      <c r="A143" s="8" t="n">
        <v>142</v>
      </c>
      <c r="B143" s="8" t="s">
        <v>66</v>
      </c>
      <c r="C143" s="8" t="s">
        <v>28</v>
      </c>
      <c r="D143" s="9" t="n">
        <v>43864</v>
      </c>
      <c r="E143" s="9" t="str">
        <f aca="false">TEXT(D143,"MMM")</f>
        <v>fev</v>
      </c>
      <c r="F143" s="10" t="n">
        <v>-1607.8</v>
      </c>
      <c r="G143" s="8" t="s">
        <v>34</v>
      </c>
      <c r="H143" s="8" t="s">
        <v>12</v>
      </c>
      <c r="I143" s="11" t="s">
        <v>13</v>
      </c>
      <c r="J143" s="8" t="s">
        <v>19</v>
      </c>
    </row>
    <row r="144" customFormat="false" ht="14.25" hidden="false" customHeight="false" outlineLevel="0" collapsed="false">
      <c r="A144" s="8" t="n">
        <v>143</v>
      </c>
      <c r="B144" s="8" t="s">
        <v>66</v>
      </c>
      <c r="C144" s="8" t="s">
        <v>16</v>
      </c>
      <c r="D144" s="9" t="n">
        <v>43864</v>
      </c>
      <c r="E144" s="9" t="str">
        <f aca="false">TEXT(D144,"MMM")</f>
        <v>fev</v>
      </c>
      <c r="F144" s="10" t="n">
        <v>4465.05</v>
      </c>
      <c r="G144" s="8" t="s">
        <v>11</v>
      </c>
      <c r="H144" s="8" t="s">
        <v>12</v>
      </c>
      <c r="I144" s="11" t="s">
        <v>13</v>
      </c>
      <c r="J144" s="8" t="s">
        <v>14</v>
      </c>
    </row>
    <row r="145" customFormat="false" ht="14.25" hidden="false" customHeight="false" outlineLevel="0" collapsed="false">
      <c r="A145" s="8" t="n">
        <v>144</v>
      </c>
      <c r="B145" s="8" t="s">
        <v>66</v>
      </c>
      <c r="C145" s="8" t="s">
        <v>28</v>
      </c>
      <c r="D145" s="9" t="n">
        <v>43864</v>
      </c>
      <c r="E145" s="9" t="str">
        <f aca="false">TEXT(D145,"MMM")</f>
        <v>fev</v>
      </c>
      <c r="F145" s="10" t="n">
        <v>-3318.67</v>
      </c>
      <c r="G145" s="8" t="s">
        <v>34</v>
      </c>
      <c r="H145" s="8" t="s">
        <v>12</v>
      </c>
      <c r="I145" s="11" t="s">
        <v>13</v>
      </c>
      <c r="J145" s="8" t="s">
        <v>26</v>
      </c>
    </row>
    <row r="146" customFormat="false" ht="14.25" hidden="false" customHeight="false" outlineLevel="0" collapsed="false">
      <c r="A146" s="8" t="n">
        <v>145</v>
      </c>
      <c r="B146" s="8" t="s">
        <v>66</v>
      </c>
      <c r="C146" s="8" t="s">
        <v>21</v>
      </c>
      <c r="D146" s="9" t="n">
        <v>43864</v>
      </c>
      <c r="E146" s="9" t="str">
        <f aca="false">TEXT(D146,"MMM")</f>
        <v>fev</v>
      </c>
      <c r="F146" s="10" t="n">
        <v>-287.91</v>
      </c>
      <c r="G146" s="8" t="s">
        <v>34</v>
      </c>
      <c r="H146" s="8" t="s">
        <v>36</v>
      </c>
      <c r="I146" s="11" t="s">
        <v>37</v>
      </c>
      <c r="J146" s="8" t="s">
        <v>26</v>
      </c>
    </row>
    <row r="147" customFormat="false" ht="14.25" hidden="false" customHeight="false" outlineLevel="0" collapsed="false">
      <c r="A147" s="8" t="n">
        <v>146</v>
      </c>
      <c r="B147" s="8" t="s">
        <v>66</v>
      </c>
      <c r="C147" s="8" t="s">
        <v>10</v>
      </c>
      <c r="D147" s="9" t="n">
        <v>43864</v>
      </c>
      <c r="E147" s="9" t="str">
        <f aca="false">TEXT(D147,"MMM")</f>
        <v>fev</v>
      </c>
      <c r="F147" s="10" t="n">
        <v>-96427.91</v>
      </c>
      <c r="G147" s="8" t="s">
        <v>34</v>
      </c>
      <c r="H147" s="8" t="s">
        <v>12</v>
      </c>
      <c r="I147" s="11" t="s">
        <v>13</v>
      </c>
      <c r="J147" s="8" t="s">
        <v>14</v>
      </c>
    </row>
    <row r="148" customFormat="false" ht="14.25" hidden="false" customHeight="false" outlineLevel="0" collapsed="false">
      <c r="A148" s="8" t="n">
        <v>147</v>
      </c>
      <c r="B148" s="8" t="s">
        <v>66</v>
      </c>
      <c r="C148" s="8" t="s">
        <v>28</v>
      </c>
      <c r="D148" s="9" t="n">
        <v>43864</v>
      </c>
      <c r="E148" s="9" t="str">
        <f aca="false">TEXT(D148,"MMM")</f>
        <v>fev</v>
      </c>
      <c r="F148" s="10" t="n">
        <v>1576760.85</v>
      </c>
      <c r="G148" s="8" t="s">
        <v>11</v>
      </c>
      <c r="H148" s="8" t="s">
        <v>17</v>
      </c>
      <c r="I148" s="11" t="s">
        <v>18</v>
      </c>
      <c r="J148" s="8" t="s">
        <v>14</v>
      </c>
    </row>
    <row r="149" customFormat="false" ht="14.25" hidden="false" customHeight="false" outlineLevel="0" collapsed="false">
      <c r="A149" s="8" t="n">
        <v>148</v>
      </c>
      <c r="B149" s="8" t="s">
        <v>66</v>
      </c>
      <c r="C149" s="8" t="s">
        <v>10</v>
      </c>
      <c r="D149" s="9" t="n">
        <v>43864</v>
      </c>
      <c r="E149" s="9" t="str">
        <f aca="false">TEXT(D149,"MMM")</f>
        <v>fev</v>
      </c>
      <c r="F149" s="10" t="n">
        <v>19909.09</v>
      </c>
      <c r="G149" s="8" t="s">
        <v>11</v>
      </c>
      <c r="H149" s="8" t="s">
        <v>17</v>
      </c>
      <c r="I149" s="11" t="s">
        <v>18</v>
      </c>
      <c r="J149" s="8" t="s">
        <v>19</v>
      </c>
    </row>
    <row r="150" customFormat="false" ht="14.25" hidden="false" customHeight="false" outlineLevel="0" collapsed="false">
      <c r="A150" s="8" t="n">
        <v>149</v>
      </c>
      <c r="B150" s="8" t="s">
        <v>67</v>
      </c>
      <c r="C150" s="8" t="s">
        <v>28</v>
      </c>
      <c r="D150" s="9" t="n">
        <v>43867</v>
      </c>
      <c r="E150" s="9" t="str">
        <f aca="false">TEXT(D150,"MMM")</f>
        <v>fev</v>
      </c>
      <c r="F150" s="10" t="n">
        <v>19935.13</v>
      </c>
      <c r="G150" s="8" t="s">
        <v>11</v>
      </c>
      <c r="H150" s="8" t="s">
        <v>12</v>
      </c>
      <c r="I150" s="11" t="s">
        <v>13</v>
      </c>
      <c r="J150" s="8" t="s">
        <v>14</v>
      </c>
    </row>
    <row r="151" customFormat="false" ht="14.25" hidden="false" customHeight="false" outlineLevel="0" collapsed="false">
      <c r="A151" s="8" t="n">
        <v>150</v>
      </c>
      <c r="B151" s="8" t="s">
        <v>68</v>
      </c>
      <c r="C151" s="8" t="s">
        <v>10</v>
      </c>
      <c r="D151" s="9" t="n">
        <v>43867</v>
      </c>
      <c r="E151" s="9" t="str">
        <f aca="false">TEXT(D151,"MMM")</f>
        <v>fev</v>
      </c>
      <c r="F151" s="10" t="n">
        <v>19550</v>
      </c>
      <c r="G151" s="8" t="s">
        <v>11</v>
      </c>
      <c r="H151" s="8" t="s">
        <v>22</v>
      </c>
      <c r="I151" s="11" t="s">
        <v>23</v>
      </c>
      <c r="J151" s="8" t="s">
        <v>14</v>
      </c>
    </row>
    <row r="152" customFormat="false" ht="14.25" hidden="false" customHeight="false" outlineLevel="0" collapsed="false">
      <c r="A152" s="8" t="n">
        <v>151</v>
      </c>
      <c r="B152" s="8" t="s">
        <v>69</v>
      </c>
      <c r="C152" s="8" t="s">
        <v>10</v>
      </c>
      <c r="D152" s="9" t="n">
        <v>43867</v>
      </c>
      <c r="E152" s="9" t="str">
        <f aca="false">TEXT(D152,"MMM")</f>
        <v>fev</v>
      </c>
      <c r="F152" s="10" t="n">
        <v>140608.28</v>
      </c>
      <c r="G152" s="8" t="s">
        <v>11</v>
      </c>
      <c r="H152" s="8" t="s">
        <v>12</v>
      </c>
      <c r="I152" s="11" t="s">
        <v>13</v>
      </c>
      <c r="J152" s="8" t="s">
        <v>14</v>
      </c>
    </row>
    <row r="153" customFormat="false" ht="14.25" hidden="false" customHeight="false" outlineLevel="0" collapsed="false">
      <c r="A153" s="8" t="n">
        <v>152</v>
      </c>
      <c r="B153" s="8" t="s">
        <v>70</v>
      </c>
      <c r="C153" s="8" t="s">
        <v>28</v>
      </c>
      <c r="D153" s="9" t="n">
        <v>43867</v>
      </c>
      <c r="E153" s="9" t="str">
        <f aca="false">TEXT(D153,"MMM")</f>
        <v>fev</v>
      </c>
      <c r="F153" s="10" t="n">
        <v>-38396.61</v>
      </c>
      <c r="G153" s="8" t="s">
        <v>34</v>
      </c>
      <c r="H153" s="8" t="s">
        <v>12</v>
      </c>
      <c r="I153" s="11" t="s">
        <v>13</v>
      </c>
      <c r="J153" s="8" t="s">
        <v>26</v>
      </c>
    </row>
    <row r="154" customFormat="false" ht="14.25" hidden="false" customHeight="false" outlineLevel="0" collapsed="false">
      <c r="A154" s="8" t="n">
        <v>153</v>
      </c>
      <c r="B154" s="8" t="s">
        <v>71</v>
      </c>
      <c r="C154" s="8" t="s">
        <v>10</v>
      </c>
      <c r="D154" s="9" t="n">
        <v>43867</v>
      </c>
      <c r="E154" s="9" t="str">
        <f aca="false">TEXT(D154,"MMM")</f>
        <v>fev</v>
      </c>
      <c r="F154" s="10" t="n">
        <v>-5700.31</v>
      </c>
      <c r="G154" s="8" t="s">
        <v>34</v>
      </c>
      <c r="H154" s="8" t="s">
        <v>17</v>
      </c>
      <c r="I154" s="11" t="s">
        <v>18</v>
      </c>
      <c r="J154" s="8" t="s">
        <v>19</v>
      </c>
    </row>
    <row r="155" customFormat="false" ht="14.25" hidden="false" customHeight="false" outlineLevel="0" collapsed="false">
      <c r="A155" s="8" t="n">
        <v>154</v>
      </c>
      <c r="B155" s="8" t="s">
        <v>15</v>
      </c>
      <c r="C155" s="8" t="s">
        <v>10</v>
      </c>
      <c r="D155" s="9" t="n">
        <v>43867</v>
      </c>
      <c r="E155" s="9" t="str">
        <f aca="false">TEXT(D155,"MMM")</f>
        <v>fev</v>
      </c>
      <c r="F155" s="10" t="n">
        <v>-4607.16</v>
      </c>
      <c r="G155" s="8" t="s">
        <v>34</v>
      </c>
      <c r="H155" s="8" t="s">
        <v>12</v>
      </c>
      <c r="I155" s="11" t="s">
        <v>13</v>
      </c>
      <c r="J155" s="8" t="s">
        <v>14</v>
      </c>
    </row>
    <row r="156" customFormat="false" ht="14.25" hidden="false" customHeight="false" outlineLevel="0" collapsed="false">
      <c r="A156" s="8" t="n">
        <v>155</v>
      </c>
      <c r="B156" s="8" t="s">
        <v>32</v>
      </c>
      <c r="C156" s="8" t="s">
        <v>16</v>
      </c>
      <c r="D156" s="9" t="n">
        <v>43867</v>
      </c>
      <c r="E156" s="9" t="str">
        <f aca="false">TEXT(D156,"MMM")</f>
        <v>fev</v>
      </c>
      <c r="F156" s="10" t="n">
        <v>19985.77</v>
      </c>
      <c r="G156" s="8" t="s">
        <v>11</v>
      </c>
      <c r="H156" s="8" t="s">
        <v>12</v>
      </c>
      <c r="I156" s="11" t="s">
        <v>13</v>
      </c>
      <c r="J156" s="8" t="s">
        <v>26</v>
      </c>
    </row>
    <row r="157" customFormat="false" ht="14.25" hidden="false" customHeight="false" outlineLevel="0" collapsed="false">
      <c r="A157" s="8" t="n">
        <v>156</v>
      </c>
      <c r="B157" s="8" t="s">
        <v>27</v>
      </c>
      <c r="C157" s="8" t="s">
        <v>10</v>
      </c>
      <c r="D157" s="9" t="n">
        <v>43868</v>
      </c>
      <c r="E157" s="9" t="str">
        <f aca="false">TEXT(D157,"MMM")</f>
        <v>fev</v>
      </c>
      <c r="F157" s="10" t="n">
        <v>19778.37</v>
      </c>
      <c r="G157" s="8" t="s">
        <v>11</v>
      </c>
      <c r="H157" s="8" t="s">
        <v>12</v>
      </c>
      <c r="I157" s="11" t="s">
        <v>13</v>
      </c>
      <c r="J157" s="8" t="s">
        <v>14</v>
      </c>
    </row>
    <row r="158" customFormat="false" ht="14.25" hidden="false" customHeight="false" outlineLevel="0" collapsed="false">
      <c r="A158" s="8" t="n">
        <v>157</v>
      </c>
      <c r="B158" s="8" t="s">
        <v>27</v>
      </c>
      <c r="C158" s="8" t="s">
        <v>10</v>
      </c>
      <c r="D158" s="9" t="n">
        <v>43868</v>
      </c>
      <c r="E158" s="9" t="str">
        <f aca="false">TEXT(D158,"MMM")</f>
        <v>fev</v>
      </c>
      <c r="F158" s="10" t="n">
        <v>17733.73</v>
      </c>
      <c r="G158" s="8" t="s">
        <v>11</v>
      </c>
      <c r="H158" s="8" t="s">
        <v>17</v>
      </c>
      <c r="I158" s="11" t="s">
        <v>18</v>
      </c>
      <c r="J158" s="8" t="s">
        <v>26</v>
      </c>
    </row>
    <row r="159" customFormat="false" ht="14.25" hidden="false" customHeight="false" outlineLevel="0" collapsed="false">
      <c r="A159" s="8" t="n">
        <v>158</v>
      </c>
      <c r="B159" s="8" t="s">
        <v>27</v>
      </c>
      <c r="C159" s="8" t="s">
        <v>10</v>
      </c>
      <c r="D159" s="9" t="n">
        <v>43868</v>
      </c>
      <c r="E159" s="9" t="str">
        <f aca="false">TEXT(D159,"MMM")</f>
        <v>fev</v>
      </c>
      <c r="F159" s="10" t="n">
        <v>1730526.51</v>
      </c>
      <c r="G159" s="8" t="s">
        <v>11</v>
      </c>
      <c r="H159" s="8" t="s">
        <v>12</v>
      </c>
      <c r="I159" s="11" t="s">
        <v>13</v>
      </c>
      <c r="J159" s="8" t="s">
        <v>26</v>
      </c>
    </row>
    <row r="160" customFormat="false" ht="14.25" hidden="false" customHeight="false" outlineLevel="0" collapsed="false">
      <c r="A160" s="8" t="n">
        <v>159</v>
      </c>
      <c r="B160" s="8" t="s">
        <v>27</v>
      </c>
      <c r="C160" s="8" t="s">
        <v>16</v>
      </c>
      <c r="D160" s="9" t="n">
        <v>43868</v>
      </c>
      <c r="E160" s="9" t="str">
        <f aca="false">TEXT(D160,"MMM")</f>
        <v>fev</v>
      </c>
      <c r="F160" s="10" t="n">
        <v>4475.04</v>
      </c>
      <c r="G160" s="8" t="s">
        <v>11</v>
      </c>
      <c r="H160" s="8" t="s">
        <v>22</v>
      </c>
      <c r="I160" s="11" t="s">
        <v>23</v>
      </c>
      <c r="J160" s="8" t="s">
        <v>26</v>
      </c>
    </row>
    <row r="161" customFormat="false" ht="14.25" hidden="false" customHeight="false" outlineLevel="0" collapsed="false">
      <c r="A161" s="8" t="n">
        <v>160</v>
      </c>
      <c r="B161" s="8" t="s">
        <v>27</v>
      </c>
      <c r="C161" s="8" t="s">
        <v>16</v>
      </c>
      <c r="D161" s="9" t="n">
        <v>43868</v>
      </c>
      <c r="E161" s="9" t="str">
        <f aca="false">TEXT(D161,"MMM")</f>
        <v>fev</v>
      </c>
      <c r="F161" s="10" t="n">
        <v>122498.41</v>
      </c>
      <c r="G161" s="8" t="s">
        <v>11</v>
      </c>
      <c r="H161" s="8" t="s">
        <v>12</v>
      </c>
      <c r="I161" s="11" t="s">
        <v>13</v>
      </c>
      <c r="J161" s="8" t="s">
        <v>26</v>
      </c>
    </row>
    <row r="162" customFormat="false" ht="14.25" hidden="false" customHeight="false" outlineLevel="0" collapsed="false">
      <c r="A162" s="8" t="n">
        <v>161</v>
      </c>
      <c r="B162" s="8" t="s">
        <v>15</v>
      </c>
      <c r="C162" s="8" t="s">
        <v>10</v>
      </c>
      <c r="D162" s="9" t="n">
        <v>43869</v>
      </c>
      <c r="E162" s="9" t="str">
        <f aca="false">TEXT(D162,"MMM")</f>
        <v>fev</v>
      </c>
      <c r="F162" s="10" t="n">
        <v>13521.8</v>
      </c>
      <c r="G162" s="8" t="s">
        <v>11</v>
      </c>
      <c r="H162" s="8" t="s">
        <v>17</v>
      </c>
      <c r="I162" s="11" t="s">
        <v>18</v>
      </c>
      <c r="J162" s="8" t="s">
        <v>26</v>
      </c>
    </row>
    <row r="163" customFormat="false" ht="14.25" hidden="false" customHeight="false" outlineLevel="0" collapsed="false">
      <c r="A163" s="8" t="n">
        <v>162</v>
      </c>
      <c r="B163" s="8" t="s">
        <v>50</v>
      </c>
      <c r="C163" s="8" t="s">
        <v>28</v>
      </c>
      <c r="D163" s="9" t="n">
        <v>43870</v>
      </c>
      <c r="E163" s="9" t="str">
        <f aca="false">TEXT(D163,"MMM")</f>
        <v>fev</v>
      </c>
      <c r="F163" s="10" t="n">
        <v>-20959.47</v>
      </c>
      <c r="G163" s="8" t="s">
        <v>34</v>
      </c>
      <c r="H163" s="8" t="s">
        <v>22</v>
      </c>
      <c r="I163" s="11" t="s">
        <v>23</v>
      </c>
      <c r="J163" s="8" t="s">
        <v>14</v>
      </c>
    </row>
    <row r="164" customFormat="false" ht="14.25" hidden="false" customHeight="false" outlineLevel="0" collapsed="false">
      <c r="A164" s="8" t="n">
        <v>163</v>
      </c>
      <c r="B164" s="8" t="s">
        <v>9</v>
      </c>
      <c r="C164" s="8" t="s">
        <v>10</v>
      </c>
      <c r="D164" s="9" t="n">
        <v>43870</v>
      </c>
      <c r="E164" s="9" t="str">
        <f aca="false">TEXT(D164,"MMM")</f>
        <v>fev</v>
      </c>
      <c r="F164" s="10" t="n">
        <v>153367.76</v>
      </c>
      <c r="G164" s="8" t="s">
        <v>11</v>
      </c>
      <c r="H164" s="8" t="s">
        <v>22</v>
      </c>
      <c r="I164" s="11" t="s">
        <v>23</v>
      </c>
      <c r="J164" s="8" t="s">
        <v>14</v>
      </c>
    </row>
    <row r="165" customFormat="false" ht="14.25" hidden="false" customHeight="false" outlineLevel="0" collapsed="false">
      <c r="A165" s="8" t="n">
        <v>164</v>
      </c>
      <c r="B165" s="8" t="s">
        <v>44</v>
      </c>
      <c r="C165" s="8" t="s">
        <v>21</v>
      </c>
      <c r="D165" s="9" t="n">
        <v>43870</v>
      </c>
      <c r="E165" s="9" t="str">
        <f aca="false">TEXT(D165,"MMM")</f>
        <v>fev</v>
      </c>
      <c r="F165" s="10" t="n">
        <v>2578.9</v>
      </c>
      <c r="G165" s="8" t="s">
        <v>11</v>
      </c>
      <c r="H165" s="8" t="s">
        <v>36</v>
      </c>
      <c r="I165" s="11" t="s">
        <v>37</v>
      </c>
      <c r="J165" s="8" t="s">
        <v>14</v>
      </c>
    </row>
    <row r="166" customFormat="false" ht="14.25" hidden="false" customHeight="false" outlineLevel="0" collapsed="false">
      <c r="A166" s="8" t="n">
        <v>165</v>
      </c>
      <c r="B166" s="8" t="s">
        <v>72</v>
      </c>
      <c r="C166" s="8" t="s">
        <v>16</v>
      </c>
      <c r="D166" s="9" t="n">
        <v>43870</v>
      </c>
      <c r="E166" s="9" t="str">
        <f aca="false">TEXT(D166,"MMM")</f>
        <v>fev</v>
      </c>
      <c r="F166" s="10" t="n">
        <v>5576</v>
      </c>
      <c r="G166" s="8" t="s">
        <v>11</v>
      </c>
      <c r="H166" s="8" t="s">
        <v>17</v>
      </c>
      <c r="I166" s="11" t="s">
        <v>18</v>
      </c>
      <c r="J166" s="8" t="s">
        <v>26</v>
      </c>
    </row>
    <row r="167" customFormat="false" ht="14.25" hidden="false" customHeight="false" outlineLevel="0" collapsed="false">
      <c r="A167" s="8" t="n">
        <v>166</v>
      </c>
      <c r="B167" s="8" t="s">
        <v>46</v>
      </c>
      <c r="C167" s="8" t="s">
        <v>10</v>
      </c>
      <c r="D167" s="9" t="n">
        <v>43870</v>
      </c>
      <c r="E167" s="9" t="str">
        <f aca="false">TEXT(D167,"MMM")</f>
        <v>fev</v>
      </c>
      <c r="F167" s="10" t="n">
        <v>2439.5</v>
      </c>
      <c r="G167" s="8" t="s">
        <v>11</v>
      </c>
      <c r="H167" s="8" t="s">
        <v>12</v>
      </c>
      <c r="I167" s="11" t="s">
        <v>13</v>
      </c>
      <c r="J167" s="8" t="s">
        <v>26</v>
      </c>
    </row>
    <row r="168" customFormat="false" ht="14.25" hidden="false" customHeight="false" outlineLevel="0" collapsed="false">
      <c r="A168" s="8" t="n">
        <v>167</v>
      </c>
      <c r="B168" s="8" t="s">
        <v>45</v>
      </c>
      <c r="C168" s="8" t="s">
        <v>28</v>
      </c>
      <c r="D168" s="9" t="n">
        <v>43870</v>
      </c>
      <c r="E168" s="9" t="str">
        <f aca="false">TEXT(D168,"MMM")</f>
        <v>fev</v>
      </c>
      <c r="F168" s="10" t="n">
        <v>2605830.56</v>
      </c>
      <c r="G168" s="8" t="s">
        <v>11</v>
      </c>
      <c r="H168" s="8" t="s">
        <v>36</v>
      </c>
      <c r="I168" s="11" t="s">
        <v>37</v>
      </c>
      <c r="J168" s="8" t="s">
        <v>14</v>
      </c>
    </row>
    <row r="169" customFormat="false" ht="14.25" hidden="false" customHeight="false" outlineLevel="0" collapsed="false">
      <c r="A169" s="8" t="n">
        <v>168</v>
      </c>
      <c r="B169" s="8" t="s">
        <v>44</v>
      </c>
      <c r="C169" s="8" t="s">
        <v>21</v>
      </c>
      <c r="D169" s="9" t="n">
        <v>43870</v>
      </c>
      <c r="E169" s="9" t="str">
        <f aca="false">TEXT(D169,"MMM")</f>
        <v>fev</v>
      </c>
      <c r="F169" s="10" t="n">
        <v>5576</v>
      </c>
      <c r="G169" s="8" t="s">
        <v>11</v>
      </c>
      <c r="H169" s="8" t="s">
        <v>22</v>
      </c>
      <c r="I169" s="11" t="s">
        <v>23</v>
      </c>
      <c r="J169" s="8" t="s">
        <v>19</v>
      </c>
    </row>
    <row r="170" customFormat="false" ht="14.25" hidden="false" customHeight="false" outlineLevel="0" collapsed="false">
      <c r="A170" s="8" t="n">
        <v>169</v>
      </c>
      <c r="B170" s="8" t="s">
        <v>46</v>
      </c>
      <c r="C170" s="8" t="s">
        <v>16</v>
      </c>
      <c r="D170" s="9" t="n">
        <v>43870</v>
      </c>
      <c r="E170" s="9" t="str">
        <f aca="false">TEXT(D170,"MMM")</f>
        <v>fev</v>
      </c>
      <c r="F170" s="10" t="n">
        <v>2439.5</v>
      </c>
      <c r="G170" s="8" t="s">
        <v>11</v>
      </c>
      <c r="H170" s="8" t="s">
        <v>22</v>
      </c>
      <c r="I170" s="11" t="s">
        <v>23</v>
      </c>
      <c r="J170" s="8" t="s">
        <v>26</v>
      </c>
    </row>
    <row r="171" customFormat="false" ht="14.25" hidden="false" customHeight="false" outlineLevel="0" collapsed="false">
      <c r="A171" s="8" t="n">
        <v>170</v>
      </c>
      <c r="B171" s="8" t="s">
        <v>72</v>
      </c>
      <c r="C171" s="8" t="s">
        <v>16</v>
      </c>
      <c r="D171" s="9" t="n">
        <v>43870</v>
      </c>
      <c r="E171" s="9" t="str">
        <f aca="false">TEXT(D171,"MMM")</f>
        <v>fev</v>
      </c>
      <c r="F171" s="10" t="n">
        <v>2633.06</v>
      </c>
      <c r="G171" s="8" t="s">
        <v>11</v>
      </c>
      <c r="H171" s="8" t="s">
        <v>17</v>
      </c>
      <c r="I171" s="11" t="s">
        <v>18</v>
      </c>
      <c r="J171" s="8" t="s">
        <v>14</v>
      </c>
    </row>
    <row r="172" customFormat="false" ht="14.25" hidden="false" customHeight="false" outlineLevel="0" collapsed="false">
      <c r="A172" s="8" t="n">
        <v>171</v>
      </c>
      <c r="B172" s="8" t="s">
        <v>45</v>
      </c>
      <c r="C172" s="8" t="s">
        <v>10</v>
      </c>
      <c r="D172" s="9" t="n">
        <v>43870</v>
      </c>
      <c r="E172" s="9" t="str">
        <f aca="false">TEXT(D172,"MMM")</f>
        <v>fev</v>
      </c>
      <c r="F172" s="10" t="n">
        <v>3485</v>
      </c>
      <c r="G172" s="8" t="s">
        <v>11</v>
      </c>
      <c r="H172" s="8" t="s">
        <v>17</v>
      </c>
      <c r="I172" s="11" t="s">
        <v>18</v>
      </c>
      <c r="J172" s="8" t="s">
        <v>24</v>
      </c>
    </row>
    <row r="173" customFormat="false" ht="14.25" hidden="false" customHeight="false" outlineLevel="0" collapsed="false">
      <c r="A173" s="8" t="n">
        <v>172</v>
      </c>
      <c r="B173" s="8" t="s">
        <v>41</v>
      </c>
      <c r="C173" s="8" t="s">
        <v>28</v>
      </c>
      <c r="D173" s="9" t="n">
        <v>43871</v>
      </c>
      <c r="E173" s="9" t="str">
        <f aca="false">TEXT(D173,"MMM")</f>
        <v>fev</v>
      </c>
      <c r="F173" s="10" t="n">
        <v>4182</v>
      </c>
      <c r="G173" s="8" t="s">
        <v>11</v>
      </c>
      <c r="H173" s="8" t="s">
        <v>17</v>
      </c>
      <c r="I173" s="11" t="s">
        <v>18</v>
      </c>
      <c r="J173" s="8" t="s">
        <v>26</v>
      </c>
    </row>
    <row r="174" customFormat="false" ht="14.25" hidden="false" customHeight="false" outlineLevel="0" collapsed="false">
      <c r="A174" s="8" t="n">
        <v>173</v>
      </c>
      <c r="B174" s="8" t="s">
        <v>72</v>
      </c>
      <c r="C174" s="8" t="s">
        <v>16</v>
      </c>
      <c r="D174" s="9" t="n">
        <v>43871</v>
      </c>
      <c r="E174" s="9" t="str">
        <f aca="false">TEXT(D174,"MMM")</f>
        <v>fev</v>
      </c>
      <c r="F174" s="10" t="n">
        <v>5924.5</v>
      </c>
      <c r="G174" s="8" t="s">
        <v>11</v>
      </c>
      <c r="H174" s="8" t="s">
        <v>12</v>
      </c>
      <c r="I174" s="11" t="s">
        <v>13</v>
      </c>
      <c r="J174" s="8" t="s">
        <v>19</v>
      </c>
    </row>
    <row r="175" customFormat="false" ht="14.25" hidden="false" customHeight="false" outlineLevel="0" collapsed="false">
      <c r="A175" s="8" t="n">
        <v>174</v>
      </c>
      <c r="B175" s="8" t="s">
        <v>38</v>
      </c>
      <c r="C175" s="8" t="s">
        <v>10</v>
      </c>
      <c r="D175" s="9" t="n">
        <v>43871</v>
      </c>
      <c r="E175" s="9" t="str">
        <f aca="false">TEXT(D175,"MMM")</f>
        <v>fev</v>
      </c>
      <c r="F175" s="10" t="n">
        <v>4182</v>
      </c>
      <c r="G175" s="8" t="s">
        <v>11</v>
      </c>
      <c r="H175" s="8" t="s">
        <v>17</v>
      </c>
      <c r="I175" s="11" t="s">
        <v>18</v>
      </c>
      <c r="J175" s="8" t="s">
        <v>14</v>
      </c>
    </row>
    <row r="176" customFormat="false" ht="14.25" hidden="false" customHeight="false" outlineLevel="0" collapsed="false">
      <c r="A176" s="8" t="n">
        <v>175</v>
      </c>
      <c r="B176" s="8" t="s">
        <v>38</v>
      </c>
      <c r="C176" s="8" t="s">
        <v>10</v>
      </c>
      <c r="D176" s="9" t="n">
        <v>43871</v>
      </c>
      <c r="E176" s="9" t="str">
        <f aca="false">TEXT(D176,"MMM")</f>
        <v>fev</v>
      </c>
      <c r="F176" s="10" t="n">
        <v>5924.5</v>
      </c>
      <c r="G176" s="8" t="s">
        <v>11</v>
      </c>
      <c r="H176" s="8" t="s">
        <v>12</v>
      </c>
      <c r="I176" s="11" t="s">
        <v>13</v>
      </c>
      <c r="J176" s="8" t="s">
        <v>14</v>
      </c>
    </row>
    <row r="177" customFormat="false" ht="14.25" hidden="false" customHeight="false" outlineLevel="0" collapsed="false">
      <c r="A177" s="8" t="n">
        <v>176</v>
      </c>
      <c r="B177" s="8" t="s">
        <v>72</v>
      </c>
      <c r="C177" s="8" t="s">
        <v>21</v>
      </c>
      <c r="D177" s="9" t="n">
        <v>43871</v>
      </c>
      <c r="E177" s="9" t="str">
        <f aca="false">TEXT(D177,"MMM")</f>
        <v>fev</v>
      </c>
      <c r="F177" s="10" t="n">
        <v>3205.49</v>
      </c>
      <c r="G177" s="8" t="s">
        <v>11</v>
      </c>
      <c r="H177" s="8" t="s">
        <v>12</v>
      </c>
      <c r="I177" s="11" t="s">
        <v>13</v>
      </c>
      <c r="J177" s="8" t="s">
        <v>14</v>
      </c>
    </row>
    <row r="178" customFormat="false" ht="14.25" hidden="false" customHeight="false" outlineLevel="0" collapsed="false">
      <c r="A178" s="8" t="n">
        <v>177</v>
      </c>
      <c r="B178" s="8" t="s">
        <v>15</v>
      </c>
      <c r="C178" s="8" t="s">
        <v>21</v>
      </c>
      <c r="D178" s="9" t="n">
        <v>43874</v>
      </c>
      <c r="E178" s="9" t="str">
        <f aca="false">TEXT(D178,"MMM")</f>
        <v>fev</v>
      </c>
      <c r="F178" s="10" t="n">
        <v>3485</v>
      </c>
      <c r="G178" s="8" t="s">
        <v>11</v>
      </c>
      <c r="H178" s="8" t="s">
        <v>36</v>
      </c>
      <c r="I178" s="11" t="s">
        <v>37</v>
      </c>
      <c r="J178" s="8" t="s">
        <v>19</v>
      </c>
    </row>
    <row r="179" customFormat="false" ht="14.25" hidden="false" customHeight="false" outlineLevel="0" collapsed="false">
      <c r="A179" s="8" t="n">
        <v>178</v>
      </c>
      <c r="B179" s="8" t="s">
        <v>73</v>
      </c>
      <c r="C179" s="8" t="s">
        <v>21</v>
      </c>
      <c r="D179" s="9" t="n">
        <v>43874</v>
      </c>
      <c r="E179" s="9" t="str">
        <f aca="false">TEXT(D179,"MMM")</f>
        <v>fev</v>
      </c>
      <c r="F179" s="10" t="n">
        <v>4182</v>
      </c>
      <c r="G179" s="8" t="s">
        <v>11</v>
      </c>
      <c r="H179" s="8" t="s">
        <v>17</v>
      </c>
      <c r="I179" s="11" t="s">
        <v>18</v>
      </c>
      <c r="J179" s="8" t="s">
        <v>14</v>
      </c>
    </row>
    <row r="180" customFormat="false" ht="14.25" hidden="false" customHeight="false" outlineLevel="0" collapsed="false">
      <c r="A180" s="8" t="n">
        <v>179</v>
      </c>
      <c r="B180" s="8" t="s">
        <v>73</v>
      </c>
      <c r="C180" s="8" t="s">
        <v>16</v>
      </c>
      <c r="D180" s="9" t="n">
        <v>43874</v>
      </c>
      <c r="E180" s="9" t="str">
        <f aca="false">TEXT(D180,"MMM")</f>
        <v>fev</v>
      </c>
      <c r="F180" s="10" t="n">
        <v>4182</v>
      </c>
      <c r="G180" s="8" t="s">
        <v>11</v>
      </c>
      <c r="H180" s="8" t="s">
        <v>17</v>
      </c>
      <c r="I180" s="11" t="s">
        <v>18</v>
      </c>
      <c r="J180" s="8" t="s">
        <v>14</v>
      </c>
    </row>
    <row r="181" customFormat="false" ht="14.25" hidden="false" customHeight="false" outlineLevel="0" collapsed="false">
      <c r="A181" s="8" t="n">
        <v>180</v>
      </c>
      <c r="B181" s="8" t="s">
        <v>73</v>
      </c>
      <c r="C181" s="8" t="s">
        <v>10</v>
      </c>
      <c r="D181" s="9" t="n">
        <v>43874</v>
      </c>
      <c r="E181" s="9" t="str">
        <f aca="false">TEXT(D181,"MMM")</f>
        <v>fev</v>
      </c>
      <c r="F181" s="10" t="n">
        <v>3205.49</v>
      </c>
      <c r="G181" s="8" t="s">
        <v>11</v>
      </c>
      <c r="H181" s="8" t="s">
        <v>17</v>
      </c>
      <c r="I181" s="11" t="s">
        <v>18</v>
      </c>
      <c r="J181" s="8" t="s">
        <v>26</v>
      </c>
    </row>
    <row r="182" customFormat="false" ht="14.25" hidden="false" customHeight="false" outlineLevel="0" collapsed="false">
      <c r="A182" s="8" t="n">
        <v>181</v>
      </c>
      <c r="B182" s="8" t="s">
        <v>15</v>
      </c>
      <c r="C182" s="8" t="s">
        <v>16</v>
      </c>
      <c r="D182" s="9" t="n">
        <v>43875</v>
      </c>
      <c r="E182" s="9" t="str">
        <f aca="false">TEXT(D182,"MMM")</f>
        <v>fev</v>
      </c>
      <c r="F182" s="10" t="n">
        <v>-68445.65</v>
      </c>
      <c r="G182" s="8" t="s">
        <v>34</v>
      </c>
      <c r="H182" s="8" t="s">
        <v>12</v>
      </c>
      <c r="I182" s="11" t="s">
        <v>13</v>
      </c>
      <c r="J182" s="8" t="s">
        <v>14</v>
      </c>
    </row>
    <row r="183" customFormat="false" ht="14.25" hidden="false" customHeight="false" outlineLevel="0" collapsed="false">
      <c r="A183" s="8" t="n">
        <v>182</v>
      </c>
      <c r="B183" s="8" t="s">
        <v>74</v>
      </c>
      <c r="C183" s="8" t="s">
        <v>16</v>
      </c>
      <c r="D183" s="9" t="n">
        <v>43876</v>
      </c>
      <c r="E183" s="9" t="str">
        <f aca="false">TEXT(D183,"MMM")</f>
        <v>fev</v>
      </c>
      <c r="F183" s="10" t="n">
        <v>159952.32</v>
      </c>
      <c r="G183" s="8" t="s">
        <v>11</v>
      </c>
      <c r="H183" s="8" t="s">
        <v>17</v>
      </c>
      <c r="I183" s="11" t="s">
        <v>18</v>
      </c>
      <c r="J183" s="8" t="s">
        <v>26</v>
      </c>
    </row>
    <row r="184" customFormat="false" ht="14.25" hidden="false" customHeight="false" outlineLevel="0" collapsed="false">
      <c r="A184" s="8" t="n">
        <v>183</v>
      </c>
      <c r="B184" s="8" t="s">
        <v>15</v>
      </c>
      <c r="C184" s="8" t="s">
        <v>10</v>
      </c>
      <c r="D184" s="9" t="n">
        <v>43876</v>
      </c>
      <c r="E184" s="9" t="str">
        <f aca="false">TEXT(D184,"MMM")</f>
        <v>fev</v>
      </c>
      <c r="F184" s="10" t="n">
        <v>40415.69</v>
      </c>
      <c r="G184" s="8" t="s">
        <v>11</v>
      </c>
      <c r="H184" s="8" t="s">
        <v>12</v>
      </c>
      <c r="I184" s="11" t="s">
        <v>13</v>
      </c>
      <c r="J184" s="8" t="s">
        <v>14</v>
      </c>
    </row>
    <row r="185" customFormat="false" ht="14.25" hidden="false" customHeight="false" outlineLevel="0" collapsed="false">
      <c r="A185" s="8" t="n">
        <v>184</v>
      </c>
      <c r="B185" s="8" t="s">
        <v>15</v>
      </c>
      <c r="C185" s="8" t="s">
        <v>28</v>
      </c>
      <c r="D185" s="9" t="n">
        <v>43876</v>
      </c>
      <c r="E185" s="9" t="str">
        <f aca="false">TEXT(D185,"MMM")</f>
        <v>fev</v>
      </c>
      <c r="F185" s="10" t="n">
        <v>155690</v>
      </c>
      <c r="G185" s="8" t="s">
        <v>11</v>
      </c>
      <c r="H185" s="8" t="s">
        <v>12</v>
      </c>
      <c r="I185" s="11" t="s">
        <v>13</v>
      </c>
      <c r="J185" s="8" t="s">
        <v>19</v>
      </c>
    </row>
    <row r="186" customFormat="false" ht="14.25" hidden="false" customHeight="false" outlineLevel="0" collapsed="false">
      <c r="A186" s="8" t="n">
        <v>185</v>
      </c>
      <c r="B186" s="8" t="s">
        <v>51</v>
      </c>
      <c r="C186" s="8" t="s">
        <v>28</v>
      </c>
      <c r="D186" s="9" t="n">
        <v>43876</v>
      </c>
      <c r="E186" s="9" t="str">
        <f aca="false">TEXT(D186,"MMM")</f>
        <v>fev</v>
      </c>
      <c r="F186" s="10" t="n">
        <v>-13543.88</v>
      </c>
      <c r="G186" s="8" t="s">
        <v>34</v>
      </c>
      <c r="H186" s="8" t="s">
        <v>17</v>
      </c>
      <c r="I186" s="11" t="s">
        <v>18</v>
      </c>
      <c r="J186" s="8" t="s">
        <v>19</v>
      </c>
    </row>
    <row r="187" customFormat="false" ht="14.25" hidden="false" customHeight="false" outlineLevel="0" collapsed="false">
      <c r="A187" s="8" t="n">
        <v>186</v>
      </c>
      <c r="B187" s="8" t="s">
        <v>59</v>
      </c>
      <c r="C187" s="8" t="s">
        <v>16</v>
      </c>
      <c r="D187" s="9" t="n">
        <v>43877</v>
      </c>
      <c r="E187" s="9" t="str">
        <f aca="false">TEXT(D187,"MMM")</f>
        <v>fev</v>
      </c>
      <c r="F187" s="10" t="n">
        <v>-11510.38</v>
      </c>
      <c r="G187" s="8" t="s">
        <v>34</v>
      </c>
      <c r="H187" s="8" t="s">
        <v>12</v>
      </c>
      <c r="I187" s="11" t="s">
        <v>13</v>
      </c>
      <c r="J187" s="8" t="s">
        <v>14</v>
      </c>
    </row>
    <row r="188" customFormat="false" ht="14.25" hidden="false" customHeight="false" outlineLevel="0" collapsed="false">
      <c r="A188" s="8" t="n">
        <v>187</v>
      </c>
      <c r="B188" s="8" t="s">
        <v>75</v>
      </c>
      <c r="C188" s="8" t="s">
        <v>28</v>
      </c>
      <c r="D188" s="9" t="n">
        <v>43877</v>
      </c>
      <c r="E188" s="9" t="str">
        <f aca="false">TEXT(D188,"MMM")</f>
        <v>fev</v>
      </c>
      <c r="F188" s="10" t="n">
        <v>136379.44</v>
      </c>
      <c r="G188" s="8" t="s">
        <v>11</v>
      </c>
      <c r="H188" s="8" t="s">
        <v>36</v>
      </c>
      <c r="I188" s="11" t="s">
        <v>37</v>
      </c>
      <c r="J188" s="8" t="s">
        <v>26</v>
      </c>
    </row>
    <row r="189" customFormat="false" ht="14.25" hidden="false" customHeight="false" outlineLevel="0" collapsed="false">
      <c r="A189" s="8" t="n">
        <v>188</v>
      </c>
      <c r="B189" s="8" t="s">
        <v>75</v>
      </c>
      <c r="C189" s="8" t="s">
        <v>10</v>
      </c>
      <c r="D189" s="9" t="n">
        <v>43877</v>
      </c>
      <c r="E189" s="9" t="str">
        <f aca="false">TEXT(D189,"MMM")</f>
        <v>fev</v>
      </c>
      <c r="F189" s="10" t="n">
        <v>151660.17</v>
      </c>
      <c r="G189" s="8" t="s">
        <v>11</v>
      </c>
      <c r="H189" s="8" t="s">
        <v>36</v>
      </c>
      <c r="I189" s="11" t="s">
        <v>37</v>
      </c>
      <c r="J189" s="8" t="s">
        <v>26</v>
      </c>
    </row>
    <row r="190" customFormat="false" ht="14.25" hidden="false" customHeight="false" outlineLevel="0" collapsed="false">
      <c r="A190" s="8" t="n">
        <v>189</v>
      </c>
      <c r="B190" s="8" t="s">
        <v>59</v>
      </c>
      <c r="C190" s="8" t="s">
        <v>21</v>
      </c>
      <c r="D190" s="9" t="n">
        <v>43877</v>
      </c>
      <c r="E190" s="9" t="str">
        <f aca="false">TEXT(D190,"MMM")</f>
        <v>fev</v>
      </c>
      <c r="F190" s="10" t="n">
        <v>13882.39</v>
      </c>
      <c r="G190" s="8" t="s">
        <v>11</v>
      </c>
      <c r="H190" s="8" t="s">
        <v>12</v>
      </c>
      <c r="I190" s="11" t="s">
        <v>13</v>
      </c>
      <c r="J190" s="8" t="s">
        <v>14</v>
      </c>
    </row>
    <row r="191" customFormat="false" ht="14.25" hidden="false" customHeight="false" outlineLevel="0" collapsed="false">
      <c r="A191" s="8" t="n">
        <v>190</v>
      </c>
      <c r="B191" s="8" t="s">
        <v>75</v>
      </c>
      <c r="C191" s="8" t="s">
        <v>10</v>
      </c>
      <c r="D191" s="9" t="n">
        <v>43877</v>
      </c>
      <c r="E191" s="9" t="str">
        <f aca="false">TEXT(D191,"MMM")</f>
        <v>fev</v>
      </c>
      <c r="F191" s="10" t="n">
        <v>11822.36</v>
      </c>
      <c r="G191" s="8" t="s">
        <v>11</v>
      </c>
      <c r="H191" s="8" t="s">
        <v>36</v>
      </c>
      <c r="I191" s="11" t="s">
        <v>37</v>
      </c>
      <c r="J191" s="8" t="s">
        <v>14</v>
      </c>
    </row>
    <row r="192" customFormat="false" ht="14.25" hidden="false" customHeight="false" outlineLevel="0" collapsed="false">
      <c r="A192" s="8" t="n">
        <v>191</v>
      </c>
      <c r="B192" s="8" t="s">
        <v>59</v>
      </c>
      <c r="C192" s="8" t="s">
        <v>10</v>
      </c>
      <c r="D192" s="9" t="n">
        <v>43877</v>
      </c>
      <c r="E192" s="9" t="str">
        <f aca="false">TEXT(D192,"MMM")</f>
        <v>fev</v>
      </c>
      <c r="F192" s="10" t="n">
        <v>13900.55</v>
      </c>
      <c r="G192" s="8" t="s">
        <v>11</v>
      </c>
      <c r="H192" s="8" t="s">
        <v>12</v>
      </c>
      <c r="I192" s="11" t="s">
        <v>13</v>
      </c>
      <c r="J192" s="8" t="s">
        <v>14</v>
      </c>
    </row>
    <row r="193" customFormat="false" ht="14.25" hidden="false" customHeight="false" outlineLevel="0" collapsed="false">
      <c r="A193" s="8" t="n">
        <v>192</v>
      </c>
      <c r="B193" s="8" t="s">
        <v>59</v>
      </c>
      <c r="C193" s="8" t="s">
        <v>21</v>
      </c>
      <c r="D193" s="9" t="n">
        <v>43877</v>
      </c>
      <c r="E193" s="9" t="str">
        <f aca="false">TEXT(D193,"MMM")</f>
        <v>fev</v>
      </c>
      <c r="F193" s="10" t="n">
        <v>11822.36</v>
      </c>
      <c r="G193" s="8" t="s">
        <v>11</v>
      </c>
      <c r="H193" s="8" t="s">
        <v>12</v>
      </c>
      <c r="I193" s="11" t="s">
        <v>13</v>
      </c>
      <c r="J193" s="8" t="s">
        <v>26</v>
      </c>
    </row>
    <row r="194" customFormat="false" ht="14.25" hidden="false" customHeight="false" outlineLevel="0" collapsed="false">
      <c r="A194" s="8" t="n">
        <v>193</v>
      </c>
      <c r="B194" s="8" t="s">
        <v>59</v>
      </c>
      <c r="C194" s="8" t="s">
        <v>28</v>
      </c>
      <c r="D194" s="9" t="n">
        <v>43877</v>
      </c>
      <c r="E194" s="9" t="str">
        <f aca="false">TEXT(D194,"MMM")</f>
        <v>fev</v>
      </c>
      <c r="F194" s="10" t="n">
        <v>11822.36</v>
      </c>
      <c r="G194" s="8" t="s">
        <v>11</v>
      </c>
      <c r="H194" s="8" t="s">
        <v>17</v>
      </c>
      <c r="I194" s="11" t="s">
        <v>18</v>
      </c>
      <c r="J194" s="8" t="s">
        <v>19</v>
      </c>
    </row>
    <row r="195" customFormat="false" ht="14.25" hidden="false" customHeight="false" outlineLevel="0" collapsed="false">
      <c r="A195" s="8" t="n">
        <v>194</v>
      </c>
      <c r="B195" s="8" t="s">
        <v>15</v>
      </c>
      <c r="C195" s="8" t="s">
        <v>10</v>
      </c>
      <c r="D195" s="9" t="n">
        <v>43878</v>
      </c>
      <c r="E195" s="9" t="str">
        <f aca="false">TEXT(D195,"MMM")</f>
        <v>fev</v>
      </c>
      <c r="F195" s="10" t="n">
        <v>15195.91</v>
      </c>
      <c r="G195" s="8" t="s">
        <v>11</v>
      </c>
      <c r="H195" s="8" t="s">
        <v>12</v>
      </c>
      <c r="I195" s="11" t="s">
        <v>13</v>
      </c>
      <c r="J195" s="8" t="s">
        <v>26</v>
      </c>
    </row>
    <row r="196" customFormat="false" ht="14.25" hidden="false" customHeight="false" outlineLevel="0" collapsed="false">
      <c r="A196" s="8" t="n">
        <v>195</v>
      </c>
      <c r="B196" s="8" t="s">
        <v>39</v>
      </c>
      <c r="C196" s="8" t="s">
        <v>16</v>
      </c>
      <c r="D196" s="9" t="n">
        <v>43878</v>
      </c>
      <c r="E196" s="9" t="str">
        <f aca="false">TEXT(D196,"MMM")</f>
        <v>fev</v>
      </c>
      <c r="F196" s="10" t="n">
        <v>14324.56</v>
      </c>
      <c r="G196" s="8" t="s">
        <v>11</v>
      </c>
      <c r="H196" s="8" t="s">
        <v>17</v>
      </c>
      <c r="I196" s="11" t="s">
        <v>18</v>
      </c>
      <c r="J196" s="8" t="s">
        <v>26</v>
      </c>
    </row>
    <row r="197" customFormat="false" ht="14.25" hidden="false" customHeight="false" outlineLevel="0" collapsed="false">
      <c r="A197" s="8" t="n">
        <v>196</v>
      </c>
      <c r="B197" s="8" t="s">
        <v>38</v>
      </c>
      <c r="C197" s="8" t="s">
        <v>28</v>
      </c>
      <c r="D197" s="9" t="n">
        <v>43878</v>
      </c>
      <c r="E197" s="9" t="str">
        <f aca="false">TEXT(D197,"MMM")</f>
        <v>fev</v>
      </c>
      <c r="F197" s="10" t="n">
        <v>11822.36</v>
      </c>
      <c r="G197" s="8" t="s">
        <v>11</v>
      </c>
      <c r="H197" s="8" t="s">
        <v>36</v>
      </c>
      <c r="I197" s="11" t="s">
        <v>37</v>
      </c>
      <c r="J197" s="8" t="s">
        <v>19</v>
      </c>
    </row>
    <row r="198" customFormat="false" ht="14.25" hidden="false" customHeight="false" outlineLevel="0" collapsed="false">
      <c r="A198" s="8" t="n">
        <v>197</v>
      </c>
      <c r="B198" s="8" t="s">
        <v>39</v>
      </c>
      <c r="C198" s="8" t="s">
        <v>10</v>
      </c>
      <c r="D198" s="9" t="n">
        <v>43878</v>
      </c>
      <c r="E198" s="9" t="str">
        <f aca="false">TEXT(D198,"MMM")</f>
        <v>fev</v>
      </c>
      <c r="F198" s="10" t="n">
        <v>11822.36</v>
      </c>
      <c r="G198" s="8" t="s">
        <v>11</v>
      </c>
      <c r="H198" s="8" t="s">
        <v>22</v>
      </c>
      <c r="I198" s="11" t="s">
        <v>23</v>
      </c>
      <c r="J198" s="8" t="s">
        <v>14</v>
      </c>
    </row>
    <row r="199" customFormat="false" ht="14.25" hidden="false" customHeight="false" outlineLevel="0" collapsed="false">
      <c r="A199" s="8" t="n">
        <v>198</v>
      </c>
      <c r="B199" s="8" t="s">
        <v>49</v>
      </c>
      <c r="C199" s="8" t="s">
        <v>28</v>
      </c>
      <c r="D199" s="9" t="n">
        <v>43878</v>
      </c>
      <c r="E199" s="9" t="str">
        <f aca="false">TEXT(D199,"MMM")</f>
        <v>fev</v>
      </c>
      <c r="F199" s="10" t="n">
        <v>14315.69</v>
      </c>
      <c r="G199" s="8" t="s">
        <v>11</v>
      </c>
      <c r="H199" s="8" t="s">
        <v>30</v>
      </c>
      <c r="I199" s="11" t="s">
        <v>31</v>
      </c>
      <c r="J199" s="8" t="s">
        <v>24</v>
      </c>
    </row>
    <row r="200" customFormat="false" ht="14.25" hidden="false" customHeight="false" outlineLevel="0" collapsed="false">
      <c r="A200" s="8" t="n">
        <v>199</v>
      </c>
      <c r="B200" s="8" t="s">
        <v>76</v>
      </c>
      <c r="C200" s="8" t="s">
        <v>10</v>
      </c>
      <c r="D200" s="9" t="n">
        <v>43881</v>
      </c>
      <c r="E200" s="9" t="str">
        <f aca="false">TEXT(D200,"MMM")</f>
        <v>fev</v>
      </c>
      <c r="F200" s="10" t="n">
        <v>11822.4</v>
      </c>
      <c r="G200" s="8" t="s">
        <v>11</v>
      </c>
      <c r="H200" s="8" t="s">
        <v>17</v>
      </c>
      <c r="I200" s="11" t="s">
        <v>18</v>
      </c>
      <c r="J200" s="8" t="s">
        <v>14</v>
      </c>
    </row>
    <row r="201" customFormat="false" ht="14.25" hidden="false" customHeight="false" outlineLevel="0" collapsed="false">
      <c r="A201" s="8" t="n">
        <v>200</v>
      </c>
      <c r="B201" s="8" t="s">
        <v>76</v>
      </c>
      <c r="C201" s="8" t="s">
        <v>21</v>
      </c>
      <c r="D201" s="9" t="n">
        <v>43881</v>
      </c>
      <c r="E201" s="9" t="str">
        <f aca="false">TEXT(D201,"MMM")</f>
        <v>fev</v>
      </c>
      <c r="F201" s="10" t="n">
        <v>-14236.5</v>
      </c>
      <c r="G201" s="8" t="s">
        <v>34</v>
      </c>
      <c r="H201" s="8" t="s">
        <v>17</v>
      </c>
      <c r="I201" s="11" t="s">
        <v>18</v>
      </c>
      <c r="J201" s="8" t="s">
        <v>14</v>
      </c>
    </row>
    <row r="202" customFormat="false" ht="14.25" hidden="false" customHeight="false" outlineLevel="0" collapsed="false">
      <c r="A202" s="8" t="n">
        <v>201</v>
      </c>
      <c r="B202" s="8" t="s">
        <v>77</v>
      </c>
      <c r="C202" s="8" t="s">
        <v>10</v>
      </c>
      <c r="D202" s="9" t="n">
        <v>43881</v>
      </c>
      <c r="E202" s="9" t="str">
        <f aca="false">TEXT(D202,"MMM")</f>
        <v>fev</v>
      </c>
      <c r="F202" s="10" t="n">
        <v>-13794.48</v>
      </c>
      <c r="G202" s="8" t="s">
        <v>34</v>
      </c>
      <c r="H202" s="8" t="s">
        <v>17</v>
      </c>
      <c r="I202" s="11" t="s">
        <v>18</v>
      </c>
      <c r="J202" s="8" t="s">
        <v>14</v>
      </c>
    </row>
    <row r="203" customFormat="false" ht="14.25" hidden="false" customHeight="false" outlineLevel="0" collapsed="false">
      <c r="A203" s="8" t="n">
        <v>202</v>
      </c>
      <c r="B203" s="8" t="s">
        <v>47</v>
      </c>
      <c r="C203" s="8" t="s">
        <v>28</v>
      </c>
      <c r="D203" s="9" t="n">
        <v>43881</v>
      </c>
      <c r="E203" s="9" t="str">
        <f aca="false">TEXT(D203,"MMM")</f>
        <v>fev</v>
      </c>
      <c r="F203" s="10" t="n">
        <v>147584.21</v>
      </c>
      <c r="G203" s="8" t="s">
        <v>11</v>
      </c>
      <c r="H203" s="8" t="s">
        <v>22</v>
      </c>
      <c r="I203" s="11" t="s">
        <v>23</v>
      </c>
      <c r="J203" s="8" t="s">
        <v>14</v>
      </c>
    </row>
    <row r="204" customFormat="false" ht="14.25" hidden="false" customHeight="false" outlineLevel="0" collapsed="false">
      <c r="A204" s="8" t="n">
        <v>203</v>
      </c>
      <c r="B204" s="8" t="s">
        <v>78</v>
      </c>
      <c r="C204" s="8" t="s">
        <v>21</v>
      </c>
      <c r="D204" s="9" t="n">
        <v>43883</v>
      </c>
      <c r="E204" s="9" t="str">
        <f aca="false">TEXT(D204,"MMM")</f>
        <v>fev</v>
      </c>
      <c r="F204" s="10" t="n">
        <v>172797.91</v>
      </c>
      <c r="G204" s="8" t="s">
        <v>11</v>
      </c>
      <c r="H204" s="8" t="s">
        <v>12</v>
      </c>
      <c r="I204" s="11" t="s">
        <v>13</v>
      </c>
      <c r="J204" s="8" t="s">
        <v>14</v>
      </c>
    </row>
    <row r="205" customFormat="false" ht="14.25" hidden="false" customHeight="false" outlineLevel="0" collapsed="false">
      <c r="A205" s="8" t="n">
        <v>204</v>
      </c>
      <c r="B205" s="8" t="s">
        <v>15</v>
      </c>
      <c r="C205" s="8" t="s">
        <v>21</v>
      </c>
      <c r="D205" s="9" t="n">
        <v>43883</v>
      </c>
      <c r="E205" s="9" t="str">
        <f aca="false">TEXT(D205,"MMM")</f>
        <v>fev</v>
      </c>
      <c r="F205" s="10" t="n">
        <v>-13182.4</v>
      </c>
      <c r="G205" s="8" t="s">
        <v>34</v>
      </c>
      <c r="H205" s="8" t="s">
        <v>17</v>
      </c>
      <c r="I205" s="11" t="s">
        <v>18</v>
      </c>
      <c r="J205" s="8" t="s">
        <v>26</v>
      </c>
    </row>
    <row r="206" customFormat="false" ht="14.25" hidden="false" customHeight="false" outlineLevel="0" collapsed="false">
      <c r="A206" s="8" t="n">
        <v>205</v>
      </c>
      <c r="B206" s="8" t="s">
        <v>43</v>
      </c>
      <c r="C206" s="8" t="s">
        <v>28</v>
      </c>
      <c r="D206" s="9" t="n">
        <v>43883</v>
      </c>
      <c r="E206" s="9" t="str">
        <f aca="false">TEXT(D206,"MMM")</f>
        <v>fev</v>
      </c>
      <c r="F206" s="10" t="n">
        <v>38593.9</v>
      </c>
      <c r="G206" s="8" t="s">
        <v>11</v>
      </c>
      <c r="H206" s="8" t="s">
        <v>22</v>
      </c>
      <c r="I206" s="11" t="s">
        <v>23</v>
      </c>
      <c r="J206" s="8" t="s">
        <v>14</v>
      </c>
    </row>
    <row r="207" customFormat="false" ht="14.25" hidden="false" customHeight="false" outlineLevel="0" collapsed="false">
      <c r="A207" s="8" t="n">
        <v>206</v>
      </c>
      <c r="B207" s="8" t="s">
        <v>44</v>
      </c>
      <c r="C207" s="8" t="s">
        <v>21</v>
      </c>
      <c r="D207" s="9" t="n">
        <v>43883</v>
      </c>
      <c r="E207" s="9" t="str">
        <f aca="false">TEXT(D207,"MMM")</f>
        <v>fev</v>
      </c>
      <c r="F207" s="10" t="n">
        <v>76997.82</v>
      </c>
      <c r="G207" s="8" t="s">
        <v>11</v>
      </c>
      <c r="H207" s="8" t="s">
        <v>22</v>
      </c>
      <c r="I207" s="11" t="s">
        <v>23</v>
      </c>
      <c r="J207" s="8" t="s">
        <v>14</v>
      </c>
    </row>
    <row r="208" customFormat="false" ht="14.25" hidden="false" customHeight="false" outlineLevel="0" collapsed="false">
      <c r="A208" s="8" t="n">
        <v>207</v>
      </c>
      <c r="B208" s="8" t="s">
        <v>44</v>
      </c>
      <c r="C208" s="8" t="s">
        <v>10</v>
      </c>
      <c r="D208" s="9" t="n">
        <v>43883</v>
      </c>
      <c r="E208" s="9" t="str">
        <f aca="false">TEXT(D208,"MMM")</f>
        <v>fev</v>
      </c>
      <c r="F208" s="10" t="n">
        <v>-3823.82</v>
      </c>
      <c r="G208" s="8" t="s">
        <v>34</v>
      </c>
      <c r="H208" s="8" t="s">
        <v>12</v>
      </c>
      <c r="I208" s="11" t="s">
        <v>13</v>
      </c>
      <c r="J208" s="8" t="s">
        <v>26</v>
      </c>
    </row>
    <row r="209" customFormat="false" ht="14.25" hidden="false" customHeight="false" outlineLevel="0" collapsed="false">
      <c r="A209" s="8" t="n">
        <v>208</v>
      </c>
      <c r="B209" s="8" t="s">
        <v>79</v>
      </c>
      <c r="C209" s="8" t="s">
        <v>10</v>
      </c>
      <c r="D209" s="9" t="n">
        <v>43883</v>
      </c>
      <c r="E209" s="9" t="str">
        <f aca="false">TEXT(D209,"MMM")</f>
        <v>fev</v>
      </c>
      <c r="F209" s="10" t="n">
        <v>22169.61</v>
      </c>
      <c r="G209" s="8" t="s">
        <v>11</v>
      </c>
      <c r="H209" s="8" t="s">
        <v>36</v>
      </c>
      <c r="I209" s="11" t="s">
        <v>37</v>
      </c>
      <c r="J209" s="8" t="s">
        <v>19</v>
      </c>
    </row>
    <row r="210" customFormat="false" ht="14.25" hidden="false" customHeight="false" outlineLevel="0" collapsed="false">
      <c r="A210" s="8" t="n">
        <v>209</v>
      </c>
      <c r="B210" s="8" t="s">
        <v>45</v>
      </c>
      <c r="C210" s="8" t="s">
        <v>10</v>
      </c>
      <c r="D210" s="9" t="n">
        <v>43883</v>
      </c>
      <c r="E210" s="9" t="str">
        <f aca="false">TEXT(D210,"MMM")</f>
        <v>fev</v>
      </c>
      <c r="F210" s="10" t="n">
        <v>20848.56</v>
      </c>
      <c r="G210" s="8" t="s">
        <v>11</v>
      </c>
      <c r="H210" s="8" t="s">
        <v>17</v>
      </c>
      <c r="I210" s="11" t="s">
        <v>18</v>
      </c>
      <c r="J210" s="8" t="s">
        <v>14</v>
      </c>
    </row>
    <row r="211" customFormat="false" ht="14.25" hidden="false" customHeight="false" outlineLevel="0" collapsed="false">
      <c r="A211" s="8" t="n">
        <v>210</v>
      </c>
      <c r="B211" s="8" t="s">
        <v>38</v>
      </c>
      <c r="C211" s="8" t="s">
        <v>28</v>
      </c>
      <c r="D211" s="9" t="n">
        <v>43883</v>
      </c>
      <c r="E211" s="9" t="str">
        <f aca="false">TEXT(D211,"MMM")</f>
        <v>fev</v>
      </c>
      <c r="F211" s="10" t="n">
        <v>5484.04</v>
      </c>
      <c r="G211" s="8" t="s">
        <v>11</v>
      </c>
      <c r="H211" s="8" t="s">
        <v>12</v>
      </c>
      <c r="I211" s="11" t="s">
        <v>13</v>
      </c>
      <c r="J211" s="8" t="s">
        <v>24</v>
      </c>
    </row>
    <row r="212" customFormat="false" ht="14.25" hidden="false" customHeight="false" outlineLevel="0" collapsed="false">
      <c r="A212" s="8" t="n">
        <v>211</v>
      </c>
      <c r="B212" s="8" t="s">
        <v>72</v>
      </c>
      <c r="C212" s="8" t="s">
        <v>21</v>
      </c>
      <c r="D212" s="9" t="n">
        <v>43883</v>
      </c>
      <c r="E212" s="9" t="str">
        <f aca="false">TEXT(D212,"MMM")</f>
        <v>fev</v>
      </c>
      <c r="F212" s="10" t="n">
        <v>18778.9</v>
      </c>
      <c r="G212" s="8" t="s">
        <v>11</v>
      </c>
      <c r="H212" s="8" t="s">
        <v>36</v>
      </c>
      <c r="I212" s="11" t="s">
        <v>37</v>
      </c>
      <c r="J212" s="8" t="s">
        <v>26</v>
      </c>
    </row>
    <row r="213" customFormat="false" ht="14.25" hidden="false" customHeight="false" outlineLevel="0" collapsed="false">
      <c r="A213" s="8" t="n">
        <v>212</v>
      </c>
      <c r="B213" s="8" t="s">
        <v>43</v>
      </c>
      <c r="C213" s="8" t="s">
        <v>16</v>
      </c>
      <c r="D213" s="9" t="n">
        <v>43883</v>
      </c>
      <c r="E213" s="9" t="str">
        <f aca="false">TEXT(D213,"MMM")</f>
        <v>fev</v>
      </c>
      <c r="F213" s="10" t="n">
        <v>4998</v>
      </c>
      <c r="G213" s="8" t="s">
        <v>11</v>
      </c>
      <c r="H213" s="8" t="s">
        <v>12</v>
      </c>
      <c r="I213" s="11" t="s">
        <v>13</v>
      </c>
      <c r="J213" s="8" t="s">
        <v>19</v>
      </c>
    </row>
    <row r="214" customFormat="false" ht="14.25" hidden="false" customHeight="false" outlineLevel="0" collapsed="false">
      <c r="A214" s="8" t="n">
        <v>213</v>
      </c>
      <c r="B214" s="8" t="s">
        <v>72</v>
      </c>
      <c r="C214" s="8" t="s">
        <v>28</v>
      </c>
      <c r="D214" s="9" t="n">
        <v>43883</v>
      </c>
      <c r="E214" s="9" t="str">
        <f aca="false">TEXT(D214,"MMM")</f>
        <v>fev</v>
      </c>
      <c r="F214" s="10" t="n">
        <v>20237.57</v>
      </c>
      <c r="G214" s="8" t="s">
        <v>11</v>
      </c>
      <c r="H214" s="8" t="s">
        <v>12</v>
      </c>
      <c r="I214" s="11" t="s">
        <v>13</v>
      </c>
      <c r="J214" s="8" t="s">
        <v>14</v>
      </c>
    </row>
    <row r="215" customFormat="false" ht="14.25" hidden="false" customHeight="false" outlineLevel="0" collapsed="false">
      <c r="A215" s="8" t="n">
        <v>214</v>
      </c>
      <c r="B215" s="8" t="s">
        <v>79</v>
      </c>
      <c r="C215" s="8" t="s">
        <v>16</v>
      </c>
      <c r="D215" s="9" t="n">
        <v>43883</v>
      </c>
      <c r="E215" s="9" t="str">
        <f aca="false">TEXT(D215,"MMM")</f>
        <v>fev</v>
      </c>
      <c r="F215" s="10" t="n">
        <v>6067.69</v>
      </c>
      <c r="G215" s="8" t="s">
        <v>11</v>
      </c>
      <c r="H215" s="8" t="s">
        <v>36</v>
      </c>
      <c r="I215" s="11" t="s">
        <v>37</v>
      </c>
      <c r="J215" s="8" t="s">
        <v>26</v>
      </c>
    </row>
    <row r="216" customFormat="false" ht="14.25" hidden="false" customHeight="false" outlineLevel="0" collapsed="false">
      <c r="A216" s="8" t="n">
        <v>215</v>
      </c>
      <c r="B216" s="8" t="s">
        <v>45</v>
      </c>
      <c r="C216" s="8" t="s">
        <v>28</v>
      </c>
      <c r="D216" s="9" t="n">
        <v>43883</v>
      </c>
      <c r="E216" s="9" t="str">
        <f aca="false">TEXT(D216,"MMM")</f>
        <v>fev</v>
      </c>
      <c r="F216" s="10" t="n">
        <v>18979.42</v>
      </c>
      <c r="G216" s="8" t="s">
        <v>11</v>
      </c>
      <c r="H216" s="8" t="s">
        <v>17</v>
      </c>
      <c r="I216" s="11" t="s">
        <v>18</v>
      </c>
      <c r="J216" s="8" t="s">
        <v>14</v>
      </c>
    </row>
    <row r="217" customFormat="false" ht="14.25" hidden="false" customHeight="false" outlineLevel="0" collapsed="false">
      <c r="A217" s="8" t="n">
        <v>216</v>
      </c>
      <c r="B217" s="8" t="s">
        <v>38</v>
      </c>
      <c r="C217" s="8" t="s">
        <v>21</v>
      </c>
      <c r="D217" s="9" t="n">
        <v>43883</v>
      </c>
      <c r="E217" s="9" t="str">
        <f aca="false">TEXT(D217,"MMM")</f>
        <v>fev</v>
      </c>
      <c r="F217" s="10" t="n">
        <v>4998</v>
      </c>
      <c r="G217" s="8" t="s">
        <v>11</v>
      </c>
      <c r="H217" s="8" t="s">
        <v>12</v>
      </c>
      <c r="I217" s="11" t="s">
        <v>13</v>
      </c>
      <c r="J217" s="8" t="s">
        <v>26</v>
      </c>
    </row>
    <row r="218" customFormat="false" ht="14.25" hidden="false" customHeight="false" outlineLevel="0" collapsed="false">
      <c r="A218" s="8" t="n">
        <v>217</v>
      </c>
      <c r="B218" s="8" t="s">
        <v>33</v>
      </c>
      <c r="C218" s="8" t="s">
        <v>10</v>
      </c>
      <c r="D218" s="9" t="n">
        <v>43884</v>
      </c>
      <c r="E218" s="9" t="str">
        <f aca="false">TEXT(D218,"MMM")</f>
        <v>fev</v>
      </c>
      <c r="F218" s="10" t="n">
        <v>11158.8</v>
      </c>
      <c r="G218" s="8" t="s">
        <v>11</v>
      </c>
      <c r="H218" s="8" t="s">
        <v>17</v>
      </c>
      <c r="I218" s="11" t="s">
        <v>18</v>
      </c>
      <c r="J218" s="8" t="s">
        <v>19</v>
      </c>
    </row>
    <row r="219" customFormat="false" ht="14.25" hidden="false" customHeight="false" outlineLevel="0" collapsed="false">
      <c r="A219" s="8" t="n">
        <v>218</v>
      </c>
      <c r="B219" s="8" t="s">
        <v>33</v>
      </c>
      <c r="C219" s="8" t="s">
        <v>21</v>
      </c>
      <c r="D219" s="9" t="n">
        <v>43884</v>
      </c>
      <c r="E219" s="9" t="str">
        <f aca="false">TEXT(D219,"MMM")</f>
        <v>fev</v>
      </c>
      <c r="F219" s="10" t="n">
        <v>5378.09</v>
      </c>
      <c r="G219" s="8" t="s">
        <v>11</v>
      </c>
      <c r="H219" s="8" t="s">
        <v>22</v>
      </c>
      <c r="I219" s="11" t="s">
        <v>23</v>
      </c>
      <c r="J219" s="8" t="s">
        <v>26</v>
      </c>
    </row>
    <row r="220" customFormat="false" ht="14.25" hidden="false" customHeight="false" outlineLevel="0" collapsed="false">
      <c r="A220" s="8" t="n">
        <v>219</v>
      </c>
      <c r="B220" s="8" t="s">
        <v>80</v>
      </c>
      <c r="C220" s="8" t="s">
        <v>10</v>
      </c>
      <c r="D220" s="9" t="n">
        <v>43885</v>
      </c>
      <c r="E220" s="9" t="str">
        <f aca="false">TEXT(D220,"MMM")</f>
        <v>fev</v>
      </c>
      <c r="F220" s="10" t="n">
        <v>17146.6</v>
      </c>
      <c r="G220" s="8" t="s">
        <v>11</v>
      </c>
      <c r="H220" s="8" t="s">
        <v>17</v>
      </c>
      <c r="I220" s="11" t="s">
        <v>18</v>
      </c>
      <c r="J220" s="8" t="s">
        <v>26</v>
      </c>
    </row>
    <row r="221" customFormat="false" ht="14.25" hidden="false" customHeight="false" outlineLevel="0" collapsed="false">
      <c r="A221" s="8" t="n">
        <v>220</v>
      </c>
      <c r="B221" s="8" t="s">
        <v>15</v>
      </c>
      <c r="C221" s="8" t="s">
        <v>21</v>
      </c>
      <c r="D221" s="9" t="n">
        <v>43885</v>
      </c>
      <c r="E221" s="9" t="str">
        <f aca="false">TEXT(D221,"MMM")</f>
        <v>fev</v>
      </c>
      <c r="F221" s="10" t="n">
        <v>4998</v>
      </c>
      <c r="G221" s="8" t="s">
        <v>11</v>
      </c>
      <c r="H221" s="8" t="s">
        <v>17</v>
      </c>
      <c r="I221" s="11" t="s">
        <v>18</v>
      </c>
      <c r="J221" s="8" t="s">
        <v>19</v>
      </c>
    </row>
    <row r="222" customFormat="false" ht="14.25" hidden="false" customHeight="false" outlineLevel="0" collapsed="false">
      <c r="A222" s="8" t="n">
        <v>221</v>
      </c>
      <c r="B222" s="8" t="s">
        <v>15</v>
      </c>
      <c r="C222" s="8" t="s">
        <v>10</v>
      </c>
      <c r="D222" s="9" t="n">
        <v>43885</v>
      </c>
      <c r="E222" s="9" t="str">
        <f aca="false">TEXT(D222,"MMM")</f>
        <v>fev</v>
      </c>
      <c r="F222" s="10" t="n">
        <v>4998</v>
      </c>
      <c r="G222" s="8" t="s">
        <v>11</v>
      </c>
      <c r="H222" s="8" t="s">
        <v>12</v>
      </c>
      <c r="I222" s="11" t="s">
        <v>13</v>
      </c>
      <c r="J222" s="8" t="s">
        <v>24</v>
      </c>
    </row>
    <row r="223" customFormat="false" ht="14.25" hidden="false" customHeight="false" outlineLevel="0" collapsed="false">
      <c r="A223" s="8" t="n">
        <v>222</v>
      </c>
      <c r="B223" s="8" t="s">
        <v>15</v>
      </c>
      <c r="C223" s="8" t="s">
        <v>16</v>
      </c>
      <c r="D223" s="9" t="n">
        <v>43885</v>
      </c>
      <c r="E223" s="9" t="str">
        <f aca="false">TEXT(D223,"MMM")</f>
        <v>fev</v>
      </c>
      <c r="F223" s="10" t="n">
        <v>4998</v>
      </c>
      <c r="G223" s="8" t="s">
        <v>11</v>
      </c>
      <c r="H223" s="8" t="s">
        <v>12</v>
      </c>
      <c r="I223" s="11" t="s">
        <v>13</v>
      </c>
      <c r="J223" s="8" t="s">
        <v>14</v>
      </c>
    </row>
    <row r="224" customFormat="false" ht="14.25" hidden="false" customHeight="false" outlineLevel="0" collapsed="false">
      <c r="A224" s="8" t="n">
        <v>223</v>
      </c>
      <c r="B224" s="8" t="s">
        <v>32</v>
      </c>
      <c r="C224" s="8" t="s">
        <v>21</v>
      </c>
      <c r="D224" s="9" t="n">
        <v>43886</v>
      </c>
      <c r="E224" s="9" t="str">
        <f aca="false">TEXT(D224,"MMM")</f>
        <v>fev</v>
      </c>
      <c r="F224" s="10" t="n">
        <v>9946.9</v>
      </c>
      <c r="G224" s="8" t="s">
        <v>11</v>
      </c>
      <c r="H224" s="8" t="s">
        <v>30</v>
      </c>
      <c r="I224" s="11" t="s">
        <v>31</v>
      </c>
      <c r="J224" s="8" t="s">
        <v>26</v>
      </c>
    </row>
    <row r="225" customFormat="false" ht="14.25" hidden="false" customHeight="false" outlineLevel="0" collapsed="false">
      <c r="A225" s="8" t="n">
        <v>224</v>
      </c>
      <c r="B225" s="8" t="s">
        <v>81</v>
      </c>
      <c r="C225" s="8" t="s">
        <v>21</v>
      </c>
      <c r="D225" s="9" t="n">
        <v>43889</v>
      </c>
      <c r="E225" s="9" t="str">
        <f aca="false">TEXT(D225,"MMM")</f>
        <v>fev</v>
      </c>
      <c r="F225" s="10" t="n">
        <v>-814.1</v>
      </c>
      <c r="G225" s="8" t="s">
        <v>34</v>
      </c>
      <c r="H225" s="8" t="s">
        <v>17</v>
      </c>
      <c r="I225" s="11" t="s">
        <v>18</v>
      </c>
      <c r="J225" s="8" t="s">
        <v>26</v>
      </c>
    </row>
    <row r="226" customFormat="false" ht="14.25" hidden="false" customHeight="false" outlineLevel="0" collapsed="false">
      <c r="A226" s="8" t="n">
        <v>225</v>
      </c>
      <c r="B226" s="8" t="s">
        <v>81</v>
      </c>
      <c r="C226" s="8" t="s">
        <v>10</v>
      </c>
      <c r="D226" s="9" t="n">
        <v>43889</v>
      </c>
      <c r="E226" s="9" t="str">
        <f aca="false">TEXT(D226,"MMM")</f>
        <v>fev</v>
      </c>
      <c r="F226" s="10" t="n">
        <v>-2234.86</v>
      </c>
      <c r="G226" s="8" t="s">
        <v>34</v>
      </c>
      <c r="H226" s="8" t="s">
        <v>17</v>
      </c>
      <c r="I226" s="11" t="s">
        <v>18</v>
      </c>
      <c r="J226" s="8" t="s">
        <v>14</v>
      </c>
    </row>
    <row r="227" customFormat="false" ht="14.25" hidden="false" customHeight="false" outlineLevel="0" collapsed="false">
      <c r="A227" s="8" t="n">
        <v>226</v>
      </c>
      <c r="B227" s="8" t="s">
        <v>73</v>
      </c>
      <c r="C227" s="8" t="s">
        <v>28</v>
      </c>
      <c r="D227" s="9" t="n">
        <v>43889</v>
      </c>
      <c r="E227" s="9" t="str">
        <f aca="false">TEXT(D227,"MMM")</f>
        <v>fev</v>
      </c>
      <c r="F227" s="10" t="n">
        <v>-1707.3</v>
      </c>
      <c r="G227" s="8" t="s">
        <v>34</v>
      </c>
      <c r="H227" s="8" t="s">
        <v>17</v>
      </c>
      <c r="I227" s="11" t="s">
        <v>18</v>
      </c>
      <c r="J227" s="8" t="s">
        <v>14</v>
      </c>
    </row>
    <row r="228" customFormat="false" ht="14.25" hidden="false" customHeight="false" outlineLevel="0" collapsed="false">
      <c r="A228" s="8" t="n">
        <v>227</v>
      </c>
      <c r="B228" s="8" t="s">
        <v>52</v>
      </c>
      <c r="C228" s="8" t="s">
        <v>16</v>
      </c>
      <c r="D228" s="9" t="n">
        <v>43889</v>
      </c>
      <c r="E228" s="9" t="str">
        <f aca="false">TEXT(D228,"MMM")</f>
        <v>fev</v>
      </c>
      <c r="F228" s="10" t="n">
        <v>156513.42</v>
      </c>
      <c r="G228" s="8" t="s">
        <v>11</v>
      </c>
      <c r="H228" s="8" t="s">
        <v>36</v>
      </c>
      <c r="I228" s="11" t="s">
        <v>37</v>
      </c>
      <c r="J228" s="8" t="s">
        <v>19</v>
      </c>
    </row>
    <row r="229" customFormat="false" ht="14.25" hidden="false" customHeight="false" outlineLevel="0" collapsed="false">
      <c r="A229" s="8" t="n">
        <v>228</v>
      </c>
      <c r="B229" s="8" t="s">
        <v>81</v>
      </c>
      <c r="C229" s="8" t="s">
        <v>21</v>
      </c>
      <c r="D229" s="9" t="n">
        <v>43889</v>
      </c>
      <c r="E229" s="9" t="str">
        <f aca="false">TEXT(D229,"MMM")</f>
        <v>fev</v>
      </c>
      <c r="F229" s="10" t="n">
        <v>22212.69</v>
      </c>
      <c r="G229" s="8" t="s">
        <v>11</v>
      </c>
      <c r="H229" s="8" t="s">
        <v>12</v>
      </c>
      <c r="I229" s="11" t="s">
        <v>13</v>
      </c>
      <c r="J229" s="8" t="s">
        <v>14</v>
      </c>
    </row>
    <row r="230" customFormat="false" ht="14.25" hidden="false" customHeight="false" outlineLevel="0" collapsed="false">
      <c r="A230" s="8" t="n">
        <v>229</v>
      </c>
      <c r="B230" s="8" t="s">
        <v>73</v>
      </c>
      <c r="C230" s="8" t="s">
        <v>21</v>
      </c>
      <c r="D230" s="9" t="n">
        <v>43889</v>
      </c>
      <c r="E230" s="9" t="str">
        <f aca="false">TEXT(D230,"MMM")</f>
        <v>fev</v>
      </c>
      <c r="F230" s="10" t="n">
        <v>22212.69</v>
      </c>
      <c r="G230" s="8" t="s">
        <v>11</v>
      </c>
      <c r="H230" s="8" t="s">
        <v>12</v>
      </c>
      <c r="I230" s="11" t="s">
        <v>13</v>
      </c>
      <c r="J230" s="8" t="s">
        <v>14</v>
      </c>
    </row>
    <row r="231" customFormat="false" ht="14.25" hidden="false" customHeight="false" outlineLevel="0" collapsed="false">
      <c r="A231" s="8" t="n">
        <v>230</v>
      </c>
      <c r="B231" s="8" t="s">
        <v>49</v>
      </c>
      <c r="C231" s="8" t="s">
        <v>21</v>
      </c>
      <c r="D231" s="9" t="n">
        <v>43889</v>
      </c>
      <c r="E231" s="9" t="str">
        <f aca="false">TEXT(D231,"MMM")</f>
        <v>fev</v>
      </c>
      <c r="F231" s="10" t="n">
        <v>22212.71</v>
      </c>
      <c r="G231" s="8" t="s">
        <v>11</v>
      </c>
      <c r="H231" s="8" t="s">
        <v>12</v>
      </c>
      <c r="I231" s="11" t="s">
        <v>13</v>
      </c>
      <c r="J231" s="8" t="s">
        <v>24</v>
      </c>
    </row>
    <row r="232" customFormat="false" ht="14.25" hidden="false" customHeight="false" outlineLevel="0" collapsed="false">
      <c r="A232" s="8" t="n">
        <v>231</v>
      </c>
      <c r="B232" s="8" t="s">
        <v>52</v>
      </c>
      <c r="C232" s="8" t="s">
        <v>21</v>
      </c>
      <c r="D232" s="9" t="n">
        <v>43889</v>
      </c>
      <c r="E232" s="9" t="str">
        <f aca="false">TEXT(D232,"MMM")</f>
        <v>fev</v>
      </c>
      <c r="F232" s="10" t="n">
        <v>824.32</v>
      </c>
      <c r="G232" s="8" t="s">
        <v>11</v>
      </c>
      <c r="H232" s="8" t="s">
        <v>17</v>
      </c>
      <c r="I232" s="11" t="s">
        <v>18</v>
      </c>
      <c r="J232" s="8" t="s">
        <v>14</v>
      </c>
    </row>
    <row r="233" customFormat="false" ht="14.25" hidden="false" customHeight="false" outlineLevel="0" collapsed="false">
      <c r="A233" s="8" t="n">
        <v>232</v>
      </c>
      <c r="B233" s="8" t="s">
        <v>81</v>
      </c>
      <c r="C233" s="8" t="s">
        <v>16</v>
      </c>
      <c r="D233" s="9" t="n">
        <v>43889</v>
      </c>
      <c r="E233" s="9" t="str">
        <f aca="false">TEXT(D233,"MMM")</f>
        <v>fev</v>
      </c>
      <c r="F233" s="10" t="n">
        <v>36573.5</v>
      </c>
      <c r="G233" s="8" t="s">
        <v>11</v>
      </c>
      <c r="H233" s="8" t="s">
        <v>22</v>
      </c>
      <c r="I233" s="11" t="s">
        <v>23</v>
      </c>
      <c r="J233" s="8" t="s">
        <v>26</v>
      </c>
    </row>
    <row r="234" customFormat="false" ht="14.25" hidden="false" customHeight="false" outlineLevel="0" collapsed="false">
      <c r="A234" s="8" t="n">
        <v>233</v>
      </c>
      <c r="B234" s="8" t="s">
        <v>73</v>
      </c>
      <c r="C234" s="8" t="s">
        <v>21</v>
      </c>
      <c r="D234" s="9" t="n">
        <v>43889</v>
      </c>
      <c r="E234" s="9" t="str">
        <f aca="false">TEXT(D234,"MMM")</f>
        <v>fev</v>
      </c>
      <c r="F234" s="10" t="n">
        <v>-10352.55</v>
      </c>
      <c r="G234" s="8" t="s">
        <v>34</v>
      </c>
      <c r="H234" s="8" t="s">
        <v>12</v>
      </c>
      <c r="I234" s="11" t="s">
        <v>13</v>
      </c>
      <c r="J234" s="8" t="s">
        <v>14</v>
      </c>
    </row>
    <row r="235" customFormat="false" ht="14.25" hidden="false" customHeight="false" outlineLevel="0" collapsed="false">
      <c r="A235" s="8" t="n">
        <v>234</v>
      </c>
      <c r="B235" s="8" t="s">
        <v>52</v>
      </c>
      <c r="C235" s="8" t="s">
        <v>10</v>
      </c>
      <c r="D235" s="9" t="n">
        <v>43889</v>
      </c>
      <c r="E235" s="9" t="str">
        <f aca="false">TEXT(D235,"MMM")</f>
        <v>fev</v>
      </c>
      <c r="F235" s="10" t="n">
        <v>22439.71</v>
      </c>
      <c r="G235" s="8" t="s">
        <v>11</v>
      </c>
      <c r="H235" s="8" t="s">
        <v>22</v>
      </c>
      <c r="I235" s="11" t="s">
        <v>23</v>
      </c>
      <c r="J235" s="8" t="s">
        <v>14</v>
      </c>
    </row>
    <row r="236" customFormat="false" ht="14.25" hidden="false" customHeight="false" outlineLevel="0" collapsed="false">
      <c r="A236" s="8" t="n">
        <v>235</v>
      </c>
      <c r="B236" s="8" t="s">
        <v>40</v>
      </c>
      <c r="C236" s="8" t="s">
        <v>16</v>
      </c>
      <c r="D236" s="9" t="n">
        <v>43891</v>
      </c>
      <c r="E236" s="9" t="str">
        <f aca="false">TEXT(D236,"MMM")</f>
        <v>mar</v>
      </c>
      <c r="F236" s="10" t="n">
        <v>29222.45</v>
      </c>
      <c r="G236" s="8" t="s">
        <v>11</v>
      </c>
      <c r="H236" s="8" t="s">
        <v>12</v>
      </c>
      <c r="I236" s="11" t="s">
        <v>13</v>
      </c>
      <c r="J236" s="8" t="s">
        <v>19</v>
      </c>
    </row>
    <row r="237" customFormat="false" ht="14.25" hidden="false" customHeight="false" outlineLevel="0" collapsed="false">
      <c r="A237" s="8" t="n">
        <v>236</v>
      </c>
      <c r="B237" s="8" t="s">
        <v>82</v>
      </c>
      <c r="C237" s="8" t="s">
        <v>21</v>
      </c>
      <c r="D237" s="9" t="n">
        <v>43892</v>
      </c>
      <c r="E237" s="9" t="str">
        <f aca="false">TEXT(D237,"MMM")</f>
        <v>mar</v>
      </c>
      <c r="F237" s="10" t="n">
        <v>4000511.36</v>
      </c>
      <c r="G237" s="8" t="s">
        <v>11</v>
      </c>
      <c r="H237" s="8" t="s">
        <v>30</v>
      </c>
      <c r="I237" s="11" t="s">
        <v>31</v>
      </c>
      <c r="J237" s="8" t="s">
        <v>14</v>
      </c>
    </row>
    <row r="238" customFormat="false" ht="14.25" hidden="false" customHeight="false" outlineLevel="0" collapsed="false">
      <c r="A238" s="8" t="n">
        <v>237</v>
      </c>
      <c r="B238" s="8" t="s">
        <v>83</v>
      </c>
      <c r="C238" s="8" t="s">
        <v>10</v>
      </c>
      <c r="D238" s="9" t="n">
        <v>43892</v>
      </c>
      <c r="E238" s="9" t="str">
        <f aca="false">TEXT(D238,"MMM")</f>
        <v>mar</v>
      </c>
      <c r="F238" s="10" t="n">
        <v>11342.96</v>
      </c>
      <c r="G238" s="8" t="s">
        <v>11</v>
      </c>
      <c r="H238" s="8" t="s">
        <v>17</v>
      </c>
      <c r="I238" s="11" t="s">
        <v>18</v>
      </c>
      <c r="J238" s="8" t="s">
        <v>24</v>
      </c>
    </row>
    <row r="239" customFormat="false" ht="14.25" hidden="false" customHeight="false" outlineLevel="0" collapsed="false">
      <c r="A239" s="8" t="n">
        <v>238</v>
      </c>
      <c r="B239" s="8" t="s">
        <v>84</v>
      </c>
      <c r="C239" s="8" t="s">
        <v>21</v>
      </c>
      <c r="D239" s="9" t="n">
        <v>43893</v>
      </c>
      <c r="E239" s="9" t="str">
        <f aca="false">TEXT(D239,"MMM")</f>
        <v>mar</v>
      </c>
      <c r="F239" s="10" t="n">
        <v>2426840.67</v>
      </c>
      <c r="G239" s="8" t="s">
        <v>11</v>
      </c>
      <c r="H239" s="8" t="s">
        <v>12</v>
      </c>
      <c r="I239" s="11" t="s">
        <v>13</v>
      </c>
      <c r="J239" s="8" t="s">
        <v>14</v>
      </c>
    </row>
    <row r="240" customFormat="false" ht="14.25" hidden="false" customHeight="false" outlineLevel="0" collapsed="false">
      <c r="A240" s="8" t="n">
        <v>239</v>
      </c>
      <c r="B240" s="8" t="s">
        <v>84</v>
      </c>
      <c r="C240" s="8" t="s">
        <v>16</v>
      </c>
      <c r="D240" s="9" t="n">
        <v>43893</v>
      </c>
      <c r="E240" s="9" t="str">
        <f aca="false">TEXT(D240,"MMM")</f>
        <v>mar</v>
      </c>
      <c r="F240" s="10" t="n">
        <v>-458.08</v>
      </c>
      <c r="G240" s="8" t="s">
        <v>34</v>
      </c>
      <c r="H240" s="8" t="s">
        <v>12</v>
      </c>
      <c r="I240" s="11" t="s">
        <v>13</v>
      </c>
      <c r="J240" s="8" t="s">
        <v>26</v>
      </c>
    </row>
    <row r="241" customFormat="false" ht="14.25" hidden="false" customHeight="false" outlineLevel="0" collapsed="false">
      <c r="A241" s="8" t="n">
        <v>240</v>
      </c>
      <c r="B241" s="8" t="s">
        <v>84</v>
      </c>
      <c r="C241" s="8" t="s">
        <v>28</v>
      </c>
      <c r="D241" s="9" t="n">
        <v>43893</v>
      </c>
      <c r="E241" s="9" t="str">
        <f aca="false">TEXT(D241,"MMM")</f>
        <v>mar</v>
      </c>
      <c r="F241" s="10" t="n">
        <v>-1146.08</v>
      </c>
      <c r="G241" s="8" t="s">
        <v>34</v>
      </c>
      <c r="H241" s="8" t="s">
        <v>12</v>
      </c>
      <c r="I241" s="11" t="s">
        <v>13</v>
      </c>
      <c r="J241" s="8" t="s">
        <v>26</v>
      </c>
    </row>
    <row r="242" customFormat="false" ht="14.25" hidden="false" customHeight="false" outlineLevel="0" collapsed="false">
      <c r="A242" s="8" t="n">
        <v>241</v>
      </c>
      <c r="B242" s="8" t="s">
        <v>84</v>
      </c>
      <c r="C242" s="8" t="s">
        <v>10</v>
      </c>
      <c r="D242" s="9" t="n">
        <v>43893</v>
      </c>
      <c r="E242" s="9" t="str">
        <f aca="false">TEXT(D242,"MMM")</f>
        <v>mar</v>
      </c>
      <c r="F242" s="10" t="n">
        <v>7068.27</v>
      </c>
      <c r="G242" s="8" t="s">
        <v>11</v>
      </c>
      <c r="H242" s="8" t="s">
        <v>22</v>
      </c>
      <c r="I242" s="11" t="s">
        <v>23</v>
      </c>
      <c r="J242" s="8" t="s">
        <v>14</v>
      </c>
    </row>
    <row r="243" customFormat="false" ht="14.25" hidden="false" customHeight="false" outlineLevel="0" collapsed="false">
      <c r="A243" s="8" t="n">
        <v>242</v>
      </c>
      <c r="B243" s="8" t="s">
        <v>84</v>
      </c>
      <c r="C243" s="8" t="s">
        <v>21</v>
      </c>
      <c r="D243" s="9" t="n">
        <v>43893</v>
      </c>
      <c r="E243" s="9" t="str">
        <f aca="false">TEXT(D243,"MMM")</f>
        <v>mar</v>
      </c>
      <c r="F243" s="10" t="n">
        <v>9073.24</v>
      </c>
      <c r="G243" s="8" t="s">
        <v>11</v>
      </c>
      <c r="H243" s="8" t="s">
        <v>17</v>
      </c>
      <c r="I243" s="11" t="s">
        <v>18</v>
      </c>
      <c r="J243" s="8" t="s">
        <v>14</v>
      </c>
    </row>
    <row r="244" customFormat="false" ht="14.25" hidden="false" customHeight="false" outlineLevel="0" collapsed="false">
      <c r="A244" s="8" t="n">
        <v>243</v>
      </c>
      <c r="B244" s="8" t="s">
        <v>15</v>
      </c>
      <c r="C244" s="8" t="s">
        <v>10</v>
      </c>
      <c r="D244" s="9" t="n">
        <v>43893</v>
      </c>
      <c r="E244" s="9" t="str">
        <f aca="false">TEXT(D244,"MMM")</f>
        <v>mar</v>
      </c>
      <c r="F244" s="10" t="n">
        <v>7513.07</v>
      </c>
      <c r="G244" s="8" t="s">
        <v>11</v>
      </c>
      <c r="H244" s="8" t="s">
        <v>17</v>
      </c>
      <c r="I244" s="11" t="s">
        <v>18</v>
      </c>
      <c r="J244" s="8" t="s">
        <v>14</v>
      </c>
    </row>
    <row r="245" customFormat="false" ht="14.25" hidden="false" customHeight="false" outlineLevel="0" collapsed="false">
      <c r="A245" s="8" t="n">
        <v>244</v>
      </c>
      <c r="B245" s="8" t="s">
        <v>85</v>
      </c>
      <c r="C245" s="8" t="s">
        <v>16</v>
      </c>
      <c r="D245" s="9" t="n">
        <v>43896</v>
      </c>
      <c r="E245" s="9" t="str">
        <f aca="false">TEXT(D245,"MMM")</f>
        <v>mar</v>
      </c>
      <c r="F245" s="10" t="n">
        <v>8463.32</v>
      </c>
      <c r="G245" s="8" t="s">
        <v>11</v>
      </c>
      <c r="H245" s="8" t="s">
        <v>17</v>
      </c>
      <c r="I245" s="11" t="s">
        <v>18</v>
      </c>
      <c r="J245" s="8" t="s">
        <v>19</v>
      </c>
    </row>
    <row r="246" customFormat="false" ht="14.25" hidden="false" customHeight="false" outlineLevel="0" collapsed="false">
      <c r="A246" s="8" t="n">
        <v>245</v>
      </c>
      <c r="B246" s="8" t="s">
        <v>85</v>
      </c>
      <c r="C246" s="8" t="s">
        <v>28</v>
      </c>
      <c r="D246" s="9" t="n">
        <v>43896</v>
      </c>
      <c r="E246" s="9" t="str">
        <f aca="false">TEXT(D246,"MMM")</f>
        <v>mar</v>
      </c>
      <c r="F246" s="10" t="n">
        <v>7289.15</v>
      </c>
      <c r="G246" s="8" t="s">
        <v>11</v>
      </c>
      <c r="H246" s="8" t="s">
        <v>12</v>
      </c>
      <c r="I246" s="11" t="s">
        <v>13</v>
      </c>
      <c r="J246" s="8" t="s">
        <v>14</v>
      </c>
    </row>
    <row r="247" customFormat="false" ht="14.25" hidden="false" customHeight="false" outlineLevel="0" collapsed="false">
      <c r="A247" s="8" t="n">
        <v>246</v>
      </c>
      <c r="B247" s="8" t="s">
        <v>86</v>
      </c>
      <c r="C247" s="8" t="s">
        <v>16</v>
      </c>
      <c r="D247" s="9" t="n">
        <v>43897</v>
      </c>
      <c r="E247" s="9" t="str">
        <f aca="false">TEXT(D247,"MMM")</f>
        <v>mar</v>
      </c>
      <c r="F247" s="10" t="n">
        <v>7980.53</v>
      </c>
      <c r="G247" s="8" t="s">
        <v>11</v>
      </c>
      <c r="H247" s="8" t="s">
        <v>12</v>
      </c>
      <c r="I247" s="11" t="s">
        <v>13</v>
      </c>
      <c r="J247" s="8" t="s">
        <v>14</v>
      </c>
    </row>
    <row r="248" customFormat="false" ht="14.25" hidden="false" customHeight="false" outlineLevel="0" collapsed="false">
      <c r="A248" s="8" t="n">
        <v>247</v>
      </c>
      <c r="B248" s="8" t="s">
        <v>39</v>
      </c>
      <c r="C248" s="8" t="s">
        <v>21</v>
      </c>
      <c r="D248" s="9" t="n">
        <v>43897</v>
      </c>
      <c r="E248" s="9" t="str">
        <f aca="false">TEXT(D248,"MMM")</f>
        <v>mar</v>
      </c>
      <c r="F248" s="10" t="n">
        <v>7970.02</v>
      </c>
      <c r="G248" s="8" t="s">
        <v>11</v>
      </c>
      <c r="H248" s="8" t="s">
        <v>22</v>
      </c>
      <c r="I248" s="11" t="s">
        <v>23</v>
      </c>
      <c r="J248" s="8" t="s">
        <v>26</v>
      </c>
    </row>
    <row r="249" customFormat="false" ht="14.25" hidden="false" customHeight="false" outlineLevel="0" collapsed="false">
      <c r="A249" s="8" t="n">
        <v>248</v>
      </c>
      <c r="B249" s="8" t="s">
        <v>49</v>
      </c>
      <c r="C249" s="8" t="s">
        <v>10</v>
      </c>
      <c r="D249" s="9" t="n">
        <v>43897</v>
      </c>
      <c r="E249" s="9" t="str">
        <f aca="false">TEXT(D249,"MMM")</f>
        <v>mar</v>
      </c>
      <c r="F249" s="10" t="n">
        <v>8388.66</v>
      </c>
      <c r="G249" s="8" t="s">
        <v>11</v>
      </c>
      <c r="H249" s="8" t="s">
        <v>12</v>
      </c>
      <c r="I249" s="11" t="s">
        <v>13</v>
      </c>
      <c r="J249" s="8" t="s">
        <v>26</v>
      </c>
    </row>
    <row r="250" customFormat="false" ht="14.25" hidden="false" customHeight="false" outlineLevel="0" collapsed="false">
      <c r="A250" s="8" t="n">
        <v>249</v>
      </c>
      <c r="B250" s="8" t="s">
        <v>66</v>
      </c>
      <c r="C250" s="8" t="s">
        <v>21</v>
      </c>
      <c r="D250" s="9" t="n">
        <v>43898</v>
      </c>
      <c r="E250" s="9" t="str">
        <f aca="false">TEXT(D250,"MMM")</f>
        <v>mar</v>
      </c>
      <c r="F250" s="10" t="n">
        <v>8066.67</v>
      </c>
      <c r="G250" s="8" t="s">
        <v>11</v>
      </c>
      <c r="H250" s="8" t="s">
        <v>12</v>
      </c>
      <c r="I250" s="11" t="s">
        <v>13</v>
      </c>
      <c r="J250" s="8" t="s">
        <v>14</v>
      </c>
    </row>
    <row r="251" customFormat="false" ht="14.25" hidden="false" customHeight="false" outlineLevel="0" collapsed="false">
      <c r="A251" s="8" t="n">
        <v>250</v>
      </c>
      <c r="B251" s="8" t="s">
        <v>32</v>
      </c>
      <c r="C251" s="8" t="s">
        <v>28</v>
      </c>
      <c r="D251" s="9" t="n">
        <v>43898</v>
      </c>
      <c r="E251" s="9" t="str">
        <f aca="false">TEXT(D251,"MMM")</f>
        <v>mar</v>
      </c>
      <c r="F251" s="10" t="n">
        <v>1362370.5</v>
      </c>
      <c r="G251" s="8" t="s">
        <v>11</v>
      </c>
      <c r="H251" s="8" t="s">
        <v>36</v>
      </c>
      <c r="I251" s="11" t="s">
        <v>37</v>
      </c>
      <c r="J251" s="8" t="s">
        <v>24</v>
      </c>
    </row>
    <row r="252" customFormat="false" ht="14.25" hidden="false" customHeight="false" outlineLevel="0" collapsed="false">
      <c r="A252" s="8" t="n">
        <v>251</v>
      </c>
      <c r="B252" s="8" t="s">
        <v>66</v>
      </c>
      <c r="C252" s="8" t="s">
        <v>16</v>
      </c>
      <c r="D252" s="9" t="n">
        <v>43898</v>
      </c>
      <c r="E252" s="9" t="str">
        <f aca="false">TEXT(D252,"MMM")</f>
        <v>mar</v>
      </c>
      <c r="F252" s="10" t="n">
        <v>-13088.81</v>
      </c>
      <c r="G252" s="8" t="s">
        <v>34</v>
      </c>
      <c r="H252" s="8" t="s">
        <v>17</v>
      </c>
      <c r="I252" s="11" t="s">
        <v>18</v>
      </c>
      <c r="J252" s="8" t="s">
        <v>24</v>
      </c>
    </row>
    <row r="253" customFormat="false" ht="14.25" hidden="false" customHeight="false" outlineLevel="0" collapsed="false">
      <c r="A253" s="8" t="n">
        <v>252</v>
      </c>
      <c r="B253" s="8" t="s">
        <v>66</v>
      </c>
      <c r="C253" s="8" t="s">
        <v>28</v>
      </c>
      <c r="D253" s="9" t="n">
        <v>43898</v>
      </c>
      <c r="E253" s="9" t="str">
        <f aca="false">TEXT(D253,"MMM")</f>
        <v>mar</v>
      </c>
      <c r="F253" s="10" t="n">
        <v>-23009.74</v>
      </c>
      <c r="G253" s="8" t="s">
        <v>34</v>
      </c>
      <c r="H253" s="8" t="s">
        <v>12</v>
      </c>
      <c r="I253" s="11" t="s">
        <v>13</v>
      </c>
      <c r="J253" s="8" t="s">
        <v>14</v>
      </c>
    </row>
    <row r="254" customFormat="false" ht="14.25" hidden="false" customHeight="false" outlineLevel="0" collapsed="false">
      <c r="A254" s="8" t="n">
        <v>253</v>
      </c>
      <c r="B254" s="8" t="s">
        <v>66</v>
      </c>
      <c r="C254" s="8" t="s">
        <v>10</v>
      </c>
      <c r="D254" s="9" t="n">
        <v>43898</v>
      </c>
      <c r="E254" s="9" t="str">
        <f aca="false">TEXT(D254,"MMM")</f>
        <v>mar</v>
      </c>
      <c r="F254" s="10" t="n">
        <v>-12986.65</v>
      </c>
      <c r="G254" s="8" t="s">
        <v>34</v>
      </c>
      <c r="H254" s="8" t="s">
        <v>12</v>
      </c>
      <c r="I254" s="11" t="s">
        <v>13</v>
      </c>
      <c r="J254" s="8" t="s">
        <v>14</v>
      </c>
    </row>
    <row r="255" customFormat="false" ht="14.25" hidden="false" customHeight="false" outlineLevel="0" collapsed="false">
      <c r="A255" s="8" t="n">
        <v>254</v>
      </c>
      <c r="B255" s="8" t="s">
        <v>66</v>
      </c>
      <c r="C255" s="8" t="s">
        <v>10</v>
      </c>
      <c r="D255" s="9" t="n">
        <v>43898</v>
      </c>
      <c r="E255" s="9" t="str">
        <f aca="false">TEXT(D255,"MMM")</f>
        <v>mar</v>
      </c>
      <c r="F255" s="10" t="n">
        <v>-11705.3</v>
      </c>
      <c r="G255" s="8" t="s">
        <v>34</v>
      </c>
      <c r="H255" s="8" t="s">
        <v>12</v>
      </c>
      <c r="I255" s="11" t="s">
        <v>13</v>
      </c>
      <c r="J255" s="8" t="s">
        <v>14</v>
      </c>
    </row>
    <row r="256" customFormat="false" ht="14.25" hidden="false" customHeight="false" outlineLevel="0" collapsed="false">
      <c r="A256" s="8" t="n">
        <v>255</v>
      </c>
      <c r="B256" s="8" t="s">
        <v>66</v>
      </c>
      <c r="C256" s="8" t="s">
        <v>28</v>
      </c>
      <c r="D256" s="9" t="n">
        <v>43898</v>
      </c>
      <c r="E256" s="9" t="str">
        <f aca="false">TEXT(D256,"MMM")</f>
        <v>mar</v>
      </c>
      <c r="F256" s="10" t="n">
        <v>-30993.52</v>
      </c>
      <c r="G256" s="8" t="s">
        <v>34</v>
      </c>
      <c r="H256" s="8" t="s">
        <v>17</v>
      </c>
      <c r="I256" s="11" t="s">
        <v>18</v>
      </c>
      <c r="J256" s="8" t="s">
        <v>19</v>
      </c>
    </row>
    <row r="257" customFormat="false" ht="14.25" hidden="false" customHeight="false" outlineLevel="0" collapsed="false">
      <c r="A257" s="8" t="n">
        <v>256</v>
      </c>
      <c r="B257" s="8" t="s">
        <v>66</v>
      </c>
      <c r="C257" s="8" t="s">
        <v>21</v>
      </c>
      <c r="D257" s="9" t="n">
        <v>43898</v>
      </c>
      <c r="E257" s="9" t="str">
        <f aca="false">TEXT(D257,"MMM")</f>
        <v>mar</v>
      </c>
      <c r="F257" s="10" t="n">
        <v>31757.44</v>
      </c>
      <c r="G257" s="8" t="s">
        <v>11</v>
      </c>
      <c r="H257" s="8" t="s">
        <v>36</v>
      </c>
      <c r="I257" s="11" t="s">
        <v>37</v>
      </c>
      <c r="J257" s="8" t="s">
        <v>24</v>
      </c>
    </row>
    <row r="258" customFormat="false" ht="14.25" hidden="false" customHeight="false" outlineLevel="0" collapsed="false">
      <c r="A258" s="8" t="n">
        <v>257</v>
      </c>
      <c r="B258" s="8" t="s">
        <v>66</v>
      </c>
      <c r="C258" s="8" t="s">
        <v>21</v>
      </c>
      <c r="D258" s="9" t="n">
        <v>43898</v>
      </c>
      <c r="E258" s="9" t="str">
        <f aca="false">TEXT(D258,"MMM")</f>
        <v>mar</v>
      </c>
      <c r="F258" s="10" t="n">
        <v>67233.29</v>
      </c>
      <c r="G258" s="8" t="s">
        <v>11</v>
      </c>
      <c r="H258" s="8" t="s">
        <v>12</v>
      </c>
      <c r="I258" s="11" t="s">
        <v>13</v>
      </c>
      <c r="J258" s="8" t="s">
        <v>14</v>
      </c>
    </row>
    <row r="259" customFormat="false" ht="14.25" hidden="false" customHeight="false" outlineLevel="0" collapsed="false">
      <c r="A259" s="8" t="n">
        <v>258</v>
      </c>
      <c r="B259" s="8" t="s">
        <v>66</v>
      </c>
      <c r="C259" s="8" t="s">
        <v>21</v>
      </c>
      <c r="D259" s="9" t="n">
        <v>43898</v>
      </c>
      <c r="E259" s="9" t="str">
        <f aca="false">TEXT(D259,"MMM")</f>
        <v>mar</v>
      </c>
      <c r="F259" s="10" t="n">
        <v>-10848.43</v>
      </c>
      <c r="G259" s="8" t="s">
        <v>34</v>
      </c>
      <c r="H259" s="8" t="s">
        <v>22</v>
      </c>
      <c r="I259" s="11" t="s">
        <v>23</v>
      </c>
      <c r="J259" s="8" t="s">
        <v>14</v>
      </c>
    </row>
    <row r="260" customFormat="false" ht="14.25" hidden="false" customHeight="false" outlineLevel="0" collapsed="false">
      <c r="A260" s="8" t="n">
        <v>259</v>
      </c>
      <c r="B260" s="8" t="s">
        <v>50</v>
      </c>
      <c r="C260" s="8" t="s">
        <v>28</v>
      </c>
      <c r="D260" s="9" t="n">
        <v>43899</v>
      </c>
      <c r="E260" s="9" t="str">
        <f aca="false">TEXT(D260,"MMM")</f>
        <v>mar</v>
      </c>
      <c r="F260" s="10" t="n">
        <v>7321.25</v>
      </c>
      <c r="G260" s="8" t="s">
        <v>11</v>
      </c>
      <c r="H260" s="8" t="s">
        <v>12</v>
      </c>
      <c r="I260" s="11" t="s">
        <v>13</v>
      </c>
      <c r="J260" s="8" t="s">
        <v>14</v>
      </c>
    </row>
    <row r="261" customFormat="false" ht="14.25" hidden="false" customHeight="false" outlineLevel="0" collapsed="false">
      <c r="A261" s="8" t="n">
        <v>260</v>
      </c>
      <c r="B261" s="8" t="s">
        <v>38</v>
      </c>
      <c r="C261" s="8" t="s">
        <v>28</v>
      </c>
      <c r="D261" s="9" t="n">
        <v>43899</v>
      </c>
      <c r="E261" s="9" t="str">
        <f aca="false">TEXT(D261,"MMM")</f>
        <v>mar</v>
      </c>
      <c r="F261" s="10" t="n">
        <v>7476.89</v>
      </c>
      <c r="G261" s="8" t="s">
        <v>11</v>
      </c>
      <c r="H261" s="8" t="s">
        <v>17</v>
      </c>
      <c r="I261" s="11" t="s">
        <v>18</v>
      </c>
      <c r="J261" s="8" t="s">
        <v>14</v>
      </c>
    </row>
    <row r="262" customFormat="false" ht="14.25" hidden="false" customHeight="false" outlineLevel="0" collapsed="false">
      <c r="A262" s="8" t="n">
        <v>261</v>
      </c>
      <c r="B262" s="8" t="s">
        <v>38</v>
      </c>
      <c r="C262" s="8" t="s">
        <v>16</v>
      </c>
      <c r="D262" s="9" t="n">
        <v>43899</v>
      </c>
      <c r="E262" s="9" t="str">
        <f aca="false">TEXT(D262,"MMM")</f>
        <v>mar</v>
      </c>
      <c r="F262" s="10" t="n">
        <v>7538.71</v>
      </c>
      <c r="G262" s="8" t="s">
        <v>11</v>
      </c>
      <c r="H262" s="8" t="s">
        <v>12</v>
      </c>
      <c r="I262" s="11" t="s">
        <v>13</v>
      </c>
      <c r="J262" s="8" t="s">
        <v>26</v>
      </c>
    </row>
    <row r="263" customFormat="false" ht="14.25" hidden="false" customHeight="false" outlineLevel="0" collapsed="false">
      <c r="A263" s="8" t="n">
        <v>262</v>
      </c>
      <c r="B263" s="8" t="s">
        <v>43</v>
      </c>
      <c r="C263" s="8" t="s">
        <v>21</v>
      </c>
      <c r="D263" s="9" t="n">
        <v>43899</v>
      </c>
      <c r="E263" s="9" t="str">
        <f aca="false">TEXT(D263,"MMM")</f>
        <v>mar</v>
      </c>
      <c r="F263" s="10" t="n">
        <v>7552.45</v>
      </c>
      <c r="G263" s="8" t="s">
        <v>11</v>
      </c>
      <c r="H263" s="8" t="s">
        <v>12</v>
      </c>
      <c r="I263" s="11" t="s">
        <v>13</v>
      </c>
      <c r="J263" s="8" t="s">
        <v>14</v>
      </c>
    </row>
    <row r="264" customFormat="false" ht="14.25" hidden="false" customHeight="false" outlineLevel="0" collapsed="false">
      <c r="A264" s="8" t="n">
        <v>263</v>
      </c>
      <c r="B264" s="8" t="s">
        <v>46</v>
      </c>
      <c r="C264" s="8" t="s">
        <v>28</v>
      </c>
      <c r="D264" s="9" t="n">
        <v>43899</v>
      </c>
      <c r="E264" s="9" t="str">
        <f aca="false">TEXT(D264,"MMM")</f>
        <v>mar</v>
      </c>
      <c r="F264" s="10" t="n">
        <v>7253.34</v>
      </c>
      <c r="G264" s="8" t="s">
        <v>11</v>
      </c>
      <c r="H264" s="8" t="s">
        <v>17</v>
      </c>
      <c r="I264" s="11" t="s">
        <v>18</v>
      </c>
      <c r="J264" s="8" t="s">
        <v>14</v>
      </c>
    </row>
    <row r="265" customFormat="false" ht="14.25" hidden="false" customHeight="false" outlineLevel="0" collapsed="false">
      <c r="A265" s="8" t="n">
        <v>264</v>
      </c>
      <c r="B265" s="8" t="s">
        <v>42</v>
      </c>
      <c r="C265" s="8" t="s">
        <v>21</v>
      </c>
      <c r="D265" s="9" t="n">
        <v>43899</v>
      </c>
      <c r="E265" s="9" t="str">
        <f aca="false">TEXT(D265,"MMM")</f>
        <v>mar</v>
      </c>
      <c r="F265" s="10" t="n">
        <v>7177.81</v>
      </c>
      <c r="G265" s="8" t="s">
        <v>11</v>
      </c>
      <c r="H265" s="8" t="s">
        <v>12</v>
      </c>
      <c r="I265" s="11" t="s">
        <v>13</v>
      </c>
      <c r="J265" s="8" t="s">
        <v>26</v>
      </c>
    </row>
    <row r="266" customFormat="false" ht="14.25" hidden="false" customHeight="false" outlineLevel="0" collapsed="false">
      <c r="A266" s="8" t="n">
        <v>265</v>
      </c>
      <c r="B266" s="8" t="s">
        <v>45</v>
      </c>
      <c r="C266" s="8" t="s">
        <v>28</v>
      </c>
      <c r="D266" s="9" t="n">
        <v>43899</v>
      </c>
      <c r="E266" s="9" t="str">
        <f aca="false">TEXT(D266,"MMM")</f>
        <v>mar</v>
      </c>
      <c r="F266" s="10" t="n">
        <v>8094.2</v>
      </c>
      <c r="G266" s="8" t="s">
        <v>11</v>
      </c>
      <c r="H266" s="8" t="s">
        <v>17</v>
      </c>
      <c r="I266" s="11" t="s">
        <v>18</v>
      </c>
      <c r="J266" s="8" t="s">
        <v>26</v>
      </c>
    </row>
    <row r="267" customFormat="false" ht="14.25" hidden="false" customHeight="false" outlineLevel="0" collapsed="false">
      <c r="A267" s="8" t="n">
        <v>266</v>
      </c>
      <c r="B267" s="8" t="s">
        <v>47</v>
      </c>
      <c r="C267" s="8" t="s">
        <v>21</v>
      </c>
      <c r="D267" s="9" t="n">
        <v>43899</v>
      </c>
      <c r="E267" s="9" t="str">
        <f aca="false">TEXT(D267,"MMM")</f>
        <v>mar</v>
      </c>
      <c r="F267" s="10" t="n">
        <v>7031.3</v>
      </c>
      <c r="G267" s="8" t="s">
        <v>11</v>
      </c>
      <c r="H267" s="8" t="s">
        <v>12</v>
      </c>
      <c r="I267" s="11" t="s">
        <v>13</v>
      </c>
      <c r="J267" s="8" t="s">
        <v>26</v>
      </c>
    </row>
    <row r="268" customFormat="false" ht="14.25" hidden="false" customHeight="false" outlineLevel="0" collapsed="false">
      <c r="A268" s="8" t="n">
        <v>267</v>
      </c>
      <c r="B268" s="8" t="s">
        <v>43</v>
      </c>
      <c r="C268" s="8" t="s">
        <v>28</v>
      </c>
      <c r="D268" s="9" t="n">
        <v>43899</v>
      </c>
      <c r="E268" s="9" t="str">
        <f aca="false">TEXT(D268,"MMM")</f>
        <v>mar</v>
      </c>
      <c r="F268" s="10" t="n">
        <v>8286.06</v>
      </c>
      <c r="G268" s="8" t="s">
        <v>11</v>
      </c>
      <c r="H268" s="8" t="s">
        <v>12</v>
      </c>
      <c r="I268" s="11" t="s">
        <v>13</v>
      </c>
      <c r="J268" s="8" t="s">
        <v>26</v>
      </c>
    </row>
    <row r="269" customFormat="false" ht="14.25" hidden="false" customHeight="false" outlineLevel="0" collapsed="false">
      <c r="A269" s="8" t="n">
        <v>268</v>
      </c>
      <c r="B269" s="8" t="s">
        <v>46</v>
      </c>
      <c r="C269" s="8" t="s">
        <v>21</v>
      </c>
      <c r="D269" s="9" t="n">
        <v>43899</v>
      </c>
      <c r="E269" s="9" t="str">
        <f aca="false">TEXT(D269,"MMM")</f>
        <v>mar</v>
      </c>
      <c r="F269" s="10" t="n">
        <v>7861.36</v>
      </c>
      <c r="G269" s="8" t="s">
        <v>11</v>
      </c>
      <c r="H269" s="8" t="s">
        <v>17</v>
      </c>
      <c r="I269" s="11" t="s">
        <v>18</v>
      </c>
      <c r="J269" s="8" t="s">
        <v>26</v>
      </c>
    </row>
    <row r="270" customFormat="false" ht="14.25" hidden="false" customHeight="false" outlineLevel="0" collapsed="false">
      <c r="A270" s="8" t="n">
        <v>269</v>
      </c>
      <c r="B270" s="8" t="s">
        <v>39</v>
      </c>
      <c r="C270" s="8" t="s">
        <v>28</v>
      </c>
      <c r="D270" s="9" t="n">
        <v>43899</v>
      </c>
      <c r="E270" s="9" t="str">
        <f aca="false">TEXT(D270,"MMM")</f>
        <v>mar</v>
      </c>
      <c r="F270" s="10" t="n">
        <v>30338.94</v>
      </c>
      <c r="G270" s="8" t="s">
        <v>11</v>
      </c>
      <c r="H270" s="8" t="s">
        <v>12</v>
      </c>
      <c r="I270" s="11" t="s">
        <v>13</v>
      </c>
      <c r="J270" s="8" t="s">
        <v>26</v>
      </c>
    </row>
    <row r="271" customFormat="false" ht="14.25" hidden="false" customHeight="false" outlineLevel="0" collapsed="false">
      <c r="A271" s="8" t="n">
        <v>270</v>
      </c>
      <c r="B271" s="8" t="s">
        <v>42</v>
      </c>
      <c r="C271" s="8" t="s">
        <v>16</v>
      </c>
      <c r="D271" s="9" t="n">
        <v>43899</v>
      </c>
      <c r="E271" s="9" t="str">
        <f aca="false">TEXT(D271,"MMM")</f>
        <v>mar</v>
      </c>
      <c r="F271" s="10" t="n">
        <v>26409.16</v>
      </c>
      <c r="G271" s="8" t="s">
        <v>11</v>
      </c>
      <c r="H271" s="8" t="s">
        <v>30</v>
      </c>
      <c r="I271" s="11" t="s">
        <v>31</v>
      </c>
      <c r="J271" s="8" t="s">
        <v>19</v>
      </c>
    </row>
    <row r="272" customFormat="false" ht="14.25" hidden="false" customHeight="false" outlineLevel="0" collapsed="false">
      <c r="A272" s="8" t="n">
        <v>271</v>
      </c>
      <c r="B272" s="8" t="s">
        <v>45</v>
      </c>
      <c r="C272" s="8" t="s">
        <v>21</v>
      </c>
      <c r="D272" s="9" t="n">
        <v>43899</v>
      </c>
      <c r="E272" s="9" t="str">
        <f aca="false">TEXT(D272,"MMM")</f>
        <v>mar</v>
      </c>
      <c r="F272" s="10" t="n">
        <v>28020.38</v>
      </c>
      <c r="G272" s="8" t="s">
        <v>11</v>
      </c>
      <c r="H272" s="8" t="s">
        <v>17</v>
      </c>
      <c r="I272" s="11" t="s">
        <v>18</v>
      </c>
      <c r="J272" s="8" t="s">
        <v>19</v>
      </c>
    </row>
    <row r="273" customFormat="false" ht="14.25" hidden="false" customHeight="false" outlineLevel="0" collapsed="false">
      <c r="A273" s="8" t="n">
        <v>272</v>
      </c>
      <c r="B273" s="8" t="s">
        <v>47</v>
      </c>
      <c r="C273" s="8" t="s">
        <v>21</v>
      </c>
      <c r="D273" s="9" t="n">
        <v>43899</v>
      </c>
      <c r="E273" s="9" t="str">
        <f aca="false">TEXT(D273,"MMM")</f>
        <v>mar</v>
      </c>
      <c r="F273" s="10" t="n">
        <v>25889.23</v>
      </c>
      <c r="G273" s="8" t="s">
        <v>11</v>
      </c>
      <c r="H273" s="8" t="s">
        <v>22</v>
      </c>
      <c r="I273" s="11" t="s">
        <v>23</v>
      </c>
      <c r="J273" s="8" t="s">
        <v>14</v>
      </c>
    </row>
    <row r="274" customFormat="false" ht="14.25" hidden="false" customHeight="false" outlineLevel="0" collapsed="false">
      <c r="A274" s="8" t="n">
        <v>273</v>
      </c>
      <c r="B274" s="8" t="s">
        <v>87</v>
      </c>
      <c r="C274" s="8" t="s">
        <v>10</v>
      </c>
      <c r="D274" s="9" t="n">
        <v>43900</v>
      </c>
      <c r="E274" s="9" t="str">
        <f aca="false">TEXT(D274,"MMM")</f>
        <v>mar</v>
      </c>
      <c r="F274" s="10" t="n">
        <v>27209.43</v>
      </c>
      <c r="G274" s="8" t="s">
        <v>11</v>
      </c>
      <c r="H274" s="8" t="s">
        <v>17</v>
      </c>
      <c r="I274" s="11" t="s">
        <v>18</v>
      </c>
      <c r="J274" s="8" t="s">
        <v>14</v>
      </c>
    </row>
    <row r="275" customFormat="false" ht="14.25" hidden="false" customHeight="false" outlineLevel="0" collapsed="false">
      <c r="A275" s="8" t="n">
        <v>274</v>
      </c>
      <c r="B275" s="8" t="s">
        <v>60</v>
      </c>
      <c r="C275" s="8" t="s">
        <v>16</v>
      </c>
      <c r="D275" s="9" t="n">
        <v>43900</v>
      </c>
      <c r="E275" s="9" t="str">
        <f aca="false">TEXT(D275,"MMM")</f>
        <v>mar</v>
      </c>
      <c r="F275" s="10" t="n">
        <v>-883.19</v>
      </c>
      <c r="G275" s="8" t="s">
        <v>34</v>
      </c>
      <c r="H275" s="8" t="s">
        <v>30</v>
      </c>
      <c r="I275" s="11" t="s">
        <v>31</v>
      </c>
      <c r="J275" s="8" t="s">
        <v>14</v>
      </c>
    </row>
    <row r="276" customFormat="false" ht="14.25" hidden="false" customHeight="false" outlineLevel="0" collapsed="false">
      <c r="A276" s="8" t="n">
        <v>275</v>
      </c>
      <c r="B276" s="8" t="s">
        <v>88</v>
      </c>
      <c r="C276" s="8" t="s">
        <v>28</v>
      </c>
      <c r="D276" s="9" t="n">
        <v>43900</v>
      </c>
      <c r="E276" s="9" t="str">
        <f aca="false">TEXT(D276,"MMM")</f>
        <v>mar</v>
      </c>
      <c r="F276" s="10" t="n">
        <v>-1662.19</v>
      </c>
      <c r="G276" s="8" t="s">
        <v>34</v>
      </c>
      <c r="H276" s="8" t="s">
        <v>12</v>
      </c>
      <c r="I276" s="11" t="s">
        <v>13</v>
      </c>
      <c r="J276" s="8" t="s">
        <v>14</v>
      </c>
    </row>
    <row r="277" customFormat="false" ht="14.25" hidden="false" customHeight="false" outlineLevel="0" collapsed="false">
      <c r="A277" s="8" t="n">
        <v>276</v>
      </c>
      <c r="B277" s="8" t="s">
        <v>66</v>
      </c>
      <c r="C277" s="8" t="s">
        <v>28</v>
      </c>
      <c r="D277" s="9" t="n">
        <v>43900</v>
      </c>
      <c r="E277" s="9" t="str">
        <f aca="false">TEXT(D277,"MMM")</f>
        <v>mar</v>
      </c>
      <c r="F277" s="10" t="n">
        <v>-7715.4</v>
      </c>
      <c r="G277" s="8" t="s">
        <v>34</v>
      </c>
      <c r="H277" s="8" t="s">
        <v>17</v>
      </c>
      <c r="I277" s="11" t="s">
        <v>18</v>
      </c>
      <c r="J277" s="8" t="s">
        <v>24</v>
      </c>
    </row>
    <row r="278" customFormat="false" ht="14.25" hidden="false" customHeight="false" outlineLevel="0" collapsed="false">
      <c r="A278" s="8" t="n">
        <v>277</v>
      </c>
      <c r="B278" s="8" t="s">
        <v>66</v>
      </c>
      <c r="C278" s="8" t="s">
        <v>28</v>
      </c>
      <c r="D278" s="9" t="n">
        <v>43900</v>
      </c>
      <c r="E278" s="9" t="str">
        <f aca="false">TEXT(D278,"MMM")</f>
        <v>mar</v>
      </c>
      <c r="F278" s="10" t="n">
        <v>-30080.82</v>
      </c>
      <c r="G278" s="8" t="s">
        <v>34</v>
      </c>
      <c r="H278" s="8" t="s">
        <v>12</v>
      </c>
      <c r="I278" s="11" t="s">
        <v>13</v>
      </c>
      <c r="J278" s="8" t="s">
        <v>26</v>
      </c>
    </row>
    <row r="279" customFormat="false" ht="14.25" hidden="false" customHeight="false" outlineLevel="0" collapsed="false">
      <c r="A279" s="8" t="n">
        <v>278</v>
      </c>
      <c r="B279" s="8" t="s">
        <v>66</v>
      </c>
      <c r="C279" s="8" t="s">
        <v>16</v>
      </c>
      <c r="D279" s="9" t="n">
        <v>43900</v>
      </c>
      <c r="E279" s="9" t="str">
        <f aca="false">TEXT(D279,"MMM")</f>
        <v>mar</v>
      </c>
      <c r="F279" s="10" t="n">
        <v>162474.76</v>
      </c>
      <c r="G279" s="8" t="s">
        <v>11</v>
      </c>
      <c r="H279" s="8" t="s">
        <v>17</v>
      </c>
      <c r="I279" s="11" t="s">
        <v>18</v>
      </c>
      <c r="J279" s="8" t="s">
        <v>24</v>
      </c>
    </row>
    <row r="280" customFormat="false" ht="14.25" hidden="false" customHeight="false" outlineLevel="0" collapsed="false">
      <c r="A280" s="8" t="n">
        <v>279</v>
      </c>
      <c r="B280" s="8" t="s">
        <v>66</v>
      </c>
      <c r="C280" s="8" t="s">
        <v>21</v>
      </c>
      <c r="D280" s="9" t="n">
        <v>43900</v>
      </c>
      <c r="E280" s="9" t="str">
        <f aca="false">TEXT(D280,"MMM")</f>
        <v>mar</v>
      </c>
      <c r="F280" s="10" t="n">
        <v>4879</v>
      </c>
      <c r="G280" s="8" t="s">
        <v>11</v>
      </c>
      <c r="H280" s="8" t="s">
        <v>17</v>
      </c>
      <c r="I280" s="11" t="s">
        <v>18</v>
      </c>
      <c r="J280" s="8" t="s">
        <v>14</v>
      </c>
    </row>
    <row r="281" customFormat="false" ht="14.25" hidden="false" customHeight="false" outlineLevel="0" collapsed="false">
      <c r="A281" s="8" t="n">
        <v>280</v>
      </c>
      <c r="B281" s="8" t="s">
        <v>66</v>
      </c>
      <c r="C281" s="8" t="s">
        <v>10</v>
      </c>
      <c r="D281" s="9" t="n">
        <v>43900</v>
      </c>
      <c r="E281" s="9" t="str">
        <f aca="false">TEXT(D281,"MMM")</f>
        <v>mar</v>
      </c>
      <c r="F281" s="10" t="n">
        <v>5576</v>
      </c>
      <c r="G281" s="8" t="s">
        <v>11</v>
      </c>
      <c r="H281" s="8" t="s">
        <v>17</v>
      </c>
      <c r="I281" s="11" t="s">
        <v>18</v>
      </c>
      <c r="J281" s="8" t="s">
        <v>19</v>
      </c>
    </row>
    <row r="282" customFormat="false" ht="14.25" hidden="false" customHeight="false" outlineLevel="0" collapsed="false">
      <c r="A282" s="8" t="n">
        <v>281</v>
      </c>
      <c r="B282" s="8" t="s">
        <v>66</v>
      </c>
      <c r="C282" s="8" t="s">
        <v>28</v>
      </c>
      <c r="D282" s="9" t="n">
        <v>43900</v>
      </c>
      <c r="E282" s="9" t="str">
        <f aca="false">TEXT(D282,"MMM")</f>
        <v>mar</v>
      </c>
      <c r="F282" s="10" t="n">
        <v>2788</v>
      </c>
      <c r="G282" s="8" t="s">
        <v>11</v>
      </c>
      <c r="H282" s="8" t="s">
        <v>12</v>
      </c>
      <c r="I282" s="11" t="s">
        <v>13</v>
      </c>
      <c r="J282" s="8" t="s">
        <v>24</v>
      </c>
    </row>
    <row r="283" customFormat="false" ht="14.25" hidden="false" customHeight="false" outlineLevel="0" collapsed="false">
      <c r="A283" s="8" t="n">
        <v>282</v>
      </c>
      <c r="B283" s="8" t="s">
        <v>66</v>
      </c>
      <c r="C283" s="8" t="s">
        <v>21</v>
      </c>
      <c r="D283" s="9" t="n">
        <v>43900</v>
      </c>
      <c r="E283" s="9" t="str">
        <f aca="false">TEXT(D283,"MMM")</f>
        <v>mar</v>
      </c>
      <c r="F283" s="10" t="n">
        <v>4879</v>
      </c>
      <c r="G283" s="8" t="s">
        <v>11</v>
      </c>
      <c r="H283" s="8" t="s">
        <v>12</v>
      </c>
      <c r="I283" s="11" t="s">
        <v>13</v>
      </c>
      <c r="J283" s="8" t="s">
        <v>19</v>
      </c>
    </row>
    <row r="284" customFormat="false" ht="14.25" hidden="false" customHeight="false" outlineLevel="0" collapsed="false">
      <c r="A284" s="8" t="n">
        <v>283</v>
      </c>
      <c r="B284" s="8" t="s">
        <v>66</v>
      </c>
      <c r="C284" s="8" t="s">
        <v>21</v>
      </c>
      <c r="D284" s="9" t="n">
        <v>43900</v>
      </c>
      <c r="E284" s="9" t="str">
        <f aca="false">TEXT(D284,"MMM")</f>
        <v>mar</v>
      </c>
      <c r="F284" s="10" t="n">
        <v>5576</v>
      </c>
      <c r="G284" s="8" t="s">
        <v>11</v>
      </c>
      <c r="H284" s="8" t="s">
        <v>30</v>
      </c>
      <c r="I284" s="11" t="s">
        <v>31</v>
      </c>
      <c r="J284" s="8" t="s">
        <v>24</v>
      </c>
    </row>
    <row r="285" customFormat="false" ht="14.25" hidden="false" customHeight="false" outlineLevel="0" collapsed="false">
      <c r="A285" s="8" t="n">
        <v>284</v>
      </c>
      <c r="B285" s="8" t="s">
        <v>66</v>
      </c>
      <c r="C285" s="8" t="s">
        <v>16</v>
      </c>
      <c r="D285" s="9" t="n">
        <v>43900</v>
      </c>
      <c r="E285" s="9" t="str">
        <f aca="false">TEXT(D285,"MMM")</f>
        <v>mar</v>
      </c>
      <c r="F285" s="10" t="n">
        <v>2788</v>
      </c>
      <c r="G285" s="8" t="s">
        <v>11</v>
      </c>
      <c r="H285" s="8" t="s">
        <v>17</v>
      </c>
      <c r="I285" s="11" t="s">
        <v>18</v>
      </c>
      <c r="J285" s="8" t="s">
        <v>14</v>
      </c>
    </row>
    <row r="286" customFormat="false" ht="14.25" hidden="false" customHeight="false" outlineLevel="0" collapsed="false">
      <c r="A286" s="8" t="n">
        <v>285</v>
      </c>
      <c r="B286" s="8" t="s">
        <v>66</v>
      </c>
      <c r="C286" s="8" t="s">
        <v>16</v>
      </c>
      <c r="D286" s="9" t="n">
        <v>43900</v>
      </c>
      <c r="E286" s="9" t="str">
        <f aca="false">TEXT(D286,"MMM")</f>
        <v>mar</v>
      </c>
      <c r="F286" s="10" t="n">
        <v>3645.31</v>
      </c>
      <c r="G286" s="8" t="s">
        <v>11</v>
      </c>
      <c r="H286" s="8" t="s">
        <v>22</v>
      </c>
      <c r="I286" s="11" t="s">
        <v>23</v>
      </c>
      <c r="J286" s="8" t="s">
        <v>24</v>
      </c>
    </row>
    <row r="287" customFormat="false" ht="14.25" hidden="false" customHeight="false" outlineLevel="0" collapsed="false">
      <c r="A287" s="8" t="n">
        <v>286</v>
      </c>
      <c r="B287" s="8" t="s">
        <v>50</v>
      </c>
      <c r="C287" s="8" t="s">
        <v>16</v>
      </c>
      <c r="D287" s="9" t="n">
        <v>43903</v>
      </c>
      <c r="E287" s="9" t="str">
        <f aca="false">TEXT(D287,"MMM")</f>
        <v>mar</v>
      </c>
      <c r="F287" s="10" t="n">
        <v>3673.19</v>
      </c>
      <c r="G287" s="8" t="s">
        <v>11</v>
      </c>
      <c r="H287" s="8" t="s">
        <v>30</v>
      </c>
      <c r="I287" s="11" t="s">
        <v>31</v>
      </c>
      <c r="J287" s="8" t="s">
        <v>26</v>
      </c>
    </row>
    <row r="288" customFormat="false" ht="14.25" hidden="false" customHeight="false" outlineLevel="0" collapsed="false">
      <c r="A288" s="8" t="n">
        <v>287</v>
      </c>
      <c r="B288" s="8" t="s">
        <v>85</v>
      </c>
      <c r="C288" s="8" t="s">
        <v>16</v>
      </c>
      <c r="D288" s="9" t="n">
        <v>43903</v>
      </c>
      <c r="E288" s="9" t="str">
        <f aca="false">TEXT(D288,"MMM")</f>
        <v>mar</v>
      </c>
      <c r="F288" s="10" t="n">
        <v>725090.46</v>
      </c>
      <c r="G288" s="8" t="s">
        <v>11</v>
      </c>
      <c r="H288" s="8" t="s">
        <v>22</v>
      </c>
      <c r="I288" s="11" t="s">
        <v>23</v>
      </c>
      <c r="J288" s="8" t="s">
        <v>19</v>
      </c>
    </row>
    <row r="289" customFormat="false" ht="14.25" hidden="false" customHeight="false" outlineLevel="0" collapsed="false">
      <c r="A289" s="8" t="n">
        <v>288</v>
      </c>
      <c r="B289" s="8" t="s">
        <v>32</v>
      </c>
      <c r="C289" s="8" t="s">
        <v>28</v>
      </c>
      <c r="D289" s="9" t="n">
        <v>43903</v>
      </c>
      <c r="E289" s="9" t="str">
        <f aca="false">TEXT(D289,"MMM")</f>
        <v>mar</v>
      </c>
      <c r="F289" s="10" t="n">
        <v>-3545.05</v>
      </c>
      <c r="G289" s="8" t="s">
        <v>34</v>
      </c>
      <c r="H289" s="8" t="s">
        <v>17</v>
      </c>
      <c r="I289" s="11" t="s">
        <v>18</v>
      </c>
      <c r="J289" s="8" t="s">
        <v>24</v>
      </c>
    </row>
    <row r="290" customFormat="false" ht="14.25" hidden="false" customHeight="false" outlineLevel="0" collapsed="false">
      <c r="A290" s="8" t="n">
        <v>289</v>
      </c>
      <c r="B290" s="8" t="s">
        <v>61</v>
      </c>
      <c r="C290" s="8" t="s">
        <v>16</v>
      </c>
      <c r="D290" s="9" t="n">
        <v>43903</v>
      </c>
      <c r="E290" s="9" t="str">
        <f aca="false">TEXT(D290,"MMM")</f>
        <v>mar</v>
      </c>
      <c r="F290" s="10" t="n">
        <v>-11190.27</v>
      </c>
      <c r="G290" s="8" t="s">
        <v>34</v>
      </c>
      <c r="H290" s="8" t="s">
        <v>36</v>
      </c>
      <c r="I290" s="11" t="s">
        <v>37</v>
      </c>
      <c r="J290" s="8" t="s">
        <v>14</v>
      </c>
    </row>
    <row r="291" customFormat="false" ht="14.25" hidden="false" customHeight="false" outlineLevel="0" collapsed="false">
      <c r="A291" s="8" t="n">
        <v>290</v>
      </c>
      <c r="B291" s="8" t="s">
        <v>62</v>
      </c>
      <c r="C291" s="8" t="s">
        <v>16</v>
      </c>
      <c r="D291" s="9" t="n">
        <v>43903</v>
      </c>
      <c r="E291" s="9" t="str">
        <f aca="false">TEXT(D291,"MMM")</f>
        <v>mar</v>
      </c>
      <c r="F291" s="10" t="n">
        <v>-19385.21</v>
      </c>
      <c r="G291" s="8" t="s">
        <v>34</v>
      </c>
      <c r="H291" s="8" t="s">
        <v>12</v>
      </c>
      <c r="I291" s="11" t="s">
        <v>13</v>
      </c>
      <c r="J291" s="8" t="s">
        <v>14</v>
      </c>
    </row>
    <row r="292" customFormat="false" ht="14.25" hidden="false" customHeight="false" outlineLevel="0" collapsed="false">
      <c r="A292" s="8" t="n">
        <v>291</v>
      </c>
      <c r="B292" s="8" t="s">
        <v>61</v>
      </c>
      <c r="C292" s="8" t="s">
        <v>10</v>
      </c>
      <c r="D292" s="9" t="n">
        <v>43903</v>
      </c>
      <c r="E292" s="9" t="str">
        <f aca="false">TEXT(D292,"MMM")</f>
        <v>mar</v>
      </c>
      <c r="F292" s="10" t="n">
        <v>3694.1</v>
      </c>
      <c r="G292" s="8" t="s">
        <v>11</v>
      </c>
      <c r="H292" s="8" t="s">
        <v>12</v>
      </c>
      <c r="I292" s="11" t="s">
        <v>13</v>
      </c>
      <c r="J292" s="8" t="s">
        <v>14</v>
      </c>
    </row>
    <row r="293" customFormat="false" ht="14.25" hidden="false" customHeight="false" outlineLevel="0" collapsed="false">
      <c r="A293" s="8" t="n">
        <v>292</v>
      </c>
      <c r="B293" s="8" t="s">
        <v>62</v>
      </c>
      <c r="C293" s="8" t="s">
        <v>21</v>
      </c>
      <c r="D293" s="9" t="n">
        <v>43903</v>
      </c>
      <c r="E293" s="9" t="str">
        <f aca="false">TEXT(D293,"MMM")</f>
        <v>mar</v>
      </c>
      <c r="F293" s="10" t="n">
        <v>167606.07</v>
      </c>
      <c r="G293" s="8" t="s">
        <v>11</v>
      </c>
      <c r="H293" s="8" t="s">
        <v>12</v>
      </c>
      <c r="I293" s="11" t="s">
        <v>13</v>
      </c>
      <c r="J293" s="8" t="s">
        <v>14</v>
      </c>
    </row>
    <row r="294" customFormat="false" ht="14.25" hidden="false" customHeight="false" outlineLevel="0" collapsed="false">
      <c r="A294" s="8" t="n">
        <v>293</v>
      </c>
      <c r="B294" s="8" t="s">
        <v>61</v>
      </c>
      <c r="C294" s="8" t="s">
        <v>28</v>
      </c>
      <c r="D294" s="9" t="n">
        <v>43903</v>
      </c>
      <c r="E294" s="9" t="str">
        <f aca="false">TEXT(D294,"MMM")</f>
        <v>mar</v>
      </c>
      <c r="F294" s="10" t="n">
        <v>3694.1</v>
      </c>
      <c r="G294" s="8" t="s">
        <v>11</v>
      </c>
      <c r="H294" s="8" t="s">
        <v>36</v>
      </c>
      <c r="I294" s="11" t="s">
        <v>37</v>
      </c>
      <c r="J294" s="8" t="s">
        <v>14</v>
      </c>
    </row>
    <row r="295" customFormat="false" ht="14.25" hidden="false" customHeight="false" outlineLevel="0" collapsed="false">
      <c r="A295" s="8" t="n">
        <v>294</v>
      </c>
      <c r="B295" s="8" t="s">
        <v>62</v>
      </c>
      <c r="C295" s="8" t="s">
        <v>16</v>
      </c>
      <c r="D295" s="9" t="n">
        <v>43903</v>
      </c>
      <c r="E295" s="9" t="str">
        <f aca="false">TEXT(D295,"MMM")</f>
        <v>mar</v>
      </c>
      <c r="F295" s="10" t="n">
        <v>-5618.03</v>
      </c>
      <c r="G295" s="8" t="s">
        <v>34</v>
      </c>
      <c r="H295" s="8" t="s">
        <v>12</v>
      </c>
      <c r="I295" s="11" t="s">
        <v>13</v>
      </c>
      <c r="J295" s="8" t="s">
        <v>14</v>
      </c>
    </row>
    <row r="296" customFormat="false" ht="14.25" hidden="false" customHeight="false" outlineLevel="0" collapsed="false">
      <c r="A296" s="8" t="n">
        <v>295</v>
      </c>
      <c r="B296" s="8" t="s">
        <v>89</v>
      </c>
      <c r="C296" s="8" t="s">
        <v>16</v>
      </c>
      <c r="D296" s="9" t="n">
        <v>43905</v>
      </c>
      <c r="E296" s="9" t="str">
        <f aca="false">TEXT(D296,"MMM")</f>
        <v>mar</v>
      </c>
      <c r="F296" s="10" t="n">
        <v>183.56</v>
      </c>
      <c r="G296" s="8" t="s">
        <v>11</v>
      </c>
      <c r="H296" s="8" t="s">
        <v>22</v>
      </c>
      <c r="I296" s="11" t="s">
        <v>23</v>
      </c>
      <c r="J296" s="8" t="s">
        <v>26</v>
      </c>
    </row>
    <row r="297" customFormat="false" ht="14.25" hidden="false" customHeight="false" outlineLevel="0" collapsed="false">
      <c r="A297" s="8" t="n">
        <v>296</v>
      </c>
      <c r="B297" s="8" t="s">
        <v>20</v>
      </c>
      <c r="C297" s="8" t="s">
        <v>21</v>
      </c>
      <c r="D297" s="9" t="n">
        <v>43906</v>
      </c>
      <c r="E297" s="9" t="str">
        <f aca="false">TEXT(D297,"MMM")</f>
        <v>mar</v>
      </c>
      <c r="F297" s="10" t="n">
        <v>2439.5</v>
      </c>
      <c r="G297" s="8" t="s">
        <v>11</v>
      </c>
      <c r="H297" s="8" t="s">
        <v>12</v>
      </c>
      <c r="I297" s="11" t="s">
        <v>13</v>
      </c>
      <c r="J297" s="8" t="s">
        <v>14</v>
      </c>
    </row>
    <row r="298" customFormat="false" ht="14.25" hidden="false" customHeight="false" outlineLevel="0" collapsed="false">
      <c r="A298" s="8" t="n">
        <v>297</v>
      </c>
      <c r="B298" s="8" t="s">
        <v>32</v>
      </c>
      <c r="C298" s="8" t="s">
        <v>10</v>
      </c>
      <c r="D298" s="9" t="n">
        <v>43906</v>
      </c>
      <c r="E298" s="9" t="str">
        <f aca="false">TEXT(D298,"MMM")</f>
        <v>mar</v>
      </c>
      <c r="F298" s="10" t="n">
        <v>2788</v>
      </c>
      <c r="G298" s="8" t="s">
        <v>11</v>
      </c>
      <c r="H298" s="8" t="s">
        <v>30</v>
      </c>
      <c r="I298" s="11" t="s">
        <v>31</v>
      </c>
      <c r="J298" s="8" t="s">
        <v>14</v>
      </c>
    </row>
    <row r="299" customFormat="false" ht="14.25" hidden="false" customHeight="false" outlineLevel="0" collapsed="false">
      <c r="A299" s="8" t="n">
        <v>298</v>
      </c>
      <c r="B299" s="8" t="s">
        <v>55</v>
      </c>
      <c r="C299" s="8" t="s">
        <v>10</v>
      </c>
      <c r="D299" s="9" t="n">
        <v>43906</v>
      </c>
      <c r="E299" s="9" t="str">
        <f aca="false">TEXT(D299,"MMM")</f>
        <v>mar</v>
      </c>
      <c r="F299" s="10" t="n">
        <v>4321.4</v>
      </c>
      <c r="G299" s="8" t="s">
        <v>11</v>
      </c>
      <c r="H299" s="8" t="s">
        <v>12</v>
      </c>
      <c r="I299" s="11" t="s">
        <v>13</v>
      </c>
      <c r="J299" s="8" t="s">
        <v>24</v>
      </c>
    </row>
    <row r="300" customFormat="false" ht="14.25" hidden="false" customHeight="false" outlineLevel="0" collapsed="false">
      <c r="A300" s="8" t="n">
        <v>299</v>
      </c>
      <c r="B300" s="8" t="s">
        <v>20</v>
      </c>
      <c r="C300" s="8" t="s">
        <v>28</v>
      </c>
      <c r="D300" s="9" t="n">
        <v>43906</v>
      </c>
      <c r="E300" s="9" t="str">
        <f aca="false">TEXT(D300,"MMM")</f>
        <v>mar</v>
      </c>
      <c r="F300" s="10" t="n">
        <v>2439.5</v>
      </c>
      <c r="G300" s="8" t="s">
        <v>11</v>
      </c>
      <c r="H300" s="8" t="s">
        <v>12</v>
      </c>
      <c r="I300" s="11" t="s">
        <v>13</v>
      </c>
      <c r="J300" s="8" t="s">
        <v>14</v>
      </c>
    </row>
    <row r="301" customFormat="false" ht="14.25" hidden="false" customHeight="false" outlineLevel="0" collapsed="false">
      <c r="A301" s="8" t="n">
        <v>300</v>
      </c>
      <c r="B301" s="8" t="s">
        <v>55</v>
      </c>
      <c r="C301" s="8" t="s">
        <v>10</v>
      </c>
      <c r="D301" s="9" t="n">
        <v>43906</v>
      </c>
      <c r="E301" s="9" t="str">
        <f aca="false">TEXT(D301,"MMM")</f>
        <v>mar</v>
      </c>
      <c r="F301" s="10" t="n">
        <v>2439.5</v>
      </c>
      <c r="G301" s="8" t="s">
        <v>11</v>
      </c>
      <c r="H301" s="8" t="s">
        <v>12</v>
      </c>
      <c r="I301" s="11" t="s">
        <v>13</v>
      </c>
      <c r="J301" s="8" t="s">
        <v>26</v>
      </c>
    </row>
    <row r="302" customFormat="false" ht="14.25" hidden="false" customHeight="false" outlineLevel="0" collapsed="false">
      <c r="A302" s="8" t="n">
        <v>301</v>
      </c>
      <c r="B302" s="8" t="s">
        <v>20</v>
      </c>
      <c r="C302" s="8" t="s">
        <v>21</v>
      </c>
      <c r="D302" s="9" t="n">
        <v>43906</v>
      </c>
      <c r="E302" s="9" t="str">
        <f aca="false">TEXT(D302,"MMM")</f>
        <v>mar</v>
      </c>
      <c r="F302" s="10" t="n">
        <v>4321.4</v>
      </c>
      <c r="G302" s="8" t="s">
        <v>11</v>
      </c>
      <c r="H302" s="8" t="s">
        <v>17</v>
      </c>
      <c r="I302" s="11" t="s">
        <v>18</v>
      </c>
      <c r="J302" s="8" t="s">
        <v>19</v>
      </c>
    </row>
    <row r="303" customFormat="false" ht="14.25" hidden="false" customHeight="false" outlineLevel="0" collapsed="false">
      <c r="A303" s="8" t="n">
        <v>302</v>
      </c>
      <c r="B303" s="8" t="s">
        <v>55</v>
      </c>
      <c r="C303" s="8" t="s">
        <v>10</v>
      </c>
      <c r="D303" s="9" t="n">
        <v>43906</v>
      </c>
      <c r="E303" s="9" t="str">
        <f aca="false">TEXT(D303,"MMM")</f>
        <v>mar</v>
      </c>
      <c r="F303" s="10" t="n">
        <v>2788</v>
      </c>
      <c r="G303" s="8" t="s">
        <v>11</v>
      </c>
      <c r="H303" s="8" t="s">
        <v>12</v>
      </c>
      <c r="I303" s="11" t="s">
        <v>13</v>
      </c>
      <c r="J303" s="8" t="s">
        <v>14</v>
      </c>
    </row>
    <row r="304" customFormat="false" ht="14.25" hidden="false" customHeight="false" outlineLevel="0" collapsed="false">
      <c r="A304" s="8" t="n">
        <v>303</v>
      </c>
      <c r="B304" s="8" t="s">
        <v>55</v>
      </c>
      <c r="C304" s="8" t="s">
        <v>10</v>
      </c>
      <c r="D304" s="9" t="n">
        <v>43906</v>
      </c>
      <c r="E304" s="9" t="str">
        <f aca="false">TEXT(D304,"MMM")</f>
        <v>mar</v>
      </c>
      <c r="F304" s="10" t="n">
        <v>2439.5</v>
      </c>
      <c r="G304" s="8" t="s">
        <v>11</v>
      </c>
      <c r="H304" s="8" t="s">
        <v>22</v>
      </c>
      <c r="I304" s="11" t="s">
        <v>23</v>
      </c>
      <c r="J304" s="8" t="s">
        <v>14</v>
      </c>
    </row>
    <row r="305" customFormat="false" ht="14.25" hidden="false" customHeight="false" outlineLevel="0" collapsed="false">
      <c r="A305" s="8" t="n">
        <v>304</v>
      </c>
      <c r="B305" s="8" t="s">
        <v>27</v>
      </c>
      <c r="C305" s="8" t="s">
        <v>21</v>
      </c>
      <c r="D305" s="9" t="n">
        <v>43907</v>
      </c>
      <c r="E305" s="9" t="str">
        <f aca="false">TEXT(D305,"MMM")</f>
        <v>mar</v>
      </c>
      <c r="F305" s="10" t="n">
        <v>-38837.72</v>
      </c>
      <c r="G305" s="8" t="s">
        <v>34</v>
      </c>
      <c r="H305" s="8" t="s">
        <v>17</v>
      </c>
      <c r="I305" s="11" t="s">
        <v>18</v>
      </c>
      <c r="J305" s="8" t="s">
        <v>14</v>
      </c>
    </row>
    <row r="306" customFormat="false" ht="14.25" hidden="false" customHeight="false" outlineLevel="0" collapsed="false">
      <c r="A306" s="8" t="n">
        <v>305</v>
      </c>
      <c r="B306" s="8" t="s">
        <v>27</v>
      </c>
      <c r="C306" s="8" t="s">
        <v>16</v>
      </c>
      <c r="D306" s="9" t="n">
        <v>43907</v>
      </c>
      <c r="E306" s="9" t="str">
        <f aca="false">TEXT(D306,"MMM")</f>
        <v>mar</v>
      </c>
      <c r="F306" s="10" t="n">
        <v>-7937.86</v>
      </c>
      <c r="G306" s="8" t="s">
        <v>34</v>
      </c>
      <c r="H306" s="8" t="s">
        <v>22</v>
      </c>
      <c r="I306" s="11" t="s">
        <v>23</v>
      </c>
      <c r="J306" s="8" t="s">
        <v>26</v>
      </c>
    </row>
    <row r="307" customFormat="false" ht="14.25" hidden="false" customHeight="false" outlineLevel="0" collapsed="false">
      <c r="A307" s="8" t="n">
        <v>306</v>
      </c>
      <c r="B307" s="8" t="s">
        <v>27</v>
      </c>
      <c r="C307" s="8" t="s">
        <v>10</v>
      </c>
      <c r="D307" s="9" t="n">
        <v>43907</v>
      </c>
      <c r="E307" s="9" t="str">
        <f aca="false">TEXT(D307,"MMM")</f>
        <v>mar</v>
      </c>
      <c r="F307" s="10" t="n">
        <v>4530.5</v>
      </c>
      <c r="G307" s="8" t="s">
        <v>11</v>
      </c>
      <c r="H307" s="8" t="s">
        <v>12</v>
      </c>
      <c r="I307" s="11" t="s">
        <v>13</v>
      </c>
      <c r="J307" s="8" t="s">
        <v>24</v>
      </c>
    </row>
    <row r="308" customFormat="false" ht="14.25" hidden="false" customHeight="false" outlineLevel="0" collapsed="false">
      <c r="A308" s="8" t="n">
        <v>307</v>
      </c>
      <c r="B308" s="8" t="s">
        <v>27</v>
      </c>
      <c r="C308" s="8" t="s">
        <v>28</v>
      </c>
      <c r="D308" s="9" t="n">
        <v>43907</v>
      </c>
      <c r="E308" s="9" t="str">
        <f aca="false">TEXT(D308,"MMM")</f>
        <v>mar</v>
      </c>
      <c r="F308" s="10" t="n">
        <v>6063.9</v>
      </c>
      <c r="G308" s="8" t="s">
        <v>11</v>
      </c>
      <c r="H308" s="8" t="s">
        <v>22</v>
      </c>
      <c r="I308" s="11" t="s">
        <v>23</v>
      </c>
      <c r="J308" s="8" t="s">
        <v>26</v>
      </c>
    </row>
    <row r="309" customFormat="false" ht="14.25" hidden="false" customHeight="false" outlineLevel="0" collapsed="false">
      <c r="A309" s="8" t="n">
        <v>308</v>
      </c>
      <c r="B309" s="8" t="s">
        <v>27</v>
      </c>
      <c r="C309" s="8" t="s">
        <v>10</v>
      </c>
      <c r="D309" s="9" t="n">
        <v>43907</v>
      </c>
      <c r="E309" s="9" t="str">
        <f aca="false">TEXT(D309,"MMM")</f>
        <v>mar</v>
      </c>
      <c r="F309" s="10" t="n">
        <v>6063.9</v>
      </c>
      <c r="G309" s="8" t="s">
        <v>11</v>
      </c>
      <c r="H309" s="8" t="s">
        <v>12</v>
      </c>
      <c r="I309" s="11" t="s">
        <v>13</v>
      </c>
      <c r="J309" s="8" t="s">
        <v>24</v>
      </c>
    </row>
    <row r="310" customFormat="false" ht="14.25" hidden="false" customHeight="false" outlineLevel="0" collapsed="false">
      <c r="A310" s="8" t="n">
        <v>309</v>
      </c>
      <c r="B310" s="8" t="s">
        <v>41</v>
      </c>
      <c r="C310" s="8" t="s">
        <v>10</v>
      </c>
      <c r="D310" s="9" t="n">
        <v>43910</v>
      </c>
      <c r="E310" s="9" t="str">
        <f aca="false">TEXT(D310,"MMM")</f>
        <v>mar</v>
      </c>
      <c r="F310" s="10" t="n">
        <v>4652.76</v>
      </c>
      <c r="G310" s="8" t="s">
        <v>11</v>
      </c>
      <c r="H310" s="8" t="s">
        <v>12</v>
      </c>
      <c r="I310" s="11" t="s">
        <v>13</v>
      </c>
      <c r="J310" s="8" t="s">
        <v>19</v>
      </c>
    </row>
    <row r="311" customFormat="false" ht="14.25" hidden="false" customHeight="false" outlineLevel="0" collapsed="false">
      <c r="A311" s="8" t="n">
        <v>310</v>
      </c>
      <c r="B311" s="8" t="s">
        <v>85</v>
      </c>
      <c r="C311" s="8" t="s">
        <v>28</v>
      </c>
      <c r="D311" s="9" t="n">
        <v>43910</v>
      </c>
      <c r="E311" s="9" t="str">
        <f aca="false">TEXT(D311,"MMM")</f>
        <v>mar</v>
      </c>
      <c r="F311" s="10" t="n">
        <v>709840.33</v>
      </c>
      <c r="G311" s="8" t="s">
        <v>11</v>
      </c>
      <c r="H311" s="8" t="s">
        <v>36</v>
      </c>
      <c r="I311" s="11" t="s">
        <v>37</v>
      </c>
      <c r="J311" s="8" t="s">
        <v>14</v>
      </c>
    </row>
    <row r="312" customFormat="false" ht="14.25" hidden="false" customHeight="false" outlineLevel="0" collapsed="false">
      <c r="A312" s="8" t="n">
        <v>311</v>
      </c>
      <c r="B312" s="8" t="s">
        <v>40</v>
      </c>
      <c r="C312" s="8" t="s">
        <v>10</v>
      </c>
      <c r="D312" s="9" t="n">
        <v>43910</v>
      </c>
      <c r="E312" s="9" t="str">
        <f aca="false">TEXT(D312,"MMM")</f>
        <v>mar</v>
      </c>
      <c r="F312" s="10" t="n">
        <v>13845.39</v>
      </c>
      <c r="G312" s="8" t="s">
        <v>11</v>
      </c>
      <c r="H312" s="8" t="s">
        <v>17</v>
      </c>
      <c r="I312" s="11" t="s">
        <v>18</v>
      </c>
      <c r="J312" s="8" t="s">
        <v>26</v>
      </c>
    </row>
    <row r="313" customFormat="false" ht="14.25" hidden="false" customHeight="false" outlineLevel="0" collapsed="false">
      <c r="A313" s="8" t="n">
        <v>312</v>
      </c>
      <c r="B313" s="8" t="s">
        <v>58</v>
      </c>
      <c r="C313" s="8" t="s">
        <v>10</v>
      </c>
      <c r="D313" s="9" t="n">
        <v>43910</v>
      </c>
      <c r="E313" s="9" t="str">
        <f aca="false">TEXT(D313,"MMM")</f>
        <v>mar</v>
      </c>
      <c r="F313" s="10" t="n">
        <v>13552.14</v>
      </c>
      <c r="G313" s="8" t="s">
        <v>11</v>
      </c>
      <c r="H313" s="8" t="s">
        <v>17</v>
      </c>
      <c r="I313" s="11" t="s">
        <v>18</v>
      </c>
      <c r="J313" s="8" t="s">
        <v>26</v>
      </c>
    </row>
    <row r="314" customFormat="false" ht="14.25" hidden="false" customHeight="false" outlineLevel="0" collapsed="false">
      <c r="A314" s="8" t="n">
        <v>313</v>
      </c>
      <c r="B314" s="8" t="s">
        <v>58</v>
      </c>
      <c r="C314" s="8" t="s">
        <v>10</v>
      </c>
      <c r="D314" s="9" t="n">
        <v>43910</v>
      </c>
      <c r="E314" s="9" t="str">
        <f aca="false">TEXT(D314,"MMM")</f>
        <v>mar</v>
      </c>
      <c r="F314" s="10" t="n">
        <v>12762.7</v>
      </c>
      <c r="G314" s="8" t="s">
        <v>11</v>
      </c>
      <c r="H314" s="8" t="s">
        <v>17</v>
      </c>
      <c r="I314" s="11" t="s">
        <v>18</v>
      </c>
      <c r="J314" s="8" t="s">
        <v>24</v>
      </c>
    </row>
    <row r="315" customFormat="false" ht="14.25" hidden="false" customHeight="false" outlineLevel="0" collapsed="false">
      <c r="A315" s="8" t="n">
        <v>314</v>
      </c>
      <c r="B315" s="8" t="s">
        <v>58</v>
      </c>
      <c r="C315" s="8" t="s">
        <v>16</v>
      </c>
      <c r="D315" s="9" t="n">
        <v>43910</v>
      </c>
      <c r="E315" s="9" t="str">
        <f aca="false">TEXT(D315,"MMM")</f>
        <v>mar</v>
      </c>
      <c r="F315" s="10" t="n">
        <v>161483.85</v>
      </c>
      <c r="G315" s="8" t="s">
        <v>11</v>
      </c>
      <c r="H315" s="8" t="s">
        <v>12</v>
      </c>
      <c r="I315" s="11" t="s">
        <v>13</v>
      </c>
      <c r="J315" s="8" t="s">
        <v>26</v>
      </c>
    </row>
    <row r="316" customFormat="false" ht="14.25" hidden="false" customHeight="false" outlineLevel="0" collapsed="false">
      <c r="A316" s="8" t="n">
        <v>315</v>
      </c>
      <c r="B316" s="8" t="s">
        <v>58</v>
      </c>
      <c r="C316" s="8" t="s">
        <v>10</v>
      </c>
      <c r="D316" s="9" t="n">
        <v>43910</v>
      </c>
      <c r="E316" s="9" t="str">
        <f aca="false">TEXT(D316,"MMM")</f>
        <v>mar</v>
      </c>
      <c r="F316" s="10" t="n">
        <v>-205.98</v>
      </c>
      <c r="G316" s="8" t="s">
        <v>34</v>
      </c>
      <c r="H316" s="8" t="s">
        <v>17</v>
      </c>
      <c r="I316" s="11" t="s">
        <v>18</v>
      </c>
      <c r="J316" s="8" t="s">
        <v>14</v>
      </c>
    </row>
    <row r="317" customFormat="false" ht="14.25" hidden="false" customHeight="false" outlineLevel="0" collapsed="false">
      <c r="A317" s="8" t="n">
        <v>316</v>
      </c>
      <c r="B317" s="8" t="s">
        <v>41</v>
      </c>
      <c r="C317" s="8" t="s">
        <v>10</v>
      </c>
      <c r="D317" s="9" t="n">
        <v>43911</v>
      </c>
      <c r="E317" s="9" t="str">
        <f aca="false">TEXT(D317,"MMM")</f>
        <v>mar</v>
      </c>
      <c r="F317" s="10" t="n">
        <v>-8117.27</v>
      </c>
      <c r="G317" s="8" t="s">
        <v>34</v>
      </c>
      <c r="H317" s="8" t="s">
        <v>22</v>
      </c>
      <c r="I317" s="11" t="s">
        <v>23</v>
      </c>
      <c r="J317" s="8" t="s">
        <v>26</v>
      </c>
    </row>
    <row r="318" customFormat="false" ht="14.25" hidden="false" customHeight="false" outlineLevel="0" collapsed="false">
      <c r="A318" s="8" t="n">
        <v>317</v>
      </c>
      <c r="B318" s="8" t="s">
        <v>39</v>
      </c>
      <c r="C318" s="8" t="s">
        <v>10</v>
      </c>
      <c r="D318" s="9" t="n">
        <v>43912</v>
      </c>
      <c r="E318" s="9" t="str">
        <f aca="false">TEXT(D318,"MMM")</f>
        <v>mar</v>
      </c>
      <c r="F318" s="10" t="n">
        <v>127935.53</v>
      </c>
      <c r="G318" s="8" t="s">
        <v>11</v>
      </c>
      <c r="H318" s="8" t="s">
        <v>22</v>
      </c>
      <c r="I318" s="11" t="s">
        <v>23</v>
      </c>
      <c r="J318" s="8" t="s">
        <v>24</v>
      </c>
    </row>
    <row r="319" customFormat="false" ht="14.25" hidden="false" customHeight="false" outlineLevel="0" collapsed="false">
      <c r="A319" s="8" t="n">
        <v>318</v>
      </c>
      <c r="B319" s="8" t="s">
        <v>40</v>
      </c>
      <c r="C319" s="8" t="s">
        <v>10</v>
      </c>
      <c r="D319" s="9" t="n">
        <v>43913</v>
      </c>
      <c r="E319" s="9" t="str">
        <f aca="false">TEXT(D319,"MMM")</f>
        <v>mar</v>
      </c>
      <c r="F319" s="10" t="n">
        <v>-13397.48</v>
      </c>
      <c r="G319" s="8" t="s">
        <v>34</v>
      </c>
      <c r="H319" s="8" t="s">
        <v>30</v>
      </c>
      <c r="I319" s="11" t="s">
        <v>31</v>
      </c>
      <c r="J319" s="8" t="s">
        <v>19</v>
      </c>
    </row>
    <row r="320" customFormat="false" ht="14.25" hidden="false" customHeight="false" outlineLevel="0" collapsed="false">
      <c r="A320" s="8" t="n">
        <v>319</v>
      </c>
      <c r="B320" s="8" t="s">
        <v>39</v>
      </c>
      <c r="C320" s="8" t="s">
        <v>21</v>
      </c>
      <c r="D320" s="9" t="n">
        <v>43913</v>
      </c>
      <c r="E320" s="9" t="str">
        <f aca="false">TEXT(D320,"MMM")</f>
        <v>mar</v>
      </c>
      <c r="F320" s="10" t="n">
        <v>138399.04</v>
      </c>
      <c r="G320" s="8" t="s">
        <v>11</v>
      </c>
      <c r="H320" s="8" t="s">
        <v>12</v>
      </c>
      <c r="I320" s="11" t="s">
        <v>13</v>
      </c>
      <c r="J320" s="8" t="s">
        <v>19</v>
      </c>
    </row>
    <row r="321" customFormat="false" ht="14.25" hidden="false" customHeight="false" outlineLevel="0" collapsed="false">
      <c r="A321" s="8" t="n">
        <v>320</v>
      </c>
      <c r="B321" s="8" t="s">
        <v>44</v>
      </c>
      <c r="C321" s="8" t="s">
        <v>28</v>
      </c>
      <c r="D321" s="9" t="n">
        <v>43914</v>
      </c>
      <c r="E321" s="9" t="str">
        <f aca="false">TEXT(D321,"MMM")</f>
        <v>mar</v>
      </c>
      <c r="F321" s="10" t="n">
        <v>103392.18</v>
      </c>
      <c r="G321" s="8" t="s">
        <v>11</v>
      </c>
      <c r="H321" s="8" t="s">
        <v>12</v>
      </c>
      <c r="I321" s="11" t="s">
        <v>13</v>
      </c>
      <c r="J321" s="8" t="s">
        <v>26</v>
      </c>
    </row>
    <row r="322" customFormat="false" ht="14.25" hidden="false" customHeight="false" outlineLevel="0" collapsed="false">
      <c r="A322" s="8" t="n">
        <v>321</v>
      </c>
      <c r="B322" s="8" t="s">
        <v>44</v>
      </c>
      <c r="C322" s="8" t="s">
        <v>28</v>
      </c>
      <c r="D322" s="9" t="n">
        <v>43914</v>
      </c>
      <c r="E322" s="9" t="str">
        <f aca="false">TEXT(D322,"MMM")</f>
        <v>mar</v>
      </c>
      <c r="F322" s="10" t="n">
        <v>73915.15</v>
      </c>
      <c r="G322" s="8" t="s">
        <v>11</v>
      </c>
      <c r="H322" s="8" t="s">
        <v>17</v>
      </c>
      <c r="I322" s="11" t="s">
        <v>18</v>
      </c>
      <c r="J322" s="8" t="s">
        <v>19</v>
      </c>
    </row>
    <row r="323" customFormat="false" ht="14.25" hidden="false" customHeight="false" outlineLevel="0" collapsed="false">
      <c r="A323" s="8" t="n">
        <v>322</v>
      </c>
      <c r="B323" s="8" t="s">
        <v>72</v>
      </c>
      <c r="C323" s="8" t="s">
        <v>10</v>
      </c>
      <c r="D323" s="9" t="n">
        <v>43914</v>
      </c>
      <c r="E323" s="9" t="str">
        <f aca="false">TEXT(D323,"MMM")</f>
        <v>mar</v>
      </c>
      <c r="F323" s="10" t="n">
        <v>7200.63</v>
      </c>
      <c r="G323" s="8" t="s">
        <v>11</v>
      </c>
      <c r="H323" s="8" t="s">
        <v>36</v>
      </c>
      <c r="I323" s="11" t="s">
        <v>37</v>
      </c>
      <c r="J323" s="8" t="s">
        <v>24</v>
      </c>
    </row>
    <row r="324" customFormat="false" ht="14.25" hidden="false" customHeight="false" outlineLevel="0" collapsed="false">
      <c r="A324" s="8" t="n">
        <v>323</v>
      </c>
      <c r="B324" s="8" t="s">
        <v>45</v>
      </c>
      <c r="C324" s="8" t="s">
        <v>28</v>
      </c>
      <c r="D324" s="9" t="n">
        <v>43914</v>
      </c>
      <c r="E324" s="9" t="str">
        <f aca="false">TEXT(D324,"MMM")</f>
        <v>mar</v>
      </c>
      <c r="F324" s="10" t="n">
        <v>3458.53</v>
      </c>
      <c r="G324" s="8" t="s">
        <v>11</v>
      </c>
      <c r="H324" s="8" t="s">
        <v>12</v>
      </c>
      <c r="I324" s="11" t="s">
        <v>13</v>
      </c>
      <c r="J324" s="8" t="s">
        <v>14</v>
      </c>
    </row>
    <row r="325" customFormat="false" ht="14.25" hidden="false" customHeight="false" outlineLevel="0" collapsed="false">
      <c r="A325" s="8" t="n">
        <v>324</v>
      </c>
      <c r="B325" s="8" t="s">
        <v>58</v>
      </c>
      <c r="C325" s="8" t="s">
        <v>10</v>
      </c>
      <c r="D325" s="9" t="n">
        <v>43914</v>
      </c>
      <c r="E325" s="9" t="str">
        <f aca="false">TEXT(D325,"MMM")</f>
        <v>mar</v>
      </c>
      <c r="F325" s="10" t="n">
        <v>3888.04</v>
      </c>
      <c r="G325" s="8" t="s">
        <v>11</v>
      </c>
      <c r="H325" s="8" t="s">
        <v>12</v>
      </c>
      <c r="I325" s="11" t="s">
        <v>13</v>
      </c>
      <c r="J325" s="8" t="s">
        <v>26</v>
      </c>
    </row>
    <row r="326" customFormat="false" ht="14.25" hidden="false" customHeight="false" outlineLevel="0" collapsed="false">
      <c r="A326" s="8" t="n">
        <v>325</v>
      </c>
      <c r="B326" s="8" t="s">
        <v>58</v>
      </c>
      <c r="C326" s="8" t="s">
        <v>10</v>
      </c>
      <c r="D326" s="9" t="n">
        <v>43914</v>
      </c>
      <c r="E326" s="9" t="str">
        <f aca="false">TEXT(D326,"MMM")</f>
        <v>mar</v>
      </c>
      <c r="F326" s="10" t="n">
        <v>7330.71</v>
      </c>
      <c r="G326" s="8" t="s">
        <v>11</v>
      </c>
      <c r="H326" s="8" t="s">
        <v>12</v>
      </c>
      <c r="I326" s="11" t="s">
        <v>13</v>
      </c>
      <c r="J326" s="8" t="s">
        <v>14</v>
      </c>
    </row>
    <row r="327" customFormat="false" ht="14.25" hidden="false" customHeight="false" outlineLevel="0" collapsed="false">
      <c r="A327" s="8" t="n">
        <v>326</v>
      </c>
      <c r="B327" s="8" t="s">
        <v>58</v>
      </c>
      <c r="C327" s="8" t="s">
        <v>16</v>
      </c>
      <c r="D327" s="9" t="n">
        <v>43914</v>
      </c>
      <c r="E327" s="9" t="str">
        <f aca="false">TEXT(D327,"MMM")</f>
        <v>mar</v>
      </c>
      <c r="F327" s="10" t="n">
        <v>3586.39</v>
      </c>
      <c r="G327" s="8" t="s">
        <v>11</v>
      </c>
      <c r="H327" s="8" t="s">
        <v>36</v>
      </c>
      <c r="I327" s="11" t="s">
        <v>37</v>
      </c>
      <c r="J327" s="8" t="s">
        <v>19</v>
      </c>
    </row>
    <row r="328" customFormat="false" ht="14.25" hidden="false" customHeight="false" outlineLevel="0" collapsed="false">
      <c r="A328" s="8" t="n">
        <v>327</v>
      </c>
      <c r="B328" s="8" t="s">
        <v>45</v>
      </c>
      <c r="C328" s="8" t="s">
        <v>10</v>
      </c>
      <c r="D328" s="9" t="n">
        <v>43914</v>
      </c>
      <c r="E328" s="9" t="str">
        <f aca="false">TEXT(D328,"MMM")</f>
        <v>mar</v>
      </c>
      <c r="F328" s="10" t="n">
        <v>25568</v>
      </c>
      <c r="G328" s="8" t="s">
        <v>11</v>
      </c>
      <c r="H328" s="8" t="s">
        <v>12</v>
      </c>
      <c r="I328" s="11" t="s">
        <v>13</v>
      </c>
      <c r="J328" s="8" t="s">
        <v>24</v>
      </c>
    </row>
    <row r="329" customFormat="false" ht="14.25" hidden="false" customHeight="false" outlineLevel="0" collapsed="false">
      <c r="A329" s="8" t="n">
        <v>328</v>
      </c>
      <c r="B329" s="8" t="s">
        <v>90</v>
      </c>
      <c r="C329" s="8" t="s">
        <v>16</v>
      </c>
      <c r="D329" s="9" t="n">
        <v>43914</v>
      </c>
      <c r="E329" s="9" t="str">
        <f aca="false">TEXT(D329,"MMM")</f>
        <v>mar</v>
      </c>
      <c r="F329" s="10" t="n">
        <v>4105.76</v>
      </c>
      <c r="G329" s="8" t="s">
        <v>11</v>
      </c>
      <c r="H329" s="8" t="s">
        <v>17</v>
      </c>
      <c r="I329" s="11" t="s">
        <v>18</v>
      </c>
      <c r="J329" s="8" t="s">
        <v>19</v>
      </c>
    </row>
    <row r="330" customFormat="false" ht="14.25" hidden="false" customHeight="false" outlineLevel="0" collapsed="false">
      <c r="A330" s="8" t="n">
        <v>329</v>
      </c>
      <c r="B330" s="8" t="s">
        <v>72</v>
      </c>
      <c r="C330" s="8" t="s">
        <v>21</v>
      </c>
      <c r="D330" s="9" t="n">
        <v>43914</v>
      </c>
      <c r="E330" s="9" t="str">
        <f aca="false">TEXT(D330,"MMM")</f>
        <v>mar</v>
      </c>
      <c r="F330" s="10" t="n">
        <v>3708.78</v>
      </c>
      <c r="G330" s="8" t="s">
        <v>11</v>
      </c>
      <c r="H330" s="8" t="s">
        <v>17</v>
      </c>
      <c r="I330" s="11" t="s">
        <v>18</v>
      </c>
      <c r="J330" s="8" t="s">
        <v>26</v>
      </c>
    </row>
    <row r="331" customFormat="false" ht="14.25" hidden="false" customHeight="false" outlineLevel="0" collapsed="false">
      <c r="A331" s="8" t="n">
        <v>330</v>
      </c>
      <c r="B331" s="8" t="s">
        <v>90</v>
      </c>
      <c r="C331" s="8" t="s">
        <v>28</v>
      </c>
      <c r="D331" s="9" t="n">
        <v>43914</v>
      </c>
      <c r="E331" s="9" t="str">
        <f aca="false">TEXT(D331,"MMM")</f>
        <v>mar</v>
      </c>
      <c r="F331" s="10" t="n">
        <v>25568</v>
      </c>
      <c r="G331" s="8" t="s">
        <v>11</v>
      </c>
      <c r="H331" s="8" t="s">
        <v>12</v>
      </c>
      <c r="I331" s="11" t="s">
        <v>13</v>
      </c>
      <c r="J331" s="8" t="s">
        <v>14</v>
      </c>
    </row>
    <row r="332" customFormat="false" ht="14.25" hidden="false" customHeight="false" outlineLevel="0" collapsed="false">
      <c r="A332" s="8" t="n">
        <v>331</v>
      </c>
      <c r="B332" s="8" t="s">
        <v>58</v>
      </c>
      <c r="C332" s="8" t="s">
        <v>21</v>
      </c>
      <c r="D332" s="9" t="n">
        <v>43914</v>
      </c>
      <c r="E332" s="9" t="str">
        <f aca="false">TEXT(D332,"MMM")</f>
        <v>mar</v>
      </c>
      <c r="F332" s="10" t="n">
        <v>4023.48</v>
      </c>
      <c r="G332" s="8" t="s">
        <v>11</v>
      </c>
      <c r="H332" s="8" t="s">
        <v>17</v>
      </c>
      <c r="I332" s="11" t="s">
        <v>18</v>
      </c>
      <c r="J332" s="8" t="s">
        <v>19</v>
      </c>
    </row>
    <row r="333" customFormat="false" ht="14.25" hidden="false" customHeight="false" outlineLevel="0" collapsed="false">
      <c r="A333" s="8" t="n">
        <v>332</v>
      </c>
      <c r="B333" s="8" t="s">
        <v>58</v>
      </c>
      <c r="C333" s="8" t="s">
        <v>16</v>
      </c>
      <c r="D333" s="9" t="n">
        <v>43914</v>
      </c>
      <c r="E333" s="9" t="str">
        <f aca="false">TEXT(D333,"MMM")</f>
        <v>mar</v>
      </c>
      <c r="F333" s="10" t="n">
        <v>25568</v>
      </c>
      <c r="G333" s="8" t="s">
        <v>11</v>
      </c>
      <c r="H333" s="8" t="s">
        <v>12</v>
      </c>
      <c r="I333" s="11" t="s">
        <v>13</v>
      </c>
      <c r="J333" s="8" t="s">
        <v>19</v>
      </c>
    </row>
    <row r="334" customFormat="false" ht="14.25" hidden="false" customHeight="false" outlineLevel="0" collapsed="false">
      <c r="A334" s="8" t="n">
        <v>333</v>
      </c>
      <c r="B334" s="8" t="s">
        <v>79</v>
      </c>
      <c r="C334" s="8" t="s">
        <v>10</v>
      </c>
      <c r="D334" s="9" t="n">
        <v>43915</v>
      </c>
      <c r="E334" s="9" t="str">
        <f aca="false">TEXT(D334,"MMM")</f>
        <v>mar</v>
      </c>
      <c r="F334" s="10" t="n">
        <v>25568</v>
      </c>
      <c r="G334" s="8" t="s">
        <v>11</v>
      </c>
      <c r="H334" s="8" t="s">
        <v>17</v>
      </c>
      <c r="I334" s="11" t="s">
        <v>18</v>
      </c>
      <c r="J334" s="8" t="s">
        <v>19</v>
      </c>
    </row>
    <row r="335" customFormat="false" ht="14.25" hidden="false" customHeight="false" outlineLevel="0" collapsed="false">
      <c r="A335" s="8" t="n">
        <v>334</v>
      </c>
      <c r="B335" s="8" t="s">
        <v>79</v>
      </c>
      <c r="C335" s="8" t="s">
        <v>28</v>
      </c>
      <c r="D335" s="9" t="n">
        <v>43915</v>
      </c>
      <c r="E335" s="9" t="str">
        <f aca="false">TEXT(D335,"MMM")</f>
        <v>mar</v>
      </c>
      <c r="F335" s="10" t="n">
        <v>25568</v>
      </c>
      <c r="G335" s="8" t="s">
        <v>11</v>
      </c>
      <c r="H335" s="8" t="s">
        <v>12</v>
      </c>
      <c r="I335" s="11" t="s">
        <v>13</v>
      </c>
      <c r="J335" s="8" t="s">
        <v>26</v>
      </c>
    </row>
    <row r="336" customFormat="false" ht="14.25" hidden="false" customHeight="false" outlineLevel="0" collapsed="false">
      <c r="A336" s="8" t="n">
        <v>335</v>
      </c>
      <c r="B336" s="8" t="s">
        <v>32</v>
      </c>
      <c r="C336" s="8" t="s">
        <v>10</v>
      </c>
      <c r="D336" s="9" t="n">
        <v>43918</v>
      </c>
      <c r="E336" s="9" t="str">
        <f aca="false">TEXT(D336,"MMM")</f>
        <v>mar</v>
      </c>
      <c r="F336" s="10" t="n">
        <v>8968.58</v>
      </c>
      <c r="G336" s="8" t="s">
        <v>11</v>
      </c>
      <c r="H336" s="8" t="s">
        <v>22</v>
      </c>
      <c r="I336" s="11" t="s">
        <v>23</v>
      </c>
      <c r="J336" s="8" t="s">
        <v>14</v>
      </c>
    </row>
    <row r="337" customFormat="false" ht="14.25" hidden="false" customHeight="false" outlineLevel="0" collapsed="false">
      <c r="A337" s="8" t="n">
        <v>336</v>
      </c>
      <c r="B337" s="8" t="s">
        <v>91</v>
      </c>
      <c r="C337" s="8" t="s">
        <v>10</v>
      </c>
      <c r="D337" s="9" t="n">
        <v>43919</v>
      </c>
      <c r="E337" s="9" t="str">
        <f aca="false">TEXT(D337,"MMM")</f>
        <v>mar</v>
      </c>
      <c r="F337" s="10" t="n">
        <v>19730.22</v>
      </c>
      <c r="G337" s="8" t="s">
        <v>11</v>
      </c>
      <c r="H337" s="8" t="s">
        <v>36</v>
      </c>
      <c r="I337" s="11" t="s">
        <v>37</v>
      </c>
      <c r="J337" s="8" t="s">
        <v>26</v>
      </c>
    </row>
    <row r="338" customFormat="false" ht="14.25" hidden="false" customHeight="false" outlineLevel="0" collapsed="false">
      <c r="A338" s="8" t="n">
        <v>337</v>
      </c>
      <c r="B338" s="8" t="s">
        <v>85</v>
      </c>
      <c r="C338" s="8" t="s">
        <v>21</v>
      </c>
      <c r="D338" s="9" t="n">
        <v>43920</v>
      </c>
      <c r="E338" s="9" t="str">
        <f aca="false">TEXT(D338,"MMM")</f>
        <v>mar</v>
      </c>
      <c r="F338" s="10" t="n">
        <v>-148038.97</v>
      </c>
      <c r="G338" s="8" t="s">
        <v>34</v>
      </c>
      <c r="H338" s="8" t="s">
        <v>17</v>
      </c>
      <c r="I338" s="11" t="s">
        <v>18</v>
      </c>
      <c r="J338" s="8" t="s">
        <v>14</v>
      </c>
    </row>
    <row r="339" customFormat="false" ht="14.25" hidden="false" customHeight="false" outlineLevel="0" collapsed="false">
      <c r="A339" s="8" t="n">
        <v>338</v>
      </c>
      <c r="B339" s="8" t="s">
        <v>39</v>
      </c>
      <c r="C339" s="8" t="s">
        <v>10</v>
      </c>
      <c r="D339" s="9" t="n">
        <v>43920</v>
      </c>
      <c r="E339" s="9" t="str">
        <f aca="false">TEXT(D339,"MMM")</f>
        <v>mar</v>
      </c>
      <c r="F339" s="10" t="n">
        <v>8500</v>
      </c>
      <c r="G339" s="8" t="s">
        <v>11</v>
      </c>
      <c r="H339" s="8" t="s">
        <v>17</v>
      </c>
      <c r="I339" s="11" t="s">
        <v>18</v>
      </c>
      <c r="J339" s="8" t="s">
        <v>14</v>
      </c>
    </row>
    <row r="340" customFormat="false" ht="14.25" hidden="false" customHeight="false" outlineLevel="0" collapsed="false">
      <c r="A340" s="8" t="n">
        <v>339</v>
      </c>
      <c r="B340" s="8" t="s">
        <v>92</v>
      </c>
      <c r="C340" s="8" t="s">
        <v>21</v>
      </c>
      <c r="D340" s="9" t="n">
        <v>43921</v>
      </c>
      <c r="E340" s="9" t="str">
        <f aca="false">TEXT(D340,"MMM")</f>
        <v>mar</v>
      </c>
      <c r="F340" s="10" t="n">
        <v>152806.49</v>
      </c>
      <c r="G340" s="8" t="s">
        <v>11</v>
      </c>
      <c r="H340" s="8" t="s">
        <v>17</v>
      </c>
      <c r="I340" s="11" t="s">
        <v>18</v>
      </c>
      <c r="J340" s="8" t="s">
        <v>26</v>
      </c>
    </row>
    <row r="341" customFormat="false" ht="14.25" hidden="false" customHeight="false" outlineLevel="0" collapsed="false">
      <c r="A341" s="8" t="n">
        <v>340</v>
      </c>
      <c r="B341" s="8" t="s">
        <v>93</v>
      </c>
      <c r="C341" s="8" t="s">
        <v>21</v>
      </c>
      <c r="D341" s="9" t="n">
        <v>43921</v>
      </c>
      <c r="E341" s="9" t="str">
        <f aca="false">TEXT(D341,"MMM")</f>
        <v>mar</v>
      </c>
      <c r="F341" s="10" t="n">
        <v>182626.3</v>
      </c>
      <c r="G341" s="8" t="s">
        <v>11</v>
      </c>
      <c r="H341" s="8" t="s">
        <v>36</v>
      </c>
      <c r="I341" s="11" t="s">
        <v>37</v>
      </c>
      <c r="J341" s="8" t="s">
        <v>14</v>
      </c>
    </row>
    <row r="342" customFormat="false" ht="14.25" hidden="false" customHeight="false" outlineLevel="0" collapsed="false">
      <c r="A342" s="8" t="n">
        <v>341</v>
      </c>
      <c r="B342" s="8" t="s">
        <v>94</v>
      </c>
      <c r="C342" s="8" t="s">
        <v>10</v>
      </c>
      <c r="D342" s="9" t="n">
        <v>43921</v>
      </c>
      <c r="E342" s="9" t="str">
        <f aca="false">TEXT(D342,"MMM")</f>
        <v>mar</v>
      </c>
      <c r="F342" s="10" t="n">
        <v>148557.15</v>
      </c>
      <c r="G342" s="8" t="s">
        <v>11</v>
      </c>
      <c r="H342" s="8" t="s">
        <v>12</v>
      </c>
      <c r="I342" s="11" t="s">
        <v>13</v>
      </c>
      <c r="J342" s="8" t="s">
        <v>26</v>
      </c>
    </row>
    <row r="343" customFormat="false" ht="14.25" hidden="false" customHeight="false" outlineLevel="0" collapsed="false">
      <c r="A343" s="8" t="n">
        <v>342</v>
      </c>
      <c r="B343" s="8" t="s">
        <v>95</v>
      </c>
      <c r="C343" s="8" t="s">
        <v>10</v>
      </c>
      <c r="D343" s="9" t="n">
        <v>43921</v>
      </c>
      <c r="E343" s="9" t="str">
        <f aca="false">TEXT(D343,"MMM")</f>
        <v>mar</v>
      </c>
      <c r="F343" s="10" t="n">
        <v>2884.59</v>
      </c>
      <c r="G343" s="8" t="s">
        <v>11</v>
      </c>
      <c r="H343" s="8" t="s">
        <v>22</v>
      </c>
      <c r="I343" s="11" t="s">
        <v>23</v>
      </c>
      <c r="J343" s="8" t="s">
        <v>14</v>
      </c>
    </row>
    <row r="344" customFormat="false" ht="14.25" hidden="false" customHeight="false" outlineLevel="0" collapsed="false">
      <c r="A344" s="8" t="n">
        <v>343</v>
      </c>
      <c r="B344" s="8" t="s">
        <v>96</v>
      </c>
      <c r="C344" s="8" t="s">
        <v>16</v>
      </c>
      <c r="D344" s="9" t="n">
        <v>43921</v>
      </c>
      <c r="E344" s="9" t="str">
        <f aca="false">TEXT(D344,"MMM")</f>
        <v>mar</v>
      </c>
      <c r="F344" s="10" t="n">
        <v>2658.93</v>
      </c>
      <c r="G344" s="8" t="s">
        <v>11</v>
      </c>
      <c r="H344" s="8" t="s">
        <v>17</v>
      </c>
      <c r="I344" s="11" t="s">
        <v>18</v>
      </c>
      <c r="J344" s="8" t="s">
        <v>26</v>
      </c>
    </row>
    <row r="345" customFormat="false" ht="14.25" hidden="false" customHeight="false" outlineLevel="0" collapsed="false">
      <c r="A345" s="8" t="n">
        <v>344</v>
      </c>
      <c r="B345" s="8" t="s">
        <v>97</v>
      </c>
      <c r="C345" s="8" t="s">
        <v>21</v>
      </c>
      <c r="D345" s="9" t="n">
        <v>43921</v>
      </c>
      <c r="E345" s="9" t="str">
        <f aca="false">TEXT(D345,"MMM")</f>
        <v>mar</v>
      </c>
      <c r="F345" s="10" t="n">
        <v>165375.39</v>
      </c>
      <c r="G345" s="8" t="s">
        <v>11</v>
      </c>
      <c r="H345" s="8" t="s">
        <v>36</v>
      </c>
      <c r="I345" s="11" t="s">
        <v>37</v>
      </c>
      <c r="J345" s="8" t="s">
        <v>14</v>
      </c>
    </row>
    <row r="346" customFormat="false" ht="14.25" hidden="false" customHeight="false" outlineLevel="0" collapsed="false">
      <c r="A346" s="8" t="n">
        <v>345</v>
      </c>
      <c r="B346" s="8" t="s">
        <v>98</v>
      </c>
      <c r="C346" s="8" t="s">
        <v>16</v>
      </c>
      <c r="D346" s="9" t="n">
        <v>43921</v>
      </c>
      <c r="E346" s="9" t="str">
        <f aca="false">TEXT(D346,"MMM")</f>
        <v>mar</v>
      </c>
      <c r="F346" s="10" t="n">
        <v>-34603.59</v>
      </c>
      <c r="G346" s="8" t="s">
        <v>34</v>
      </c>
      <c r="H346" s="8" t="s">
        <v>17</v>
      </c>
      <c r="I346" s="11" t="s">
        <v>18</v>
      </c>
      <c r="J346" s="8" t="s">
        <v>14</v>
      </c>
    </row>
    <row r="347" customFormat="false" ht="14.25" hidden="false" customHeight="false" outlineLevel="0" collapsed="false">
      <c r="A347" s="8" t="n">
        <v>346</v>
      </c>
      <c r="B347" s="8" t="s">
        <v>55</v>
      </c>
      <c r="C347" s="8" t="s">
        <v>28</v>
      </c>
      <c r="D347" s="9" t="n">
        <v>43921</v>
      </c>
      <c r="E347" s="9" t="str">
        <f aca="false">TEXT(D347,"MMM")</f>
        <v>mar</v>
      </c>
      <c r="F347" s="10" t="n">
        <v>144801.1</v>
      </c>
      <c r="G347" s="8" t="s">
        <v>11</v>
      </c>
      <c r="H347" s="8" t="s">
        <v>22</v>
      </c>
      <c r="I347" s="11" t="s">
        <v>23</v>
      </c>
      <c r="J347" s="8" t="s">
        <v>26</v>
      </c>
    </row>
    <row r="348" customFormat="false" ht="14.25" hidden="false" customHeight="false" outlineLevel="0" collapsed="false">
      <c r="A348" s="8" t="n">
        <v>347</v>
      </c>
      <c r="B348" s="8" t="s">
        <v>99</v>
      </c>
      <c r="C348" s="8" t="s">
        <v>28</v>
      </c>
      <c r="D348" s="9" t="n">
        <v>43921</v>
      </c>
      <c r="E348" s="9" t="str">
        <f aca="false">TEXT(D348,"MMM")</f>
        <v>mar</v>
      </c>
      <c r="F348" s="10" t="n">
        <v>-6728.86</v>
      </c>
      <c r="G348" s="8" t="s">
        <v>34</v>
      </c>
      <c r="H348" s="8" t="s">
        <v>17</v>
      </c>
      <c r="I348" s="11" t="s">
        <v>18</v>
      </c>
      <c r="J348" s="8" t="s">
        <v>26</v>
      </c>
    </row>
    <row r="349" customFormat="false" ht="14.25" hidden="false" customHeight="false" outlineLevel="0" collapsed="false">
      <c r="A349" s="8" t="n">
        <v>348</v>
      </c>
      <c r="B349" s="8" t="s">
        <v>100</v>
      </c>
      <c r="C349" s="8" t="s">
        <v>16</v>
      </c>
      <c r="D349" s="9" t="n">
        <v>43921</v>
      </c>
      <c r="E349" s="9" t="str">
        <f aca="false">TEXT(D349,"MMM")</f>
        <v>mar</v>
      </c>
      <c r="F349" s="10" t="n">
        <v>-42971.46</v>
      </c>
      <c r="G349" s="8" t="s">
        <v>34</v>
      </c>
      <c r="H349" s="8" t="s">
        <v>17</v>
      </c>
      <c r="I349" s="11" t="s">
        <v>18</v>
      </c>
      <c r="J349" s="8" t="s">
        <v>14</v>
      </c>
    </row>
    <row r="350" customFormat="false" ht="14.25" hidden="false" customHeight="false" outlineLevel="0" collapsed="false">
      <c r="A350" s="8" t="n">
        <v>349</v>
      </c>
      <c r="B350" s="8" t="s">
        <v>27</v>
      </c>
      <c r="C350" s="8" t="s">
        <v>28</v>
      </c>
      <c r="D350" s="9" t="n">
        <v>43921</v>
      </c>
      <c r="E350" s="9" t="str">
        <f aca="false">TEXT(D350,"MMM")</f>
        <v>mar</v>
      </c>
      <c r="F350" s="10" t="n">
        <v>-364602.46</v>
      </c>
      <c r="G350" s="8" t="s">
        <v>34</v>
      </c>
      <c r="H350" s="8" t="s">
        <v>12</v>
      </c>
      <c r="I350" s="11" t="s">
        <v>13</v>
      </c>
      <c r="J350" s="8" t="s">
        <v>14</v>
      </c>
    </row>
    <row r="351" customFormat="false" ht="14.25" hidden="false" customHeight="false" outlineLevel="0" collapsed="false">
      <c r="A351" s="8" t="n">
        <v>350</v>
      </c>
      <c r="B351" s="8" t="s">
        <v>100</v>
      </c>
      <c r="C351" s="8" t="s">
        <v>10</v>
      </c>
      <c r="D351" s="9" t="n">
        <v>43921</v>
      </c>
      <c r="E351" s="9" t="str">
        <f aca="false">TEXT(D351,"MMM")</f>
        <v>mar</v>
      </c>
      <c r="F351" s="10" t="n">
        <v>7667</v>
      </c>
      <c r="G351" s="8" t="s">
        <v>11</v>
      </c>
      <c r="H351" s="8" t="s">
        <v>17</v>
      </c>
      <c r="I351" s="11" t="s">
        <v>18</v>
      </c>
      <c r="J351" s="8" t="s">
        <v>26</v>
      </c>
    </row>
    <row r="352" customFormat="false" ht="14.25" hidden="false" customHeight="false" outlineLevel="0" collapsed="false">
      <c r="A352" s="8" t="n">
        <v>351</v>
      </c>
      <c r="B352" s="8" t="s">
        <v>100</v>
      </c>
      <c r="C352" s="8" t="s">
        <v>21</v>
      </c>
      <c r="D352" s="9" t="n">
        <v>43921</v>
      </c>
      <c r="E352" s="9" t="str">
        <f aca="false">TEXT(D352,"MMM")</f>
        <v>mar</v>
      </c>
      <c r="F352" s="10" t="n">
        <v>-11502.23</v>
      </c>
      <c r="G352" s="8" t="s">
        <v>34</v>
      </c>
      <c r="H352" s="8" t="s">
        <v>12</v>
      </c>
      <c r="I352" s="11" t="s">
        <v>13</v>
      </c>
      <c r="J352" s="8" t="s">
        <v>26</v>
      </c>
    </row>
    <row r="353" customFormat="false" ht="14.25" hidden="false" customHeight="false" outlineLevel="0" collapsed="false">
      <c r="A353" s="8" t="n">
        <v>352</v>
      </c>
      <c r="B353" s="8" t="s">
        <v>100</v>
      </c>
      <c r="C353" s="8" t="s">
        <v>10</v>
      </c>
      <c r="D353" s="9" t="n">
        <v>43921</v>
      </c>
      <c r="E353" s="9" t="str">
        <f aca="false">TEXT(D353,"MMM")</f>
        <v>mar</v>
      </c>
      <c r="F353" s="10" t="n">
        <v>23343.56</v>
      </c>
      <c r="G353" s="8" t="s">
        <v>11</v>
      </c>
      <c r="H353" s="8" t="s">
        <v>17</v>
      </c>
      <c r="I353" s="11" t="s">
        <v>18</v>
      </c>
      <c r="J353" s="8" t="s">
        <v>24</v>
      </c>
    </row>
    <row r="354" customFormat="false" ht="14.25" hidden="false" customHeight="false" outlineLevel="0" collapsed="false">
      <c r="A354" s="8" t="n">
        <v>353</v>
      </c>
      <c r="B354" s="8" t="s">
        <v>100</v>
      </c>
      <c r="C354" s="8" t="s">
        <v>16</v>
      </c>
      <c r="D354" s="9" t="n">
        <v>43921</v>
      </c>
      <c r="E354" s="9" t="str">
        <f aca="false">TEXT(D354,"MMM")</f>
        <v>mar</v>
      </c>
      <c r="F354" s="10" t="n">
        <v>22606.83</v>
      </c>
      <c r="G354" s="8" t="s">
        <v>11</v>
      </c>
      <c r="H354" s="8" t="s">
        <v>12</v>
      </c>
      <c r="I354" s="11" t="s">
        <v>13</v>
      </c>
      <c r="J354" s="8" t="s">
        <v>24</v>
      </c>
    </row>
    <row r="355" customFormat="false" ht="14.25" hidden="false" customHeight="false" outlineLevel="0" collapsed="false">
      <c r="A355" s="8" t="n">
        <v>354</v>
      </c>
      <c r="B355" s="8" t="s">
        <v>27</v>
      </c>
      <c r="C355" s="8" t="s">
        <v>21</v>
      </c>
      <c r="D355" s="9" t="n">
        <v>43921</v>
      </c>
      <c r="E355" s="9" t="str">
        <f aca="false">TEXT(D355,"MMM")</f>
        <v>mar</v>
      </c>
      <c r="F355" s="10" t="n">
        <v>23064.44</v>
      </c>
      <c r="G355" s="8" t="s">
        <v>11</v>
      </c>
      <c r="H355" s="8" t="s">
        <v>12</v>
      </c>
      <c r="I355" s="11" t="s">
        <v>13</v>
      </c>
      <c r="J355" s="8" t="s">
        <v>14</v>
      </c>
    </row>
    <row r="356" customFormat="false" ht="14.25" hidden="false" customHeight="false" outlineLevel="0" collapsed="false">
      <c r="A356" s="8" t="n">
        <v>355</v>
      </c>
      <c r="B356" s="8" t="s">
        <v>27</v>
      </c>
      <c r="C356" s="8" t="s">
        <v>16</v>
      </c>
      <c r="D356" s="9" t="n">
        <v>43921</v>
      </c>
      <c r="E356" s="9" t="str">
        <f aca="false">TEXT(D356,"MMM")</f>
        <v>mar</v>
      </c>
      <c r="F356" s="10" t="n">
        <v>10561.98</v>
      </c>
      <c r="G356" s="8" t="s">
        <v>11</v>
      </c>
      <c r="H356" s="8" t="s">
        <v>17</v>
      </c>
      <c r="I356" s="11" t="s">
        <v>18</v>
      </c>
      <c r="J356" s="8" t="s">
        <v>26</v>
      </c>
    </row>
    <row r="357" customFormat="false" ht="14.25" hidden="false" customHeight="false" outlineLevel="0" collapsed="false">
      <c r="A357" s="8" t="n">
        <v>356</v>
      </c>
      <c r="B357" s="8" t="s">
        <v>27</v>
      </c>
      <c r="C357" s="8" t="s">
        <v>10</v>
      </c>
      <c r="D357" s="9" t="n">
        <v>43921</v>
      </c>
      <c r="E357" s="9" t="str">
        <f aca="false">TEXT(D357,"MMM")</f>
        <v>mar</v>
      </c>
      <c r="F357" s="10" t="n">
        <v>1774.17</v>
      </c>
      <c r="G357" s="8" t="s">
        <v>11</v>
      </c>
      <c r="H357" s="8" t="s">
        <v>12</v>
      </c>
      <c r="I357" s="11" t="s">
        <v>13</v>
      </c>
      <c r="J357" s="8" t="s">
        <v>14</v>
      </c>
    </row>
    <row r="358" customFormat="false" ht="14.25" hidden="false" customHeight="false" outlineLevel="0" collapsed="false">
      <c r="A358" s="8" t="n">
        <v>357</v>
      </c>
      <c r="B358" s="8" t="s">
        <v>27</v>
      </c>
      <c r="C358" s="8" t="s">
        <v>16</v>
      </c>
      <c r="D358" s="9" t="n">
        <v>43921</v>
      </c>
      <c r="E358" s="9" t="str">
        <f aca="false">TEXT(D358,"MMM")</f>
        <v>mar</v>
      </c>
      <c r="F358" s="10" t="n">
        <v>9966.34</v>
      </c>
      <c r="G358" s="8" t="s">
        <v>11</v>
      </c>
      <c r="H358" s="8" t="s">
        <v>12</v>
      </c>
      <c r="I358" s="11" t="s">
        <v>13</v>
      </c>
      <c r="J358" s="8" t="s">
        <v>14</v>
      </c>
    </row>
    <row r="359" customFormat="false" ht="14.25" hidden="false" customHeight="false" outlineLevel="0" collapsed="false">
      <c r="A359" s="8" t="n">
        <v>358</v>
      </c>
      <c r="B359" s="8" t="s">
        <v>27</v>
      </c>
      <c r="C359" s="8" t="s">
        <v>16</v>
      </c>
      <c r="D359" s="9" t="n">
        <v>43921</v>
      </c>
      <c r="E359" s="9" t="str">
        <f aca="false">TEXT(D359,"MMM")</f>
        <v>mar</v>
      </c>
      <c r="F359" s="10" t="n">
        <v>11084.74</v>
      </c>
      <c r="G359" s="8" t="s">
        <v>11</v>
      </c>
      <c r="H359" s="8" t="s">
        <v>17</v>
      </c>
      <c r="I359" s="11" t="s">
        <v>18</v>
      </c>
      <c r="J359" s="8" t="s">
        <v>26</v>
      </c>
    </row>
    <row r="360" customFormat="false" ht="14.25" hidden="false" customHeight="false" outlineLevel="0" collapsed="false">
      <c r="A360" s="8" t="n">
        <v>359</v>
      </c>
      <c r="B360" s="8" t="s">
        <v>27</v>
      </c>
      <c r="C360" s="8" t="s">
        <v>16</v>
      </c>
      <c r="D360" s="9" t="n">
        <v>43921</v>
      </c>
      <c r="E360" s="9" t="str">
        <f aca="false">TEXT(D360,"MMM")</f>
        <v>mar</v>
      </c>
      <c r="F360" s="10" t="n">
        <v>-41.51</v>
      </c>
      <c r="G360" s="8" t="s">
        <v>34</v>
      </c>
      <c r="H360" s="8" t="s">
        <v>12</v>
      </c>
      <c r="I360" s="11" t="s">
        <v>13</v>
      </c>
      <c r="J360" s="8" t="s">
        <v>14</v>
      </c>
    </row>
    <row r="361" customFormat="false" ht="14.25" hidden="false" customHeight="false" outlineLevel="0" collapsed="false">
      <c r="A361" s="8" t="n">
        <v>360</v>
      </c>
      <c r="B361" s="8" t="s">
        <v>101</v>
      </c>
      <c r="C361" s="8" t="s">
        <v>21</v>
      </c>
      <c r="D361" s="9" t="n">
        <v>43925</v>
      </c>
      <c r="E361" s="9" t="str">
        <f aca="false">TEXT(D361,"MMM")</f>
        <v>abr</v>
      </c>
      <c r="F361" s="10" t="n">
        <v>-2860580.67</v>
      </c>
      <c r="G361" s="8" t="s">
        <v>34</v>
      </c>
      <c r="H361" s="8" t="s">
        <v>17</v>
      </c>
      <c r="I361" s="11" t="s">
        <v>18</v>
      </c>
      <c r="J361" s="8" t="s">
        <v>14</v>
      </c>
    </row>
    <row r="362" customFormat="false" ht="14.25" hidden="false" customHeight="false" outlineLevel="0" collapsed="false">
      <c r="A362" s="8" t="n">
        <v>361</v>
      </c>
      <c r="B362" s="8" t="s">
        <v>102</v>
      </c>
      <c r="C362" s="8" t="s">
        <v>16</v>
      </c>
      <c r="D362" s="9" t="n">
        <v>43926</v>
      </c>
      <c r="E362" s="9" t="str">
        <f aca="false">TEXT(D362,"MMM")</f>
        <v>abr</v>
      </c>
      <c r="F362" s="10" t="n">
        <v>53163.76</v>
      </c>
      <c r="G362" s="8" t="s">
        <v>11</v>
      </c>
      <c r="H362" s="8" t="s">
        <v>12</v>
      </c>
      <c r="I362" s="11" t="s">
        <v>13</v>
      </c>
      <c r="J362" s="8" t="s">
        <v>26</v>
      </c>
    </row>
    <row r="363" customFormat="false" ht="14.25" hidden="false" customHeight="false" outlineLevel="0" collapsed="false">
      <c r="A363" s="8" t="n">
        <v>362</v>
      </c>
      <c r="B363" s="8" t="s">
        <v>39</v>
      </c>
      <c r="C363" s="8" t="s">
        <v>16</v>
      </c>
      <c r="D363" s="9" t="n">
        <v>43926</v>
      </c>
      <c r="E363" s="9" t="str">
        <f aca="false">TEXT(D363,"MMM")</f>
        <v>abr</v>
      </c>
      <c r="F363" s="10" t="n">
        <v>8364</v>
      </c>
      <c r="G363" s="8" t="s">
        <v>11</v>
      </c>
      <c r="H363" s="8" t="s">
        <v>12</v>
      </c>
      <c r="I363" s="11" t="s">
        <v>13</v>
      </c>
      <c r="J363" s="8" t="s">
        <v>26</v>
      </c>
    </row>
    <row r="364" customFormat="false" ht="14.25" hidden="false" customHeight="false" outlineLevel="0" collapsed="false">
      <c r="A364" s="8" t="n">
        <v>363</v>
      </c>
      <c r="B364" s="8" t="s">
        <v>39</v>
      </c>
      <c r="C364" s="8" t="s">
        <v>21</v>
      </c>
      <c r="D364" s="9" t="n">
        <v>43926</v>
      </c>
      <c r="E364" s="9" t="str">
        <f aca="false">TEXT(D364,"MMM")</f>
        <v>abr</v>
      </c>
      <c r="F364" s="10" t="n">
        <v>2439.5</v>
      </c>
      <c r="G364" s="8" t="s">
        <v>11</v>
      </c>
      <c r="H364" s="8" t="s">
        <v>22</v>
      </c>
      <c r="I364" s="11" t="s">
        <v>23</v>
      </c>
      <c r="J364" s="8" t="s">
        <v>14</v>
      </c>
    </row>
    <row r="365" customFormat="false" ht="14.25" hidden="false" customHeight="false" outlineLevel="0" collapsed="false">
      <c r="A365" s="8" t="n">
        <v>364</v>
      </c>
      <c r="B365" s="8" t="s">
        <v>103</v>
      </c>
      <c r="C365" s="8" t="s">
        <v>21</v>
      </c>
      <c r="D365" s="9" t="n">
        <v>43927</v>
      </c>
      <c r="E365" s="9" t="str">
        <f aca="false">TEXT(D365,"MMM")</f>
        <v>abr</v>
      </c>
      <c r="F365" s="10" t="n">
        <v>2439.5</v>
      </c>
      <c r="G365" s="8" t="s">
        <v>11</v>
      </c>
      <c r="H365" s="8" t="s">
        <v>12</v>
      </c>
      <c r="I365" s="11" t="s">
        <v>13</v>
      </c>
      <c r="J365" s="8" t="s">
        <v>14</v>
      </c>
    </row>
    <row r="366" customFormat="false" ht="14.25" hidden="false" customHeight="false" outlineLevel="0" collapsed="false">
      <c r="A366" s="8" t="n">
        <v>365</v>
      </c>
      <c r="B366" s="8" t="s">
        <v>104</v>
      </c>
      <c r="C366" s="8" t="s">
        <v>21</v>
      </c>
      <c r="D366" s="9" t="n">
        <v>43927</v>
      </c>
      <c r="E366" s="9" t="str">
        <f aca="false">TEXT(D366,"MMM")</f>
        <v>abr</v>
      </c>
      <c r="F366" s="10" t="n">
        <v>3485</v>
      </c>
      <c r="G366" s="8" t="s">
        <v>11</v>
      </c>
      <c r="H366" s="8" t="s">
        <v>12</v>
      </c>
      <c r="I366" s="11" t="s">
        <v>13</v>
      </c>
      <c r="J366" s="8" t="s">
        <v>14</v>
      </c>
    </row>
    <row r="367" customFormat="false" ht="14.25" hidden="false" customHeight="false" outlineLevel="0" collapsed="false">
      <c r="A367" s="8" t="n">
        <v>366</v>
      </c>
      <c r="B367" s="8" t="s">
        <v>105</v>
      </c>
      <c r="C367" s="8" t="s">
        <v>10</v>
      </c>
      <c r="D367" s="9" t="n">
        <v>43927</v>
      </c>
      <c r="E367" s="9" t="str">
        <f aca="false">TEXT(D367,"MMM")</f>
        <v>abr</v>
      </c>
      <c r="F367" s="10" t="n">
        <v>2927.4</v>
      </c>
      <c r="G367" s="8" t="s">
        <v>11</v>
      </c>
      <c r="H367" s="8" t="s">
        <v>36</v>
      </c>
      <c r="I367" s="11" t="s">
        <v>37</v>
      </c>
      <c r="J367" s="8" t="s">
        <v>24</v>
      </c>
    </row>
    <row r="368" customFormat="false" ht="14.25" hidden="false" customHeight="false" outlineLevel="0" collapsed="false">
      <c r="A368" s="8" t="n">
        <v>367</v>
      </c>
      <c r="B368" s="8" t="s">
        <v>32</v>
      </c>
      <c r="C368" s="8" t="s">
        <v>16</v>
      </c>
      <c r="D368" s="9" t="n">
        <v>43928</v>
      </c>
      <c r="E368" s="9" t="str">
        <f aca="false">TEXT(D368,"MMM")</f>
        <v>abr</v>
      </c>
      <c r="F368" s="10" t="n">
        <v>2490.74</v>
      </c>
      <c r="G368" s="8" t="s">
        <v>11</v>
      </c>
      <c r="H368" s="8" t="s">
        <v>17</v>
      </c>
      <c r="I368" s="11" t="s">
        <v>18</v>
      </c>
      <c r="J368" s="8" t="s">
        <v>14</v>
      </c>
    </row>
    <row r="369" customFormat="false" ht="14.25" hidden="false" customHeight="false" outlineLevel="0" collapsed="false">
      <c r="A369" s="8" t="n">
        <v>368</v>
      </c>
      <c r="B369" s="8" t="s">
        <v>72</v>
      </c>
      <c r="C369" s="8" t="s">
        <v>28</v>
      </c>
      <c r="D369" s="9" t="n">
        <v>43928</v>
      </c>
      <c r="E369" s="9" t="str">
        <f aca="false">TEXT(D369,"MMM")</f>
        <v>abr</v>
      </c>
      <c r="F369" s="10" t="n">
        <v>2854.91</v>
      </c>
      <c r="G369" s="8" t="s">
        <v>11</v>
      </c>
      <c r="H369" s="8" t="s">
        <v>12</v>
      </c>
      <c r="I369" s="11" t="s">
        <v>13</v>
      </c>
      <c r="J369" s="8" t="s">
        <v>14</v>
      </c>
    </row>
    <row r="370" customFormat="false" ht="14.25" hidden="false" customHeight="false" outlineLevel="0" collapsed="false">
      <c r="A370" s="8" t="n">
        <v>369</v>
      </c>
      <c r="B370" s="8" t="s">
        <v>38</v>
      </c>
      <c r="C370" s="8" t="s">
        <v>21</v>
      </c>
      <c r="D370" s="9" t="n">
        <v>43928</v>
      </c>
      <c r="E370" s="9" t="str">
        <f aca="false">TEXT(D370,"MMM")</f>
        <v>abr</v>
      </c>
      <c r="F370" s="10" t="n">
        <v>8364</v>
      </c>
      <c r="G370" s="8" t="s">
        <v>11</v>
      </c>
      <c r="H370" s="8" t="s">
        <v>22</v>
      </c>
      <c r="I370" s="11" t="s">
        <v>23</v>
      </c>
      <c r="J370" s="8" t="s">
        <v>14</v>
      </c>
    </row>
    <row r="371" customFormat="false" ht="14.25" hidden="false" customHeight="false" outlineLevel="0" collapsed="false">
      <c r="A371" s="8" t="n">
        <v>370</v>
      </c>
      <c r="B371" s="8" t="s">
        <v>42</v>
      </c>
      <c r="C371" s="8" t="s">
        <v>10</v>
      </c>
      <c r="D371" s="9" t="n">
        <v>43928</v>
      </c>
      <c r="E371" s="9" t="str">
        <f aca="false">TEXT(D371,"MMM")</f>
        <v>abr</v>
      </c>
      <c r="F371" s="10" t="n">
        <v>2788</v>
      </c>
      <c r="G371" s="8" t="s">
        <v>11</v>
      </c>
      <c r="H371" s="8" t="s">
        <v>17</v>
      </c>
      <c r="I371" s="11" t="s">
        <v>18</v>
      </c>
      <c r="J371" s="8" t="s">
        <v>26</v>
      </c>
    </row>
    <row r="372" customFormat="false" ht="14.25" hidden="false" customHeight="false" outlineLevel="0" collapsed="false">
      <c r="A372" s="8" t="n">
        <v>371</v>
      </c>
      <c r="B372" s="8" t="s">
        <v>45</v>
      </c>
      <c r="C372" s="8" t="s">
        <v>10</v>
      </c>
      <c r="D372" s="9" t="n">
        <v>43928</v>
      </c>
      <c r="E372" s="9" t="str">
        <f aca="false">TEXT(D372,"MMM")</f>
        <v>abr</v>
      </c>
      <c r="F372" s="10" t="n">
        <v>3485</v>
      </c>
      <c r="G372" s="8" t="s">
        <v>11</v>
      </c>
      <c r="H372" s="8" t="s">
        <v>17</v>
      </c>
      <c r="I372" s="11" t="s">
        <v>18</v>
      </c>
      <c r="J372" s="8" t="s">
        <v>14</v>
      </c>
    </row>
    <row r="373" customFormat="false" ht="14.25" hidden="false" customHeight="false" outlineLevel="0" collapsed="false">
      <c r="A373" s="8" t="n">
        <v>372</v>
      </c>
      <c r="B373" s="8" t="s">
        <v>46</v>
      </c>
      <c r="C373" s="8" t="s">
        <v>28</v>
      </c>
      <c r="D373" s="9" t="n">
        <v>43928</v>
      </c>
      <c r="E373" s="9" t="str">
        <f aca="false">TEXT(D373,"MMM")</f>
        <v>abr</v>
      </c>
      <c r="F373" s="10" t="n">
        <v>2927.4</v>
      </c>
      <c r="G373" s="8" t="s">
        <v>11</v>
      </c>
      <c r="H373" s="8" t="s">
        <v>12</v>
      </c>
      <c r="I373" s="11" t="s">
        <v>13</v>
      </c>
      <c r="J373" s="8" t="s">
        <v>26</v>
      </c>
    </row>
    <row r="374" customFormat="false" ht="14.25" hidden="false" customHeight="false" outlineLevel="0" collapsed="false">
      <c r="A374" s="8" t="n">
        <v>373</v>
      </c>
      <c r="B374" s="8" t="s">
        <v>38</v>
      </c>
      <c r="C374" s="8" t="s">
        <v>10</v>
      </c>
      <c r="D374" s="9" t="n">
        <v>43928</v>
      </c>
      <c r="E374" s="9" t="str">
        <f aca="false">TEXT(D374,"MMM")</f>
        <v>abr</v>
      </c>
      <c r="F374" s="10" t="n">
        <v>2498.08</v>
      </c>
      <c r="G374" s="8" t="s">
        <v>11</v>
      </c>
      <c r="H374" s="8" t="s">
        <v>22</v>
      </c>
      <c r="I374" s="11" t="s">
        <v>23</v>
      </c>
      <c r="J374" s="8" t="s">
        <v>14</v>
      </c>
    </row>
    <row r="375" customFormat="false" ht="14.25" hidden="false" customHeight="false" outlineLevel="0" collapsed="false">
      <c r="A375" s="8" t="n">
        <v>374</v>
      </c>
      <c r="B375" s="8" t="s">
        <v>46</v>
      </c>
      <c r="C375" s="8" t="s">
        <v>28</v>
      </c>
      <c r="D375" s="9" t="n">
        <v>43928</v>
      </c>
      <c r="E375" s="9" t="str">
        <f aca="false">TEXT(D375,"MMM")</f>
        <v>abr</v>
      </c>
      <c r="F375" s="10" t="n">
        <v>-1727170.95</v>
      </c>
      <c r="G375" s="8" t="s">
        <v>34</v>
      </c>
      <c r="H375" s="8" t="s">
        <v>12</v>
      </c>
      <c r="I375" s="11" t="s">
        <v>13</v>
      </c>
      <c r="J375" s="8" t="s">
        <v>14</v>
      </c>
    </row>
    <row r="376" customFormat="false" ht="14.25" hidden="false" customHeight="false" outlineLevel="0" collapsed="false">
      <c r="A376" s="8" t="n">
        <v>375</v>
      </c>
      <c r="B376" s="8" t="s">
        <v>42</v>
      </c>
      <c r="C376" s="8" t="s">
        <v>21</v>
      </c>
      <c r="D376" s="9" t="n">
        <v>43928</v>
      </c>
      <c r="E376" s="9" t="str">
        <f aca="false">TEXT(D376,"MMM")</f>
        <v>abr</v>
      </c>
      <c r="F376" s="10" t="n">
        <v>-221420.05</v>
      </c>
      <c r="G376" s="8" t="s">
        <v>34</v>
      </c>
      <c r="H376" s="8" t="s">
        <v>17</v>
      </c>
      <c r="I376" s="11" t="s">
        <v>18</v>
      </c>
      <c r="J376" s="8" t="s">
        <v>26</v>
      </c>
    </row>
    <row r="377" customFormat="false" ht="14.25" hidden="false" customHeight="false" outlineLevel="0" collapsed="false">
      <c r="A377" s="8" t="n">
        <v>376</v>
      </c>
      <c r="B377" s="8" t="s">
        <v>45</v>
      </c>
      <c r="C377" s="8" t="s">
        <v>28</v>
      </c>
      <c r="D377" s="9" t="n">
        <v>43928</v>
      </c>
      <c r="E377" s="9" t="str">
        <f aca="false">TEXT(D377,"MMM")</f>
        <v>abr</v>
      </c>
      <c r="F377" s="10" t="n">
        <v>-401900.1</v>
      </c>
      <c r="G377" s="8" t="s">
        <v>34</v>
      </c>
      <c r="H377" s="8" t="s">
        <v>36</v>
      </c>
      <c r="I377" s="11" t="s">
        <v>37</v>
      </c>
      <c r="J377" s="8" t="s">
        <v>26</v>
      </c>
    </row>
    <row r="378" customFormat="false" ht="14.25" hidden="false" customHeight="false" outlineLevel="0" collapsed="false">
      <c r="A378" s="8" t="n">
        <v>377</v>
      </c>
      <c r="B378" s="8" t="s">
        <v>47</v>
      </c>
      <c r="C378" s="8" t="s">
        <v>10</v>
      </c>
      <c r="D378" s="9" t="n">
        <v>43928</v>
      </c>
      <c r="E378" s="9" t="str">
        <f aca="false">TEXT(D378,"MMM")</f>
        <v>abr</v>
      </c>
      <c r="F378" s="10" t="n">
        <v>2788</v>
      </c>
      <c r="G378" s="8" t="s">
        <v>11</v>
      </c>
      <c r="H378" s="8" t="s">
        <v>36</v>
      </c>
      <c r="I378" s="11" t="s">
        <v>37</v>
      </c>
      <c r="J378" s="8" t="s">
        <v>14</v>
      </c>
    </row>
    <row r="379" customFormat="false" ht="14.25" hidden="false" customHeight="false" outlineLevel="0" collapsed="false">
      <c r="A379" s="8" t="n">
        <v>378</v>
      </c>
      <c r="B379" s="8" t="s">
        <v>47</v>
      </c>
      <c r="C379" s="8" t="s">
        <v>28</v>
      </c>
      <c r="D379" s="9" t="n">
        <v>43928</v>
      </c>
      <c r="E379" s="9" t="str">
        <f aca="false">TEXT(D379,"MMM")</f>
        <v>abr</v>
      </c>
      <c r="F379" s="10" t="n">
        <v>3833.5</v>
      </c>
      <c r="G379" s="8" t="s">
        <v>11</v>
      </c>
      <c r="H379" s="8" t="s">
        <v>12</v>
      </c>
      <c r="I379" s="11" t="s">
        <v>13</v>
      </c>
      <c r="J379" s="8" t="s">
        <v>14</v>
      </c>
    </row>
    <row r="380" customFormat="false" ht="14.25" hidden="false" customHeight="false" outlineLevel="0" collapsed="false">
      <c r="A380" s="8" t="n">
        <v>379</v>
      </c>
      <c r="B380" s="8" t="s">
        <v>57</v>
      </c>
      <c r="C380" s="8" t="s">
        <v>10</v>
      </c>
      <c r="D380" s="9" t="n">
        <v>43928</v>
      </c>
      <c r="E380" s="9" t="str">
        <f aca="false">TEXT(D380,"MMM")</f>
        <v>abr</v>
      </c>
      <c r="F380" s="10" t="n">
        <v>2788</v>
      </c>
      <c r="G380" s="8" t="s">
        <v>11</v>
      </c>
      <c r="H380" s="8" t="s">
        <v>12</v>
      </c>
      <c r="I380" s="11" t="s">
        <v>13</v>
      </c>
      <c r="J380" s="8" t="s">
        <v>14</v>
      </c>
    </row>
    <row r="381" customFormat="false" ht="14.25" hidden="false" customHeight="false" outlineLevel="0" collapsed="false">
      <c r="A381" s="8" t="n">
        <v>380</v>
      </c>
      <c r="B381" s="8" t="s">
        <v>72</v>
      </c>
      <c r="C381" s="8" t="s">
        <v>16</v>
      </c>
      <c r="D381" s="9" t="n">
        <v>43928</v>
      </c>
      <c r="E381" s="9" t="str">
        <f aca="false">TEXT(D381,"MMM")</f>
        <v>abr</v>
      </c>
      <c r="F381" s="10" t="n">
        <v>3833.5</v>
      </c>
      <c r="G381" s="8" t="s">
        <v>11</v>
      </c>
      <c r="H381" s="8" t="s">
        <v>17</v>
      </c>
      <c r="I381" s="11" t="s">
        <v>18</v>
      </c>
      <c r="J381" s="8" t="s">
        <v>19</v>
      </c>
    </row>
    <row r="382" customFormat="false" ht="14.25" hidden="false" customHeight="false" outlineLevel="0" collapsed="false">
      <c r="A382" s="8" t="n">
        <v>381</v>
      </c>
      <c r="B382" s="8" t="s">
        <v>57</v>
      </c>
      <c r="C382" s="8" t="s">
        <v>21</v>
      </c>
      <c r="D382" s="9" t="n">
        <v>43928</v>
      </c>
      <c r="E382" s="9" t="str">
        <f aca="false">TEXT(D382,"MMM")</f>
        <v>abr</v>
      </c>
      <c r="F382" s="10" t="n">
        <v>1426.81</v>
      </c>
      <c r="G382" s="8" t="s">
        <v>11</v>
      </c>
      <c r="H382" s="8" t="s">
        <v>17</v>
      </c>
      <c r="I382" s="11" t="s">
        <v>18</v>
      </c>
      <c r="J382" s="8" t="s">
        <v>26</v>
      </c>
    </row>
    <row r="383" customFormat="false" ht="14.25" hidden="false" customHeight="false" outlineLevel="0" collapsed="false">
      <c r="A383" s="8" t="n">
        <v>382</v>
      </c>
      <c r="B383" s="8" t="s">
        <v>9</v>
      </c>
      <c r="C383" s="8" t="s">
        <v>28</v>
      </c>
      <c r="D383" s="9" t="n">
        <v>43932</v>
      </c>
      <c r="E383" s="9" t="str">
        <f aca="false">TEXT(D383,"MMM")</f>
        <v>abr</v>
      </c>
      <c r="F383" s="10" t="n">
        <v>2550</v>
      </c>
      <c r="G383" s="8" t="s">
        <v>11</v>
      </c>
      <c r="H383" s="8" t="s">
        <v>17</v>
      </c>
      <c r="I383" s="11" t="s">
        <v>18</v>
      </c>
      <c r="J383" s="8" t="s">
        <v>14</v>
      </c>
    </row>
    <row r="384" customFormat="false" ht="14.25" hidden="false" customHeight="false" outlineLevel="0" collapsed="false">
      <c r="A384" s="8" t="n">
        <v>383</v>
      </c>
      <c r="B384" s="8" t="s">
        <v>51</v>
      </c>
      <c r="C384" s="8" t="s">
        <v>10</v>
      </c>
      <c r="D384" s="9" t="n">
        <v>43932</v>
      </c>
      <c r="E384" s="9" t="str">
        <f aca="false">TEXT(D384,"MMM")</f>
        <v>abr</v>
      </c>
      <c r="F384" s="10" t="n">
        <v>397.56</v>
      </c>
      <c r="G384" s="8" t="s">
        <v>11</v>
      </c>
      <c r="H384" s="8" t="s">
        <v>12</v>
      </c>
      <c r="I384" s="11" t="s">
        <v>13</v>
      </c>
      <c r="J384" s="8" t="s">
        <v>14</v>
      </c>
    </row>
    <row r="385" customFormat="false" ht="14.25" hidden="false" customHeight="false" outlineLevel="0" collapsed="false">
      <c r="A385" s="8" t="n">
        <v>384</v>
      </c>
      <c r="B385" s="8" t="s">
        <v>39</v>
      </c>
      <c r="C385" s="8" t="s">
        <v>10</v>
      </c>
      <c r="D385" s="9" t="n">
        <v>43932</v>
      </c>
      <c r="E385" s="9" t="str">
        <f aca="false">TEXT(D385,"MMM")</f>
        <v>abr</v>
      </c>
      <c r="F385" s="10" t="n">
        <v>2152.44</v>
      </c>
      <c r="G385" s="8" t="s">
        <v>11</v>
      </c>
      <c r="H385" s="8" t="s">
        <v>12</v>
      </c>
      <c r="I385" s="11" t="s">
        <v>13</v>
      </c>
      <c r="J385" s="8" t="s">
        <v>14</v>
      </c>
    </row>
    <row r="386" customFormat="false" ht="14.25" hidden="false" customHeight="false" outlineLevel="0" collapsed="false">
      <c r="A386" s="8" t="n">
        <v>385</v>
      </c>
      <c r="B386" s="8" t="s">
        <v>74</v>
      </c>
      <c r="C386" s="8" t="s">
        <v>16</v>
      </c>
      <c r="D386" s="9" t="n">
        <v>43933</v>
      </c>
      <c r="E386" s="9" t="str">
        <f aca="false">TEXT(D386,"MMM")</f>
        <v>abr</v>
      </c>
      <c r="F386" s="10" t="n">
        <v>2192.66</v>
      </c>
      <c r="G386" s="8" t="s">
        <v>11</v>
      </c>
      <c r="H386" s="8" t="s">
        <v>36</v>
      </c>
      <c r="I386" s="11" t="s">
        <v>37</v>
      </c>
      <c r="J386" s="8" t="s">
        <v>14</v>
      </c>
    </row>
    <row r="387" customFormat="false" ht="14.25" hidden="false" customHeight="false" outlineLevel="0" collapsed="false">
      <c r="A387" s="8" t="n">
        <v>386</v>
      </c>
      <c r="B387" s="8" t="s">
        <v>9</v>
      </c>
      <c r="C387" s="8" t="s">
        <v>10</v>
      </c>
      <c r="D387" s="9" t="n">
        <v>43933</v>
      </c>
      <c r="E387" s="9" t="str">
        <f aca="false">TEXT(D387,"MMM")</f>
        <v>abr</v>
      </c>
      <c r="F387" s="10" t="n">
        <v>-27220.9</v>
      </c>
      <c r="G387" s="8" t="s">
        <v>34</v>
      </c>
      <c r="H387" s="8" t="s">
        <v>12</v>
      </c>
      <c r="I387" s="11" t="s">
        <v>13</v>
      </c>
      <c r="J387" s="8" t="s">
        <v>24</v>
      </c>
    </row>
    <row r="388" customFormat="false" ht="14.25" hidden="false" customHeight="false" outlineLevel="0" collapsed="false">
      <c r="A388" s="8" t="n">
        <v>387</v>
      </c>
      <c r="B388" s="8" t="s">
        <v>20</v>
      </c>
      <c r="C388" s="8" t="s">
        <v>10</v>
      </c>
      <c r="D388" s="9" t="n">
        <v>43933</v>
      </c>
      <c r="E388" s="9" t="str">
        <f aca="false">TEXT(D388,"MMM")</f>
        <v>abr</v>
      </c>
      <c r="F388" s="10" t="n">
        <v>-1875.3</v>
      </c>
      <c r="G388" s="8" t="s">
        <v>34</v>
      </c>
      <c r="H388" s="8" t="s">
        <v>17</v>
      </c>
      <c r="I388" s="11" t="s">
        <v>18</v>
      </c>
      <c r="J388" s="8" t="s">
        <v>14</v>
      </c>
    </row>
    <row r="389" customFormat="false" ht="14.25" hidden="false" customHeight="false" outlineLevel="0" collapsed="false">
      <c r="A389" s="8" t="n">
        <v>388</v>
      </c>
      <c r="B389" s="8" t="s">
        <v>20</v>
      </c>
      <c r="C389" s="8" t="s">
        <v>21</v>
      </c>
      <c r="D389" s="9" t="n">
        <v>43933</v>
      </c>
      <c r="E389" s="9" t="str">
        <f aca="false">TEXT(D389,"MMM")</f>
        <v>abr</v>
      </c>
      <c r="F389" s="10" t="n">
        <v>-1758.02</v>
      </c>
      <c r="G389" s="8" t="s">
        <v>34</v>
      </c>
      <c r="H389" s="8" t="s">
        <v>36</v>
      </c>
      <c r="I389" s="11" t="s">
        <v>37</v>
      </c>
      <c r="J389" s="8" t="s">
        <v>19</v>
      </c>
    </row>
    <row r="390" customFormat="false" ht="14.25" hidden="false" customHeight="false" outlineLevel="0" collapsed="false">
      <c r="A390" s="8" t="n">
        <v>389</v>
      </c>
      <c r="B390" s="8" t="s">
        <v>20</v>
      </c>
      <c r="C390" s="8" t="s">
        <v>21</v>
      </c>
      <c r="D390" s="9" t="n">
        <v>43933</v>
      </c>
      <c r="E390" s="9" t="str">
        <f aca="false">TEXT(D390,"MMM")</f>
        <v>abr</v>
      </c>
      <c r="F390" s="10" t="n">
        <v>-1386.63</v>
      </c>
      <c r="G390" s="8" t="s">
        <v>34</v>
      </c>
      <c r="H390" s="8" t="s">
        <v>12</v>
      </c>
      <c r="I390" s="11" t="s">
        <v>13</v>
      </c>
      <c r="J390" s="8" t="s">
        <v>14</v>
      </c>
    </row>
    <row r="391" customFormat="false" ht="14.25" hidden="false" customHeight="false" outlineLevel="0" collapsed="false">
      <c r="A391" s="8" t="n">
        <v>390</v>
      </c>
      <c r="B391" s="8" t="s">
        <v>49</v>
      </c>
      <c r="C391" s="8" t="s">
        <v>10</v>
      </c>
      <c r="D391" s="9" t="n">
        <v>43933</v>
      </c>
      <c r="E391" s="9" t="str">
        <f aca="false">TEXT(D391,"MMM")</f>
        <v>abr</v>
      </c>
      <c r="F391" s="10" t="n">
        <v>-3044.93</v>
      </c>
      <c r="G391" s="8" t="s">
        <v>34</v>
      </c>
      <c r="H391" s="8" t="s">
        <v>22</v>
      </c>
      <c r="I391" s="11" t="s">
        <v>23</v>
      </c>
      <c r="J391" s="8" t="s">
        <v>14</v>
      </c>
    </row>
    <row r="392" customFormat="false" ht="14.25" hidden="false" customHeight="false" outlineLevel="0" collapsed="false">
      <c r="A392" s="8" t="n">
        <v>391</v>
      </c>
      <c r="B392" s="8" t="s">
        <v>106</v>
      </c>
      <c r="C392" s="8" t="s">
        <v>10</v>
      </c>
      <c r="D392" s="9" t="n">
        <v>43934</v>
      </c>
      <c r="E392" s="9" t="str">
        <f aca="false">TEXT(D392,"MMM")</f>
        <v>abr</v>
      </c>
      <c r="F392" s="10" t="n">
        <v>12034.07</v>
      </c>
      <c r="G392" s="8" t="s">
        <v>11</v>
      </c>
      <c r="H392" s="8" t="s">
        <v>22</v>
      </c>
      <c r="I392" s="11" t="s">
        <v>23</v>
      </c>
      <c r="J392" s="8" t="s">
        <v>14</v>
      </c>
    </row>
    <row r="393" customFormat="false" ht="14.25" hidden="false" customHeight="false" outlineLevel="0" collapsed="false">
      <c r="A393" s="8" t="n">
        <v>392</v>
      </c>
      <c r="B393" s="8" t="s">
        <v>107</v>
      </c>
      <c r="C393" s="8" t="s">
        <v>10</v>
      </c>
      <c r="D393" s="9" t="n">
        <v>43939</v>
      </c>
      <c r="E393" s="9" t="str">
        <f aca="false">TEXT(D393,"MMM")</f>
        <v>abr</v>
      </c>
      <c r="F393" s="10" t="n">
        <v>3136.5</v>
      </c>
      <c r="G393" s="8" t="s">
        <v>11</v>
      </c>
      <c r="H393" s="8" t="s">
        <v>17</v>
      </c>
      <c r="I393" s="11" t="s">
        <v>18</v>
      </c>
      <c r="J393" s="8" t="s">
        <v>26</v>
      </c>
    </row>
    <row r="394" customFormat="false" ht="14.25" hidden="false" customHeight="false" outlineLevel="0" collapsed="false">
      <c r="A394" s="8" t="n">
        <v>393</v>
      </c>
      <c r="B394" s="8" t="s">
        <v>108</v>
      </c>
      <c r="C394" s="8" t="s">
        <v>21</v>
      </c>
      <c r="D394" s="9" t="n">
        <v>43939</v>
      </c>
      <c r="E394" s="9" t="str">
        <f aca="false">TEXT(D394,"MMM")</f>
        <v>abr</v>
      </c>
      <c r="F394" s="10" t="n">
        <v>3136.5</v>
      </c>
      <c r="G394" s="8" t="s">
        <v>11</v>
      </c>
      <c r="H394" s="8" t="s">
        <v>17</v>
      </c>
      <c r="I394" s="11" t="s">
        <v>18</v>
      </c>
      <c r="J394" s="8" t="s">
        <v>26</v>
      </c>
    </row>
    <row r="395" customFormat="false" ht="14.25" hidden="false" customHeight="false" outlineLevel="0" collapsed="false">
      <c r="A395" s="8" t="n">
        <v>394</v>
      </c>
      <c r="B395" s="8" t="s">
        <v>109</v>
      </c>
      <c r="C395" s="8" t="s">
        <v>16</v>
      </c>
      <c r="D395" s="9" t="n">
        <v>43939</v>
      </c>
      <c r="E395" s="9" t="str">
        <f aca="false">TEXT(D395,"MMM")</f>
        <v>abr</v>
      </c>
      <c r="F395" s="10" t="n">
        <v>13152.64</v>
      </c>
      <c r="G395" s="8" t="s">
        <v>11</v>
      </c>
      <c r="H395" s="8" t="s">
        <v>17</v>
      </c>
      <c r="I395" s="11" t="s">
        <v>18</v>
      </c>
      <c r="J395" s="8" t="s">
        <v>26</v>
      </c>
    </row>
    <row r="396" customFormat="false" ht="14.25" hidden="false" customHeight="false" outlineLevel="0" collapsed="false">
      <c r="A396" s="8" t="n">
        <v>395</v>
      </c>
      <c r="B396" s="8" t="s">
        <v>109</v>
      </c>
      <c r="C396" s="8" t="s">
        <v>21</v>
      </c>
      <c r="D396" s="9" t="n">
        <v>43939</v>
      </c>
      <c r="E396" s="9" t="str">
        <f aca="false">TEXT(D396,"MMM")</f>
        <v>abr</v>
      </c>
      <c r="F396" s="10" t="n">
        <v>12881.81</v>
      </c>
      <c r="G396" s="8" t="s">
        <v>11</v>
      </c>
      <c r="H396" s="8" t="s">
        <v>17</v>
      </c>
      <c r="I396" s="11" t="s">
        <v>18</v>
      </c>
      <c r="J396" s="8" t="s">
        <v>14</v>
      </c>
    </row>
    <row r="397" customFormat="false" ht="14.25" hidden="false" customHeight="false" outlineLevel="0" collapsed="false">
      <c r="A397" s="8" t="n">
        <v>396</v>
      </c>
      <c r="B397" s="8" t="s">
        <v>110</v>
      </c>
      <c r="C397" s="8" t="s">
        <v>28</v>
      </c>
      <c r="D397" s="9" t="n">
        <v>43940</v>
      </c>
      <c r="E397" s="9" t="str">
        <f aca="false">TEXT(D397,"MMM")</f>
        <v>abr</v>
      </c>
      <c r="F397" s="10" t="n">
        <v>-55102.95</v>
      </c>
      <c r="G397" s="8" t="s">
        <v>34</v>
      </c>
      <c r="H397" s="8" t="s">
        <v>12</v>
      </c>
      <c r="I397" s="11" t="s">
        <v>13</v>
      </c>
      <c r="J397" s="8" t="s">
        <v>24</v>
      </c>
    </row>
    <row r="398" customFormat="false" ht="14.25" hidden="false" customHeight="false" outlineLevel="0" collapsed="false">
      <c r="A398" s="8" t="n">
        <v>397</v>
      </c>
      <c r="B398" s="8" t="s">
        <v>106</v>
      </c>
      <c r="C398" s="8" t="s">
        <v>10</v>
      </c>
      <c r="D398" s="9" t="n">
        <v>43940</v>
      </c>
      <c r="E398" s="9" t="str">
        <f aca="false">TEXT(D398,"MMM")</f>
        <v>abr</v>
      </c>
      <c r="F398" s="10" t="n">
        <v>173313.98</v>
      </c>
      <c r="G398" s="8" t="s">
        <v>11</v>
      </c>
      <c r="H398" s="8" t="s">
        <v>12</v>
      </c>
      <c r="I398" s="11" t="s">
        <v>13</v>
      </c>
      <c r="J398" s="8" t="s">
        <v>26</v>
      </c>
    </row>
    <row r="399" customFormat="false" ht="14.25" hidden="false" customHeight="false" outlineLevel="0" collapsed="false">
      <c r="A399" s="8" t="n">
        <v>398</v>
      </c>
      <c r="B399" s="8" t="s">
        <v>106</v>
      </c>
      <c r="C399" s="8" t="s">
        <v>10</v>
      </c>
      <c r="D399" s="9" t="n">
        <v>43940</v>
      </c>
      <c r="E399" s="9" t="str">
        <f aca="false">TEXT(D399,"MMM")</f>
        <v>abr</v>
      </c>
      <c r="F399" s="10" t="n">
        <v>84835.95</v>
      </c>
      <c r="G399" s="8" t="s">
        <v>11</v>
      </c>
      <c r="H399" s="8" t="s">
        <v>12</v>
      </c>
      <c r="I399" s="11" t="s">
        <v>13</v>
      </c>
      <c r="J399" s="8" t="s">
        <v>24</v>
      </c>
    </row>
    <row r="400" customFormat="false" ht="14.25" hidden="false" customHeight="false" outlineLevel="0" collapsed="false">
      <c r="A400" s="8" t="n">
        <v>399</v>
      </c>
      <c r="B400" s="8" t="s">
        <v>86</v>
      </c>
      <c r="C400" s="8" t="s">
        <v>21</v>
      </c>
      <c r="D400" s="9" t="n">
        <v>43940</v>
      </c>
      <c r="E400" s="9" t="str">
        <f aca="false">TEXT(D400,"MMM")</f>
        <v>abr</v>
      </c>
      <c r="F400" s="10" t="n">
        <v>5581.66</v>
      </c>
      <c r="G400" s="8" t="s">
        <v>11</v>
      </c>
      <c r="H400" s="8" t="s">
        <v>12</v>
      </c>
      <c r="I400" s="11" t="s">
        <v>13</v>
      </c>
      <c r="J400" s="8" t="s">
        <v>14</v>
      </c>
    </row>
    <row r="401" customFormat="false" ht="14.25" hidden="false" customHeight="false" outlineLevel="0" collapsed="false">
      <c r="A401" s="8" t="n">
        <v>400</v>
      </c>
      <c r="B401" s="8" t="s">
        <v>100</v>
      </c>
      <c r="C401" s="8" t="s">
        <v>10</v>
      </c>
      <c r="D401" s="9" t="n">
        <v>43941</v>
      </c>
      <c r="E401" s="9" t="str">
        <f aca="false">TEXT(D401,"MMM")</f>
        <v>abr</v>
      </c>
      <c r="F401" s="10" t="n">
        <v>152034.29</v>
      </c>
      <c r="G401" s="8" t="s">
        <v>11</v>
      </c>
      <c r="H401" s="8" t="s">
        <v>36</v>
      </c>
      <c r="I401" s="11" t="s">
        <v>37</v>
      </c>
      <c r="J401" s="8" t="s">
        <v>14</v>
      </c>
    </row>
    <row r="402" customFormat="false" ht="14.25" hidden="false" customHeight="false" outlineLevel="0" collapsed="false">
      <c r="A402" s="8" t="n">
        <v>401</v>
      </c>
      <c r="B402" s="8" t="s">
        <v>100</v>
      </c>
      <c r="C402" s="8" t="s">
        <v>10</v>
      </c>
      <c r="D402" s="9" t="n">
        <v>43941</v>
      </c>
      <c r="E402" s="9" t="str">
        <f aca="false">TEXT(D402,"MMM")</f>
        <v>abr</v>
      </c>
      <c r="F402" s="10" t="n">
        <v>176702.09</v>
      </c>
      <c r="G402" s="8" t="s">
        <v>11</v>
      </c>
      <c r="H402" s="8" t="s">
        <v>30</v>
      </c>
      <c r="I402" s="11" t="s">
        <v>31</v>
      </c>
      <c r="J402" s="8" t="s">
        <v>19</v>
      </c>
    </row>
    <row r="403" customFormat="false" ht="14.25" hidden="false" customHeight="false" outlineLevel="0" collapsed="false">
      <c r="A403" s="8" t="n">
        <v>402</v>
      </c>
      <c r="B403" s="8" t="s">
        <v>39</v>
      </c>
      <c r="C403" s="8" t="s">
        <v>21</v>
      </c>
      <c r="D403" s="9" t="n">
        <v>43941</v>
      </c>
      <c r="E403" s="9" t="str">
        <f aca="false">TEXT(D403,"MMM")</f>
        <v>abr</v>
      </c>
      <c r="F403" s="10" t="n">
        <v>-147313.34</v>
      </c>
      <c r="G403" s="8" t="s">
        <v>34</v>
      </c>
      <c r="H403" s="8" t="s">
        <v>12</v>
      </c>
      <c r="I403" s="11" t="s">
        <v>13</v>
      </c>
      <c r="J403" s="8" t="s">
        <v>26</v>
      </c>
    </row>
    <row r="404" customFormat="false" ht="14.25" hidden="false" customHeight="false" outlineLevel="0" collapsed="false">
      <c r="A404" s="8" t="n">
        <v>403</v>
      </c>
      <c r="B404" s="8" t="s">
        <v>100</v>
      </c>
      <c r="C404" s="8" t="s">
        <v>10</v>
      </c>
      <c r="D404" s="9" t="n">
        <v>43941</v>
      </c>
      <c r="E404" s="9" t="str">
        <f aca="false">TEXT(D404,"MMM")</f>
        <v>abr</v>
      </c>
      <c r="F404" s="10" t="n">
        <v>13555.12</v>
      </c>
      <c r="G404" s="8" t="s">
        <v>11</v>
      </c>
      <c r="H404" s="8" t="s">
        <v>12</v>
      </c>
      <c r="I404" s="11" t="s">
        <v>13</v>
      </c>
      <c r="J404" s="8" t="s">
        <v>14</v>
      </c>
    </row>
    <row r="405" customFormat="false" ht="14.25" hidden="false" customHeight="false" outlineLevel="0" collapsed="false">
      <c r="A405" s="8" t="n">
        <v>404</v>
      </c>
      <c r="B405" s="8" t="s">
        <v>100</v>
      </c>
      <c r="C405" s="8" t="s">
        <v>10</v>
      </c>
      <c r="D405" s="9" t="n">
        <v>43941</v>
      </c>
      <c r="E405" s="9" t="str">
        <f aca="false">TEXT(D405,"MMM")</f>
        <v>abr</v>
      </c>
      <c r="F405" s="10" t="n">
        <v>12398.36</v>
      </c>
      <c r="G405" s="8" t="s">
        <v>11</v>
      </c>
      <c r="H405" s="8" t="s">
        <v>36</v>
      </c>
      <c r="I405" s="11" t="s">
        <v>37</v>
      </c>
      <c r="J405" s="8" t="s">
        <v>26</v>
      </c>
    </row>
    <row r="406" customFormat="false" ht="14.25" hidden="false" customHeight="false" outlineLevel="0" collapsed="false">
      <c r="A406" s="8" t="n">
        <v>405</v>
      </c>
      <c r="B406" s="8" t="s">
        <v>100</v>
      </c>
      <c r="C406" s="8" t="s">
        <v>28</v>
      </c>
      <c r="D406" s="9" t="n">
        <v>43941</v>
      </c>
      <c r="E406" s="9" t="str">
        <f aca="false">TEXT(D406,"MMM")</f>
        <v>abr</v>
      </c>
      <c r="F406" s="10" t="n">
        <v>11700.69</v>
      </c>
      <c r="G406" s="8" t="s">
        <v>11</v>
      </c>
      <c r="H406" s="8" t="s">
        <v>12</v>
      </c>
      <c r="I406" s="11" t="s">
        <v>13</v>
      </c>
      <c r="J406" s="8" t="s">
        <v>19</v>
      </c>
    </row>
    <row r="407" customFormat="false" ht="14.25" hidden="false" customHeight="false" outlineLevel="0" collapsed="false">
      <c r="A407" s="8" t="n">
        <v>406</v>
      </c>
      <c r="B407" s="8" t="s">
        <v>41</v>
      </c>
      <c r="C407" s="8" t="s">
        <v>21</v>
      </c>
      <c r="D407" s="9" t="n">
        <v>43945</v>
      </c>
      <c r="E407" s="9" t="str">
        <f aca="false">TEXT(D407,"MMM")</f>
        <v>abr</v>
      </c>
      <c r="F407" s="10" t="n">
        <v>28333.34</v>
      </c>
      <c r="G407" s="8" t="s">
        <v>11</v>
      </c>
      <c r="H407" s="8" t="s">
        <v>17</v>
      </c>
      <c r="I407" s="11" t="s">
        <v>18</v>
      </c>
      <c r="J407" s="8" t="s">
        <v>24</v>
      </c>
    </row>
    <row r="408" customFormat="false" ht="14.25" hidden="false" customHeight="false" outlineLevel="0" collapsed="false">
      <c r="A408" s="8" t="n">
        <v>407</v>
      </c>
      <c r="B408" s="8" t="s">
        <v>52</v>
      </c>
      <c r="C408" s="8" t="s">
        <v>10</v>
      </c>
      <c r="D408" s="9" t="n">
        <v>43945</v>
      </c>
      <c r="E408" s="9" t="str">
        <f aca="false">TEXT(D408,"MMM")</f>
        <v>abr</v>
      </c>
      <c r="F408" s="10" t="n">
        <v>12651.44</v>
      </c>
      <c r="G408" s="8" t="s">
        <v>11</v>
      </c>
      <c r="H408" s="8" t="s">
        <v>12</v>
      </c>
      <c r="I408" s="11" t="s">
        <v>13</v>
      </c>
      <c r="J408" s="8" t="s">
        <v>19</v>
      </c>
    </row>
    <row r="409" customFormat="false" ht="14.25" hidden="false" customHeight="false" outlineLevel="0" collapsed="false">
      <c r="A409" s="8" t="n">
        <v>408</v>
      </c>
      <c r="B409" s="8" t="s">
        <v>52</v>
      </c>
      <c r="C409" s="8" t="s">
        <v>10</v>
      </c>
      <c r="D409" s="9" t="n">
        <v>43945</v>
      </c>
      <c r="E409" s="9" t="str">
        <f aca="false">TEXT(D409,"MMM")</f>
        <v>abr</v>
      </c>
      <c r="F409" s="10" t="n">
        <v>14162.95</v>
      </c>
      <c r="G409" s="8" t="s">
        <v>11</v>
      </c>
      <c r="H409" s="8" t="s">
        <v>17</v>
      </c>
      <c r="I409" s="11" t="s">
        <v>18</v>
      </c>
      <c r="J409" s="8" t="s">
        <v>14</v>
      </c>
    </row>
    <row r="410" customFormat="false" ht="14.25" hidden="false" customHeight="false" outlineLevel="0" collapsed="false">
      <c r="A410" s="8" t="n">
        <v>409</v>
      </c>
      <c r="B410" s="8" t="s">
        <v>52</v>
      </c>
      <c r="C410" s="8" t="s">
        <v>21</v>
      </c>
      <c r="D410" s="9" t="n">
        <v>43945</v>
      </c>
      <c r="E410" s="9" t="str">
        <f aca="false">TEXT(D410,"MMM")</f>
        <v>abr</v>
      </c>
      <c r="F410" s="10" t="n">
        <v>163864.42</v>
      </c>
      <c r="G410" s="8" t="s">
        <v>11</v>
      </c>
      <c r="H410" s="8" t="s">
        <v>12</v>
      </c>
      <c r="I410" s="11" t="s">
        <v>13</v>
      </c>
      <c r="J410" s="8" t="s">
        <v>14</v>
      </c>
    </row>
    <row r="411" customFormat="false" ht="14.25" hidden="false" customHeight="false" outlineLevel="0" collapsed="false">
      <c r="A411" s="8" t="n">
        <v>410</v>
      </c>
      <c r="B411" s="8" t="s">
        <v>44</v>
      </c>
      <c r="C411" s="8" t="s">
        <v>16</v>
      </c>
      <c r="D411" s="9" t="n">
        <v>43946</v>
      </c>
      <c r="E411" s="9" t="str">
        <f aca="false">TEXT(D411,"MMM")</f>
        <v>abr</v>
      </c>
      <c r="F411" s="10" t="n">
        <v>28333.34</v>
      </c>
      <c r="G411" s="8" t="s">
        <v>11</v>
      </c>
      <c r="H411" s="8" t="s">
        <v>12</v>
      </c>
      <c r="I411" s="11" t="s">
        <v>13</v>
      </c>
      <c r="J411" s="8" t="s">
        <v>26</v>
      </c>
    </row>
    <row r="412" customFormat="false" ht="14.25" hidden="false" customHeight="false" outlineLevel="0" collapsed="false">
      <c r="A412" s="8" t="n">
        <v>411</v>
      </c>
      <c r="B412" s="8" t="s">
        <v>43</v>
      </c>
      <c r="C412" s="8" t="s">
        <v>10</v>
      </c>
      <c r="D412" s="9" t="n">
        <v>43946</v>
      </c>
      <c r="E412" s="9" t="str">
        <f aca="false">TEXT(D412,"MMM")</f>
        <v>abr</v>
      </c>
      <c r="F412" s="10" t="n">
        <v>13850.97</v>
      </c>
      <c r="G412" s="8" t="s">
        <v>11</v>
      </c>
      <c r="H412" s="8" t="s">
        <v>12</v>
      </c>
      <c r="I412" s="11" t="s">
        <v>13</v>
      </c>
      <c r="J412" s="8" t="s">
        <v>26</v>
      </c>
    </row>
    <row r="413" customFormat="false" ht="14.25" hidden="false" customHeight="false" outlineLevel="0" collapsed="false">
      <c r="A413" s="8" t="n">
        <v>412</v>
      </c>
      <c r="B413" s="8" t="s">
        <v>79</v>
      </c>
      <c r="C413" s="8" t="s">
        <v>16</v>
      </c>
      <c r="D413" s="9" t="n">
        <v>43946</v>
      </c>
      <c r="E413" s="9" t="str">
        <f aca="false">TEXT(D413,"MMM")</f>
        <v>abr</v>
      </c>
      <c r="F413" s="10" t="n">
        <v>12706.76</v>
      </c>
      <c r="G413" s="8" t="s">
        <v>11</v>
      </c>
      <c r="H413" s="8" t="s">
        <v>12</v>
      </c>
      <c r="I413" s="11" t="s">
        <v>13</v>
      </c>
      <c r="J413" s="8" t="s">
        <v>14</v>
      </c>
    </row>
    <row r="414" customFormat="false" ht="14.25" hidden="false" customHeight="false" outlineLevel="0" collapsed="false">
      <c r="A414" s="8" t="n">
        <v>413</v>
      </c>
      <c r="B414" s="8" t="s">
        <v>45</v>
      </c>
      <c r="C414" s="8" t="s">
        <v>16</v>
      </c>
      <c r="D414" s="9" t="n">
        <v>43946</v>
      </c>
      <c r="E414" s="9" t="str">
        <f aca="false">TEXT(D414,"MMM")</f>
        <v>abr</v>
      </c>
      <c r="F414" s="10" t="n">
        <v>28333.22</v>
      </c>
      <c r="G414" s="8" t="s">
        <v>11</v>
      </c>
      <c r="H414" s="8" t="s">
        <v>12</v>
      </c>
      <c r="I414" s="11" t="s">
        <v>13</v>
      </c>
      <c r="J414" s="8" t="s">
        <v>14</v>
      </c>
    </row>
    <row r="415" customFormat="false" ht="14.25" hidden="false" customHeight="false" outlineLevel="0" collapsed="false">
      <c r="A415" s="8" t="n">
        <v>414</v>
      </c>
      <c r="B415" s="8" t="s">
        <v>44</v>
      </c>
      <c r="C415" s="8" t="s">
        <v>21</v>
      </c>
      <c r="D415" s="9" t="n">
        <v>43946</v>
      </c>
      <c r="E415" s="9" t="str">
        <f aca="false">TEXT(D415,"MMM")</f>
        <v>abr</v>
      </c>
      <c r="F415" s="10" t="n">
        <v>131037.96</v>
      </c>
      <c r="G415" s="8" t="s">
        <v>11</v>
      </c>
      <c r="H415" s="8" t="s">
        <v>12</v>
      </c>
      <c r="I415" s="11" t="s">
        <v>13</v>
      </c>
      <c r="J415" s="8" t="s">
        <v>26</v>
      </c>
    </row>
    <row r="416" customFormat="false" ht="14.25" hidden="false" customHeight="false" outlineLevel="0" collapsed="false">
      <c r="A416" s="8" t="n">
        <v>415</v>
      </c>
      <c r="B416" s="8" t="s">
        <v>43</v>
      </c>
      <c r="C416" s="8" t="s">
        <v>21</v>
      </c>
      <c r="D416" s="9" t="n">
        <v>43946</v>
      </c>
      <c r="E416" s="9" t="str">
        <f aca="false">TEXT(D416,"MMM")</f>
        <v>abr</v>
      </c>
      <c r="F416" s="10" t="n">
        <v>23474.04</v>
      </c>
      <c r="G416" s="8" t="s">
        <v>11</v>
      </c>
      <c r="H416" s="8" t="s">
        <v>12</v>
      </c>
      <c r="I416" s="11" t="s">
        <v>13</v>
      </c>
      <c r="J416" s="8" t="s">
        <v>19</v>
      </c>
    </row>
    <row r="417" customFormat="false" ht="14.25" hidden="false" customHeight="false" outlineLevel="0" collapsed="false">
      <c r="A417" s="8" t="n">
        <v>416</v>
      </c>
      <c r="B417" s="8" t="s">
        <v>47</v>
      </c>
      <c r="C417" s="8" t="s">
        <v>28</v>
      </c>
      <c r="D417" s="9" t="n">
        <v>43946</v>
      </c>
      <c r="E417" s="9" t="str">
        <f aca="false">TEXT(D417,"MMM")</f>
        <v>abr</v>
      </c>
      <c r="F417" s="10" t="n">
        <v>-22931.02</v>
      </c>
      <c r="G417" s="8" t="s">
        <v>34</v>
      </c>
      <c r="H417" s="8" t="s">
        <v>17</v>
      </c>
      <c r="I417" s="11" t="s">
        <v>18</v>
      </c>
      <c r="J417" s="8" t="s">
        <v>14</v>
      </c>
    </row>
    <row r="418" customFormat="false" ht="14.25" hidden="false" customHeight="false" outlineLevel="0" collapsed="false">
      <c r="A418" s="8" t="n">
        <v>417</v>
      </c>
      <c r="B418" s="8" t="s">
        <v>45</v>
      </c>
      <c r="C418" s="8" t="s">
        <v>28</v>
      </c>
      <c r="D418" s="9" t="n">
        <v>43946</v>
      </c>
      <c r="E418" s="9" t="str">
        <f aca="false">TEXT(D418,"MMM")</f>
        <v>abr</v>
      </c>
      <c r="F418" s="10" t="n">
        <v>-34746.95</v>
      </c>
      <c r="G418" s="8" t="s">
        <v>34</v>
      </c>
      <c r="H418" s="8" t="s">
        <v>12</v>
      </c>
      <c r="I418" s="11" t="s">
        <v>13</v>
      </c>
      <c r="J418" s="8" t="s">
        <v>26</v>
      </c>
    </row>
    <row r="419" customFormat="false" ht="14.25" hidden="false" customHeight="false" outlineLevel="0" collapsed="false">
      <c r="A419" s="8" t="n">
        <v>418</v>
      </c>
      <c r="B419" s="8" t="s">
        <v>79</v>
      </c>
      <c r="C419" s="8" t="s">
        <v>16</v>
      </c>
      <c r="D419" s="9" t="n">
        <v>43946</v>
      </c>
      <c r="E419" s="9" t="str">
        <f aca="false">TEXT(D419,"MMM")</f>
        <v>abr</v>
      </c>
      <c r="F419" s="10" t="n">
        <v>-11424.84</v>
      </c>
      <c r="G419" s="8" t="s">
        <v>34</v>
      </c>
      <c r="H419" s="8" t="s">
        <v>22</v>
      </c>
      <c r="I419" s="11" t="s">
        <v>23</v>
      </c>
      <c r="J419" s="8" t="s">
        <v>24</v>
      </c>
    </row>
    <row r="420" customFormat="false" ht="14.25" hidden="false" customHeight="false" outlineLevel="0" collapsed="false">
      <c r="A420" s="8" t="n">
        <v>419</v>
      </c>
      <c r="B420" s="8" t="s">
        <v>47</v>
      </c>
      <c r="C420" s="8" t="s">
        <v>28</v>
      </c>
      <c r="D420" s="9" t="n">
        <v>43946</v>
      </c>
      <c r="E420" s="9" t="str">
        <f aca="false">TEXT(D420,"MMM")</f>
        <v>abr</v>
      </c>
      <c r="F420" s="10" t="n">
        <v>-12901.35</v>
      </c>
      <c r="G420" s="8" t="s">
        <v>34</v>
      </c>
      <c r="H420" s="8" t="s">
        <v>17</v>
      </c>
      <c r="I420" s="11" t="s">
        <v>18</v>
      </c>
      <c r="J420" s="8" t="s">
        <v>14</v>
      </c>
    </row>
    <row r="421" customFormat="false" ht="14.25" hidden="false" customHeight="false" outlineLevel="0" collapsed="false">
      <c r="A421" s="8" t="n">
        <v>420</v>
      </c>
      <c r="B421" s="8" t="s">
        <v>72</v>
      </c>
      <c r="C421" s="8" t="s">
        <v>16</v>
      </c>
      <c r="D421" s="9" t="n">
        <v>43946</v>
      </c>
      <c r="E421" s="9" t="str">
        <f aca="false">TEXT(D421,"MMM")</f>
        <v>abr</v>
      </c>
      <c r="F421" s="10" t="n">
        <v>154120.72</v>
      </c>
      <c r="G421" s="8" t="s">
        <v>11</v>
      </c>
      <c r="H421" s="8" t="s">
        <v>12</v>
      </c>
      <c r="I421" s="11" t="s">
        <v>13</v>
      </c>
      <c r="J421" s="8" t="s">
        <v>14</v>
      </c>
    </row>
    <row r="422" customFormat="false" ht="14.25" hidden="false" customHeight="false" outlineLevel="0" collapsed="false">
      <c r="A422" s="8" t="n">
        <v>421</v>
      </c>
      <c r="B422" s="8" t="s">
        <v>72</v>
      </c>
      <c r="C422" s="8" t="s">
        <v>10</v>
      </c>
      <c r="D422" s="9" t="n">
        <v>43946</v>
      </c>
      <c r="E422" s="9" t="str">
        <f aca="false">TEXT(D422,"MMM")</f>
        <v>abr</v>
      </c>
      <c r="F422" s="10" t="n">
        <v>-24883.92</v>
      </c>
      <c r="G422" s="8" t="s">
        <v>34</v>
      </c>
      <c r="H422" s="8" t="s">
        <v>17</v>
      </c>
      <c r="I422" s="11" t="s">
        <v>18</v>
      </c>
      <c r="J422" s="8" t="s">
        <v>26</v>
      </c>
    </row>
    <row r="423" customFormat="false" ht="14.25" hidden="false" customHeight="false" outlineLevel="0" collapsed="false">
      <c r="A423" s="8" t="n">
        <v>422</v>
      </c>
      <c r="B423" s="8" t="s">
        <v>57</v>
      </c>
      <c r="C423" s="8" t="s">
        <v>10</v>
      </c>
      <c r="D423" s="9" t="n">
        <v>43946</v>
      </c>
      <c r="E423" s="9" t="str">
        <f aca="false">TEXT(D423,"MMM")</f>
        <v>abr</v>
      </c>
      <c r="F423" s="10" t="n">
        <v>-22498.56</v>
      </c>
      <c r="G423" s="8" t="s">
        <v>34</v>
      </c>
      <c r="H423" s="8" t="s">
        <v>12</v>
      </c>
      <c r="I423" s="11" t="s">
        <v>13</v>
      </c>
      <c r="J423" s="8" t="s">
        <v>14</v>
      </c>
    </row>
    <row r="424" customFormat="false" ht="14.25" hidden="false" customHeight="false" outlineLevel="0" collapsed="false">
      <c r="A424" s="8" t="n">
        <v>423</v>
      </c>
      <c r="B424" s="8" t="s">
        <v>57</v>
      </c>
      <c r="C424" s="8" t="s">
        <v>16</v>
      </c>
      <c r="D424" s="9" t="n">
        <v>43946</v>
      </c>
      <c r="E424" s="9" t="str">
        <f aca="false">TEXT(D424,"MMM")</f>
        <v>abr</v>
      </c>
      <c r="F424" s="10" t="n">
        <v>-25890.03</v>
      </c>
      <c r="G424" s="8" t="s">
        <v>34</v>
      </c>
      <c r="H424" s="8" t="s">
        <v>12</v>
      </c>
      <c r="I424" s="11" t="s">
        <v>13</v>
      </c>
      <c r="J424" s="8" t="s">
        <v>14</v>
      </c>
    </row>
    <row r="425" customFormat="false" ht="14.25" hidden="false" customHeight="false" outlineLevel="0" collapsed="false">
      <c r="A425" s="8" t="n">
        <v>424</v>
      </c>
      <c r="B425" s="8" t="s">
        <v>60</v>
      </c>
      <c r="C425" s="8" t="s">
        <v>21</v>
      </c>
      <c r="D425" s="9" t="n">
        <v>43947</v>
      </c>
      <c r="E425" s="9" t="str">
        <f aca="false">TEXT(D425,"MMM")</f>
        <v>abr</v>
      </c>
      <c r="F425" s="10" t="n">
        <v>-10500</v>
      </c>
      <c r="G425" s="8" t="s">
        <v>34</v>
      </c>
      <c r="H425" s="8" t="s">
        <v>36</v>
      </c>
      <c r="I425" s="11" t="s">
        <v>37</v>
      </c>
      <c r="J425" s="8" t="s">
        <v>14</v>
      </c>
    </row>
    <row r="426" customFormat="false" ht="14.25" hidden="false" customHeight="false" outlineLevel="0" collapsed="false">
      <c r="A426" s="8" t="n">
        <v>425</v>
      </c>
      <c r="B426" s="8" t="s">
        <v>50</v>
      </c>
      <c r="C426" s="8" t="s">
        <v>10</v>
      </c>
      <c r="D426" s="9" t="n">
        <v>43947</v>
      </c>
      <c r="E426" s="9" t="str">
        <f aca="false">TEXT(D426,"MMM")</f>
        <v>abr</v>
      </c>
      <c r="F426" s="10" t="n">
        <v>-26404.91</v>
      </c>
      <c r="G426" s="8" t="s">
        <v>34</v>
      </c>
      <c r="H426" s="8" t="s">
        <v>12</v>
      </c>
      <c r="I426" s="11" t="s">
        <v>13</v>
      </c>
      <c r="J426" s="8" t="s">
        <v>26</v>
      </c>
    </row>
    <row r="427" customFormat="false" ht="14.25" hidden="false" customHeight="false" outlineLevel="0" collapsed="false">
      <c r="A427" s="8" t="n">
        <v>426</v>
      </c>
      <c r="B427" s="8" t="s">
        <v>32</v>
      </c>
      <c r="C427" s="8" t="s">
        <v>10</v>
      </c>
      <c r="D427" s="9" t="n">
        <v>43947</v>
      </c>
      <c r="E427" s="9" t="str">
        <f aca="false">TEXT(D427,"MMM")</f>
        <v>abr</v>
      </c>
      <c r="F427" s="10" t="n">
        <v>148512</v>
      </c>
      <c r="G427" s="8" t="s">
        <v>11</v>
      </c>
      <c r="H427" s="8" t="s">
        <v>17</v>
      </c>
      <c r="I427" s="11" t="s">
        <v>18</v>
      </c>
      <c r="J427" s="8" t="s">
        <v>24</v>
      </c>
    </row>
    <row r="428" customFormat="false" ht="14.25" hidden="false" customHeight="false" outlineLevel="0" collapsed="false">
      <c r="A428" s="8" t="n">
        <v>427</v>
      </c>
      <c r="B428" s="8" t="s">
        <v>111</v>
      </c>
      <c r="C428" s="8" t="s">
        <v>28</v>
      </c>
      <c r="D428" s="9" t="n">
        <v>43948</v>
      </c>
      <c r="E428" s="9" t="str">
        <f aca="false">TEXT(D428,"MMM")</f>
        <v>abr</v>
      </c>
      <c r="F428" s="10" t="n">
        <v>3161180.92</v>
      </c>
      <c r="G428" s="8" t="s">
        <v>11</v>
      </c>
      <c r="H428" s="8" t="s">
        <v>30</v>
      </c>
      <c r="I428" s="11" t="s">
        <v>31</v>
      </c>
      <c r="J428" s="8" t="s">
        <v>14</v>
      </c>
    </row>
    <row r="429" customFormat="false" ht="14.25" hidden="false" customHeight="false" outlineLevel="0" collapsed="false">
      <c r="A429" s="8" t="n">
        <v>428</v>
      </c>
      <c r="B429" s="8" t="s">
        <v>77</v>
      </c>
      <c r="C429" s="8" t="s">
        <v>10</v>
      </c>
      <c r="D429" s="9" t="n">
        <v>43948</v>
      </c>
      <c r="E429" s="9" t="str">
        <f aca="false">TEXT(D429,"MMM")</f>
        <v>abr</v>
      </c>
      <c r="F429" s="10" t="n">
        <v>-3507.77</v>
      </c>
      <c r="G429" s="8" t="s">
        <v>34</v>
      </c>
      <c r="H429" s="8" t="s">
        <v>12</v>
      </c>
      <c r="I429" s="11" t="s">
        <v>13</v>
      </c>
      <c r="J429" s="8" t="s">
        <v>14</v>
      </c>
    </row>
    <row r="430" customFormat="false" ht="14.25" hidden="false" customHeight="false" outlineLevel="0" collapsed="false">
      <c r="A430" s="8" t="n">
        <v>429</v>
      </c>
      <c r="B430" s="8" t="s">
        <v>20</v>
      </c>
      <c r="C430" s="8" t="s">
        <v>16</v>
      </c>
      <c r="D430" s="9" t="n">
        <v>43949</v>
      </c>
      <c r="E430" s="9" t="str">
        <f aca="false">TEXT(D430,"MMM")</f>
        <v>abr</v>
      </c>
      <c r="F430" s="10" t="n">
        <v>-5072.34</v>
      </c>
      <c r="G430" s="8" t="s">
        <v>34</v>
      </c>
      <c r="H430" s="8" t="s">
        <v>36</v>
      </c>
      <c r="I430" s="11" t="s">
        <v>37</v>
      </c>
      <c r="J430" s="8" t="s">
        <v>14</v>
      </c>
    </row>
    <row r="431" customFormat="false" ht="14.25" hidden="false" customHeight="false" outlineLevel="0" collapsed="false">
      <c r="A431" s="8" t="n">
        <v>430</v>
      </c>
      <c r="B431" s="8" t="s">
        <v>73</v>
      </c>
      <c r="C431" s="8" t="s">
        <v>16</v>
      </c>
      <c r="D431" s="9" t="n">
        <v>43949</v>
      </c>
      <c r="E431" s="9" t="str">
        <f aca="false">TEXT(D431,"MMM")</f>
        <v>abr</v>
      </c>
      <c r="F431" s="10" t="n">
        <v>-12854.87</v>
      </c>
      <c r="G431" s="8" t="s">
        <v>34</v>
      </c>
      <c r="H431" s="8" t="s">
        <v>22</v>
      </c>
      <c r="I431" s="11" t="s">
        <v>23</v>
      </c>
      <c r="J431" s="8" t="s">
        <v>24</v>
      </c>
    </row>
    <row r="432" customFormat="false" ht="14.25" hidden="false" customHeight="false" outlineLevel="0" collapsed="false">
      <c r="A432" s="8" t="n">
        <v>431</v>
      </c>
      <c r="B432" s="8" t="s">
        <v>20</v>
      </c>
      <c r="C432" s="8" t="s">
        <v>28</v>
      </c>
      <c r="D432" s="9" t="n">
        <v>43949</v>
      </c>
      <c r="E432" s="9" t="str">
        <f aca="false">TEXT(D432,"MMM")</f>
        <v>abr</v>
      </c>
      <c r="F432" s="10" t="n">
        <v>-370.09</v>
      </c>
      <c r="G432" s="8" t="s">
        <v>34</v>
      </c>
      <c r="H432" s="8" t="s">
        <v>17</v>
      </c>
      <c r="I432" s="11" t="s">
        <v>18</v>
      </c>
      <c r="J432" s="8" t="s">
        <v>14</v>
      </c>
    </row>
    <row r="433" customFormat="false" ht="14.25" hidden="false" customHeight="false" outlineLevel="0" collapsed="false">
      <c r="A433" s="8" t="n">
        <v>432</v>
      </c>
      <c r="B433" s="8" t="s">
        <v>20</v>
      </c>
      <c r="C433" s="8" t="s">
        <v>21</v>
      </c>
      <c r="D433" s="9" t="n">
        <v>43949</v>
      </c>
      <c r="E433" s="9" t="str">
        <f aca="false">TEXT(D433,"MMM")</f>
        <v>abr</v>
      </c>
      <c r="F433" s="10" t="n">
        <v>-27058.57</v>
      </c>
      <c r="G433" s="8" t="s">
        <v>34</v>
      </c>
      <c r="H433" s="8" t="s">
        <v>36</v>
      </c>
      <c r="I433" s="11" t="s">
        <v>37</v>
      </c>
      <c r="J433" s="8" t="s">
        <v>26</v>
      </c>
    </row>
    <row r="434" customFormat="false" ht="14.25" hidden="false" customHeight="false" outlineLevel="0" collapsed="false">
      <c r="A434" s="8" t="n">
        <v>433</v>
      </c>
      <c r="B434" s="8" t="s">
        <v>73</v>
      </c>
      <c r="C434" s="8" t="s">
        <v>10</v>
      </c>
      <c r="D434" s="9" t="n">
        <v>43949</v>
      </c>
      <c r="E434" s="9" t="str">
        <f aca="false">TEXT(D434,"MMM")</f>
        <v>abr</v>
      </c>
      <c r="F434" s="10" t="n">
        <v>-52582.64</v>
      </c>
      <c r="G434" s="8" t="s">
        <v>34</v>
      </c>
      <c r="H434" s="8" t="s">
        <v>22</v>
      </c>
      <c r="I434" s="11" t="s">
        <v>23</v>
      </c>
      <c r="J434" s="8" t="s">
        <v>26</v>
      </c>
    </row>
    <row r="435" customFormat="false" ht="14.25" hidden="false" customHeight="false" outlineLevel="0" collapsed="false">
      <c r="A435" s="8" t="n">
        <v>434</v>
      </c>
      <c r="B435" s="8" t="s">
        <v>73</v>
      </c>
      <c r="C435" s="8" t="s">
        <v>10</v>
      </c>
      <c r="D435" s="9" t="n">
        <v>43949</v>
      </c>
      <c r="E435" s="9" t="str">
        <f aca="false">TEXT(D435,"MMM")</f>
        <v>abr</v>
      </c>
      <c r="F435" s="10" t="n">
        <v>49758.09</v>
      </c>
      <c r="G435" s="8" t="s">
        <v>11</v>
      </c>
      <c r="H435" s="8" t="s">
        <v>17</v>
      </c>
      <c r="I435" s="11" t="s">
        <v>18</v>
      </c>
      <c r="J435" s="8" t="s">
        <v>26</v>
      </c>
    </row>
    <row r="436" customFormat="false" ht="14.25" hidden="false" customHeight="false" outlineLevel="0" collapsed="false">
      <c r="A436" s="8" t="n">
        <v>435</v>
      </c>
      <c r="B436" s="8" t="s">
        <v>39</v>
      </c>
      <c r="C436" s="8" t="s">
        <v>28</v>
      </c>
      <c r="D436" s="9" t="n">
        <v>43951</v>
      </c>
      <c r="E436" s="9" t="str">
        <f aca="false">TEXT(D436,"MMM")</f>
        <v>abr</v>
      </c>
      <c r="F436" s="10" t="n">
        <v>-168527.94</v>
      </c>
      <c r="G436" s="8" t="s">
        <v>34</v>
      </c>
      <c r="H436" s="8" t="s">
        <v>12</v>
      </c>
      <c r="I436" s="11" t="s">
        <v>13</v>
      </c>
      <c r="J436" s="8" t="s">
        <v>24</v>
      </c>
    </row>
    <row r="437" customFormat="false" ht="14.25" hidden="false" customHeight="false" outlineLevel="0" collapsed="false">
      <c r="A437" s="8" t="n">
        <v>436</v>
      </c>
      <c r="B437" s="8" t="s">
        <v>39</v>
      </c>
      <c r="C437" s="8" t="s">
        <v>21</v>
      </c>
      <c r="D437" s="9" t="n">
        <v>43951</v>
      </c>
      <c r="E437" s="9" t="str">
        <f aca="false">TEXT(D437,"MMM")</f>
        <v>abr</v>
      </c>
      <c r="F437" s="10" t="n">
        <v>-13801.27</v>
      </c>
      <c r="G437" s="8" t="s">
        <v>34</v>
      </c>
      <c r="H437" s="8" t="s">
        <v>36</v>
      </c>
      <c r="I437" s="11" t="s">
        <v>37</v>
      </c>
      <c r="J437" s="8" t="s">
        <v>19</v>
      </c>
    </row>
    <row r="438" customFormat="false" ht="14.25" hidden="false" customHeight="false" outlineLevel="0" collapsed="false">
      <c r="A438" s="8" t="n">
        <v>437</v>
      </c>
      <c r="B438" s="8" t="s">
        <v>15</v>
      </c>
      <c r="C438" s="8" t="s">
        <v>16</v>
      </c>
      <c r="D438" s="9" t="n">
        <v>43953</v>
      </c>
      <c r="E438" s="9" t="str">
        <f aca="false">TEXT(D438,"MMM")</f>
        <v>mai</v>
      </c>
      <c r="F438" s="10" t="n">
        <v>-8197.63</v>
      </c>
      <c r="G438" s="8" t="s">
        <v>34</v>
      </c>
      <c r="H438" s="8" t="s">
        <v>36</v>
      </c>
      <c r="I438" s="11" t="s">
        <v>37</v>
      </c>
      <c r="J438" s="8" t="s">
        <v>14</v>
      </c>
    </row>
    <row r="439" customFormat="false" ht="14.25" hidden="false" customHeight="false" outlineLevel="0" collapsed="false">
      <c r="A439" s="8" t="n">
        <v>438</v>
      </c>
      <c r="B439" s="8" t="s">
        <v>15</v>
      </c>
      <c r="C439" s="8" t="s">
        <v>10</v>
      </c>
      <c r="D439" s="9" t="n">
        <v>43954</v>
      </c>
      <c r="E439" s="9" t="str">
        <f aca="false">TEXT(D439,"MMM")</f>
        <v>mai</v>
      </c>
      <c r="F439" s="10" t="n">
        <v>4000865.03</v>
      </c>
      <c r="G439" s="8" t="s">
        <v>11</v>
      </c>
      <c r="H439" s="8" t="s">
        <v>12</v>
      </c>
      <c r="I439" s="11" t="s">
        <v>13</v>
      </c>
      <c r="J439" s="8" t="s">
        <v>19</v>
      </c>
    </row>
    <row r="440" customFormat="false" ht="14.25" hidden="false" customHeight="false" outlineLevel="0" collapsed="false">
      <c r="A440" s="8" t="n">
        <v>439</v>
      </c>
      <c r="B440" s="8" t="s">
        <v>61</v>
      </c>
      <c r="C440" s="8" t="s">
        <v>16</v>
      </c>
      <c r="D440" s="9" t="n">
        <v>43954</v>
      </c>
      <c r="E440" s="9" t="str">
        <f aca="false">TEXT(D440,"MMM")</f>
        <v>mai</v>
      </c>
      <c r="F440" s="10" t="n">
        <v>142597.75</v>
      </c>
      <c r="G440" s="8" t="s">
        <v>11</v>
      </c>
      <c r="H440" s="8" t="s">
        <v>22</v>
      </c>
      <c r="I440" s="11" t="s">
        <v>23</v>
      </c>
      <c r="J440" s="8" t="s">
        <v>19</v>
      </c>
    </row>
    <row r="441" customFormat="false" ht="14.25" hidden="false" customHeight="false" outlineLevel="0" collapsed="false">
      <c r="A441" s="8" t="n">
        <v>440</v>
      </c>
      <c r="B441" s="8" t="s">
        <v>62</v>
      </c>
      <c r="C441" s="8" t="s">
        <v>21</v>
      </c>
      <c r="D441" s="9" t="n">
        <v>43954</v>
      </c>
      <c r="E441" s="9" t="str">
        <f aca="false">TEXT(D441,"MMM")</f>
        <v>mai</v>
      </c>
      <c r="F441" s="10" t="n">
        <v>8862.54</v>
      </c>
      <c r="G441" s="8" t="s">
        <v>11</v>
      </c>
      <c r="H441" s="8" t="s">
        <v>12</v>
      </c>
      <c r="I441" s="11" t="s">
        <v>13</v>
      </c>
      <c r="J441" s="8" t="s">
        <v>19</v>
      </c>
    </row>
    <row r="442" customFormat="false" ht="14.25" hidden="false" customHeight="false" outlineLevel="0" collapsed="false">
      <c r="A442" s="8" t="n">
        <v>441</v>
      </c>
      <c r="B442" s="8" t="s">
        <v>61</v>
      </c>
      <c r="C442" s="8" t="s">
        <v>10</v>
      </c>
      <c r="D442" s="9" t="n">
        <v>43954</v>
      </c>
      <c r="E442" s="9" t="str">
        <f aca="false">TEXT(D442,"MMM")</f>
        <v>mai</v>
      </c>
      <c r="F442" s="10" t="n">
        <v>7789.11</v>
      </c>
      <c r="G442" s="8" t="s">
        <v>11</v>
      </c>
      <c r="H442" s="8" t="s">
        <v>17</v>
      </c>
      <c r="I442" s="11" t="s">
        <v>18</v>
      </c>
      <c r="J442" s="8" t="s">
        <v>26</v>
      </c>
    </row>
    <row r="443" customFormat="false" ht="14.25" hidden="false" customHeight="false" outlineLevel="0" collapsed="false">
      <c r="A443" s="8" t="n">
        <v>442</v>
      </c>
      <c r="B443" s="8" t="s">
        <v>62</v>
      </c>
      <c r="C443" s="8" t="s">
        <v>10</v>
      </c>
      <c r="D443" s="9" t="n">
        <v>43954</v>
      </c>
      <c r="E443" s="9" t="str">
        <f aca="false">TEXT(D443,"MMM")</f>
        <v>mai</v>
      </c>
      <c r="F443" s="10" t="n">
        <v>8014.1</v>
      </c>
      <c r="G443" s="8" t="s">
        <v>11</v>
      </c>
      <c r="H443" s="8" t="s">
        <v>12</v>
      </c>
      <c r="I443" s="11" t="s">
        <v>13</v>
      </c>
      <c r="J443" s="8" t="s">
        <v>14</v>
      </c>
    </row>
    <row r="444" customFormat="false" ht="14.25" hidden="false" customHeight="false" outlineLevel="0" collapsed="false">
      <c r="A444" s="8" t="n">
        <v>443</v>
      </c>
      <c r="B444" s="8" t="s">
        <v>61</v>
      </c>
      <c r="C444" s="8" t="s">
        <v>10</v>
      </c>
      <c r="D444" s="9" t="n">
        <v>43954</v>
      </c>
      <c r="E444" s="9" t="str">
        <f aca="false">TEXT(D444,"MMM")</f>
        <v>mai</v>
      </c>
      <c r="F444" s="10" t="n">
        <v>7868.59</v>
      </c>
      <c r="G444" s="8" t="s">
        <v>11</v>
      </c>
      <c r="H444" s="8" t="s">
        <v>22</v>
      </c>
      <c r="I444" s="11" t="s">
        <v>23</v>
      </c>
      <c r="J444" s="8" t="s">
        <v>14</v>
      </c>
    </row>
    <row r="445" customFormat="false" ht="14.25" hidden="false" customHeight="false" outlineLevel="0" collapsed="false">
      <c r="A445" s="8" t="n">
        <v>444</v>
      </c>
      <c r="B445" s="8" t="s">
        <v>62</v>
      </c>
      <c r="C445" s="8" t="s">
        <v>16</v>
      </c>
      <c r="D445" s="9" t="n">
        <v>43954</v>
      </c>
      <c r="E445" s="9" t="str">
        <f aca="false">TEXT(D445,"MMM")</f>
        <v>mai</v>
      </c>
      <c r="F445" s="10" t="n">
        <v>8185.84</v>
      </c>
      <c r="G445" s="8" t="s">
        <v>11</v>
      </c>
      <c r="H445" s="8" t="s">
        <v>22</v>
      </c>
      <c r="I445" s="11" t="s">
        <v>23</v>
      </c>
      <c r="J445" s="8" t="s">
        <v>14</v>
      </c>
    </row>
    <row r="446" customFormat="false" ht="14.25" hidden="false" customHeight="false" outlineLevel="0" collapsed="false">
      <c r="A446" s="8" t="n">
        <v>445</v>
      </c>
      <c r="B446" s="8" t="s">
        <v>41</v>
      </c>
      <c r="C446" s="8" t="s">
        <v>28</v>
      </c>
      <c r="D446" s="9" t="n">
        <v>43955</v>
      </c>
      <c r="E446" s="9" t="str">
        <f aca="false">TEXT(D446,"MMM")</f>
        <v>mai</v>
      </c>
      <c r="F446" s="10" t="n">
        <v>8438.04</v>
      </c>
      <c r="G446" s="8" t="s">
        <v>11</v>
      </c>
      <c r="H446" s="8" t="s">
        <v>30</v>
      </c>
      <c r="I446" s="11" t="s">
        <v>31</v>
      </c>
      <c r="J446" s="8" t="s">
        <v>19</v>
      </c>
    </row>
    <row r="447" customFormat="false" ht="14.25" hidden="false" customHeight="false" outlineLevel="0" collapsed="false">
      <c r="A447" s="8" t="n">
        <v>446</v>
      </c>
      <c r="B447" s="8" t="s">
        <v>40</v>
      </c>
      <c r="C447" s="8" t="s">
        <v>10</v>
      </c>
      <c r="D447" s="9" t="n">
        <v>43956</v>
      </c>
      <c r="E447" s="9" t="str">
        <f aca="false">TEXT(D447,"MMM")</f>
        <v>mai</v>
      </c>
      <c r="F447" s="10" t="n">
        <v>8347.84</v>
      </c>
      <c r="G447" s="8" t="s">
        <v>11</v>
      </c>
      <c r="H447" s="8" t="s">
        <v>12</v>
      </c>
      <c r="I447" s="11" t="s">
        <v>13</v>
      </c>
      <c r="J447" s="8" t="s">
        <v>19</v>
      </c>
    </row>
    <row r="448" customFormat="false" ht="14.25" hidden="false" customHeight="false" outlineLevel="0" collapsed="false">
      <c r="A448" s="8" t="n">
        <v>447</v>
      </c>
      <c r="B448" s="8" t="s">
        <v>39</v>
      </c>
      <c r="C448" s="8" t="s">
        <v>10</v>
      </c>
      <c r="D448" s="9" t="n">
        <v>43956</v>
      </c>
      <c r="E448" s="9" t="str">
        <f aca="false">TEXT(D448,"MMM")</f>
        <v>mai</v>
      </c>
      <c r="F448" s="10" t="n">
        <v>7946.53</v>
      </c>
      <c r="G448" s="8" t="s">
        <v>11</v>
      </c>
      <c r="H448" s="8" t="s">
        <v>36</v>
      </c>
      <c r="I448" s="11" t="s">
        <v>37</v>
      </c>
      <c r="J448" s="8" t="s">
        <v>19</v>
      </c>
    </row>
    <row r="449" customFormat="false" ht="14.25" hidden="false" customHeight="false" outlineLevel="0" collapsed="false">
      <c r="A449" s="8" t="n">
        <v>448</v>
      </c>
      <c r="B449" s="8" t="s">
        <v>44</v>
      </c>
      <c r="C449" s="8" t="s">
        <v>16</v>
      </c>
      <c r="D449" s="9" t="n">
        <v>43959</v>
      </c>
      <c r="E449" s="9" t="str">
        <f aca="false">TEXT(D449,"MMM")</f>
        <v>mai</v>
      </c>
      <c r="F449" s="10" t="n">
        <v>-13513.96</v>
      </c>
      <c r="G449" s="8" t="s">
        <v>34</v>
      </c>
      <c r="H449" s="8" t="s">
        <v>17</v>
      </c>
      <c r="I449" s="11" t="s">
        <v>18</v>
      </c>
      <c r="J449" s="8" t="s">
        <v>26</v>
      </c>
    </row>
    <row r="450" customFormat="false" ht="14.25" hidden="false" customHeight="false" outlineLevel="0" collapsed="false">
      <c r="A450" s="8" t="n">
        <v>449</v>
      </c>
      <c r="B450" s="8" t="s">
        <v>44</v>
      </c>
      <c r="C450" s="8" t="s">
        <v>21</v>
      </c>
      <c r="D450" s="9" t="n">
        <v>43959</v>
      </c>
      <c r="E450" s="9" t="str">
        <f aca="false">TEXT(D450,"MMM")</f>
        <v>mai</v>
      </c>
      <c r="F450" s="10" t="n">
        <v>3485</v>
      </c>
      <c r="G450" s="8" t="s">
        <v>11</v>
      </c>
      <c r="H450" s="8" t="s">
        <v>22</v>
      </c>
      <c r="I450" s="11" t="s">
        <v>23</v>
      </c>
      <c r="J450" s="8" t="s">
        <v>26</v>
      </c>
    </row>
    <row r="451" customFormat="false" ht="14.25" hidden="false" customHeight="false" outlineLevel="0" collapsed="false">
      <c r="A451" s="8" t="n">
        <v>450</v>
      </c>
      <c r="B451" s="8" t="s">
        <v>43</v>
      </c>
      <c r="C451" s="8" t="s">
        <v>10</v>
      </c>
      <c r="D451" s="9" t="n">
        <v>43959</v>
      </c>
      <c r="E451" s="9" t="str">
        <f aca="false">TEXT(D451,"MMM")</f>
        <v>mai</v>
      </c>
      <c r="F451" s="10" t="n">
        <v>3485</v>
      </c>
      <c r="G451" s="8" t="s">
        <v>11</v>
      </c>
      <c r="H451" s="8" t="s">
        <v>12</v>
      </c>
      <c r="I451" s="11" t="s">
        <v>13</v>
      </c>
      <c r="J451" s="8" t="s">
        <v>14</v>
      </c>
    </row>
    <row r="452" customFormat="false" ht="14.25" hidden="false" customHeight="false" outlineLevel="0" collapsed="false">
      <c r="A452" s="8" t="n">
        <v>451</v>
      </c>
      <c r="B452" s="8" t="s">
        <v>46</v>
      </c>
      <c r="C452" s="8" t="s">
        <v>16</v>
      </c>
      <c r="D452" s="9" t="n">
        <v>43959</v>
      </c>
      <c r="E452" s="9" t="str">
        <f aca="false">TEXT(D452,"MMM")</f>
        <v>mai</v>
      </c>
      <c r="F452" s="10" t="n">
        <v>-7493.78</v>
      </c>
      <c r="G452" s="8" t="s">
        <v>34</v>
      </c>
      <c r="H452" s="8" t="s">
        <v>12</v>
      </c>
      <c r="I452" s="11" t="s">
        <v>13</v>
      </c>
      <c r="J452" s="8" t="s">
        <v>14</v>
      </c>
    </row>
    <row r="453" customFormat="false" ht="14.25" hidden="false" customHeight="false" outlineLevel="0" collapsed="false">
      <c r="A453" s="8" t="n">
        <v>452</v>
      </c>
      <c r="B453" s="8" t="s">
        <v>42</v>
      </c>
      <c r="C453" s="8" t="s">
        <v>21</v>
      </c>
      <c r="D453" s="9" t="n">
        <v>43959</v>
      </c>
      <c r="E453" s="9" t="str">
        <f aca="false">TEXT(D453,"MMM")</f>
        <v>mai</v>
      </c>
      <c r="F453" s="10" t="n">
        <v>5924.5</v>
      </c>
      <c r="G453" s="8" t="s">
        <v>11</v>
      </c>
      <c r="H453" s="8" t="s">
        <v>12</v>
      </c>
      <c r="I453" s="11" t="s">
        <v>13</v>
      </c>
      <c r="J453" s="8" t="s">
        <v>24</v>
      </c>
    </row>
    <row r="454" customFormat="false" ht="14.25" hidden="false" customHeight="false" outlineLevel="0" collapsed="false">
      <c r="A454" s="8" t="n">
        <v>453</v>
      </c>
      <c r="B454" s="8" t="s">
        <v>45</v>
      </c>
      <c r="C454" s="8" t="s">
        <v>21</v>
      </c>
      <c r="D454" s="9" t="n">
        <v>43959</v>
      </c>
      <c r="E454" s="9" t="str">
        <f aca="false">TEXT(D454,"MMM")</f>
        <v>mai</v>
      </c>
      <c r="F454" s="10" t="n">
        <v>5924.5</v>
      </c>
      <c r="G454" s="8" t="s">
        <v>11</v>
      </c>
      <c r="H454" s="8" t="s">
        <v>36</v>
      </c>
      <c r="I454" s="11" t="s">
        <v>37</v>
      </c>
      <c r="J454" s="8" t="s">
        <v>14</v>
      </c>
    </row>
    <row r="455" customFormat="false" ht="14.25" hidden="false" customHeight="false" outlineLevel="0" collapsed="false">
      <c r="A455" s="8" t="n">
        <v>454</v>
      </c>
      <c r="B455" s="8" t="s">
        <v>49</v>
      </c>
      <c r="C455" s="8" t="s">
        <v>28</v>
      </c>
      <c r="D455" s="9" t="n">
        <v>43959</v>
      </c>
      <c r="E455" s="9" t="str">
        <f aca="false">TEXT(D455,"MMM")</f>
        <v>mai</v>
      </c>
      <c r="F455" s="10" t="n">
        <v>5924.5</v>
      </c>
      <c r="G455" s="8" t="s">
        <v>11</v>
      </c>
      <c r="H455" s="8" t="s">
        <v>22</v>
      </c>
      <c r="I455" s="11" t="s">
        <v>23</v>
      </c>
      <c r="J455" s="8" t="s">
        <v>24</v>
      </c>
    </row>
    <row r="456" customFormat="false" ht="14.25" hidden="false" customHeight="false" outlineLevel="0" collapsed="false">
      <c r="A456" s="8" t="n">
        <v>455</v>
      </c>
      <c r="B456" s="8" t="s">
        <v>43</v>
      </c>
      <c r="C456" s="8" t="s">
        <v>16</v>
      </c>
      <c r="D456" s="9" t="n">
        <v>43959</v>
      </c>
      <c r="E456" s="9" t="str">
        <f aca="false">TEXT(D456,"MMM")</f>
        <v>mai</v>
      </c>
      <c r="F456" s="10" t="n">
        <v>4879</v>
      </c>
      <c r="G456" s="8" t="s">
        <v>11</v>
      </c>
      <c r="H456" s="8" t="s">
        <v>17</v>
      </c>
      <c r="I456" s="11" t="s">
        <v>18</v>
      </c>
      <c r="J456" s="8" t="s">
        <v>14</v>
      </c>
    </row>
    <row r="457" customFormat="false" ht="14.25" hidden="false" customHeight="false" outlineLevel="0" collapsed="false">
      <c r="A457" s="8" t="n">
        <v>456</v>
      </c>
      <c r="B457" s="8" t="s">
        <v>46</v>
      </c>
      <c r="C457" s="8" t="s">
        <v>28</v>
      </c>
      <c r="D457" s="9" t="n">
        <v>43959</v>
      </c>
      <c r="E457" s="9" t="str">
        <f aca="false">TEXT(D457,"MMM")</f>
        <v>mai</v>
      </c>
      <c r="F457" s="10" t="n">
        <v>3833.5</v>
      </c>
      <c r="G457" s="8" t="s">
        <v>11</v>
      </c>
      <c r="H457" s="8" t="s">
        <v>17</v>
      </c>
      <c r="I457" s="11" t="s">
        <v>18</v>
      </c>
      <c r="J457" s="8" t="s">
        <v>14</v>
      </c>
    </row>
    <row r="458" customFormat="false" ht="14.25" hidden="false" customHeight="false" outlineLevel="0" collapsed="false">
      <c r="A458" s="8" t="n">
        <v>457</v>
      </c>
      <c r="B458" s="8" t="s">
        <v>42</v>
      </c>
      <c r="C458" s="8" t="s">
        <v>21</v>
      </c>
      <c r="D458" s="9" t="n">
        <v>43959</v>
      </c>
      <c r="E458" s="9" t="str">
        <f aca="false">TEXT(D458,"MMM")</f>
        <v>mai</v>
      </c>
      <c r="F458" s="10" t="n">
        <v>2439.5</v>
      </c>
      <c r="G458" s="8" t="s">
        <v>11</v>
      </c>
      <c r="H458" s="8" t="s">
        <v>17</v>
      </c>
      <c r="I458" s="11" t="s">
        <v>18</v>
      </c>
      <c r="J458" s="8" t="s">
        <v>26</v>
      </c>
    </row>
    <row r="459" customFormat="false" ht="14.25" hidden="false" customHeight="false" outlineLevel="0" collapsed="false">
      <c r="A459" s="8" t="n">
        <v>458</v>
      </c>
      <c r="B459" s="8" t="s">
        <v>45</v>
      </c>
      <c r="C459" s="8" t="s">
        <v>21</v>
      </c>
      <c r="D459" s="9" t="n">
        <v>43959</v>
      </c>
      <c r="E459" s="9" t="str">
        <f aca="false">TEXT(D459,"MMM")</f>
        <v>mai</v>
      </c>
      <c r="F459" s="10" t="n">
        <v>3568.64</v>
      </c>
      <c r="G459" s="8" t="s">
        <v>11</v>
      </c>
      <c r="H459" s="8" t="s">
        <v>36</v>
      </c>
      <c r="I459" s="11" t="s">
        <v>37</v>
      </c>
      <c r="J459" s="8" t="s">
        <v>14</v>
      </c>
    </row>
    <row r="460" customFormat="false" ht="14.25" hidden="false" customHeight="false" outlineLevel="0" collapsed="false">
      <c r="A460" s="8" t="n">
        <v>459</v>
      </c>
      <c r="B460" s="8" t="s">
        <v>81</v>
      </c>
      <c r="C460" s="8" t="s">
        <v>21</v>
      </c>
      <c r="D460" s="9" t="n">
        <v>43961</v>
      </c>
      <c r="E460" s="9" t="str">
        <f aca="false">TEXT(D460,"MMM")</f>
        <v>mai</v>
      </c>
      <c r="F460" s="10" t="n">
        <v>5924.5</v>
      </c>
      <c r="G460" s="8" t="s">
        <v>11</v>
      </c>
      <c r="H460" s="8" t="s">
        <v>12</v>
      </c>
      <c r="I460" s="11" t="s">
        <v>13</v>
      </c>
      <c r="J460" s="8" t="s">
        <v>24</v>
      </c>
    </row>
    <row r="461" customFormat="false" ht="14.25" hidden="false" customHeight="false" outlineLevel="0" collapsed="false">
      <c r="A461" s="8" t="n">
        <v>460</v>
      </c>
      <c r="B461" s="8" t="s">
        <v>81</v>
      </c>
      <c r="C461" s="8" t="s">
        <v>16</v>
      </c>
      <c r="D461" s="9" t="n">
        <v>43961</v>
      </c>
      <c r="E461" s="9" t="str">
        <f aca="false">TEXT(D461,"MMM")</f>
        <v>mai</v>
      </c>
      <c r="F461" s="10" t="n">
        <v>4879</v>
      </c>
      <c r="G461" s="8" t="s">
        <v>11</v>
      </c>
      <c r="H461" s="8" t="s">
        <v>12</v>
      </c>
      <c r="I461" s="11" t="s">
        <v>13</v>
      </c>
      <c r="J461" s="8" t="s">
        <v>26</v>
      </c>
    </row>
    <row r="462" customFormat="false" ht="14.25" hidden="false" customHeight="false" outlineLevel="0" collapsed="false">
      <c r="A462" s="8" t="n">
        <v>461</v>
      </c>
      <c r="B462" s="8" t="s">
        <v>81</v>
      </c>
      <c r="C462" s="8" t="s">
        <v>16</v>
      </c>
      <c r="D462" s="9" t="n">
        <v>43961</v>
      </c>
      <c r="E462" s="9" t="str">
        <f aca="false">TEXT(D462,"MMM")</f>
        <v>mai</v>
      </c>
      <c r="F462" s="10" t="n">
        <v>63163.03</v>
      </c>
      <c r="G462" s="8" t="s">
        <v>11</v>
      </c>
      <c r="H462" s="8" t="s">
        <v>12</v>
      </c>
      <c r="I462" s="11" t="s">
        <v>13</v>
      </c>
      <c r="J462" s="8" t="s">
        <v>26</v>
      </c>
    </row>
    <row r="463" customFormat="false" ht="14.25" hidden="false" customHeight="false" outlineLevel="0" collapsed="false">
      <c r="A463" s="8" t="n">
        <v>462</v>
      </c>
      <c r="B463" s="8" t="s">
        <v>81</v>
      </c>
      <c r="C463" s="8" t="s">
        <v>21</v>
      </c>
      <c r="D463" s="9" t="n">
        <v>43961</v>
      </c>
      <c r="E463" s="9" t="str">
        <f aca="false">TEXT(D463,"MMM")</f>
        <v>mai</v>
      </c>
      <c r="F463" s="10" t="n">
        <v>3833.5</v>
      </c>
      <c r="G463" s="8" t="s">
        <v>11</v>
      </c>
      <c r="H463" s="8" t="s">
        <v>30</v>
      </c>
      <c r="I463" s="11" t="s">
        <v>31</v>
      </c>
      <c r="J463" s="8" t="s">
        <v>26</v>
      </c>
    </row>
    <row r="464" customFormat="false" ht="14.25" hidden="false" customHeight="false" outlineLevel="0" collapsed="false">
      <c r="A464" s="8" t="n">
        <v>463</v>
      </c>
      <c r="B464" s="8" t="s">
        <v>66</v>
      </c>
      <c r="C464" s="8" t="s">
        <v>28</v>
      </c>
      <c r="D464" s="9" t="n">
        <v>43962</v>
      </c>
      <c r="E464" s="9" t="str">
        <f aca="false">TEXT(D464,"MMM")</f>
        <v>mai</v>
      </c>
      <c r="F464" s="10" t="n">
        <v>2439.5</v>
      </c>
      <c r="G464" s="8" t="s">
        <v>11</v>
      </c>
      <c r="H464" s="8" t="s">
        <v>12</v>
      </c>
      <c r="I464" s="11" t="s">
        <v>13</v>
      </c>
      <c r="J464" s="8" t="s">
        <v>14</v>
      </c>
    </row>
    <row r="465" customFormat="false" ht="14.25" hidden="false" customHeight="false" outlineLevel="0" collapsed="false">
      <c r="A465" s="8" t="n">
        <v>464</v>
      </c>
      <c r="B465" s="8" t="s">
        <v>66</v>
      </c>
      <c r="C465" s="8" t="s">
        <v>16</v>
      </c>
      <c r="D465" s="9" t="n">
        <v>43962</v>
      </c>
      <c r="E465" s="9" t="str">
        <f aca="false">TEXT(D465,"MMM")</f>
        <v>mai</v>
      </c>
      <c r="F465" s="10" t="n">
        <v>3568.64</v>
      </c>
      <c r="G465" s="8" t="s">
        <v>11</v>
      </c>
      <c r="H465" s="8" t="s">
        <v>12</v>
      </c>
      <c r="I465" s="11" t="s">
        <v>13</v>
      </c>
      <c r="J465" s="8" t="s">
        <v>14</v>
      </c>
    </row>
    <row r="466" customFormat="false" ht="14.25" hidden="false" customHeight="false" outlineLevel="0" collapsed="false">
      <c r="A466" s="8" t="n">
        <v>465</v>
      </c>
      <c r="B466" s="8" t="s">
        <v>66</v>
      </c>
      <c r="C466" s="8" t="s">
        <v>21</v>
      </c>
      <c r="D466" s="9" t="n">
        <v>43962</v>
      </c>
      <c r="E466" s="9" t="str">
        <f aca="false">TEXT(D466,"MMM")</f>
        <v>mai</v>
      </c>
      <c r="F466" s="10" t="n">
        <v>-37299.57</v>
      </c>
      <c r="G466" s="8" t="s">
        <v>34</v>
      </c>
      <c r="H466" s="8" t="s">
        <v>12</v>
      </c>
      <c r="I466" s="11" t="s">
        <v>13</v>
      </c>
      <c r="J466" s="8" t="s">
        <v>19</v>
      </c>
    </row>
    <row r="467" customFormat="false" ht="14.25" hidden="false" customHeight="false" outlineLevel="0" collapsed="false">
      <c r="A467" s="8" t="n">
        <v>466</v>
      </c>
      <c r="B467" s="8" t="s">
        <v>66</v>
      </c>
      <c r="C467" s="8" t="s">
        <v>21</v>
      </c>
      <c r="D467" s="9" t="n">
        <v>43962</v>
      </c>
      <c r="E467" s="9" t="str">
        <f aca="false">TEXT(D467,"MMM")</f>
        <v>mai</v>
      </c>
      <c r="F467" s="10" t="n">
        <v>2439.5</v>
      </c>
      <c r="G467" s="8" t="s">
        <v>11</v>
      </c>
      <c r="H467" s="8" t="s">
        <v>36</v>
      </c>
      <c r="I467" s="11" t="s">
        <v>37</v>
      </c>
      <c r="J467" s="8" t="s">
        <v>14</v>
      </c>
    </row>
    <row r="468" customFormat="false" ht="14.25" hidden="false" customHeight="false" outlineLevel="0" collapsed="false">
      <c r="A468" s="8" t="n">
        <v>467</v>
      </c>
      <c r="B468" s="8" t="s">
        <v>66</v>
      </c>
      <c r="C468" s="8" t="s">
        <v>10</v>
      </c>
      <c r="D468" s="9" t="n">
        <v>43962</v>
      </c>
      <c r="E468" s="9" t="str">
        <f aca="false">TEXT(D468,"MMM")</f>
        <v>mai</v>
      </c>
      <c r="F468" s="10" t="n">
        <v>2439.5</v>
      </c>
      <c r="G468" s="8" t="s">
        <v>11</v>
      </c>
      <c r="H468" s="8" t="s">
        <v>12</v>
      </c>
      <c r="I468" s="11" t="s">
        <v>13</v>
      </c>
      <c r="J468" s="8" t="s">
        <v>26</v>
      </c>
    </row>
    <row r="469" customFormat="false" ht="14.25" hidden="false" customHeight="false" outlineLevel="0" collapsed="false">
      <c r="A469" s="8" t="n">
        <v>468</v>
      </c>
      <c r="B469" s="8" t="s">
        <v>66</v>
      </c>
      <c r="C469" s="8" t="s">
        <v>28</v>
      </c>
      <c r="D469" s="9" t="n">
        <v>43962</v>
      </c>
      <c r="E469" s="9" t="str">
        <f aca="false">TEXT(D469,"MMM")</f>
        <v>mai</v>
      </c>
      <c r="F469" s="10" t="n">
        <v>164699.71</v>
      </c>
      <c r="G469" s="8" t="s">
        <v>11</v>
      </c>
      <c r="H469" s="8" t="s">
        <v>12</v>
      </c>
      <c r="I469" s="11" t="s">
        <v>13</v>
      </c>
      <c r="J469" s="8" t="s">
        <v>19</v>
      </c>
    </row>
    <row r="470" customFormat="false" ht="14.25" hidden="false" customHeight="false" outlineLevel="0" collapsed="false">
      <c r="A470" s="8" t="n">
        <v>469</v>
      </c>
      <c r="B470" s="8" t="s">
        <v>66</v>
      </c>
      <c r="C470" s="8" t="s">
        <v>10</v>
      </c>
      <c r="D470" s="9" t="n">
        <v>43962</v>
      </c>
      <c r="E470" s="9" t="str">
        <f aca="false">TEXT(D470,"MMM")</f>
        <v>mai</v>
      </c>
      <c r="F470" s="10" t="n">
        <v>357.34</v>
      </c>
      <c r="G470" s="8" t="s">
        <v>11</v>
      </c>
      <c r="H470" s="8" t="s">
        <v>12</v>
      </c>
      <c r="I470" s="11" t="s">
        <v>13</v>
      </c>
      <c r="J470" s="8" t="s">
        <v>14</v>
      </c>
    </row>
    <row r="471" customFormat="false" ht="14.25" hidden="false" customHeight="false" outlineLevel="0" collapsed="false">
      <c r="A471" s="8" t="n">
        <v>470</v>
      </c>
      <c r="B471" s="8" t="s">
        <v>66</v>
      </c>
      <c r="C471" s="8" t="s">
        <v>16</v>
      </c>
      <c r="D471" s="9" t="n">
        <v>43962</v>
      </c>
      <c r="E471" s="9" t="str">
        <f aca="false">TEXT(D471,"MMM")</f>
        <v>mai</v>
      </c>
      <c r="F471" s="10" t="n">
        <v>2550</v>
      </c>
      <c r="G471" s="8" t="s">
        <v>11</v>
      </c>
      <c r="H471" s="8" t="s">
        <v>30</v>
      </c>
      <c r="I471" s="11" t="s">
        <v>31</v>
      </c>
      <c r="J471" s="8" t="s">
        <v>14</v>
      </c>
    </row>
    <row r="472" customFormat="false" ht="14.25" hidden="false" customHeight="false" outlineLevel="0" collapsed="false">
      <c r="A472" s="8" t="n">
        <v>471</v>
      </c>
      <c r="B472" s="8" t="s">
        <v>66</v>
      </c>
      <c r="C472" s="8" t="s">
        <v>16</v>
      </c>
      <c r="D472" s="9" t="n">
        <v>43962</v>
      </c>
      <c r="E472" s="9" t="str">
        <f aca="false">TEXT(D472,"MMM")</f>
        <v>mai</v>
      </c>
      <c r="F472" s="10" t="n">
        <v>1137.01</v>
      </c>
      <c r="G472" s="8" t="s">
        <v>11</v>
      </c>
      <c r="H472" s="8" t="s">
        <v>22</v>
      </c>
      <c r="I472" s="11" t="s">
        <v>23</v>
      </c>
      <c r="J472" s="8" t="s">
        <v>26</v>
      </c>
    </row>
    <row r="473" customFormat="false" ht="14.25" hidden="false" customHeight="false" outlineLevel="0" collapsed="false">
      <c r="A473" s="8" t="n">
        <v>472</v>
      </c>
      <c r="B473" s="8" t="s">
        <v>66</v>
      </c>
      <c r="C473" s="8" t="s">
        <v>10</v>
      </c>
      <c r="D473" s="9" t="n">
        <v>43962</v>
      </c>
      <c r="E473" s="9" t="str">
        <f aca="false">TEXT(D473,"MMM")</f>
        <v>mai</v>
      </c>
      <c r="F473" s="10" t="n">
        <v>3833.5</v>
      </c>
      <c r="G473" s="8" t="s">
        <v>11</v>
      </c>
      <c r="H473" s="8" t="s">
        <v>36</v>
      </c>
      <c r="I473" s="11" t="s">
        <v>37</v>
      </c>
      <c r="J473" s="8" t="s">
        <v>26</v>
      </c>
    </row>
    <row r="474" customFormat="false" ht="14.25" hidden="false" customHeight="false" outlineLevel="0" collapsed="false">
      <c r="A474" s="8" t="n">
        <v>473</v>
      </c>
      <c r="B474" s="8" t="s">
        <v>112</v>
      </c>
      <c r="C474" s="8" t="s">
        <v>28</v>
      </c>
      <c r="D474" s="9" t="n">
        <v>43963</v>
      </c>
      <c r="E474" s="9" t="str">
        <f aca="false">TEXT(D474,"MMM")</f>
        <v>mai</v>
      </c>
      <c r="F474" s="10" t="n">
        <v>-13450.43</v>
      </c>
      <c r="G474" s="8" t="s">
        <v>34</v>
      </c>
      <c r="H474" s="8" t="s">
        <v>17</v>
      </c>
      <c r="I474" s="11" t="s">
        <v>18</v>
      </c>
      <c r="J474" s="8" t="s">
        <v>24</v>
      </c>
    </row>
    <row r="475" customFormat="false" ht="14.25" hidden="false" customHeight="false" outlineLevel="0" collapsed="false">
      <c r="A475" s="8" t="n">
        <v>474</v>
      </c>
      <c r="B475" s="8" t="s">
        <v>39</v>
      </c>
      <c r="C475" s="8" t="s">
        <v>28</v>
      </c>
      <c r="D475" s="9" t="n">
        <v>43963</v>
      </c>
      <c r="E475" s="9" t="str">
        <f aca="false">TEXT(D475,"MMM")</f>
        <v>mai</v>
      </c>
      <c r="F475" s="10" t="n">
        <v>-13267.24</v>
      </c>
      <c r="G475" s="8" t="s">
        <v>34</v>
      </c>
      <c r="H475" s="8" t="s">
        <v>36</v>
      </c>
      <c r="I475" s="11" t="s">
        <v>37</v>
      </c>
      <c r="J475" s="8" t="s">
        <v>24</v>
      </c>
    </row>
    <row r="476" customFormat="false" ht="14.25" hidden="false" customHeight="false" outlineLevel="0" collapsed="false">
      <c r="A476" s="8" t="n">
        <v>475</v>
      </c>
      <c r="B476" s="8" t="s">
        <v>27</v>
      </c>
      <c r="C476" s="8" t="s">
        <v>28</v>
      </c>
      <c r="D476" s="9" t="n">
        <v>43963</v>
      </c>
      <c r="E476" s="9" t="str">
        <f aca="false">TEXT(D476,"MMM")</f>
        <v>mai</v>
      </c>
      <c r="F476" s="10" t="n">
        <v>-14566.2</v>
      </c>
      <c r="G476" s="8" t="s">
        <v>34</v>
      </c>
      <c r="H476" s="8" t="s">
        <v>17</v>
      </c>
      <c r="I476" s="11" t="s">
        <v>18</v>
      </c>
      <c r="J476" s="8" t="s">
        <v>14</v>
      </c>
    </row>
    <row r="477" customFormat="false" ht="14.25" hidden="false" customHeight="false" outlineLevel="0" collapsed="false">
      <c r="A477" s="8" t="n">
        <v>476</v>
      </c>
      <c r="B477" s="8" t="s">
        <v>27</v>
      </c>
      <c r="C477" s="8" t="s">
        <v>10</v>
      </c>
      <c r="D477" s="9" t="n">
        <v>43963</v>
      </c>
      <c r="E477" s="9" t="str">
        <f aca="false">TEXT(D477,"MMM")</f>
        <v>mai</v>
      </c>
      <c r="F477" s="10" t="n">
        <v>3130.05</v>
      </c>
      <c r="G477" s="8" t="s">
        <v>11</v>
      </c>
      <c r="H477" s="8" t="s">
        <v>12</v>
      </c>
      <c r="I477" s="11" t="s">
        <v>13</v>
      </c>
      <c r="J477" s="8" t="s">
        <v>14</v>
      </c>
    </row>
    <row r="478" customFormat="false" ht="14.25" hidden="false" customHeight="false" outlineLevel="0" collapsed="false">
      <c r="A478" s="8" t="n">
        <v>477</v>
      </c>
      <c r="B478" s="8" t="s">
        <v>27</v>
      </c>
      <c r="C478" s="8" t="s">
        <v>16</v>
      </c>
      <c r="D478" s="9" t="n">
        <v>43963</v>
      </c>
      <c r="E478" s="9" t="str">
        <f aca="false">TEXT(D478,"MMM")</f>
        <v>mai</v>
      </c>
      <c r="F478" s="10" t="n">
        <v>3950.53</v>
      </c>
      <c r="G478" s="8" t="s">
        <v>11</v>
      </c>
      <c r="H478" s="8" t="s">
        <v>36</v>
      </c>
      <c r="I478" s="11" t="s">
        <v>37</v>
      </c>
      <c r="J478" s="8" t="s">
        <v>26</v>
      </c>
    </row>
    <row r="479" customFormat="false" ht="14.25" hidden="false" customHeight="false" outlineLevel="0" collapsed="false">
      <c r="A479" s="8" t="n">
        <v>478</v>
      </c>
      <c r="B479" s="8" t="s">
        <v>27</v>
      </c>
      <c r="C479" s="8" t="s">
        <v>28</v>
      </c>
      <c r="D479" s="9" t="n">
        <v>43963</v>
      </c>
      <c r="E479" s="9" t="str">
        <f aca="false">TEXT(D479,"MMM")</f>
        <v>mai</v>
      </c>
      <c r="F479" s="10" t="n">
        <v>3643.91</v>
      </c>
      <c r="G479" s="8" t="s">
        <v>11</v>
      </c>
      <c r="H479" s="8" t="s">
        <v>17</v>
      </c>
      <c r="I479" s="11" t="s">
        <v>18</v>
      </c>
      <c r="J479" s="8" t="s">
        <v>26</v>
      </c>
    </row>
    <row r="480" customFormat="false" ht="14.25" hidden="false" customHeight="false" outlineLevel="0" collapsed="false">
      <c r="A480" s="8" t="n">
        <v>479</v>
      </c>
      <c r="B480" s="8" t="s">
        <v>27</v>
      </c>
      <c r="C480" s="8" t="s">
        <v>10</v>
      </c>
      <c r="D480" s="9" t="n">
        <v>43963</v>
      </c>
      <c r="E480" s="9" t="str">
        <f aca="false">TEXT(D480,"MMM")</f>
        <v>mai</v>
      </c>
      <c r="F480" s="10" t="n">
        <v>3330.51</v>
      </c>
      <c r="G480" s="8" t="s">
        <v>11</v>
      </c>
      <c r="H480" s="8" t="s">
        <v>12</v>
      </c>
      <c r="I480" s="11" t="s">
        <v>13</v>
      </c>
      <c r="J480" s="8" t="s">
        <v>26</v>
      </c>
    </row>
    <row r="481" customFormat="false" ht="14.25" hidden="false" customHeight="false" outlineLevel="0" collapsed="false">
      <c r="A481" s="8" t="n">
        <v>480</v>
      </c>
      <c r="B481" s="8" t="s">
        <v>101</v>
      </c>
      <c r="C481" s="8" t="s">
        <v>21</v>
      </c>
      <c r="D481" s="9" t="n">
        <v>43966</v>
      </c>
      <c r="E481" s="9" t="str">
        <f aca="false">TEXT(D481,"MMM")</f>
        <v>mai</v>
      </c>
      <c r="F481" s="10" t="n">
        <v>3606.94</v>
      </c>
      <c r="G481" s="8" t="s">
        <v>11</v>
      </c>
      <c r="H481" s="8" t="s">
        <v>17</v>
      </c>
      <c r="I481" s="11" t="s">
        <v>18</v>
      </c>
      <c r="J481" s="8" t="s">
        <v>14</v>
      </c>
    </row>
    <row r="482" customFormat="false" ht="14.25" hidden="false" customHeight="false" outlineLevel="0" collapsed="false">
      <c r="A482" s="8" t="n">
        <v>481</v>
      </c>
      <c r="B482" s="8" t="s">
        <v>9</v>
      </c>
      <c r="C482" s="8" t="s">
        <v>10</v>
      </c>
      <c r="D482" s="9" t="n">
        <v>43968</v>
      </c>
      <c r="E482" s="9" t="str">
        <f aca="false">TEXT(D482,"MMM")</f>
        <v>mai</v>
      </c>
      <c r="F482" s="10" t="n">
        <v>3756.99</v>
      </c>
      <c r="G482" s="8" t="s">
        <v>11</v>
      </c>
      <c r="H482" s="8" t="s">
        <v>17</v>
      </c>
      <c r="I482" s="11" t="s">
        <v>18</v>
      </c>
      <c r="J482" s="8" t="s">
        <v>14</v>
      </c>
    </row>
    <row r="483" customFormat="false" ht="14.25" hidden="false" customHeight="false" outlineLevel="0" collapsed="false">
      <c r="A483" s="8" t="n">
        <v>482</v>
      </c>
      <c r="B483" s="8" t="s">
        <v>32</v>
      </c>
      <c r="C483" s="8" t="s">
        <v>21</v>
      </c>
      <c r="D483" s="9" t="n">
        <v>43968</v>
      </c>
      <c r="E483" s="9" t="str">
        <f aca="false">TEXT(D483,"MMM")</f>
        <v>mai</v>
      </c>
      <c r="F483" s="10" t="n">
        <v>3539.76</v>
      </c>
      <c r="G483" s="8" t="s">
        <v>11</v>
      </c>
      <c r="H483" s="8" t="s">
        <v>22</v>
      </c>
      <c r="I483" s="11" t="s">
        <v>23</v>
      </c>
      <c r="J483" s="8" t="s">
        <v>14</v>
      </c>
    </row>
    <row r="484" customFormat="false" ht="14.25" hidden="false" customHeight="false" outlineLevel="0" collapsed="false">
      <c r="A484" s="8" t="n">
        <v>483</v>
      </c>
      <c r="B484" s="8" t="s">
        <v>100</v>
      </c>
      <c r="C484" s="8" t="s">
        <v>10</v>
      </c>
      <c r="D484" s="9" t="n">
        <v>43968</v>
      </c>
      <c r="E484" s="9" t="str">
        <f aca="false">TEXT(D484,"MMM")</f>
        <v>mai</v>
      </c>
      <c r="F484" s="10" t="n">
        <v>3714.44</v>
      </c>
      <c r="G484" s="8" t="s">
        <v>11</v>
      </c>
      <c r="H484" s="8" t="s">
        <v>12</v>
      </c>
      <c r="I484" s="11" t="s">
        <v>13</v>
      </c>
      <c r="J484" s="8" t="s">
        <v>26</v>
      </c>
    </row>
    <row r="485" customFormat="false" ht="14.25" hidden="false" customHeight="false" outlineLevel="0" collapsed="false">
      <c r="A485" s="8" t="n">
        <v>484</v>
      </c>
      <c r="B485" s="8" t="s">
        <v>100</v>
      </c>
      <c r="C485" s="8" t="s">
        <v>28</v>
      </c>
      <c r="D485" s="9" t="n">
        <v>43968</v>
      </c>
      <c r="E485" s="9" t="str">
        <f aca="false">TEXT(D485,"MMM")</f>
        <v>mai</v>
      </c>
      <c r="F485" s="10" t="n">
        <v>3715.14</v>
      </c>
      <c r="G485" s="8" t="s">
        <v>11</v>
      </c>
      <c r="H485" s="8" t="s">
        <v>12</v>
      </c>
      <c r="I485" s="11" t="s">
        <v>13</v>
      </c>
      <c r="J485" s="8" t="s">
        <v>26</v>
      </c>
    </row>
    <row r="486" customFormat="false" ht="14.25" hidden="false" customHeight="false" outlineLevel="0" collapsed="false">
      <c r="A486" s="8" t="n">
        <v>485</v>
      </c>
      <c r="B486" s="8" t="s">
        <v>100</v>
      </c>
      <c r="C486" s="8" t="s">
        <v>10</v>
      </c>
      <c r="D486" s="9" t="n">
        <v>43968</v>
      </c>
      <c r="E486" s="9" t="str">
        <f aca="false">TEXT(D486,"MMM")</f>
        <v>mai</v>
      </c>
      <c r="F486" s="10" t="n">
        <v>3431.82</v>
      </c>
      <c r="G486" s="8" t="s">
        <v>11</v>
      </c>
      <c r="H486" s="8" t="s">
        <v>36</v>
      </c>
      <c r="I486" s="11" t="s">
        <v>37</v>
      </c>
      <c r="J486" s="8" t="s">
        <v>26</v>
      </c>
    </row>
    <row r="487" customFormat="false" ht="14.25" hidden="false" customHeight="false" outlineLevel="0" collapsed="false">
      <c r="A487" s="8" t="n">
        <v>486</v>
      </c>
      <c r="B487" s="8" t="s">
        <v>100</v>
      </c>
      <c r="C487" s="8" t="s">
        <v>28</v>
      </c>
      <c r="D487" s="9" t="n">
        <v>43968</v>
      </c>
      <c r="E487" s="9" t="str">
        <f aca="false">TEXT(D487,"MMM")</f>
        <v>mai</v>
      </c>
      <c r="F487" s="10" t="n">
        <v>-915.36</v>
      </c>
      <c r="G487" s="8" t="s">
        <v>34</v>
      </c>
      <c r="H487" s="8" t="s">
        <v>12</v>
      </c>
      <c r="I487" s="11" t="s">
        <v>13</v>
      </c>
      <c r="J487" s="8" t="s">
        <v>26</v>
      </c>
    </row>
    <row r="488" customFormat="false" ht="14.25" hidden="false" customHeight="false" outlineLevel="0" collapsed="false">
      <c r="A488" s="8" t="n">
        <v>487</v>
      </c>
      <c r="B488" s="8" t="s">
        <v>100</v>
      </c>
      <c r="C488" s="8" t="s">
        <v>28</v>
      </c>
      <c r="D488" s="9" t="n">
        <v>43968</v>
      </c>
      <c r="E488" s="9" t="str">
        <f aca="false">TEXT(D488,"MMM")</f>
        <v>mai</v>
      </c>
      <c r="F488" s="10" t="n">
        <v>-30790.31</v>
      </c>
      <c r="G488" s="8" t="s">
        <v>34</v>
      </c>
      <c r="H488" s="8" t="s">
        <v>12</v>
      </c>
      <c r="I488" s="11" t="s">
        <v>13</v>
      </c>
      <c r="J488" s="8" t="s">
        <v>14</v>
      </c>
    </row>
    <row r="489" customFormat="false" ht="14.25" hidden="false" customHeight="false" outlineLevel="0" collapsed="false">
      <c r="A489" s="8" t="n">
        <v>488</v>
      </c>
      <c r="B489" s="8" t="s">
        <v>50</v>
      </c>
      <c r="C489" s="8" t="s">
        <v>21</v>
      </c>
      <c r="D489" s="9" t="n">
        <v>43969</v>
      </c>
      <c r="E489" s="9" t="str">
        <f aca="false">TEXT(D489,"MMM")</f>
        <v>mai</v>
      </c>
      <c r="F489" s="10" t="n">
        <v>134654.46</v>
      </c>
      <c r="G489" s="8" t="s">
        <v>11</v>
      </c>
      <c r="H489" s="8" t="s">
        <v>22</v>
      </c>
      <c r="I489" s="11" t="s">
        <v>23</v>
      </c>
      <c r="J489" s="8" t="s">
        <v>26</v>
      </c>
    </row>
    <row r="490" customFormat="false" ht="14.25" hidden="false" customHeight="false" outlineLevel="0" collapsed="false">
      <c r="A490" s="8" t="n">
        <v>489</v>
      </c>
      <c r="B490" s="8" t="s">
        <v>39</v>
      </c>
      <c r="C490" s="8" t="s">
        <v>16</v>
      </c>
      <c r="D490" s="9" t="n">
        <v>43969</v>
      </c>
      <c r="E490" s="9" t="str">
        <f aca="false">TEXT(D490,"MMM")</f>
        <v>mai</v>
      </c>
      <c r="F490" s="10" t="n">
        <v>7253.71</v>
      </c>
      <c r="G490" s="8" t="s">
        <v>11</v>
      </c>
      <c r="H490" s="8" t="s">
        <v>12</v>
      </c>
      <c r="I490" s="11" t="s">
        <v>13</v>
      </c>
      <c r="J490" s="8" t="s">
        <v>14</v>
      </c>
    </row>
    <row r="491" customFormat="false" ht="14.25" hidden="false" customHeight="false" outlineLevel="0" collapsed="false">
      <c r="A491" s="8" t="n">
        <v>490</v>
      </c>
      <c r="B491" s="8" t="s">
        <v>51</v>
      </c>
      <c r="C491" s="8" t="s">
        <v>21</v>
      </c>
      <c r="D491" s="9" t="n">
        <v>43970</v>
      </c>
      <c r="E491" s="9" t="str">
        <f aca="false">TEXT(D491,"MMM")</f>
        <v>mai</v>
      </c>
      <c r="F491" s="10" t="n">
        <v>7253.71</v>
      </c>
      <c r="G491" s="8" t="s">
        <v>11</v>
      </c>
      <c r="H491" s="8" t="s">
        <v>17</v>
      </c>
      <c r="I491" s="11" t="s">
        <v>18</v>
      </c>
      <c r="J491" s="8" t="s">
        <v>14</v>
      </c>
    </row>
    <row r="492" customFormat="false" ht="14.25" hidden="false" customHeight="false" outlineLevel="0" collapsed="false">
      <c r="A492" s="8" t="n">
        <v>491</v>
      </c>
      <c r="B492" s="8" t="s">
        <v>44</v>
      </c>
      <c r="C492" s="8" t="s">
        <v>21</v>
      </c>
      <c r="D492" s="9" t="n">
        <v>43974</v>
      </c>
      <c r="E492" s="9" t="str">
        <f aca="false">TEXT(D492,"MMM")</f>
        <v>mai</v>
      </c>
      <c r="F492" s="10" t="n">
        <v>7253.71</v>
      </c>
      <c r="G492" s="8" t="s">
        <v>11</v>
      </c>
      <c r="H492" s="8" t="s">
        <v>12</v>
      </c>
      <c r="I492" s="11" t="s">
        <v>13</v>
      </c>
      <c r="J492" s="8" t="s">
        <v>14</v>
      </c>
    </row>
    <row r="493" customFormat="false" ht="14.25" hidden="false" customHeight="false" outlineLevel="0" collapsed="false">
      <c r="A493" s="8" t="n">
        <v>492</v>
      </c>
      <c r="B493" s="8" t="s">
        <v>38</v>
      </c>
      <c r="C493" s="8" t="s">
        <v>16</v>
      </c>
      <c r="D493" s="9" t="n">
        <v>43974</v>
      </c>
      <c r="E493" s="9" t="str">
        <f aca="false">TEXT(D493,"MMM")</f>
        <v>mai</v>
      </c>
      <c r="F493" s="10" t="n">
        <v>7253.71</v>
      </c>
      <c r="G493" s="8" t="s">
        <v>11</v>
      </c>
      <c r="H493" s="8" t="s">
        <v>12</v>
      </c>
      <c r="I493" s="11" t="s">
        <v>13</v>
      </c>
      <c r="J493" s="8" t="s">
        <v>19</v>
      </c>
    </row>
    <row r="494" customFormat="false" ht="14.25" hidden="false" customHeight="false" outlineLevel="0" collapsed="false">
      <c r="A494" s="8" t="n">
        <v>493</v>
      </c>
      <c r="B494" s="8" t="s">
        <v>45</v>
      </c>
      <c r="C494" s="8" t="s">
        <v>21</v>
      </c>
      <c r="D494" s="9" t="n">
        <v>43974</v>
      </c>
      <c r="E494" s="9" t="str">
        <f aca="false">TEXT(D494,"MMM")</f>
        <v>mai</v>
      </c>
      <c r="F494" s="10" t="n">
        <v>7253.71</v>
      </c>
      <c r="G494" s="8" t="s">
        <v>11</v>
      </c>
      <c r="H494" s="8" t="s">
        <v>17</v>
      </c>
      <c r="I494" s="11" t="s">
        <v>18</v>
      </c>
      <c r="J494" s="8" t="s">
        <v>14</v>
      </c>
    </row>
    <row r="495" customFormat="false" ht="14.25" hidden="false" customHeight="false" outlineLevel="0" collapsed="false">
      <c r="A495" s="8" t="n">
        <v>494</v>
      </c>
      <c r="B495" s="8" t="s">
        <v>45</v>
      </c>
      <c r="C495" s="8" t="s">
        <v>16</v>
      </c>
      <c r="D495" s="9" t="n">
        <v>43974</v>
      </c>
      <c r="E495" s="9" t="str">
        <f aca="false">TEXT(D495,"MMM")</f>
        <v>mai</v>
      </c>
      <c r="F495" s="10" t="n">
        <v>7253.66</v>
      </c>
      <c r="G495" s="8" t="s">
        <v>11</v>
      </c>
      <c r="H495" s="8" t="s">
        <v>36</v>
      </c>
      <c r="I495" s="11" t="s">
        <v>37</v>
      </c>
      <c r="J495" s="8" t="s">
        <v>26</v>
      </c>
    </row>
    <row r="496" customFormat="false" ht="14.25" hidden="false" customHeight="false" outlineLevel="0" collapsed="false">
      <c r="A496" s="8" t="n">
        <v>495</v>
      </c>
      <c r="B496" s="8" t="s">
        <v>44</v>
      </c>
      <c r="C496" s="8" t="s">
        <v>28</v>
      </c>
      <c r="D496" s="9" t="n">
        <v>43974</v>
      </c>
      <c r="E496" s="9" t="str">
        <f aca="false">TEXT(D496,"MMM")</f>
        <v>mai</v>
      </c>
      <c r="F496" s="10" t="n">
        <v>-4711.63</v>
      </c>
      <c r="G496" s="8" t="s">
        <v>34</v>
      </c>
      <c r="H496" s="8" t="s">
        <v>12</v>
      </c>
      <c r="I496" s="11" t="s">
        <v>13</v>
      </c>
      <c r="J496" s="8" t="s">
        <v>14</v>
      </c>
    </row>
    <row r="497" customFormat="false" ht="14.25" hidden="false" customHeight="false" outlineLevel="0" collapsed="false">
      <c r="A497" s="8" t="n">
        <v>496</v>
      </c>
      <c r="B497" s="8" t="s">
        <v>38</v>
      </c>
      <c r="C497" s="8" t="s">
        <v>21</v>
      </c>
      <c r="D497" s="9" t="n">
        <v>43974</v>
      </c>
      <c r="E497" s="9" t="str">
        <f aca="false">TEXT(D497,"MMM")</f>
        <v>mai</v>
      </c>
      <c r="F497" s="10" t="n">
        <v>-4080.79</v>
      </c>
      <c r="G497" s="8" t="s">
        <v>34</v>
      </c>
      <c r="H497" s="8" t="s">
        <v>12</v>
      </c>
      <c r="I497" s="11" t="s">
        <v>13</v>
      </c>
      <c r="J497" s="8" t="s">
        <v>14</v>
      </c>
    </row>
    <row r="498" customFormat="false" ht="14.25" hidden="false" customHeight="false" outlineLevel="0" collapsed="false">
      <c r="A498" s="8" t="n">
        <v>497</v>
      </c>
      <c r="B498" s="8" t="s">
        <v>45</v>
      </c>
      <c r="C498" s="8" t="s">
        <v>21</v>
      </c>
      <c r="D498" s="9" t="n">
        <v>43974</v>
      </c>
      <c r="E498" s="9" t="str">
        <f aca="false">TEXT(D498,"MMM")</f>
        <v>mai</v>
      </c>
      <c r="F498" s="10" t="n">
        <v>66633.33</v>
      </c>
      <c r="G498" s="8" t="s">
        <v>11</v>
      </c>
      <c r="H498" s="8" t="s">
        <v>12</v>
      </c>
      <c r="I498" s="11" t="s">
        <v>13</v>
      </c>
      <c r="J498" s="8" t="s">
        <v>14</v>
      </c>
    </row>
    <row r="499" customFormat="false" ht="14.25" hidden="false" customHeight="false" outlineLevel="0" collapsed="false">
      <c r="A499" s="8" t="n">
        <v>498</v>
      </c>
      <c r="B499" s="8" t="s">
        <v>45</v>
      </c>
      <c r="C499" s="8" t="s">
        <v>21</v>
      </c>
      <c r="D499" s="9" t="n">
        <v>43974</v>
      </c>
      <c r="E499" s="9" t="str">
        <f aca="false">TEXT(D499,"MMM")</f>
        <v>mai</v>
      </c>
      <c r="F499" s="10" t="n">
        <v>11999.76</v>
      </c>
      <c r="G499" s="8" t="s">
        <v>11</v>
      </c>
      <c r="H499" s="8" t="s">
        <v>22</v>
      </c>
      <c r="I499" s="11" t="s">
        <v>23</v>
      </c>
      <c r="J499" s="8" t="s">
        <v>14</v>
      </c>
    </row>
    <row r="500" customFormat="false" ht="14.25" hidden="false" customHeight="false" outlineLevel="0" collapsed="false">
      <c r="A500" s="8" t="n">
        <v>499</v>
      </c>
      <c r="B500" s="8" t="s">
        <v>39</v>
      </c>
      <c r="C500" s="8" t="s">
        <v>28</v>
      </c>
      <c r="D500" s="9" t="n">
        <v>43976</v>
      </c>
      <c r="E500" s="9" t="str">
        <f aca="false">TEXT(D500,"MMM")</f>
        <v>mai</v>
      </c>
      <c r="F500" s="10" t="n">
        <v>22837.46</v>
      </c>
      <c r="G500" s="8" t="s">
        <v>11</v>
      </c>
      <c r="H500" s="8" t="s">
        <v>12</v>
      </c>
      <c r="I500" s="11" t="s">
        <v>13</v>
      </c>
      <c r="J500" s="8" t="s">
        <v>19</v>
      </c>
    </row>
    <row r="501" customFormat="false" ht="14.25" hidden="false" customHeight="false" outlineLevel="0" collapsed="false">
      <c r="A501" s="8" t="n">
        <v>500</v>
      </c>
      <c r="B501" s="8" t="s">
        <v>113</v>
      </c>
      <c r="C501" s="8" t="s">
        <v>10</v>
      </c>
      <c r="D501" s="9" t="n">
        <v>43977</v>
      </c>
      <c r="E501" s="9" t="str">
        <f aca="false">TEXT(D501,"MMM")</f>
        <v>mai</v>
      </c>
      <c r="F501" s="10" t="n">
        <v>10126.17</v>
      </c>
      <c r="G501" s="8" t="s">
        <v>11</v>
      </c>
      <c r="H501" s="8" t="s">
        <v>12</v>
      </c>
      <c r="I501" s="11" t="s">
        <v>13</v>
      </c>
      <c r="J501" s="8" t="s">
        <v>14</v>
      </c>
    </row>
    <row r="502" customFormat="false" ht="14.25" hidden="false" customHeight="false" outlineLevel="0" collapsed="false">
      <c r="A502" s="8" t="n">
        <v>501</v>
      </c>
      <c r="B502" s="8" t="s">
        <v>29</v>
      </c>
      <c r="C502" s="8" t="s">
        <v>16</v>
      </c>
      <c r="D502" s="9" t="n">
        <v>43977</v>
      </c>
      <c r="E502" s="9" t="str">
        <f aca="false">TEXT(D502,"MMM")</f>
        <v>mai</v>
      </c>
      <c r="F502" s="10" t="n">
        <v>23511.04</v>
      </c>
      <c r="G502" s="8" t="s">
        <v>11</v>
      </c>
      <c r="H502" s="8" t="s">
        <v>36</v>
      </c>
      <c r="I502" s="11" t="s">
        <v>37</v>
      </c>
      <c r="J502" s="8" t="s">
        <v>26</v>
      </c>
    </row>
    <row r="503" customFormat="false" ht="14.25" hidden="false" customHeight="false" outlineLevel="0" collapsed="false">
      <c r="A503" s="8" t="n">
        <v>502</v>
      </c>
      <c r="B503" s="8" t="s">
        <v>86</v>
      </c>
      <c r="C503" s="8" t="s">
        <v>21</v>
      </c>
      <c r="D503" s="9" t="n">
        <v>43980</v>
      </c>
      <c r="E503" s="9" t="str">
        <f aca="false">TEXT(D503,"MMM")</f>
        <v>mai</v>
      </c>
      <c r="F503" s="10" t="n">
        <v>10443.75</v>
      </c>
      <c r="G503" s="8" t="s">
        <v>11</v>
      </c>
      <c r="H503" s="8" t="s">
        <v>22</v>
      </c>
      <c r="I503" s="11" t="s">
        <v>23</v>
      </c>
      <c r="J503" s="8" t="s">
        <v>26</v>
      </c>
    </row>
    <row r="504" customFormat="false" ht="14.25" hidden="false" customHeight="false" outlineLevel="0" collapsed="false">
      <c r="A504" s="8" t="n">
        <v>503</v>
      </c>
      <c r="B504" s="8" t="s">
        <v>50</v>
      </c>
      <c r="C504" s="8" t="s">
        <v>10</v>
      </c>
      <c r="D504" s="9" t="n">
        <v>43981</v>
      </c>
      <c r="E504" s="9" t="str">
        <f aca="false">TEXT(D504,"MMM")</f>
        <v>mai</v>
      </c>
      <c r="F504" s="10" t="n">
        <v>20867.31</v>
      </c>
      <c r="G504" s="8" t="s">
        <v>11</v>
      </c>
      <c r="H504" s="8" t="s">
        <v>30</v>
      </c>
      <c r="I504" s="11" t="s">
        <v>31</v>
      </c>
      <c r="J504" s="8" t="s">
        <v>14</v>
      </c>
    </row>
    <row r="505" customFormat="false" ht="14.25" hidden="false" customHeight="false" outlineLevel="0" collapsed="false">
      <c r="A505" s="8" t="n">
        <v>504</v>
      </c>
      <c r="B505" s="8" t="s">
        <v>50</v>
      </c>
      <c r="C505" s="8" t="s">
        <v>16</v>
      </c>
      <c r="D505" s="9" t="n">
        <v>43981</v>
      </c>
      <c r="E505" s="9" t="str">
        <f aca="false">TEXT(D505,"MMM")</f>
        <v>mai</v>
      </c>
      <c r="F505" s="10" t="n">
        <v>193156.56</v>
      </c>
      <c r="G505" s="8" t="s">
        <v>11</v>
      </c>
      <c r="H505" s="8" t="s">
        <v>17</v>
      </c>
      <c r="I505" s="11" t="s">
        <v>18</v>
      </c>
      <c r="J505" s="8" t="s">
        <v>24</v>
      </c>
    </row>
    <row r="506" customFormat="false" ht="14.25" hidden="false" customHeight="false" outlineLevel="0" collapsed="false">
      <c r="A506" s="8" t="n">
        <v>505</v>
      </c>
      <c r="B506" s="8" t="s">
        <v>15</v>
      </c>
      <c r="C506" s="8" t="s">
        <v>28</v>
      </c>
      <c r="D506" s="9" t="n">
        <v>43982</v>
      </c>
      <c r="E506" s="9" t="str">
        <f aca="false">TEXT(D506,"MMM")</f>
        <v>mai</v>
      </c>
      <c r="F506" s="10" t="n">
        <v>-12322.35</v>
      </c>
      <c r="G506" s="8" t="s">
        <v>34</v>
      </c>
      <c r="H506" s="8" t="s">
        <v>12</v>
      </c>
      <c r="I506" s="11" t="s">
        <v>13</v>
      </c>
      <c r="J506" s="8" t="s">
        <v>14</v>
      </c>
    </row>
    <row r="507" customFormat="false" ht="14.25" hidden="false" customHeight="false" outlineLevel="0" collapsed="false">
      <c r="A507" s="8" t="n">
        <v>506</v>
      </c>
      <c r="B507" s="8" t="s">
        <v>114</v>
      </c>
      <c r="C507" s="8" t="s">
        <v>21</v>
      </c>
      <c r="D507" s="9" t="n">
        <v>43983</v>
      </c>
      <c r="E507" s="9" t="str">
        <f aca="false">TEXT(D507,"MMM")</f>
        <v>jun</v>
      </c>
      <c r="F507" s="10" t="n">
        <v>-13777.51</v>
      </c>
      <c r="G507" s="8" t="s">
        <v>34</v>
      </c>
      <c r="H507" s="8" t="s">
        <v>22</v>
      </c>
      <c r="I507" s="11" t="s">
        <v>23</v>
      </c>
      <c r="J507" s="8" t="s">
        <v>19</v>
      </c>
    </row>
    <row r="508" customFormat="false" ht="14.25" hidden="false" customHeight="false" outlineLevel="0" collapsed="false">
      <c r="A508" s="8" t="n">
        <v>507</v>
      </c>
      <c r="B508" s="8" t="s">
        <v>115</v>
      </c>
      <c r="C508" s="8" t="s">
        <v>16</v>
      </c>
      <c r="D508" s="9" t="n">
        <v>43983</v>
      </c>
      <c r="E508" s="9" t="str">
        <f aca="false">TEXT(D508,"MMM")</f>
        <v>jun</v>
      </c>
      <c r="F508" s="10" t="n">
        <v>-17480.44</v>
      </c>
      <c r="G508" s="8" t="s">
        <v>34</v>
      </c>
      <c r="H508" s="8" t="s">
        <v>22</v>
      </c>
      <c r="I508" s="11" t="s">
        <v>23</v>
      </c>
      <c r="J508" s="8" t="s">
        <v>14</v>
      </c>
    </row>
    <row r="509" customFormat="false" ht="14.25" hidden="false" customHeight="false" outlineLevel="0" collapsed="false">
      <c r="A509" s="8" t="n">
        <v>508</v>
      </c>
      <c r="B509" s="8" t="s">
        <v>116</v>
      </c>
      <c r="C509" s="8" t="s">
        <v>21</v>
      </c>
      <c r="D509" s="9" t="n">
        <v>43983</v>
      </c>
      <c r="E509" s="9" t="str">
        <f aca="false">TEXT(D509,"MMM")</f>
        <v>jun</v>
      </c>
      <c r="F509" s="10" t="n">
        <v>-11682.09</v>
      </c>
      <c r="G509" s="8" t="s">
        <v>34</v>
      </c>
      <c r="H509" s="8" t="s">
        <v>12</v>
      </c>
      <c r="I509" s="11" t="s">
        <v>13</v>
      </c>
      <c r="J509" s="8" t="s">
        <v>24</v>
      </c>
    </row>
    <row r="510" customFormat="false" ht="14.25" hidden="false" customHeight="false" outlineLevel="0" collapsed="false">
      <c r="A510" s="8" t="n">
        <v>509</v>
      </c>
      <c r="B510" s="8" t="s">
        <v>58</v>
      </c>
      <c r="C510" s="8" t="s">
        <v>16</v>
      </c>
      <c r="D510" s="9" t="n">
        <v>43983</v>
      </c>
      <c r="E510" s="9" t="str">
        <f aca="false">TEXT(D510,"MMM")</f>
        <v>jun</v>
      </c>
      <c r="F510" s="10" t="n">
        <v>-641.2</v>
      </c>
      <c r="G510" s="8" t="s">
        <v>34</v>
      </c>
      <c r="H510" s="8" t="s">
        <v>36</v>
      </c>
      <c r="I510" s="11" t="s">
        <v>37</v>
      </c>
      <c r="J510" s="8" t="s">
        <v>26</v>
      </c>
    </row>
    <row r="511" customFormat="false" ht="14.25" hidden="false" customHeight="false" outlineLevel="0" collapsed="false">
      <c r="A511" s="8" t="n">
        <v>510</v>
      </c>
      <c r="B511" s="8" t="s">
        <v>117</v>
      </c>
      <c r="C511" s="8" t="s">
        <v>10</v>
      </c>
      <c r="D511" s="9" t="n">
        <v>43983</v>
      </c>
      <c r="E511" s="9" t="str">
        <f aca="false">TEXT(D511,"MMM")</f>
        <v>jun</v>
      </c>
      <c r="F511" s="10" t="n">
        <v>-1767.43</v>
      </c>
      <c r="G511" s="8" t="s">
        <v>34</v>
      </c>
      <c r="H511" s="8" t="s">
        <v>12</v>
      </c>
      <c r="I511" s="11" t="s">
        <v>13</v>
      </c>
      <c r="J511" s="8" t="s">
        <v>14</v>
      </c>
    </row>
    <row r="512" customFormat="false" ht="14.25" hidden="false" customHeight="false" outlineLevel="0" collapsed="false">
      <c r="A512" s="8" t="n">
        <v>511</v>
      </c>
      <c r="B512" s="8" t="s">
        <v>118</v>
      </c>
      <c r="C512" s="8" t="s">
        <v>21</v>
      </c>
      <c r="D512" s="9" t="n">
        <v>43983</v>
      </c>
      <c r="E512" s="9" t="str">
        <f aca="false">TEXT(D512,"MMM")</f>
        <v>jun</v>
      </c>
      <c r="F512" s="10" t="n">
        <v>-1715.98</v>
      </c>
      <c r="G512" s="8" t="s">
        <v>34</v>
      </c>
      <c r="H512" s="8" t="s">
        <v>36</v>
      </c>
      <c r="I512" s="11" t="s">
        <v>37</v>
      </c>
      <c r="J512" s="8" t="s">
        <v>19</v>
      </c>
    </row>
    <row r="513" customFormat="false" ht="14.25" hidden="false" customHeight="false" outlineLevel="0" collapsed="false">
      <c r="A513" s="8" t="n">
        <v>512</v>
      </c>
      <c r="B513" s="8" t="s">
        <v>119</v>
      </c>
      <c r="C513" s="8" t="s">
        <v>16</v>
      </c>
      <c r="D513" s="9" t="n">
        <v>43983</v>
      </c>
      <c r="E513" s="9" t="str">
        <f aca="false">TEXT(D513,"MMM")</f>
        <v>jun</v>
      </c>
      <c r="F513" s="10" t="n">
        <v>129821.78</v>
      </c>
      <c r="G513" s="8" t="s">
        <v>11</v>
      </c>
      <c r="H513" s="8" t="s">
        <v>12</v>
      </c>
      <c r="I513" s="11" t="s">
        <v>13</v>
      </c>
      <c r="J513" s="8" t="s">
        <v>26</v>
      </c>
    </row>
    <row r="514" customFormat="false" ht="14.25" hidden="false" customHeight="false" outlineLevel="0" collapsed="false">
      <c r="A514" s="8" t="n">
        <v>513</v>
      </c>
      <c r="B514" s="8" t="s">
        <v>39</v>
      </c>
      <c r="C514" s="8" t="s">
        <v>28</v>
      </c>
      <c r="D514" s="9" t="n">
        <v>43984</v>
      </c>
      <c r="E514" s="9" t="str">
        <f aca="false">TEXT(D514,"MMM")</f>
        <v>jun</v>
      </c>
      <c r="F514" s="10" t="n">
        <v>6283.31</v>
      </c>
      <c r="G514" s="8" t="s">
        <v>11</v>
      </c>
      <c r="H514" s="8" t="s">
        <v>12</v>
      </c>
      <c r="I514" s="11" t="s">
        <v>13</v>
      </c>
      <c r="J514" s="8" t="s">
        <v>14</v>
      </c>
    </row>
    <row r="515" customFormat="false" ht="14.25" hidden="false" customHeight="false" outlineLevel="0" collapsed="false">
      <c r="A515" s="8" t="n">
        <v>514</v>
      </c>
      <c r="B515" s="8" t="s">
        <v>39</v>
      </c>
      <c r="C515" s="8" t="s">
        <v>10</v>
      </c>
      <c r="D515" s="9" t="n">
        <v>43984</v>
      </c>
      <c r="E515" s="9" t="str">
        <f aca="false">TEXT(D515,"MMM")</f>
        <v>jun</v>
      </c>
      <c r="F515" s="10" t="n">
        <v>9661.85</v>
      </c>
      <c r="G515" s="8" t="s">
        <v>11</v>
      </c>
      <c r="H515" s="8" t="s">
        <v>12</v>
      </c>
      <c r="I515" s="11" t="s">
        <v>13</v>
      </c>
      <c r="J515" s="8" t="s">
        <v>19</v>
      </c>
    </row>
    <row r="516" customFormat="false" ht="14.25" hidden="false" customHeight="false" outlineLevel="0" collapsed="false">
      <c r="A516" s="8" t="n">
        <v>515</v>
      </c>
      <c r="B516" s="8" t="s">
        <v>27</v>
      </c>
      <c r="C516" s="8" t="s">
        <v>28</v>
      </c>
      <c r="D516" s="9" t="n">
        <v>43984</v>
      </c>
      <c r="E516" s="9" t="str">
        <f aca="false">TEXT(D516,"MMM")</f>
        <v>jun</v>
      </c>
      <c r="F516" s="10" t="n">
        <v>9056.7</v>
      </c>
      <c r="G516" s="8" t="s">
        <v>11</v>
      </c>
      <c r="H516" s="8" t="s">
        <v>12</v>
      </c>
      <c r="I516" s="11" t="s">
        <v>13</v>
      </c>
      <c r="J516" s="8" t="s">
        <v>26</v>
      </c>
    </row>
    <row r="517" customFormat="false" ht="14.25" hidden="false" customHeight="false" outlineLevel="0" collapsed="false">
      <c r="A517" s="8" t="n">
        <v>516</v>
      </c>
      <c r="B517" s="8" t="s">
        <v>27</v>
      </c>
      <c r="C517" s="8" t="s">
        <v>28</v>
      </c>
      <c r="D517" s="9" t="n">
        <v>43984</v>
      </c>
      <c r="E517" s="9" t="str">
        <f aca="false">TEXT(D517,"MMM")</f>
        <v>jun</v>
      </c>
      <c r="F517" s="10" t="n">
        <v>9203.62</v>
      </c>
      <c r="G517" s="8" t="s">
        <v>11</v>
      </c>
      <c r="H517" s="8" t="s">
        <v>30</v>
      </c>
      <c r="I517" s="11" t="s">
        <v>31</v>
      </c>
      <c r="J517" s="8" t="s">
        <v>14</v>
      </c>
    </row>
    <row r="518" customFormat="false" ht="14.25" hidden="false" customHeight="false" outlineLevel="0" collapsed="false">
      <c r="A518" s="8" t="n">
        <v>517</v>
      </c>
      <c r="B518" s="8" t="s">
        <v>27</v>
      </c>
      <c r="C518" s="8" t="s">
        <v>10</v>
      </c>
      <c r="D518" s="9" t="n">
        <v>43984</v>
      </c>
      <c r="E518" s="9" t="str">
        <f aca="false">TEXT(D518,"MMM")</f>
        <v>jun</v>
      </c>
      <c r="F518" s="10" t="n">
        <v>9682.66</v>
      </c>
      <c r="G518" s="8" t="s">
        <v>11</v>
      </c>
      <c r="H518" s="8" t="s">
        <v>17</v>
      </c>
      <c r="I518" s="11" t="s">
        <v>18</v>
      </c>
      <c r="J518" s="8" t="s">
        <v>24</v>
      </c>
    </row>
    <row r="519" customFormat="false" ht="14.25" hidden="false" customHeight="false" outlineLevel="0" collapsed="false">
      <c r="A519" s="8" t="n">
        <v>518</v>
      </c>
      <c r="B519" s="8" t="s">
        <v>27</v>
      </c>
      <c r="C519" s="8" t="s">
        <v>10</v>
      </c>
      <c r="D519" s="9" t="n">
        <v>43984</v>
      </c>
      <c r="E519" s="9" t="str">
        <f aca="false">TEXT(D519,"MMM")</f>
        <v>jun</v>
      </c>
      <c r="F519" s="10" t="n">
        <v>8662.37</v>
      </c>
      <c r="G519" s="8" t="s">
        <v>11</v>
      </c>
      <c r="H519" s="8" t="s">
        <v>12</v>
      </c>
      <c r="I519" s="11" t="s">
        <v>13</v>
      </c>
      <c r="J519" s="8" t="s">
        <v>26</v>
      </c>
    </row>
    <row r="520" customFormat="false" ht="14.25" hidden="false" customHeight="false" outlineLevel="0" collapsed="false">
      <c r="A520" s="8" t="n">
        <v>519</v>
      </c>
      <c r="B520" s="8" t="s">
        <v>27</v>
      </c>
      <c r="C520" s="8" t="s">
        <v>10</v>
      </c>
      <c r="D520" s="9" t="n">
        <v>43984</v>
      </c>
      <c r="E520" s="9" t="str">
        <f aca="false">TEXT(D520,"MMM")</f>
        <v>jun</v>
      </c>
      <c r="F520" s="10" t="n">
        <v>8765.35</v>
      </c>
      <c r="G520" s="8" t="s">
        <v>11</v>
      </c>
      <c r="H520" s="8" t="s">
        <v>12</v>
      </c>
      <c r="I520" s="11" t="s">
        <v>13</v>
      </c>
      <c r="J520" s="8" t="s">
        <v>26</v>
      </c>
    </row>
    <row r="521" customFormat="false" ht="14.25" hidden="false" customHeight="false" outlineLevel="0" collapsed="false">
      <c r="A521" s="8" t="n">
        <v>520</v>
      </c>
      <c r="B521" s="8" t="s">
        <v>81</v>
      </c>
      <c r="C521" s="8" t="s">
        <v>10</v>
      </c>
      <c r="D521" s="9" t="n">
        <v>43987</v>
      </c>
      <c r="E521" s="9" t="str">
        <f aca="false">TEXT(D521,"MMM")</f>
        <v>jun</v>
      </c>
      <c r="F521" s="10" t="n">
        <v>8817.74</v>
      </c>
      <c r="G521" s="8" t="s">
        <v>11</v>
      </c>
      <c r="H521" s="8" t="s">
        <v>17</v>
      </c>
      <c r="I521" s="11" t="s">
        <v>18</v>
      </c>
      <c r="J521" s="8" t="s">
        <v>24</v>
      </c>
    </row>
    <row r="522" customFormat="false" ht="14.25" hidden="false" customHeight="false" outlineLevel="0" collapsed="false">
      <c r="A522" s="8" t="n">
        <v>521</v>
      </c>
      <c r="B522" s="8" t="s">
        <v>81</v>
      </c>
      <c r="C522" s="8" t="s">
        <v>10</v>
      </c>
      <c r="D522" s="9" t="n">
        <v>43987</v>
      </c>
      <c r="E522" s="9" t="str">
        <f aca="false">TEXT(D522,"MMM")</f>
        <v>jun</v>
      </c>
      <c r="F522" s="10" t="n">
        <v>9311.54</v>
      </c>
      <c r="G522" s="8" t="s">
        <v>11</v>
      </c>
      <c r="H522" s="8" t="s">
        <v>12</v>
      </c>
      <c r="I522" s="11" t="s">
        <v>13</v>
      </c>
      <c r="J522" s="8" t="s">
        <v>26</v>
      </c>
    </row>
    <row r="523" customFormat="false" ht="14.25" hidden="false" customHeight="false" outlineLevel="0" collapsed="false">
      <c r="A523" s="8" t="n">
        <v>522</v>
      </c>
      <c r="B523" s="8" t="s">
        <v>81</v>
      </c>
      <c r="C523" s="8" t="s">
        <v>21</v>
      </c>
      <c r="D523" s="9" t="n">
        <v>43987</v>
      </c>
      <c r="E523" s="9" t="str">
        <f aca="false">TEXT(D523,"MMM")</f>
        <v>jun</v>
      </c>
      <c r="F523" s="10" t="n">
        <v>8806.51</v>
      </c>
      <c r="G523" s="8" t="s">
        <v>11</v>
      </c>
      <c r="H523" s="8" t="s">
        <v>12</v>
      </c>
      <c r="I523" s="11" t="s">
        <v>13</v>
      </c>
      <c r="J523" s="8" t="s">
        <v>26</v>
      </c>
    </row>
    <row r="524" customFormat="false" ht="14.25" hidden="false" customHeight="false" outlineLevel="0" collapsed="false">
      <c r="A524" s="8" t="n">
        <v>523</v>
      </c>
      <c r="B524" s="8" t="s">
        <v>81</v>
      </c>
      <c r="C524" s="8" t="s">
        <v>10</v>
      </c>
      <c r="D524" s="9" t="n">
        <v>43987</v>
      </c>
      <c r="E524" s="9" t="str">
        <f aca="false">TEXT(D524,"MMM")</f>
        <v>jun</v>
      </c>
      <c r="F524" s="10" t="n">
        <v>7391.72</v>
      </c>
      <c r="G524" s="8" t="s">
        <v>11</v>
      </c>
      <c r="H524" s="8" t="s">
        <v>12</v>
      </c>
      <c r="I524" s="11" t="s">
        <v>13</v>
      </c>
      <c r="J524" s="8" t="s">
        <v>19</v>
      </c>
    </row>
    <row r="525" customFormat="false" ht="14.25" hidden="false" customHeight="false" outlineLevel="0" collapsed="false">
      <c r="A525" s="8" t="n">
        <v>524</v>
      </c>
      <c r="B525" s="8" t="s">
        <v>20</v>
      </c>
      <c r="C525" s="8" t="s">
        <v>10</v>
      </c>
      <c r="D525" s="9" t="n">
        <v>43990</v>
      </c>
      <c r="E525" s="9" t="str">
        <f aca="false">TEXT(D525,"MMM")</f>
        <v>jun</v>
      </c>
      <c r="F525" s="10" t="n">
        <v>13194.71</v>
      </c>
      <c r="G525" s="8" t="s">
        <v>11</v>
      </c>
      <c r="H525" s="8" t="s">
        <v>12</v>
      </c>
      <c r="I525" s="11" t="s">
        <v>13</v>
      </c>
      <c r="J525" s="8" t="s">
        <v>14</v>
      </c>
    </row>
    <row r="526" customFormat="false" ht="14.25" hidden="false" customHeight="false" outlineLevel="0" collapsed="false">
      <c r="A526" s="8" t="n">
        <v>525</v>
      </c>
      <c r="B526" s="8" t="s">
        <v>20</v>
      </c>
      <c r="C526" s="8" t="s">
        <v>16</v>
      </c>
      <c r="D526" s="9" t="n">
        <v>43990</v>
      </c>
      <c r="E526" s="9" t="str">
        <f aca="false">TEXT(D526,"MMM")</f>
        <v>jun</v>
      </c>
      <c r="F526" s="10" t="n">
        <v>141727.44</v>
      </c>
      <c r="G526" s="8" t="s">
        <v>11</v>
      </c>
      <c r="H526" s="8" t="s">
        <v>36</v>
      </c>
      <c r="I526" s="11" t="s">
        <v>37</v>
      </c>
      <c r="J526" s="8" t="s">
        <v>14</v>
      </c>
    </row>
    <row r="527" customFormat="false" ht="14.25" hidden="false" customHeight="false" outlineLevel="0" collapsed="false">
      <c r="A527" s="8" t="n">
        <v>526</v>
      </c>
      <c r="B527" s="8" t="s">
        <v>20</v>
      </c>
      <c r="C527" s="8" t="s">
        <v>16</v>
      </c>
      <c r="D527" s="9" t="n">
        <v>43990</v>
      </c>
      <c r="E527" s="9" t="str">
        <f aca="false">TEXT(D527,"MMM")</f>
        <v>jun</v>
      </c>
      <c r="F527" s="10" t="n">
        <v>16059.48</v>
      </c>
      <c r="G527" s="8" t="s">
        <v>11</v>
      </c>
      <c r="H527" s="8" t="s">
        <v>12</v>
      </c>
      <c r="I527" s="11" t="s">
        <v>13</v>
      </c>
      <c r="J527" s="8" t="s">
        <v>24</v>
      </c>
    </row>
    <row r="528" customFormat="false" ht="14.25" hidden="false" customHeight="false" outlineLevel="0" collapsed="false">
      <c r="A528" s="8" t="n">
        <v>527</v>
      </c>
      <c r="B528" s="8" t="s">
        <v>15</v>
      </c>
      <c r="C528" s="8" t="s">
        <v>10</v>
      </c>
      <c r="D528" s="9" t="n">
        <v>43991</v>
      </c>
      <c r="E528" s="9" t="str">
        <f aca="false">TEXT(D528,"MMM")</f>
        <v>jun</v>
      </c>
      <c r="F528" s="10" t="n">
        <v>13862.06</v>
      </c>
      <c r="G528" s="8" t="s">
        <v>11</v>
      </c>
      <c r="H528" s="8" t="s">
        <v>12</v>
      </c>
      <c r="I528" s="11" t="s">
        <v>13</v>
      </c>
      <c r="J528" s="8" t="s">
        <v>14</v>
      </c>
    </row>
    <row r="529" customFormat="false" ht="14.25" hidden="false" customHeight="false" outlineLevel="0" collapsed="false">
      <c r="A529" s="8" t="n">
        <v>528</v>
      </c>
      <c r="B529" s="8" t="s">
        <v>44</v>
      </c>
      <c r="C529" s="8" t="s">
        <v>21</v>
      </c>
      <c r="D529" s="9" t="n">
        <v>43991</v>
      </c>
      <c r="E529" s="9" t="str">
        <f aca="false">TEXT(D529,"MMM")</f>
        <v>jun</v>
      </c>
      <c r="F529" s="10" t="n">
        <v>16059.48</v>
      </c>
      <c r="G529" s="8" t="s">
        <v>11</v>
      </c>
      <c r="H529" s="8" t="s">
        <v>22</v>
      </c>
      <c r="I529" s="11" t="s">
        <v>23</v>
      </c>
      <c r="J529" s="8" t="s">
        <v>14</v>
      </c>
    </row>
    <row r="530" customFormat="false" ht="14.25" hidden="false" customHeight="false" outlineLevel="0" collapsed="false">
      <c r="A530" s="8" t="n">
        <v>529</v>
      </c>
      <c r="B530" s="8" t="s">
        <v>44</v>
      </c>
      <c r="C530" s="8" t="s">
        <v>21</v>
      </c>
      <c r="D530" s="9" t="n">
        <v>43991</v>
      </c>
      <c r="E530" s="9" t="str">
        <f aca="false">TEXT(D530,"MMM")</f>
        <v>jun</v>
      </c>
      <c r="F530" s="10" t="n">
        <v>13323.91</v>
      </c>
      <c r="G530" s="8" t="s">
        <v>11</v>
      </c>
      <c r="H530" s="8" t="s">
        <v>12</v>
      </c>
      <c r="I530" s="11" t="s">
        <v>13</v>
      </c>
      <c r="J530" s="8" t="s">
        <v>14</v>
      </c>
    </row>
    <row r="531" customFormat="false" ht="14.25" hidden="false" customHeight="false" outlineLevel="0" collapsed="false">
      <c r="A531" s="8" t="n">
        <v>530</v>
      </c>
      <c r="B531" s="8" t="s">
        <v>79</v>
      </c>
      <c r="C531" s="8" t="s">
        <v>28</v>
      </c>
      <c r="D531" s="9" t="n">
        <v>43991</v>
      </c>
      <c r="E531" s="9" t="str">
        <f aca="false">TEXT(D531,"MMM")</f>
        <v>jun</v>
      </c>
      <c r="F531" s="10" t="n">
        <v>16059.48</v>
      </c>
      <c r="G531" s="8" t="s">
        <v>11</v>
      </c>
      <c r="H531" s="8" t="s">
        <v>12</v>
      </c>
      <c r="I531" s="11" t="s">
        <v>13</v>
      </c>
      <c r="J531" s="8" t="s">
        <v>14</v>
      </c>
    </row>
    <row r="532" customFormat="false" ht="14.25" hidden="false" customHeight="false" outlineLevel="0" collapsed="false">
      <c r="A532" s="8" t="n">
        <v>531</v>
      </c>
      <c r="B532" s="8" t="s">
        <v>49</v>
      </c>
      <c r="C532" s="8" t="s">
        <v>28</v>
      </c>
      <c r="D532" s="9" t="n">
        <v>43991</v>
      </c>
      <c r="E532" s="9" t="str">
        <f aca="false">TEXT(D532,"MMM")</f>
        <v>jun</v>
      </c>
      <c r="F532" s="10" t="n">
        <v>16059.48</v>
      </c>
      <c r="G532" s="8" t="s">
        <v>11</v>
      </c>
      <c r="H532" s="8" t="s">
        <v>12</v>
      </c>
      <c r="I532" s="11" t="s">
        <v>13</v>
      </c>
      <c r="J532" s="8" t="s">
        <v>14</v>
      </c>
    </row>
    <row r="533" customFormat="false" ht="14.25" hidden="false" customHeight="false" outlineLevel="0" collapsed="false">
      <c r="A533" s="8" t="n">
        <v>532</v>
      </c>
      <c r="B533" s="8" t="s">
        <v>72</v>
      </c>
      <c r="C533" s="8" t="s">
        <v>10</v>
      </c>
      <c r="D533" s="9" t="n">
        <v>43991</v>
      </c>
      <c r="E533" s="9" t="str">
        <f aca="false">TEXT(D533,"MMM")</f>
        <v>jun</v>
      </c>
      <c r="F533" s="10" t="n">
        <v>27820.37</v>
      </c>
      <c r="G533" s="8" t="s">
        <v>11</v>
      </c>
      <c r="H533" s="8" t="s">
        <v>12</v>
      </c>
      <c r="I533" s="11" t="s">
        <v>13</v>
      </c>
      <c r="J533" s="8" t="s">
        <v>24</v>
      </c>
    </row>
    <row r="534" customFormat="false" ht="14.25" hidden="false" customHeight="false" outlineLevel="0" collapsed="false">
      <c r="A534" s="8" t="n">
        <v>533</v>
      </c>
      <c r="B534" s="8" t="s">
        <v>47</v>
      </c>
      <c r="C534" s="8" t="s">
        <v>28</v>
      </c>
      <c r="D534" s="9" t="n">
        <v>43991</v>
      </c>
      <c r="E534" s="9" t="str">
        <f aca="false">TEXT(D534,"MMM")</f>
        <v>jun</v>
      </c>
      <c r="F534" s="10" t="n">
        <v>33631.54</v>
      </c>
      <c r="G534" s="8" t="s">
        <v>11</v>
      </c>
      <c r="H534" s="8" t="s">
        <v>12</v>
      </c>
      <c r="I534" s="11" t="s">
        <v>13</v>
      </c>
      <c r="J534" s="8" t="s">
        <v>14</v>
      </c>
    </row>
    <row r="535" customFormat="false" ht="14.25" hidden="false" customHeight="false" outlineLevel="0" collapsed="false">
      <c r="A535" s="8" t="n">
        <v>534</v>
      </c>
      <c r="B535" s="8" t="s">
        <v>47</v>
      </c>
      <c r="C535" s="8" t="s">
        <v>16</v>
      </c>
      <c r="D535" s="9" t="n">
        <v>43991</v>
      </c>
      <c r="E535" s="9" t="str">
        <f aca="false">TEXT(D535,"MMM")</f>
        <v>jun</v>
      </c>
      <c r="F535" s="10" t="n">
        <v>29846.86</v>
      </c>
      <c r="G535" s="8" t="s">
        <v>11</v>
      </c>
      <c r="H535" s="8" t="s">
        <v>30</v>
      </c>
      <c r="I535" s="11" t="s">
        <v>31</v>
      </c>
      <c r="J535" s="8" t="s">
        <v>26</v>
      </c>
    </row>
    <row r="536" customFormat="false" ht="14.25" hidden="false" customHeight="false" outlineLevel="0" collapsed="false">
      <c r="A536" s="8" t="n">
        <v>535</v>
      </c>
      <c r="B536" s="8" t="s">
        <v>57</v>
      </c>
      <c r="C536" s="8" t="s">
        <v>21</v>
      </c>
      <c r="D536" s="9" t="n">
        <v>43991</v>
      </c>
      <c r="E536" s="9" t="str">
        <f aca="false">TEXT(D536,"MMM")</f>
        <v>jun</v>
      </c>
      <c r="F536" s="10" t="n">
        <v>29272.89</v>
      </c>
      <c r="G536" s="8" t="s">
        <v>11</v>
      </c>
      <c r="H536" s="8" t="s">
        <v>17</v>
      </c>
      <c r="I536" s="11" t="s">
        <v>18</v>
      </c>
      <c r="J536" s="8" t="s">
        <v>26</v>
      </c>
    </row>
    <row r="537" customFormat="false" ht="14.25" hidden="false" customHeight="false" outlineLevel="0" collapsed="false">
      <c r="A537" s="8" t="n">
        <v>536</v>
      </c>
      <c r="B537" s="8" t="s">
        <v>79</v>
      </c>
      <c r="C537" s="8" t="s">
        <v>28</v>
      </c>
      <c r="D537" s="9" t="n">
        <v>43991</v>
      </c>
      <c r="E537" s="9" t="str">
        <f aca="false">TEXT(D537,"MMM")</f>
        <v>jun</v>
      </c>
      <c r="F537" s="10" t="n">
        <v>28701.84</v>
      </c>
      <c r="G537" s="8" t="s">
        <v>11</v>
      </c>
      <c r="H537" s="8" t="s">
        <v>36</v>
      </c>
      <c r="I537" s="11" t="s">
        <v>37</v>
      </c>
      <c r="J537" s="8" t="s">
        <v>14</v>
      </c>
    </row>
    <row r="538" customFormat="false" ht="14.25" hidden="false" customHeight="false" outlineLevel="0" collapsed="false">
      <c r="A538" s="8" t="n">
        <v>537</v>
      </c>
      <c r="B538" s="8" t="s">
        <v>72</v>
      </c>
      <c r="C538" s="8" t="s">
        <v>28</v>
      </c>
      <c r="D538" s="9" t="n">
        <v>43991</v>
      </c>
      <c r="E538" s="9" t="str">
        <f aca="false">TEXT(D538,"MMM")</f>
        <v>jun</v>
      </c>
      <c r="F538" s="10" t="n">
        <v>-674.31</v>
      </c>
      <c r="G538" s="8" t="s">
        <v>34</v>
      </c>
      <c r="H538" s="8" t="s">
        <v>36</v>
      </c>
      <c r="I538" s="11" t="s">
        <v>37</v>
      </c>
      <c r="J538" s="8" t="s">
        <v>26</v>
      </c>
    </row>
    <row r="539" customFormat="false" ht="14.25" hidden="false" customHeight="false" outlineLevel="0" collapsed="false">
      <c r="A539" s="8" t="n">
        <v>538</v>
      </c>
      <c r="B539" s="8" t="s">
        <v>57</v>
      </c>
      <c r="C539" s="8" t="s">
        <v>16</v>
      </c>
      <c r="D539" s="9" t="n">
        <v>43991</v>
      </c>
      <c r="E539" s="9" t="str">
        <f aca="false">TEXT(D539,"MMM")</f>
        <v>jun</v>
      </c>
      <c r="F539" s="10" t="n">
        <v>135651.86</v>
      </c>
      <c r="G539" s="8" t="s">
        <v>11</v>
      </c>
      <c r="H539" s="8" t="s">
        <v>36</v>
      </c>
      <c r="I539" s="11" t="s">
        <v>37</v>
      </c>
      <c r="J539" s="8" t="s">
        <v>14</v>
      </c>
    </row>
    <row r="540" customFormat="false" ht="14.25" hidden="false" customHeight="false" outlineLevel="0" collapsed="false">
      <c r="A540" s="8" t="n">
        <v>539</v>
      </c>
      <c r="B540" s="8" t="s">
        <v>120</v>
      </c>
      <c r="C540" s="8" t="s">
        <v>10</v>
      </c>
      <c r="D540" s="9" t="n">
        <v>43995</v>
      </c>
      <c r="E540" s="9" t="str">
        <f aca="false">TEXT(D540,"MMM")</f>
        <v>jun</v>
      </c>
      <c r="F540" s="10" t="n">
        <v>16348.31</v>
      </c>
      <c r="G540" s="8" t="s">
        <v>11</v>
      </c>
      <c r="H540" s="8" t="s">
        <v>36</v>
      </c>
      <c r="I540" s="11" t="s">
        <v>37</v>
      </c>
      <c r="J540" s="8" t="s">
        <v>14</v>
      </c>
    </row>
    <row r="541" customFormat="false" ht="14.25" hidden="false" customHeight="false" outlineLevel="0" collapsed="false">
      <c r="A541" s="8" t="n">
        <v>540</v>
      </c>
      <c r="B541" s="8" t="s">
        <v>73</v>
      </c>
      <c r="C541" s="8" t="s">
        <v>21</v>
      </c>
      <c r="D541" s="9" t="n">
        <v>43995</v>
      </c>
      <c r="E541" s="9" t="str">
        <f aca="false">TEXT(D541,"MMM")</f>
        <v>jun</v>
      </c>
      <c r="F541" s="10" t="n">
        <v>16004.76</v>
      </c>
      <c r="G541" s="8" t="s">
        <v>11</v>
      </c>
      <c r="H541" s="8" t="s">
        <v>17</v>
      </c>
      <c r="I541" s="11" t="s">
        <v>18</v>
      </c>
      <c r="J541" s="8" t="s">
        <v>14</v>
      </c>
    </row>
    <row r="542" customFormat="false" ht="14.25" hidden="false" customHeight="false" outlineLevel="0" collapsed="false">
      <c r="A542" s="8" t="n">
        <v>541</v>
      </c>
      <c r="B542" s="8" t="s">
        <v>15</v>
      </c>
      <c r="C542" s="8" t="s">
        <v>10</v>
      </c>
      <c r="D542" s="9" t="n">
        <v>43995</v>
      </c>
      <c r="E542" s="9" t="str">
        <f aca="false">TEXT(D542,"MMM")</f>
        <v>jun</v>
      </c>
      <c r="F542" s="10" t="n">
        <v>14345.21</v>
      </c>
      <c r="G542" s="8" t="s">
        <v>11</v>
      </c>
      <c r="H542" s="8" t="s">
        <v>12</v>
      </c>
      <c r="I542" s="11" t="s">
        <v>13</v>
      </c>
      <c r="J542" s="8" t="s">
        <v>14</v>
      </c>
    </row>
    <row r="543" customFormat="false" ht="14.25" hidden="false" customHeight="false" outlineLevel="0" collapsed="false">
      <c r="A543" s="8" t="n">
        <v>542</v>
      </c>
      <c r="B543" s="8" t="s">
        <v>15</v>
      </c>
      <c r="C543" s="8" t="s">
        <v>10</v>
      </c>
      <c r="D543" s="9" t="n">
        <v>43995</v>
      </c>
      <c r="E543" s="9" t="str">
        <f aca="false">TEXT(D543,"MMM")</f>
        <v>jun</v>
      </c>
      <c r="F543" s="10" t="n">
        <v>142245.06</v>
      </c>
      <c r="G543" s="8" t="s">
        <v>11</v>
      </c>
      <c r="H543" s="8" t="s">
        <v>12</v>
      </c>
      <c r="I543" s="11" t="s">
        <v>13</v>
      </c>
      <c r="J543" s="8" t="s">
        <v>14</v>
      </c>
    </row>
    <row r="544" customFormat="false" ht="14.25" hidden="false" customHeight="false" outlineLevel="0" collapsed="false">
      <c r="A544" s="8" t="n">
        <v>543</v>
      </c>
      <c r="B544" s="8" t="s">
        <v>15</v>
      </c>
      <c r="C544" s="8" t="s">
        <v>10</v>
      </c>
      <c r="D544" s="9" t="n">
        <v>43995</v>
      </c>
      <c r="E544" s="9" t="str">
        <f aca="false">TEXT(D544,"MMM")</f>
        <v>jun</v>
      </c>
      <c r="F544" s="10" t="n">
        <v>15098.48</v>
      </c>
      <c r="G544" s="8" t="s">
        <v>11</v>
      </c>
      <c r="H544" s="8" t="s">
        <v>30</v>
      </c>
      <c r="I544" s="11" t="s">
        <v>31</v>
      </c>
      <c r="J544" s="8" t="s">
        <v>14</v>
      </c>
    </row>
    <row r="545" customFormat="false" ht="14.25" hidden="false" customHeight="false" outlineLevel="0" collapsed="false">
      <c r="A545" s="8" t="n">
        <v>544</v>
      </c>
      <c r="B545" s="8" t="s">
        <v>15</v>
      </c>
      <c r="C545" s="8" t="s">
        <v>28</v>
      </c>
      <c r="D545" s="9" t="n">
        <v>43995</v>
      </c>
      <c r="E545" s="9" t="str">
        <f aca="false">TEXT(D545,"MMM")</f>
        <v>jun</v>
      </c>
      <c r="F545" s="10" t="n">
        <v>-230.86</v>
      </c>
      <c r="G545" s="8" t="s">
        <v>34</v>
      </c>
      <c r="H545" s="8" t="s">
        <v>12</v>
      </c>
      <c r="I545" s="11" t="s">
        <v>13</v>
      </c>
      <c r="J545" s="8" t="s">
        <v>19</v>
      </c>
    </row>
    <row r="546" customFormat="false" ht="14.25" hidden="false" customHeight="false" outlineLevel="0" collapsed="false">
      <c r="A546" s="8" t="n">
        <v>545</v>
      </c>
      <c r="B546" s="8" t="s">
        <v>73</v>
      </c>
      <c r="C546" s="8" t="s">
        <v>28</v>
      </c>
      <c r="D546" s="9" t="n">
        <v>43995</v>
      </c>
      <c r="E546" s="9" t="str">
        <f aca="false">TEXT(D546,"MMM")</f>
        <v>jun</v>
      </c>
      <c r="F546" s="10" t="n">
        <v>-1519.77</v>
      </c>
      <c r="G546" s="8" t="s">
        <v>34</v>
      </c>
      <c r="H546" s="8" t="s">
        <v>12</v>
      </c>
      <c r="I546" s="11" t="s">
        <v>13</v>
      </c>
      <c r="J546" s="8" t="s">
        <v>26</v>
      </c>
    </row>
    <row r="547" customFormat="false" ht="14.25" hidden="false" customHeight="false" outlineLevel="0" collapsed="false">
      <c r="A547" s="8" t="n">
        <v>546</v>
      </c>
      <c r="B547" s="8" t="s">
        <v>73</v>
      </c>
      <c r="C547" s="8" t="s">
        <v>16</v>
      </c>
      <c r="D547" s="9" t="n">
        <v>43995</v>
      </c>
      <c r="E547" s="9" t="str">
        <f aca="false">TEXT(D547,"MMM")</f>
        <v>jun</v>
      </c>
      <c r="F547" s="10" t="n">
        <v>-2720.83</v>
      </c>
      <c r="G547" s="8" t="s">
        <v>34</v>
      </c>
      <c r="H547" s="8" t="s">
        <v>22</v>
      </c>
      <c r="I547" s="11" t="s">
        <v>23</v>
      </c>
      <c r="J547" s="8" t="s">
        <v>19</v>
      </c>
    </row>
    <row r="548" customFormat="false" ht="14.25" hidden="false" customHeight="false" outlineLevel="0" collapsed="false">
      <c r="A548" s="8" t="n">
        <v>547</v>
      </c>
      <c r="B548" s="8" t="s">
        <v>15</v>
      </c>
      <c r="C548" s="8" t="s">
        <v>16</v>
      </c>
      <c r="D548" s="9" t="n">
        <v>43995</v>
      </c>
      <c r="E548" s="9" t="str">
        <f aca="false">TEXT(D548,"MMM")</f>
        <v>jun</v>
      </c>
      <c r="F548" s="10" t="n">
        <v>-532.35</v>
      </c>
      <c r="G548" s="8" t="s">
        <v>34</v>
      </c>
      <c r="H548" s="8" t="s">
        <v>12</v>
      </c>
      <c r="I548" s="11" t="s">
        <v>13</v>
      </c>
      <c r="J548" s="8" t="s">
        <v>24</v>
      </c>
    </row>
    <row r="549" customFormat="false" ht="14.25" hidden="false" customHeight="false" outlineLevel="0" collapsed="false">
      <c r="A549" s="8" t="n">
        <v>548</v>
      </c>
      <c r="B549" s="8" t="s">
        <v>15</v>
      </c>
      <c r="C549" s="8" t="s">
        <v>16</v>
      </c>
      <c r="D549" s="9" t="n">
        <v>43995</v>
      </c>
      <c r="E549" s="9" t="str">
        <f aca="false">TEXT(D549,"MMM")</f>
        <v>jun</v>
      </c>
      <c r="F549" s="10" t="n">
        <v>-60.87</v>
      </c>
      <c r="G549" s="8" t="s">
        <v>34</v>
      </c>
      <c r="H549" s="8" t="s">
        <v>12</v>
      </c>
      <c r="I549" s="11" t="s">
        <v>13</v>
      </c>
      <c r="J549" s="8" t="s">
        <v>26</v>
      </c>
    </row>
    <row r="550" customFormat="false" ht="14.25" hidden="false" customHeight="false" outlineLevel="0" collapsed="false">
      <c r="A550" s="8" t="n">
        <v>549</v>
      </c>
      <c r="B550" s="8" t="s">
        <v>15</v>
      </c>
      <c r="C550" s="8" t="s">
        <v>21</v>
      </c>
      <c r="D550" s="9" t="n">
        <v>43995</v>
      </c>
      <c r="E550" s="9" t="str">
        <f aca="false">TEXT(D550,"MMM")</f>
        <v>jun</v>
      </c>
      <c r="F550" s="10" t="n">
        <v>161683.03</v>
      </c>
      <c r="G550" s="8" t="s">
        <v>11</v>
      </c>
      <c r="H550" s="8" t="s">
        <v>12</v>
      </c>
      <c r="I550" s="11" t="s">
        <v>13</v>
      </c>
      <c r="J550" s="8" t="s">
        <v>14</v>
      </c>
    </row>
    <row r="551" customFormat="false" ht="14.25" hidden="false" customHeight="false" outlineLevel="0" collapsed="false">
      <c r="A551" s="8" t="n">
        <v>550</v>
      </c>
      <c r="B551" s="8" t="s">
        <v>15</v>
      </c>
      <c r="C551" s="8" t="s">
        <v>28</v>
      </c>
      <c r="D551" s="9" t="n">
        <v>43995</v>
      </c>
      <c r="E551" s="9" t="str">
        <f aca="false">TEXT(D551,"MMM")</f>
        <v>jun</v>
      </c>
      <c r="F551" s="10" t="n">
        <v>-50196.58</v>
      </c>
      <c r="G551" s="8" t="s">
        <v>34</v>
      </c>
      <c r="H551" s="8" t="s">
        <v>17</v>
      </c>
      <c r="I551" s="11" t="s">
        <v>18</v>
      </c>
      <c r="J551" s="8" t="s">
        <v>14</v>
      </c>
    </row>
    <row r="552" customFormat="false" ht="14.25" hidden="false" customHeight="false" outlineLevel="0" collapsed="false">
      <c r="A552" s="8" t="n">
        <v>551</v>
      </c>
      <c r="B552" s="8" t="s">
        <v>15</v>
      </c>
      <c r="C552" s="8" t="s">
        <v>28</v>
      </c>
      <c r="D552" s="9" t="n">
        <v>43995</v>
      </c>
      <c r="E552" s="9" t="str">
        <f aca="false">TEXT(D552,"MMM")</f>
        <v>jun</v>
      </c>
      <c r="F552" s="10" t="n">
        <v>-6610.1</v>
      </c>
      <c r="G552" s="8" t="s">
        <v>34</v>
      </c>
      <c r="H552" s="8" t="s">
        <v>36</v>
      </c>
      <c r="I552" s="11" t="s">
        <v>37</v>
      </c>
      <c r="J552" s="8" t="s">
        <v>14</v>
      </c>
    </row>
    <row r="553" customFormat="false" ht="14.25" hidden="false" customHeight="false" outlineLevel="0" collapsed="false">
      <c r="A553" s="8" t="n">
        <v>552</v>
      </c>
      <c r="B553" s="8" t="s">
        <v>15</v>
      </c>
      <c r="C553" s="8" t="s">
        <v>21</v>
      </c>
      <c r="D553" s="9" t="n">
        <v>43995</v>
      </c>
      <c r="E553" s="9" t="str">
        <f aca="false">TEXT(D553,"MMM")</f>
        <v>jun</v>
      </c>
      <c r="F553" s="10" t="n">
        <v>-19487.55</v>
      </c>
      <c r="G553" s="8" t="s">
        <v>34</v>
      </c>
      <c r="H553" s="8" t="s">
        <v>17</v>
      </c>
      <c r="I553" s="11" t="s">
        <v>18</v>
      </c>
      <c r="J553" s="8" t="s">
        <v>14</v>
      </c>
    </row>
    <row r="554" customFormat="false" ht="14.25" hidden="false" customHeight="false" outlineLevel="0" collapsed="false">
      <c r="A554" s="8" t="n">
        <v>553</v>
      </c>
      <c r="B554" s="8" t="s">
        <v>15</v>
      </c>
      <c r="C554" s="8" t="s">
        <v>16</v>
      </c>
      <c r="D554" s="9" t="n">
        <v>43995</v>
      </c>
      <c r="E554" s="9" t="str">
        <f aca="false">TEXT(D554,"MMM")</f>
        <v>jun</v>
      </c>
      <c r="F554" s="10" t="n">
        <v>5893.98</v>
      </c>
      <c r="G554" s="8" t="s">
        <v>11</v>
      </c>
      <c r="H554" s="8" t="s">
        <v>17</v>
      </c>
      <c r="I554" s="11" t="s">
        <v>18</v>
      </c>
      <c r="J554" s="8" t="s">
        <v>26</v>
      </c>
    </row>
    <row r="555" customFormat="false" ht="14.25" hidden="false" customHeight="false" outlineLevel="0" collapsed="false">
      <c r="A555" s="8" t="n">
        <v>554</v>
      </c>
      <c r="B555" s="8" t="s">
        <v>15</v>
      </c>
      <c r="C555" s="8" t="s">
        <v>21</v>
      </c>
      <c r="D555" s="9" t="n">
        <v>43995</v>
      </c>
      <c r="E555" s="9" t="str">
        <f aca="false">TEXT(D555,"MMM")</f>
        <v>jun</v>
      </c>
      <c r="F555" s="10" t="n">
        <v>5495.17</v>
      </c>
      <c r="G555" s="8" t="s">
        <v>11</v>
      </c>
      <c r="H555" s="8" t="s">
        <v>17</v>
      </c>
      <c r="I555" s="11" t="s">
        <v>18</v>
      </c>
      <c r="J555" s="8" t="s">
        <v>14</v>
      </c>
    </row>
    <row r="556" customFormat="false" ht="14.25" hidden="false" customHeight="false" outlineLevel="0" collapsed="false">
      <c r="A556" s="8" t="n">
        <v>555</v>
      </c>
      <c r="B556" s="8" t="s">
        <v>15</v>
      </c>
      <c r="C556" s="8" t="s">
        <v>21</v>
      </c>
      <c r="D556" s="9" t="n">
        <v>43995</v>
      </c>
      <c r="E556" s="9" t="str">
        <f aca="false">TEXT(D556,"MMM")</f>
        <v>jun</v>
      </c>
      <c r="F556" s="10" t="n">
        <v>5602.92</v>
      </c>
      <c r="G556" s="8" t="s">
        <v>11</v>
      </c>
      <c r="H556" s="8" t="s">
        <v>22</v>
      </c>
      <c r="I556" s="11" t="s">
        <v>23</v>
      </c>
      <c r="J556" s="8" t="s">
        <v>26</v>
      </c>
    </row>
    <row r="557" customFormat="false" ht="14.25" hidden="false" customHeight="false" outlineLevel="0" collapsed="false">
      <c r="A557" s="8" t="n">
        <v>556</v>
      </c>
      <c r="B557" s="8" t="s">
        <v>15</v>
      </c>
      <c r="C557" s="8" t="s">
        <v>16</v>
      </c>
      <c r="D557" s="9" t="n">
        <v>43995</v>
      </c>
      <c r="E557" s="9" t="str">
        <f aca="false">TEXT(D557,"MMM")</f>
        <v>jun</v>
      </c>
      <c r="F557" s="10" t="n">
        <v>5775.6</v>
      </c>
      <c r="G557" s="8" t="s">
        <v>11</v>
      </c>
      <c r="H557" s="8" t="s">
        <v>17</v>
      </c>
      <c r="I557" s="11" t="s">
        <v>18</v>
      </c>
      <c r="J557" s="8" t="s">
        <v>26</v>
      </c>
    </row>
    <row r="558" customFormat="false" ht="14.25" hidden="false" customHeight="false" outlineLevel="0" collapsed="false">
      <c r="A558" s="8" t="n">
        <v>557</v>
      </c>
      <c r="B558" s="8" t="s">
        <v>15</v>
      </c>
      <c r="C558" s="8" t="s">
        <v>16</v>
      </c>
      <c r="D558" s="9" t="n">
        <v>43995</v>
      </c>
      <c r="E558" s="9" t="str">
        <f aca="false">TEXT(D558,"MMM")</f>
        <v>jun</v>
      </c>
      <c r="F558" s="10" t="n">
        <v>-45870.58</v>
      </c>
      <c r="G558" s="8" t="s">
        <v>34</v>
      </c>
      <c r="H558" s="8" t="s">
        <v>17</v>
      </c>
      <c r="I558" s="11" t="s">
        <v>18</v>
      </c>
      <c r="J558" s="8" t="s">
        <v>24</v>
      </c>
    </row>
    <row r="559" customFormat="false" ht="14.25" hidden="false" customHeight="false" outlineLevel="0" collapsed="false">
      <c r="A559" s="8" t="n">
        <v>558</v>
      </c>
      <c r="B559" s="8" t="s">
        <v>77</v>
      </c>
      <c r="C559" s="8" t="s">
        <v>10</v>
      </c>
      <c r="D559" s="9" t="n">
        <v>43996</v>
      </c>
      <c r="E559" s="9" t="str">
        <f aca="false">TEXT(D559,"MMM")</f>
        <v>jun</v>
      </c>
      <c r="F559" s="10" t="n">
        <v>-22847.58</v>
      </c>
      <c r="G559" s="8" t="s">
        <v>34</v>
      </c>
      <c r="H559" s="8" t="s">
        <v>12</v>
      </c>
      <c r="I559" s="11" t="s">
        <v>13</v>
      </c>
      <c r="J559" s="8" t="s">
        <v>26</v>
      </c>
    </row>
    <row r="560" customFormat="false" ht="14.25" hidden="false" customHeight="false" outlineLevel="0" collapsed="false">
      <c r="A560" s="8" t="n">
        <v>559</v>
      </c>
      <c r="B560" s="8" t="s">
        <v>86</v>
      </c>
      <c r="C560" s="8" t="s">
        <v>16</v>
      </c>
      <c r="D560" s="9" t="n">
        <v>43996</v>
      </c>
      <c r="E560" s="9" t="str">
        <f aca="false">TEXT(D560,"MMM")</f>
        <v>jun</v>
      </c>
      <c r="F560" s="10" t="n">
        <v>-17656.24</v>
      </c>
      <c r="G560" s="8" t="s">
        <v>34</v>
      </c>
      <c r="H560" s="8" t="s">
        <v>17</v>
      </c>
      <c r="I560" s="11" t="s">
        <v>18</v>
      </c>
      <c r="J560" s="8" t="s">
        <v>14</v>
      </c>
    </row>
    <row r="561" customFormat="false" ht="14.25" hidden="false" customHeight="false" outlineLevel="0" collapsed="false">
      <c r="A561" s="8" t="n">
        <v>560</v>
      </c>
      <c r="B561" s="8" t="s">
        <v>15</v>
      </c>
      <c r="C561" s="8" t="s">
        <v>16</v>
      </c>
      <c r="D561" s="9" t="n">
        <v>43996</v>
      </c>
      <c r="E561" s="9" t="str">
        <f aca="false">TEXT(D561,"MMM")</f>
        <v>jun</v>
      </c>
      <c r="F561" s="10" t="n">
        <v>-244.27</v>
      </c>
      <c r="G561" s="8" t="s">
        <v>34</v>
      </c>
      <c r="H561" s="8" t="s">
        <v>30</v>
      </c>
      <c r="I561" s="11" t="s">
        <v>31</v>
      </c>
      <c r="J561" s="8" t="s">
        <v>19</v>
      </c>
    </row>
    <row r="562" customFormat="false" ht="14.25" hidden="false" customHeight="false" outlineLevel="0" collapsed="false">
      <c r="A562" s="8" t="n">
        <v>561</v>
      </c>
      <c r="B562" s="8" t="s">
        <v>100</v>
      </c>
      <c r="C562" s="8" t="s">
        <v>16</v>
      </c>
      <c r="D562" s="9" t="n">
        <v>43996</v>
      </c>
      <c r="E562" s="9" t="str">
        <f aca="false">TEXT(D562,"MMM")</f>
        <v>jun</v>
      </c>
      <c r="F562" s="10" t="n">
        <v>6703.73</v>
      </c>
      <c r="G562" s="8" t="s">
        <v>11</v>
      </c>
      <c r="H562" s="8" t="s">
        <v>17</v>
      </c>
      <c r="I562" s="11" t="s">
        <v>18</v>
      </c>
      <c r="J562" s="8" t="s">
        <v>14</v>
      </c>
    </row>
    <row r="563" customFormat="false" ht="14.25" hidden="false" customHeight="false" outlineLevel="0" collapsed="false">
      <c r="A563" s="8" t="n">
        <v>562</v>
      </c>
      <c r="B563" s="8" t="s">
        <v>100</v>
      </c>
      <c r="C563" s="8" t="s">
        <v>10</v>
      </c>
      <c r="D563" s="9" t="n">
        <v>43996</v>
      </c>
      <c r="E563" s="9" t="str">
        <f aca="false">TEXT(D563,"MMM")</f>
        <v>jun</v>
      </c>
      <c r="F563" s="10" t="n">
        <v>136001.72</v>
      </c>
      <c r="G563" s="8" t="s">
        <v>11</v>
      </c>
      <c r="H563" s="8" t="s">
        <v>36</v>
      </c>
      <c r="I563" s="11" t="s">
        <v>37</v>
      </c>
      <c r="J563" s="8" t="s">
        <v>26</v>
      </c>
    </row>
    <row r="564" customFormat="false" ht="14.25" hidden="false" customHeight="false" outlineLevel="0" collapsed="false">
      <c r="A564" s="8" t="n">
        <v>563</v>
      </c>
      <c r="B564" s="8" t="s">
        <v>100</v>
      </c>
      <c r="C564" s="8" t="s">
        <v>16</v>
      </c>
      <c r="D564" s="9" t="n">
        <v>43996</v>
      </c>
      <c r="E564" s="9" t="str">
        <f aca="false">TEXT(D564,"MMM")</f>
        <v>jun</v>
      </c>
      <c r="F564" s="10" t="n">
        <v>22400.42</v>
      </c>
      <c r="G564" s="8" t="s">
        <v>11</v>
      </c>
      <c r="H564" s="8" t="s">
        <v>12</v>
      </c>
      <c r="I564" s="11" t="s">
        <v>13</v>
      </c>
      <c r="J564" s="8" t="s">
        <v>14</v>
      </c>
    </row>
    <row r="565" customFormat="false" ht="14.25" hidden="false" customHeight="false" outlineLevel="0" collapsed="false">
      <c r="A565" s="8" t="n">
        <v>564</v>
      </c>
      <c r="B565" s="8" t="s">
        <v>49</v>
      </c>
      <c r="C565" s="8" t="s">
        <v>21</v>
      </c>
      <c r="D565" s="9" t="n">
        <v>43996</v>
      </c>
      <c r="E565" s="9" t="str">
        <f aca="false">TEXT(D565,"MMM")</f>
        <v>jun</v>
      </c>
      <c r="F565" s="10" t="n">
        <v>21767.71</v>
      </c>
      <c r="G565" s="8" t="s">
        <v>11</v>
      </c>
      <c r="H565" s="8" t="s">
        <v>17</v>
      </c>
      <c r="I565" s="11" t="s">
        <v>18</v>
      </c>
      <c r="J565" s="8" t="s">
        <v>26</v>
      </c>
    </row>
    <row r="566" customFormat="false" ht="14.25" hidden="false" customHeight="false" outlineLevel="0" collapsed="false">
      <c r="A566" s="8" t="n">
        <v>565</v>
      </c>
      <c r="B566" s="8" t="s">
        <v>100</v>
      </c>
      <c r="C566" s="8" t="s">
        <v>10</v>
      </c>
      <c r="D566" s="9" t="n">
        <v>43996</v>
      </c>
      <c r="E566" s="9" t="str">
        <f aca="false">TEXT(D566,"MMM")</f>
        <v>jun</v>
      </c>
      <c r="F566" s="10" t="n">
        <v>22198.77</v>
      </c>
      <c r="G566" s="8" t="s">
        <v>11</v>
      </c>
      <c r="H566" s="8" t="s">
        <v>12</v>
      </c>
      <c r="I566" s="11" t="s">
        <v>13</v>
      </c>
      <c r="J566" s="8" t="s">
        <v>14</v>
      </c>
    </row>
    <row r="567" customFormat="false" ht="14.25" hidden="false" customHeight="false" outlineLevel="0" collapsed="false">
      <c r="A567" s="8" t="n">
        <v>566</v>
      </c>
      <c r="B567" s="8" t="s">
        <v>100</v>
      </c>
      <c r="C567" s="8" t="s">
        <v>21</v>
      </c>
      <c r="D567" s="9" t="n">
        <v>43996</v>
      </c>
      <c r="E567" s="9" t="str">
        <f aca="false">TEXT(D567,"MMM")</f>
        <v>jun</v>
      </c>
      <c r="F567" s="10" t="n">
        <v>59370.45</v>
      </c>
      <c r="G567" s="8" t="s">
        <v>11</v>
      </c>
      <c r="H567" s="8" t="s">
        <v>30</v>
      </c>
      <c r="I567" s="11" t="s">
        <v>31</v>
      </c>
      <c r="J567" s="8" t="s">
        <v>19</v>
      </c>
    </row>
    <row r="568" customFormat="false" ht="14.25" hidden="false" customHeight="false" outlineLevel="0" collapsed="false">
      <c r="A568" s="8" t="n">
        <v>567</v>
      </c>
      <c r="B568" s="8" t="s">
        <v>121</v>
      </c>
      <c r="C568" s="8" t="s">
        <v>10</v>
      </c>
      <c r="D568" s="9" t="n">
        <v>43998</v>
      </c>
      <c r="E568" s="9" t="str">
        <f aca="false">TEXT(D568,"MMM")</f>
        <v>jun</v>
      </c>
      <c r="F568" s="10" t="n">
        <v>-12884.1</v>
      </c>
      <c r="G568" s="8" t="s">
        <v>34</v>
      </c>
      <c r="H568" s="8" t="s">
        <v>12</v>
      </c>
      <c r="I568" s="11" t="s">
        <v>13</v>
      </c>
      <c r="J568" s="8" t="s">
        <v>14</v>
      </c>
    </row>
    <row r="569" customFormat="false" ht="14.25" hidden="false" customHeight="false" outlineLevel="0" collapsed="false">
      <c r="A569" s="8" t="n">
        <v>568</v>
      </c>
      <c r="B569" s="8" t="s">
        <v>61</v>
      </c>
      <c r="C569" s="8" t="s">
        <v>21</v>
      </c>
      <c r="D569" s="9" t="n">
        <v>43998</v>
      </c>
      <c r="E569" s="9" t="str">
        <f aca="false">TEXT(D569,"MMM")</f>
        <v>jun</v>
      </c>
      <c r="F569" s="10" t="n">
        <v>148257.06</v>
      </c>
      <c r="G569" s="8" t="s">
        <v>11</v>
      </c>
      <c r="H569" s="8" t="s">
        <v>17</v>
      </c>
      <c r="I569" s="11" t="s">
        <v>18</v>
      </c>
      <c r="J569" s="8" t="s">
        <v>14</v>
      </c>
    </row>
    <row r="570" customFormat="false" ht="14.25" hidden="false" customHeight="false" outlineLevel="0" collapsed="false">
      <c r="A570" s="8" t="n">
        <v>569</v>
      </c>
      <c r="B570" s="8" t="s">
        <v>62</v>
      </c>
      <c r="C570" s="8" t="s">
        <v>21</v>
      </c>
      <c r="D570" s="9" t="n">
        <v>43998</v>
      </c>
      <c r="E570" s="9" t="str">
        <f aca="false">TEXT(D570,"MMM")</f>
        <v>jun</v>
      </c>
      <c r="F570" s="10" t="n">
        <v>173499.58</v>
      </c>
      <c r="G570" s="8" t="s">
        <v>11</v>
      </c>
      <c r="H570" s="8" t="s">
        <v>12</v>
      </c>
      <c r="I570" s="11" t="s">
        <v>13</v>
      </c>
      <c r="J570" s="8" t="s">
        <v>14</v>
      </c>
    </row>
    <row r="571" customFormat="false" ht="14.25" hidden="false" customHeight="false" outlineLevel="0" collapsed="false">
      <c r="A571" s="8" t="n">
        <v>570</v>
      </c>
      <c r="B571" s="8" t="s">
        <v>39</v>
      </c>
      <c r="C571" s="8" t="s">
        <v>21</v>
      </c>
      <c r="D571" s="9" t="n">
        <v>43998</v>
      </c>
      <c r="E571" s="9" t="str">
        <f aca="false">TEXT(D571,"MMM")</f>
        <v>jun</v>
      </c>
      <c r="F571" s="10" t="n">
        <v>-30235.56</v>
      </c>
      <c r="G571" s="8" t="s">
        <v>34</v>
      </c>
      <c r="H571" s="8" t="s">
        <v>36</v>
      </c>
      <c r="I571" s="11" t="s">
        <v>37</v>
      </c>
      <c r="J571" s="8" t="s">
        <v>19</v>
      </c>
    </row>
    <row r="572" customFormat="false" ht="14.25" hidden="false" customHeight="false" outlineLevel="0" collapsed="false">
      <c r="A572" s="8" t="n">
        <v>571</v>
      </c>
      <c r="B572" s="8" t="s">
        <v>61</v>
      </c>
      <c r="C572" s="8" t="s">
        <v>28</v>
      </c>
      <c r="D572" s="9" t="n">
        <v>43998</v>
      </c>
      <c r="E572" s="9" t="str">
        <f aca="false">TEXT(D572,"MMM")</f>
        <v>jun</v>
      </c>
      <c r="F572" s="10" t="n">
        <v>9028.47</v>
      </c>
      <c r="G572" s="8" t="s">
        <v>11</v>
      </c>
      <c r="H572" s="8" t="s">
        <v>36</v>
      </c>
      <c r="I572" s="11" t="s">
        <v>37</v>
      </c>
      <c r="J572" s="8" t="s">
        <v>14</v>
      </c>
    </row>
    <row r="573" customFormat="false" ht="14.25" hidden="false" customHeight="false" outlineLevel="0" collapsed="false">
      <c r="A573" s="8" t="n">
        <v>572</v>
      </c>
      <c r="B573" s="8" t="s">
        <v>62</v>
      </c>
      <c r="C573" s="8" t="s">
        <v>16</v>
      </c>
      <c r="D573" s="9" t="n">
        <v>43998</v>
      </c>
      <c r="E573" s="9" t="str">
        <f aca="false">TEXT(D573,"MMM")</f>
        <v>jun</v>
      </c>
      <c r="F573" s="10" t="n">
        <v>-1364.79</v>
      </c>
      <c r="G573" s="8" t="s">
        <v>34</v>
      </c>
      <c r="H573" s="8" t="s">
        <v>22</v>
      </c>
      <c r="I573" s="11" t="s">
        <v>23</v>
      </c>
      <c r="J573" s="8" t="s">
        <v>14</v>
      </c>
    </row>
    <row r="574" customFormat="false" ht="14.25" hidden="false" customHeight="false" outlineLevel="0" collapsed="false">
      <c r="A574" s="8" t="n">
        <v>573</v>
      </c>
      <c r="B574" s="8" t="s">
        <v>61</v>
      </c>
      <c r="C574" s="8" t="s">
        <v>16</v>
      </c>
      <c r="D574" s="9" t="n">
        <v>43998</v>
      </c>
      <c r="E574" s="9" t="str">
        <f aca="false">TEXT(D574,"MMM")</f>
        <v>jun</v>
      </c>
      <c r="F574" s="10" t="n">
        <v>-539.56</v>
      </c>
      <c r="G574" s="8" t="s">
        <v>34</v>
      </c>
      <c r="H574" s="8" t="s">
        <v>36</v>
      </c>
      <c r="I574" s="11" t="s">
        <v>37</v>
      </c>
      <c r="J574" s="8" t="s">
        <v>26</v>
      </c>
    </row>
    <row r="575" customFormat="false" ht="14.25" hidden="false" customHeight="false" outlineLevel="0" collapsed="false">
      <c r="A575" s="8" t="n">
        <v>574</v>
      </c>
      <c r="B575" s="8" t="s">
        <v>62</v>
      </c>
      <c r="C575" s="8" t="s">
        <v>21</v>
      </c>
      <c r="D575" s="9" t="n">
        <v>43998</v>
      </c>
      <c r="E575" s="9" t="str">
        <f aca="false">TEXT(D575,"MMM")</f>
        <v>jun</v>
      </c>
      <c r="F575" s="10" t="n">
        <v>-4856.22</v>
      </c>
      <c r="G575" s="8" t="s">
        <v>34</v>
      </c>
      <c r="H575" s="8" t="s">
        <v>12</v>
      </c>
      <c r="I575" s="11" t="s">
        <v>13</v>
      </c>
      <c r="J575" s="8" t="s">
        <v>14</v>
      </c>
    </row>
    <row r="576" customFormat="false" ht="14.25" hidden="false" customHeight="false" outlineLevel="0" collapsed="false">
      <c r="A576" s="8" t="n">
        <v>575</v>
      </c>
      <c r="B576" s="8" t="s">
        <v>86</v>
      </c>
      <c r="C576" s="8" t="s">
        <v>10</v>
      </c>
      <c r="D576" s="9" t="n">
        <v>44003</v>
      </c>
      <c r="E576" s="9" t="str">
        <f aca="false">TEXT(D576,"MMM")</f>
        <v>jun</v>
      </c>
      <c r="F576" s="10" t="n">
        <v>3546</v>
      </c>
      <c r="G576" s="8" t="s">
        <v>11</v>
      </c>
      <c r="H576" s="8" t="s">
        <v>22</v>
      </c>
      <c r="I576" s="11" t="s">
        <v>23</v>
      </c>
      <c r="J576" s="8" t="s">
        <v>26</v>
      </c>
    </row>
    <row r="577" customFormat="false" ht="14.25" hidden="false" customHeight="false" outlineLevel="0" collapsed="false">
      <c r="A577" s="8" t="n">
        <v>576</v>
      </c>
      <c r="B577" s="8" t="s">
        <v>52</v>
      </c>
      <c r="C577" s="8" t="s">
        <v>16</v>
      </c>
      <c r="D577" s="9" t="n">
        <v>44003</v>
      </c>
      <c r="E577" s="9" t="str">
        <f aca="false">TEXT(D577,"MMM")</f>
        <v>jun</v>
      </c>
      <c r="F577" s="10" t="n">
        <v>25752.96</v>
      </c>
      <c r="G577" s="8" t="s">
        <v>11</v>
      </c>
      <c r="H577" s="8" t="s">
        <v>17</v>
      </c>
      <c r="I577" s="11" t="s">
        <v>18</v>
      </c>
      <c r="J577" s="8" t="s">
        <v>24</v>
      </c>
    </row>
    <row r="578" customFormat="false" ht="14.25" hidden="false" customHeight="false" outlineLevel="0" collapsed="false">
      <c r="A578" s="8" t="n">
        <v>577</v>
      </c>
      <c r="B578" s="8" t="s">
        <v>52</v>
      </c>
      <c r="C578" s="8" t="s">
        <v>16</v>
      </c>
      <c r="D578" s="9" t="n">
        <v>44003</v>
      </c>
      <c r="E578" s="9" t="str">
        <f aca="false">TEXT(D578,"MMM")</f>
        <v>jun</v>
      </c>
      <c r="F578" s="10" t="n">
        <v>3582.47</v>
      </c>
      <c r="G578" s="8" t="s">
        <v>11</v>
      </c>
      <c r="H578" s="8" t="s">
        <v>17</v>
      </c>
      <c r="I578" s="11" t="s">
        <v>18</v>
      </c>
      <c r="J578" s="8" t="s">
        <v>26</v>
      </c>
    </row>
    <row r="579" customFormat="false" ht="14.25" hidden="false" customHeight="false" outlineLevel="0" collapsed="false">
      <c r="A579" s="8" t="n">
        <v>578</v>
      </c>
      <c r="B579" s="8" t="s">
        <v>52</v>
      </c>
      <c r="C579" s="8" t="s">
        <v>16</v>
      </c>
      <c r="D579" s="9" t="n">
        <v>44003</v>
      </c>
      <c r="E579" s="9" t="str">
        <f aca="false">TEXT(D579,"MMM")</f>
        <v>jun</v>
      </c>
      <c r="F579" s="10" t="n">
        <v>25495.43</v>
      </c>
      <c r="G579" s="8" t="s">
        <v>11</v>
      </c>
      <c r="H579" s="8" t="s">
        <v>30</v>
      </c>
      <c r="I579" s="11" t="s">
        <v>31</v>
      </c>
      <c r="J579" s="8" t="s">
        <v>24</v>
      </c>
    </row>
    <row r="580" customFormat="false" ht="14.25" hidden="false" customHeight="false" outlineLevel="0" collapsed="false">
      <c r="A580" s="8" t="n">
        <v>579</v>
      </c>
      <c r="B580" s="8" t="s">
        <v>29</v>
      </c>
      <c r="C580" s="8" t="s">
        <v>10</v>
      </c>
      <c r="D580" s="9" t="n">
        <v>44005</v>
      </c>
      <c r="E580" s="9" t="str">
        <f aca="false">TEXT(D580,"MMM")</f>
        <v>jun</v>
      </c>
      <c r="F580" s="10" t="n">
        <v>3136.5</v>
      </c>
      <c r="G580" s="8" t="s">
        <v>11</v>
      </c>
      <c r="H580" s="8" t="s">
        <v>12</v>
      </c>
      <c r="I580" s="11" t="s">
        <v>13</v>
      </c>
      <c r="J580" s="8" t="s">
        <v>14</v>
      </c>
    </row>
    <row r="581" customFormat="false" ht="14.25" hidden="false" customHeight="false" outlineLevel="0" collapsed="false">
      <c r="A581" s="8" t="n">
        <v>580</v>
      </c>
      <c r="B581" s="8" t="s">
        <v>44</v>
      </c>
      <c r="C581" s="8" t="s">
        <v>21</v>
      </c>
      <c r="D581" s="9" t="n">
        <v>44005</v>
      </c>
      <c r="E581" s="9" t="str">
        <f aca="false">TEXT(D581,"MMM")</f>
        <v>jun</v>
      </c>
      <c r="F581" s="10" t="n">
        <v>3485</v>
      </c>
      <c r="G581" s="8" t="s">
        <v>11</v>
      </c>
      <c r="H581" s="8" t="s">
        <v>12</v>
      </c>
      <c r="I581" s="11" t="s">
        <v>13</v>
      </c>
      <c r="J581" s="8" t="s">
        <v>14</v>
      </c>
    </row>
    <row r="582" customFormat="false" ht="14.25" hidden="false" customHeight="false" outlineLevel="0" collapsed="false">
      <c r="A582" s="8" t="n">
        <v>581</v>
      </c>
      <c r="B582" s="8" t="s">
        <v>44</v>
      </c>
      <c r="C582" s="8" t="s">
        <v>28</v>
      </c>
      <c r="D582" s="9" t="n">
        <v>44005</v>
      </c>
      <c r="E582" s="9" t="str">
        <f aca="false">TEXT(D582,"MMM")</f>
        <v>jun</v>
      </c>
      <c r="F582" s="10" t="n">
        <v>3407.8</v>
      </c>
      <c r="G582" s="8" t="s">
        <v>11</v>
      </c>
      <c r="H582" s="8" t="s">
        <v>22</v>
      </c>
      <c r="I582" s="11" t="s">
        <v>23</v>
      </c>
      <c r="J582" s="8" t="s">
        <v>14</v>
      </c>
    </row>
    <row r="583" customFormat="false" ht="14.25" hidden="false" customHeight="false" outlineLevel="0" collapsed="false">
      <c r="A583" s="8" t="n">
        <v>582</v>
      </c>
      <c r="B583" s="8" t="s">
        <v>45</v>
      </c>
      <c r="C583" s="8" t="s">
        <v>28</v>
      </c>
      <c r="D583" s="9" t="n">
        <v>44005</v>
      </c>
      <c r="E583" s="9" t="str">
        <f aca="false">TEXT(D583,"MMM")</f>
        <v>jun</v>
      </c>
      <c r="F583" s="10" t="n">
        <v>25683.28</v>
      </c>
      <c r="G583" s="8" t="s">
        <v>11</v>
      </c>
      <c r="H583" s="8" t="s">
        <v>36</v>
      </c>
      <c r="I583" s="11" t="s">
        <v>37</v>
      </c>
      <c r="J583" s="8" t="s">
        <v>19</v>
      </c>
    </row>
    <row r="584" customFormat="false" ht="14.25" hidden="false" customHeight="false" outlineLevel="0" collapsed="false">
      <c r="A584" s="8" t="n">
        <v>583</v>
      </c>
      <c r="B584" s="8" t="s">
        <v>45</v>
      </c>
      <c r="C584" s="8" t="s">
        <v>21</v>
      </c>
      <c r="D584" s="9" t="n">
        <v>44005</v>
      </c>
      <c r="E584" s="9" t="str">
        <f aca="false">TEXT(D584,"MMM")</f>
        <v>jun</v>
      </c>
      <c r="F584" s="10" t="n">
        <v>3136.5</v>
      </c>
      <c r="G584" s="8" t="s">
        <v>11</v>
      </c>
      <c r="H584" s="8" t="s">
        <v>30</v>
      </c>
      <c r="I584" s="11" t="s">
        <v>31</v>
      </c>
      <c r="J584" s="8" t="s">
        <v>14</v>
      </c>
    </row>
    <row r="585" customFormat="false" ht="14.25" hidden="false" customHeight="false" outlineLevel="0" collapsed="false">
      <c r="A585" s="8" t="n">
        <v>584</v>
      </c>
      <c r="B585" s="8" t="s">
        <v>72</v>
      </c>
      <c r="C585" s="8" t="s">
        <v>16</v>
      </c>
      <c r="D585" s="9" t="n">
        <v>44005</v>
      </c>
      <c r="E585" s="9" t="str">
        <f aca="false">TEXT(D585,"MMM")</f>
        <v>jun</v>
      </c>
      <c r="F585" s="10" t="n">
        <v>3485</v>
      </c>
      <c r="G585" s="8" t="s">
        <v>11</v>
      </c>
      <c r="H585" s="8" t="s">
        <v>12</v>
      </c>
      <c r="I585" s="11" t="s">
        <v>13</v>
      </c>
      <c r="J585" s="8" t="s">
        <v>26</v>
      </c>
    </row>
    <row r="586" customFormat="false" ht="14.25" hidden="false" customHeight="false" outlineLevel="0" collapsed="false">
      <c r="A586" s="8" t="n">
        <v>585</v>
      </c>
      <c r="B586" s="8" t="s">
        <v>72</v>
      </c>
      <c r="C586" s="8" t="s">
        <v>21</v>
      </c>
      <c r="D586" s="9" t="n">
        <v>44005</v>
      </c>
      <c r="E586" s="9" t="str">
        <f aca="false">TEXT(D586,"MMM")</f>
        <v>jun</v>
      </c>
      <c r="F586" s="10" t="n">
        <v>5227.5</v>
      </c>
      <c r="G586" s="8" t="s">
        <v>11</v>
      </c>
      <c r="H586" s="8" t="s">
        <v>12</v>
      </c>
      <c r="I586" s="11" t="s">
        <v>13</v>
      </c>
      <c r="J586" s="8" t="s">
        <v>26</v>
      </c>
    </row>
    <row r="587" customFormat="false" ht="14.25" hidden="false" customHeight="false" outlineLevel="0" collapsed="false">
      <c r="A587" s="8" t="n">
        <v>586</v>
      </c>
      <c r="B587" s="8" t="s">
        <v>32</v>
      </c>
      <c r="C587" s="8" t="s">
        <v>10</v>
      </c>
      <c r="D587" s="9" t="n">
        <v>44008</v>
      </c>
      <c r="E587" s="9" t="str">
        <f aca="false">TEXT(D587,"MMM")</f>
        <v>jun</v>
      </c>
      <c r="F587" s="10" t="n">
        <v>5227.5</v>
      </c>
      <c r="G587" s="8" t="s">
        <v>11</v>
      </c>
      <c r="H587" s="8" t="s">
        <v>12</v>
      </c>
      <c r="I587" s="11" t="s">
        <v>13</v>
      </c>
      <c r="J587" s="8" t="s">
        <v>19</v>
      </c>
    </row>
    <row r="588" customFormat="false" ht="14.25" hidden="false" customHeight="false" outlineLevel="0" collapsed="false">
      <c r="A588" s="8" t="n">
        <v>587</v>
      </c>
      <c r="B588" s="8" t="s">
        <v>121</v>
      </c>
      <c r="C588" s="8" t="s">
        <v>10</v>
      </c>
      <c r="D588" s="9" t="n">
        <v>44009</v>
      </c>
      <c r="E588" s="9" t="str">
        <f aca="false">TEXT(D588,"MMM")</f>
        <v>jun</v>
      </c>
      <c r="F588" s="10" t="n">
        <v>2788</v>
      </c>
      <c r="G588" s="8" t="s">
        <v>11</v>
      </c>
      <c r="H588" s="8" t="s">
        <v>22</v>
      </c>
      <c r="I588" s="11" t="s">
        <v>23</v>
      </c>
      <c r="J588" s="8" t="s">
        <v>14</v>
      </c>
    </row>
    <row r="589" customFormat="false" ht="14.25" hidden="false" customHeight="false" outlineLevel="0" collapsed="false">
      <c r="A589" s="8" t="n">
        <v>588</v>
      </c>
      <c r="B589" s="8" t="s">
        <v>122</v>
      </c>
      <c r="C589" s="8" t="s">
        <v>21</v>
      </c>
      <c r="D589" s="9" t="n">
        <v>44009</v>
      </c>
      <c r="E589" s="9" t="str">
        <f aca="false">TEXT(D589,"MMM")</f>
        <v>jun</v>
      </c>
      <c r="F589" s="10" t="n">
        <v>2439.5</v>
      </c>
      <c r="G589" s="8" t="s">
        <v>11</v>
      </c>
      <c r="H589" s="8" t="s">
        <v>36</v>
      </c>
      <c r="I589" s="11" t="s">
        <v>37</v>
      </c>
      <c r="J589" s="8" t="s">
        <v>19</v>
      </c>
    </row>
    <row r="590" customFormat="false" ht="14.25" hidden="false" customHeight="false" outlineLevel="0" collapsed="false">
      <c r="A590" s="8" t="n">
        <v>589</v>
      </c>
      <c r="B590" s="8" t="s">
        <v>39</v>
      </c>
      <c r="C590" s="8" t="s">
        <v>10</v>
      </c>
      <c r="D590" s="9" t="n">
        <v>44009</v>
      </c>
      <c r="E590" s="9" t="str">
        <f aca="false">TEXT(D590,"MMM")</f>
        <v>jun</v>
      </c>
      <c r="F590" s="10" t="n">
        <v>8897.11</v>
      </c>
      <c r="G590" s="8" t="s">
        <v>11</v>
      </c>
      <c r="H590" s="8" t="s">
        <v>36</v>
      </c>
      <c r="I590" s="11" t="s">
        <v>37</v>
      </c>
      <c r="J590" s="8" t="s">
        <v>26</v>
      </c>
    </row>
    <row r="591" customFormat="false" ht="14.25" hidden="false" customHeight="false" outlineLevel="0" collapsed="false">
      <c r="A591" s="8" t="n">
        <v>590</v>
      </c>
      <c r="B591" s="8" t="s">
        <v>65</v>
      </c>
      <c r="C591" s="8" t="s">
        <v>10</v>
      </c>
      <c r="D591" s="9" t="n">
        <v>44010</v>
      </c>
      <c r="E591" s="9" t="str">
        <f aca="false">TEXT(D591,"MMM")</f>
        <v>jun</v>
      </c>
      <c r="F591" s="10" t="n">
        <v>8718.31</v>
      </c>
      <c r="G591" s="8" t="s">
        <v>11</v>
      </c>
      <c r="H591" s="8" t="s">
        <v>36</v>
      </c>
      <c r="I591" s="11" t="s">
        <v>37</v>
      </c>
      <c r="J591" s="8" t="s">
        <v>19</v>
      </c>
    </row>
    <row r="592" customFormat="false" ht="14.25" hidden="false" customHeight="false" outlineLevel="0" collapsed="false">
      <c r="A592" s="8" t="n">
        <v>591</v>
      </c>
      <c r="B592" s="8" t="s">
        <v>123</v>
      </c>
      <c r="C592" s="8" t="s">
        <v>16</v>
      </c>
      <c r="D592" s="9" t="n">
        <v>44010</v>
      </c>
      <c r="E592" s="9" t="str">
        <f aca="false">TEXT(D592,"MMM")</f>
        <v>jun</v>
      </c>
      <c r="F592" s="10" t="n">
        <v>9354.02</v>
      </c>
      <c r="G592" s="8" t="s">
        <v>11</v>
      </c>
      <c r="H592" s="8" t="s">
        <v>12</v>
      </c>
      <c r="I592" s="11" t="s">
        <v>13</v>
      </c>
      <c r="J592" s="8" t="s">
        <v>26</v>
      </c>
    </row>
    <row r="593" customFormat="false" ht="14.25" hidden="false" customHeight="false" outlineLevel="0" collapsed="false">
      <c r="A593" s="8" t="n">
        <v>592</v>
      </c>
      <c r="B593" s="8" t="s">
        <v>124</v>
      </c>
      <c r="C593" s="8" t="s">
        <v>10</v>
      </c>
      <c r="D593" s="9" t="n">
        <v>44010</v>
      </c>
      <c r="E593" s="9" t="str">
        <f aca="false">TEXT(D593,"MMM")</f>
        <v>jun</v>
      </c>
      <c r="F593" s="10" t="n">
        <v>2439.5</v>
      </c>
      <c r="G593" s="8" t="s">
        <v>11</v>
      </c>
      <c r="H593" s="8" t="s">
        <v>12</v>
      </c>
      <c r="I593" s="11" t="s">
        <v>13</v>
      </c>
      <c r="J593" s="8" t="s">
        <v>26</v>
      </c>
    </row>
    <row r="594" customFormat="false" ht="14.25" hidden="false" customHeight="false" outlineLevel="0" collapsed="false">
      <c r="A594" s="8" t="n">
        <v>593</v>
      </c>
      <c r="B594" s="8" t="s">
        <v>125</v>
      </c>
      <c r="C594" s="8" t="s">
        <v>28</v>
      </c>
      <c r="D594" s="9" t="n">
        <v>44010</v>
      </c>
      <c r="E594" s="9" t="str">
        <f aca="false">TEXT(D594,"MMM")</f>
        <v>jun</v>
      </c>
      <c r="F594" s="10" t="n">
        <v>3582.58</v>
      </c>
      <c r="G594" s="8" t="s">
        <v>11</v>
      </c>
      <c r="H594" s="8" t="s">
        <v>12</v>
      </c>
      <c r="I594" s="11" t="s">
        <v>13</v>
      </c>
      <c r="J594" s="8" t="s">
        <v>24</v>
      </c>
    </row>
    <row r="595" customFormat="false" ht="14.25" hidden="false" customHeight="false" outlineLevel="0" collapsed="false">
      <c r="A595" s="8" t="n">
        <v>594</v>
      </c>
      <c r="B595" s="8" t="s">
        <v>126</v>
      </c>
      <c r="C595" s="8" t="s">
        <v>16</v>
      </c>
      <c r="D595" s="9" t="n">
        <v>44010</v>
      </c>
      <c r="E595" s="9" t="str">
        <f aca="false">TEXT(D595,"MMM")</f>
        <v>jun</v>
      </c>
      <c r="F595" s="10" t="n">
        <v>2857.7</v>
      </c>
      <c r="G595" s="8" t="s">
        <v>11</v>
      </c>
      <c r="H595" s="8" t="s">
        <v>17</v>
      </c>
      <c r="I595" s="11" t="s">
        <v>18</v>
      </c>
      <c r="J595" s="8" t="s">
        <v>26</v>
      </c>
    </row>
    <row r="596" customFormat="false" ht="14.25" hidden="false" customHeight="false" outlineLevel="0" collapsed="false">
      <c r="A596" s="8" t="n">
        <v>595</v>
      </c>
      <c r="B596" s="8" t="s">
        <v>127</v>
      </c>
      <c r="C596" s="8" t="s">
        <v>21</v>
      </c>
      <c r="D596" s="9" t="n">
        <v>44010</v>
      </c>
      <c r="E596" s="9" t="str">
        <f aca="false">TEXT(D596,"MMM")</f>
        <v>jun</v>
      </c>
      <c r="F596" s="10" t="n">
        <v>3589.55</v>
      </c>
      <c r="G596" s="8" t="s">
        <v>11</v>
      </c>
      <c r="H596" s="8" t="s">
        <v>12</v>
      </c>
      <c r="I596" s="11" t="s">
        <v>13</v>
      </c>
      <c r="J596" s="8" t="s">
        <v>19</v>
      </c>
    </row>
    <row r="597" customFormat="false" ht="14.25" hidden="false" customHeight="false" outlineLevel="0" collapsed="false">
      <c r="A597" s="8" t="n">
        <v>596</v>
      </c>
      <c r="B597" s="8" t="s">
        <v>41</v>
      </c>
      <c r="C597" s="8" t="s">
        <v>21</v>
      </c>
      <c r="D597" s="9" t="n">
        <v>44011</v>
      </c>
      <c r="E597" s="9" t="str">
        <f aca="false">TEXT(D597,"MMM")</f>
        <v>jun</v>
      </c>
      <c r="F597" s="10" t="n">
        <v>9830.69</v>
      </c>
      <c r="G597" s="8" t="s">
        <v>11</v>
      </c>
      <c r="H597" s="8" t="s">
        <v>12</v>
      </c>
      <c r="I597" s="11" t="s">
        <v>13</v>
      </c>
      <c r="J597" s="8" t="s">
        <v>24</v>
      </c>
    </row>
    <row r="598" customFormat="false" ht="14.25" hidden="false" customHeight="false" outlineLevel="0" collapsed="false">
      <c r="A598" s="8" t="n">
        <v>597</v>
      </c>
      <c r="B598" s="8" t="s">
        <v>40</v>
      </c>
      <c r="C598" s="8" t="s">
        <v>16</v>
      </c>
      <c r="D598" s="9" t="n">
        <v>44011</v>
      </c>
      <c r="E598" s="9" t="str">
        <f aca="false">TEXT(D598,"MMM")</f>
        <v>jun</v>
      </c>
      <c r="F598" s="10" t="n">
        <v>8803.68</v>
      </c>
      <c r="G598" s="8" t="s">
        <v>11</v>
      </c>
      <c r="H598" s="8" t="s">
        <v>12</v>
      </c>
      <c r="I598" s="11" t="s">
        <v>13</v>
      </c>
      <c r="J598" s="8" t="s">
        <v>26</v>
      </c>
    </row>
    <row r="599" customFormat="false" ht="14.25" hidden="false" customHeight="false" outlineLevel="0" collapsed="false">
      <c r="A599" s="8" t="n">
        <v>598</v>
      </c>
      <c r="B599" s="8" t="s">
        <v>20</v>
      </c>
      <c r="C599" s="8" t="s">
        <v>16</v>
      </c>
      <c r="D599" s="9" t="n">
        <v>44012</v>
      </c>
      <c r="E599" s="9" t="str">
        <f aca="false">TEXT(D599,"MMM")</f>
        <v>jun</v>
      </c>
      <c r="F599" s="10" t="n">
        <v>-517.55</v>
      </c>
      <c r="G599" s="8" t="s">
        <v>34</v>
      </c>
      <c r="H599" s="8" t="s">
        <v>12</v>
      </c>
      <c r="I599" s="11" t="s">
        <v>13</v>
      </c>
      <c r="J599" s="8" t="s">
        <v>26</v>
      </c>
    </row>
    <row r="600" customFormat="false" ht="14.25" hidden="false" customHeight="false" outlineLevel="0" collapsed="false">
      <c r="A600" s="8" t="n">
        <v>599</v>
      </c>
      <c r="B600" s="8" t="s">
        <v>20</v>
      </c>
      <c r="C600" s="8" t="s">
        <v>10</v>
      </c>
      <c r="D600" s="9" t="n">
        <v>44012</v>
      </c>
      <c r="E600" s="9" t="str">
        <f aca="false">TEXT(D600,"MMM")</f>
        <v>jun</v>
      </c>
      <c r="F600" s="10" t="n">
        <v>3485</v>
      </c>
      <c r="G600" s="8" t="s">
        <v>11</v>
      </c>
      <c r="H600" s="8" t="s">
        <v>22</v>
      </c>
      <c r="I600" s="11" t="s">
        <v>23</v>
      </c>
      <c r="J600" s="8" t="s">
        <v>14</v>
      </c>
    </row>
    <row r="601" customFormat="false" ht="14.25" hidden="false" customHeight="false" outlineLevel="0" collapsed="false">
      <c r="A601" s="8" t="n">
        <v>600</v>
      </c>
      <c r="B601" s="8" t="s">
        <v>20</v>
      </c>
      <c r="C601" s="8" t="s">
        <v>10</v>
      </c>
      <c r="D601" s="9" t="n">
        <v>44012</v>
      </c>
      <c r="E601" s="9" t="str">
        <f aca="false">TEXT(D601,"MMM")</f>
        <v>jun</v>
      </c>
      <c r="F601" s="10" t="n">
        <v>3485</v>
      </c>
      <c r="G601" s="8" t="s">
        <v>11</v>
      </c>
      <c r="H601" s="8" t="s">
        <v>30</v>
      </c>
      <c r="I601" s="11" t="s">
        <v>31</v>
      </c>
      <c r="J601" s="8" t="s">
        <v>26</v>
      </c>
    </row>
    <row r="602" customFormat="false" ht="14.25" hidden="false" customHeight="false" outlineLevel="0" collapsed="false">
      <c r="A602" s="8" t="n">
        <v>601</v>
      </c>
      <c r="B602" s="8" t="s">
        <v>39</v>
      </c>
      <c r="C602" s="8" t="s">
        <v>28</v>
      </c>
      <c r="D602" s="9" t="n">
        <v>44012</v>
      </c>
      <c r="E602" s="9" t="str">
        <f aca="false">TEXT(D602,"MMM")</f>
        <v>jun</v>
      </c>
      <c r="F602" s="10" t="n">
        <v>-140.18</v>
      </c>
      <c r="G602" s="8" t="s">
        <v>34</v>
      </c>
      <c r="H602" s="8" t="s">
        <v>17</v>
      </c>
      <c r="I602" s="11" t="s">
        <v>18</v>
      </c>
      <c r="J602" s="8" t="s">
        <v>14</v>
      </c>
    </row>
    <row r="603" customFormat="false" ht="14.25" hidden="false" customHeight="false" outlineLevel="0" collapsed="false">
      <c r="A603" s="8" t="n">
        <v>602</v>
      </c>
      <c r="B603" s="8" t="s">
        <v>128</v>
      </c>
      <c r="C603" s="8" t="s">
        <v>28</v>
      </c>
      <c r="D603" s="9" t="n">
        <v>44017</v>
      </c>
      <c r="E603" s="9" t="str">
        <f aca="false">TEXT(D603,"MMM")</f>
        <v>jul</v>
      </c>
      <c r="F603" s="10" t="n">
        <v>-961.42</v>
      </c>
      <c r="G603" s="8" t="s">
        <v>34</v>
      </c>
      <c r="H603" s="8" t="s">
        <v>17</v>
      </c>
      <c r="I603" s="11" t="s">
        <v>18</v>
      </c>
      <c r="J603" s="8" t="s">
        <v>14</v>
      </c>
    </row>
    <row r="604" customFormat="false" ht="14.25" hidden="false" customHeight="false" outlineLevel="0" collapsed="false">
      <c r="A604" s="8" t="n">
        <v>603</v>
      </c>
      <c r="B604" s="8" t="s">
        <v>81</v>
      </c>
      <c r="C604" s="8" t="s">
        <v>28</v>
      </c>
      <c r="D604" s="9" t="n">
        <v>44017</v>
      </c>
      <c r="E604" s="9" t="str">
        <f aca="false">TEXT(D604,"MMM")</f>
        <v>jul</v>
      </c>
      <c r="F604" s="10" t="n">
        <v>144504.54</v>
      </c>
      <c r="G604" s="8" t="s">
        <v>11</v>
      </c>
      <c r="H604" s="8" t="s">
        <v>17</v>
      </c>
      <c r="I604" s="11" t="s">
        <v>18</v>
      </c>
      <c r="J604" s="8" t="s">
        <v>14</v>
      </c>
    </row>
    <row r="605" customFormat="false" ht="14.25" hidden="false" customHeight="false" outlineLevel="0" collapsed="false">
      <c r="A605" s="8" t="n">
        <v>604</v>
      </c>
      <c r="B605" s="8" t="s">
        <v>81</v>
      </c>
      <c r="C605" s="8" t="s">
        <v>10</v>
      </c>
      <c r="D605" s="9" t="n">
        <v>44017</v>
      </c>
      <c r="E605" s="9" t="str">
        <f aca="false">TEXT(D605,"MMM")</f>
        <v>jul</v>
      </c>
      <c r="F605" s="10" t="n">
        <v>17004.11</v>
      </c>
      <c r="G605" s="8" t="s">
        <v>11</v>
      </c>
      <c r="H605" s="8" t="s">
        <v>12</v>
      </c>
      <c r="I605" s="11" t="s">
        <v>13</v>
      </c>
      <c r="J605" s="8" t="s">
        <v>19</v>
      </c>
    </row>
    <row r="606" customFormat="false" ht="14.25" hidden="false" customHeight="false" outlineLevel="0" collapsed="false">
      <c r="A606" s="8" t="n">
        <v>605</v>
      </c>
      <c r="B606" s="8" t="s">
        <v>81</v>
      </c>
      <c r="C606" s="8" t="s">
        <v>21</v>
      </c>
      <c r="D606" s="9" t="n">
        <v>44017</v>
      </c>
      <c r="E606" s="9" t="str">
        <f aca="false">TEXT(D606,"MMM")</f>
        <v>jul</v>
      </c>
      <c r="F606" s="10" t="n">
        <v>15241.78</v>
      </c>
      <c r="G606" s="8" t="s">
        <v>11</v>
      </c>
      <c r="H606" s="8" t="s">
        <v>12</v>
      </c>
      <c r="I606" s="11" t="s">
        <v>13</v>
      </c>
      <c r="J606" s="8" t="s">
        <v>14</v>
      </c>
    </row>
    <row r="607" customFormat="false" ht="14.25" hidden="false" customHeight="false" outlineLevel="0" collapsed="false">
      <c r="A607" s="8" t="n">
        <v>606</v>
      </c>
      <c r="B607" s="8" t="s">
        <v>49</v>
      </c>
      <c r="C607" s="8" t="s">
        <v>28</v>
      </c>
      <c r="D607" s="9" t="n">
        <v>44017</v>
      </c>
      <c r="E607" s="9" t="str">
        <f aca="false">TEXT(D607,"MMM")</f>
        <v>jul</v>
      </c>
      <c r="F607" s="10" t="n">
        <v>15695.47</v>
      </c>
      <c r="G607" s="8" t="s">
        <v>11</v>
      </c>
      <c r="H607" s="8" t="s">
        <v>12</v>
      </c>
      <c r="I607" s="11" t="s">
        <v>13</v>
      </c>
      <c r="J607" s="8" t="s">
        <v>26</v>
      </c>
    </row>
    <row r="608" customFormat="false" ht="14.25" hidden="false" customHeight="false" outlineLevel="0" collapsed="false">
      <c r="A608" s="8" t="n">
        <v>607</v>
      </c>
      <c r="B608" s="8" t="s">
        <v>81</v>
      </c>
      <c r="C608" s="8" t="s">
        <v>28</v>
      </c>
      <c r="D608" s="9" t="n">
        <v>44017</v>
      </c>
      <c r="E608" s="9" t="str">
        <f aca="false">TEXT(D608,"MMM")</f>
        <v>jul</v>
      </c>
      <c r="F608" s="10" t="n">
        <v>15876.76</v>
      </c>
      <c r="G608" s="8" t="s">
        <v>11</v>
      </c>
      <c r="H608" s="8" t="s">
        <v>12</v>
      </c>
      <c r="I608" s="11" t="s">
        <v>13</v>
      </c>
      <c r="J608" s="8" t="s">
        <v>24</v>
      </c>
    </row>
    <row r="609" customFormat="false" ht="14.25" hidden="false" customHeight="false" outlineLevel="0" collapsed="false">
      <c r="A609" s="8" t="n">
        <v>608</v>
      </c>
      <c r="B609" s="8" t="s">
        <v>72</v>
      </c>
      <c r="C609" s="8" t="s">
        <v>16</v>
      </c>
      <c r="D609" s="9" t="n">
        <v>44019</v>
      </c>
      <c r="E609" s="9" t="str">
        <f aca="false">TEXT(D609,"MMM")</f>
        <v>jul</v>
      </c>
      <c r="F609" s="10" t="n">
        <v>-680.47</v>
      </c>
      <c r="G609" s="8" t="s">
        <v>34</v>
      </c>
      <c r="H609" s="8" t="s">
        <v>12</v>
      </c>
      <c r="I609" s="11" t="s">
        <v>13</v>
      </c>
      <c r="J609" s="8" t="s">
        <v>26</v>
      </c>
    </row>
    <row r="610" customFormat="false" ht="14.25" hidden="false" customHeight="false" outlineLevel="0" collapsed="false">
      <c r="A610" s="8" t="n">
        <v>609</v>
      </c>
      <c r="B610" s="8" t="s">
        <v>44</v>
      </c>
      <c r="C610" s="8" t="s">
        <v>21</v>
      </c>
      <c r="D610" s="9" t="n">
        <v>44019</v>
      </c>
      <c r="E610" s="9" t="str">
        <f aca="false">TEXT(D610,"MMM")</f>
        <v>jul</v>
      </c>
      <c r="F610" s="10" t="n">
        <v>-12386.68</v>
      </c>
      <c r="G610" s="8" t="s">
        <v>34</v>
      </c>
      <c r="H610" s="8" t="s">
        <v>12</v>
      </c>
      <c r="I610" s="11" t="s">
        <v>13</v>
      </c>
      <c r="J610" s="8" t="s">
        <v>26</v>
      </c>
    </row>
    <row r="611" customFormat="false" ht="14.25" hidden="false" customHeight="false" outlineLevel="0" collapsed="false">
      <c r="A611" s="8" t="n">
        <v>610</v>
      </c>
      <c r="B611" s="8" t="s">
        <v>45</v>
      </c>
      <c r="C611" s="8" t="s">
        <v>28</v>
      </c>
      <c r="D611" s="9" t="n">
        <v>44019</v>
      </c>
      <c r="E611" s="9" t="str">
        <f aca="false">TEXT(D611,"MMM")</f>
        <v>jul</v>
      </c>
      <c r="F611" s="10" t="n">
        <v>11007.69</v>
      </c>
      <c r="G611" s="8" t="s">
        <v>11</v>
      </c>
      <c r="H611" s="8" t="s">
        <v>36</v>
      </c>
      <c r="I611" s="11" t="s">
        <v>37</v>
      </c>
      <c r="J611" s="8" t="s">
        <v>24</v>
      </c>
    </row>
    <row r="612" customFormat="false" ht="14.25" hidden="false" customHeight="false" outlineLevel="0" collapsed="false">
      <c r="A612" s="8" t="n">
        <v>611</v>
      </c>
      <c r="B612" s="8" t="s">
        <v>44</v>
      </c>
      <c r="C612" s="8" t="s">
        <v>28</v>
      </c>
      <c r="D612" s="9" t="n">
        <v>44019</v>
      </c>
      <c r="E612" s="9" t="str">
        <f aca="false">TEXT(D612,"MMM")</f>
        <v>jul</v>
      </c>
      <c r="F612" s="10" t="n">
        <v>11007.69</v>
      </c>
      <c r="G612" s="8" t="s">
        <v>11</v>
      </c>
      <c r="H612" s="8" t="s">
        <v>12</v>
      </c>
      <c r="I612" s="11" t="s">
        <v>13</v>
      </c>
      <c r="J612" s="8" t="s">
        <v>14</v>
      </c>
    </row>
    <row r="613" customFormat="false" ht="14.25" hidden="false" customHeight="false" outlineLevel="0" collapsed="false">
      <c r="A613" s="8" t="n">
        <v>612</v>
      </c>
      <c r="B613" s="8" t="s">
        <v>39</v>
      </c>
      <c r="C613" s="8" t="s">
        <v>21</v>
      </c>
      <c r="D613" s="9" t="n">
        <v>44019</v>
      </c>
      <c r="E613" s="9" t="str">
        <f aca="false">TEXT(D613,"MMM")</f>
        <v>jul</v>
      </c>
      <c r="F613" s="10" t="n">
        <v>11007.69</v>
      </c>
      <c r="G613" s="8" t="s">
        <v>11</v>
      </c>
      <c r="H613" s="8" t="s">
        <v>17</v>
      </c>
      <c r="I613" s="11" t="s">
        <v>18</v>
      </c>
      <c r="J613" s="8" t="s">
        <v>14</v>
      </c>
    </row>
    <row r="614" customFormat="false" ht="14.25" hidden="false" customHeight="false" outlineLevel="0" collapsed="false">
      <c r="A614" s="8" t="n">
        <v>613</v>
      </c>
      <c r="B614" s="8" t="s">
        <v>39</v>
      </c>
      <c r="C614" s="8" t="s">
        <v>10</v>
      </c>
      <c r="D614" s="9" t="n">
        <v>44019</v>
      </c>
      <c r="E614" s="9" t="str">
        <f aca="false">TEXT(D614,"MMM")</f>
        <v>jul</v>
      </c>
      <c r="F614" s="10" t="n">
        <v>11007.65</v>
      </c>
      <c r="G614" s="8" t="s">
        <v>11</v>
      </c>
      <c r="H614" s="8" t="s">
        <v>17</v>
      </c>
      <c r="I614" s="11" t="s">
        <v>18</v>
      </c>
      <c r="J614" s="8" t="s">
        <v>19</v>
      </c>
    </row>
    <row r="615" customFormat="false" ht="14.25" hidden="false" customHeight="false" outlineLevel="0" collapsed="false">
      <c r="A615" s="8" t="n">
        <v>614</v>
      </c>
      <c r="B615" s="8" t="s">
        <v>72</v>
      </c>
      <c r="C615" s="8" t="s">
        <v>21</v>
      </c>
      <c r="D615" s="9" t="n">
        <v>44019</v>
      </c>
      <c r="E615" s="9" t="str">
        <f aca="false">TEXT(D615,"MMM")</f>
        <v>jul</v>
      </c>
      <c r="F615" s="10" t="n">
        <v>154820.51</v>
      </c>
      <c r="G615" s="8" t="s">
        <v>11</v>
      </c>
      <c r="H615" s="8" t="s">
        <v>12</v>
      </c>
      <c r="I615" s="11" t="s">
        <v>13</v>
      </c>
      <c r="J615" s="8" t="s">
        <v>24</v>
      </c>
    </row>
    <row r="616" customFormat="false" ht="14.25" hidden="false" customHeight="false" outlineLevel="0" collapsed="false">
      <c r="A616" s="8" t="n">
        <v>615</v>
      </c>
      <c r="B616" s="8" t="s">
        <v>45</v>
      </c>
      <c r="C616" s="8" t="s">
        <v>10</v>
      </c>
      <c r="D616" s="9" t="n">
        <v>44019</v>
      </c>
      <c r="E616" s="9" t="str">
        <f aca="false">TEXT(D616,"MMM")</f>
        <v>jul</v>
      </c>
      <c r="F616" s="10" t="n">
        <v>-1644.97</v>
      </c>
      <c r="G616" s="8" t="s">
        <v>34</v>
      </c>
      <c r="H616" s="8" t="s">
        <v>12</v>
      </c>
      <c r="I616" s="11" t="s">
        <v>13</v>
      </c>
      <c r="J616" s="8" t="s">
        <v>14</v>
      </c>
    </row>
    <row r="617" customFormat="false" ht="14.25" hidden="false" customHeight="false" outlineLevel="0" collapsed="false">
      <c r="A617" s="8" t="n">
        <v>616</v>
      </c>
      <c r="B617" s="8" t="s">
        <v>47</v>
      </c>
      <c r="C617" s="8" t="s">
        <v>21</v>
      </c>
      <c r="D617" s="9" t="n">
        <v>44019</v>
      </c>
      <c r="E617" s="9" t="str">
        <f aca="false">TEXT(D617,"MMM")</f>
        <v>jul</v>
      </c>
      <c r="F617" s="10" t="n">
        <v>-5366.8</v>
      </c>
      <c r="G617" s="8" t="s">
        <v>34</v>
      </c>
      <c r="H617" s="8" t="s">
        <v>22</v>
      </c>
      <c r="I617" s="11" t="s">
        <v>23</v>
      </c>
      <c r="J617" s="8" t="s">
        <v>26</v>
      </c>
    </row>
    <row r="618" customFormat="false" ht="14.25" hidden="false" customHeight="false" outlineLevel="0" collapsed="false">
      <c r="A618" s="8" t="n">
        <v>617</v>
      </c>
      <c r="B618" s="8" t="s">
        <v>47</v>
      </c>
      <c r="C618" s="8" t="s">
        <v>16</v>
      </c>
      <c r="D618" s="9" t="n">
        <v>44019</v>
      </c>
      <c r="E618" s="9" t="str">
        <f aca="false">TEXT(D618,"MMM")</f>
        <v>jul</v>
      </c>
      <c r="F618" s="10" t="n">
        <v>-1455.3</v>
      </c>
      <c r="G618" s="8" t="s">
        <v>34</v>
      </c>
      <c r="H618" s="8" t="s">
        <v>12</v>
      </c>
      <c r="I618" s="11" t="s">
        <v>13</v>
      </c>
      <c r="J618" s="8" t="s">
        <v>19</v>
      </c>
    </row>
    <row r="619" customFormat="false" ht="14.25" hidden="false" customHeight="false" outlineLevel="0" collapsed="false">
      <c r="A619" s="8" t="n">
        <v>618</v>
      </c>
      <c r="B619" s="8" t="s">
        <v>77</v>
      </c>
      <c r="C619" s="8" t="s">
        <v>21</v>
      </c>
      <c r="D619" s="9" t="n">
        <v>44022</v>
      </c>
      <c r="E619" s="9" t="str">
        <f aca="false">TEXT(D619,"MMM")</f>
        <v>jul</v>
      </c>
      <c r="F619" s="10" t="n">
        <v>-1799.28</v>
      </c>
      <c r="G619" s="8" t="s">
        <v>34</v>
      </c>
      <c r="H619" s="8" t="s">
        <v>22</v>
      </c>
      <c r="I619" s="11" t="s">
        <v>23</v>
      </c>
      <c r="J619" s="8" t="s">
        <v>26</v>
      </c>
    </row>
    <row r="620" customFormat="false" ht="14.25" hidden="false" customHeight="false" outlineLevel="0" collapsed="false">
      <c r="A620" s="8" t="n">
        <v>619</v>
      </c>
      <c r="B620" s="8" t="s">
        <v>41</v>
      </c>
      <c r="C620" s="8" t="s">
        <v>21</v>
      </c>
      <c r="D620" s="9" t="n">
        <v>44023</v>
      </c>
      <c r="E620" s="9" t="str">
        <f aca="false">TEXT(D620,"MMM")</f>
        <v>jul</v>
      </c>
      <c r="F620" s="10" t="n">
        <v>-124783.4</v>
      </c>
      <c r="G620" s="8" t="s">
        <v>34</v>
      </c>
      <c r="H620" s="8" t="s">
        <v>17</v>
      </c>
      <c r="I620" s="11" t="s">
        <v>18</v>
      </c>
      <c r="J620" s="8" t="s">
        <v>24</v>
      </c>
    </row>
    <row r="621" customFormat="false" ht="14.25" hidden="false" customHeight="false" outlineLevel="0" collapsed="false">
      <c r="A621" s="8" t="n">
        <v>620</v>
      </c>
      <c r="B621" s="8" t="s">
        <v>61</v>
      </c>
      <c r="C621" s="8" t="s">
        <v>21</v>
      </c>
      <c r="D621" s="9" t="n">
        <v>44026</v>
      </c>
      <c r="E621" s="9" t="str">
        <f aca="false">TEXT(D621,"MMM")</f>
        <v>jul</v>
      </c>
      <c r="F621" s="10" t="n">
        <v>-1416.77</v>
      </c>
      <c r="G621" s="8" t="s">
        <v>34</v>
      </c>
      <c r="H621" s="8" t="s">
        <v>17</v>
      </c>
      <c r="I621" s="11" t="s">
        <v>18</v>
      </c>
      <c r="J621" s="8" t="s">
        <v>26</v>
      </c>
    </row>
    <row r="622" customFormat="false" ht="14.25" hidden="false" customHeight="false" outlineLevel="0" collapsed="false">
      <c r="A622" s="8" t="n">
        <v>621</v>
      </c>
      <c r="B622" s="8" t="s">
        <v>62</v>
      </c>
      <c r="C622" s="8" t="s">
        <v>10</v>
      </c>
      <c r="D622" s="9" t="n">
        <v>44026</v>
      </c>
      <c r="E622" s="9" t="str">
        <f aca="false">TEXT(D622,"MMM")</f>
        <v>jul</v>
      </c>
      <c r="F622" s="10" t="n">
        <v>145938.09</v>
      </c>
      <c r="G622" s="8" t="s">
        <v>11</v>
      </c>
      <c r="H622" s="8" t="s">
        <v>30</v>
      </c>
      <c r="I622" s="11" t="s">
        <v>31</v>
      </c>
      <c r="J622" s="8" t="s">
        <v>19</v>
      </c>
    </row>
    <row r="623" customFormat="false" ht="14.25" hidden="false" customHeight="false" outlineLevel="0" collapsed="false">
      <c r="A623" s="8" t="n">
        <v>622</v>
      </c>
      <c r="B623" s="8" t="s">
        <v>33</v>
      </c>
      <c r="C623" s="8" t="s">
        <v>21</v>
      </c>
      <c r="D623" s="9" t="n">
        <v>44026</v>
      </c>
      <c r="E623" s="9" t="str">
        <f aca="false">TEXT(D623,"MMM")</f>
        <v>jul</v>
      </c>
      <c r="F623" s="10" t="n">
        <v>144778.8</v>
      </c>
      <c r="G623" s="8" t="s">
        <v>11</v>
      </c>
      <c r="H623" s="8" t="s">
        <v>17</v>
      </c>
      <c r="I623" s="11" t="s">
        <v>18</v>
      </c>
      <c r="J623" s="8" t="s">
        <v>26</v>
      </c>
    </row>
    <row r="624" customFormat="false" ht="14.25" hidden="false" customHeight="false" outlineLevel="0" collapsed="false">
      <c r="A624" s="8" t="n">
        <v>623</v>
      </c>
      <c r="B624" s="8" t="s">
        <v>39</v>
      </c>
      <c r="C624" s="8" t="s">
        <v>10</v>
      </c>
      <c r="D624" s="9" t="n">
        <v>44026</v>
      </c>
      <c r="E624" s="9" t="str">
        <f aca="false">TEXT(D624,"MMM")</f>
        <v>jul</v>
      </c>
      <c r="F624" s="10" t="n">
        <v>157456.95</v>
      </c>
      <c r="G624" s="8" t="s">
        <v>11</v>
      </c>
      <c r="H624" s="8" t="s">
        <v>30</v>
      </c>
      <c r="I624" s="11" t="s">
        <v>31</v>
      </c>
      <c r="J624" s="8" t="s">
        <v>24</v>
      </c>
    </row>
    <row r="625" customFormat="false" ht="14.25" hidden="false" customHeight="false" outlineLevel="0" collapsed="false">
      <c r="A625" s="8" t="n">
        <v>624</v>
      </c>
      <c r="B625" s="8" t="s">
        <v>49</v>
      </c>
      <c r="C625" s="8" t="s">
        <v>10</v>
      </c>
      <c r="D625" s="9" t="n">
        <v>44026</v>
      </c>
      <c r="E625" s="9" t="str">
        <f aca="false">TEXT(D625,"MMM")</f>
        <v>jul</v>
      </c>
      <c r="F625" s="10" t="n">
        <v>130577.3</v>
      </c>
      <c r="G625" s="8" t="s">
        <v>11</v>
      </c>
      <c r="H625" s="8" t="s">
        <v>17</v>
      </c>
      <c r="I625" s="11" t="s">
        <v>18</v>
      </c>
      <c r="J625" s="8" t="s">
        <v>14</v>
      </c>
    </row>
    <row r="626" customFormat="false" ht="14.25" hidden="false" customHeight="false" outlineLevel="0" collapsed="false">
      <c r="A626" s="8" t="n">
        <v>625</v>
      </c>
      <c r="B626" s="8" t="s">
        <v>61</v>
      </c>
      <c r="C626" s="8" t="s">
        <v>10</v>
      </c>
      <c r="D626" s="9" t="n">
        <v>44026</v>
      </c>
      <c r="E626" s="9" t="str">
        <f aca="false">TEXT(D626,"MMM")</f>
        <v>jul</v>
      </c>
      <c r="F626" s="10" t="n">
        <v>170134.18</v>
      </c>
      <c r="G626" s="8" t="s">
        <v>11</v>
      </c>
      <c r="H626" s="8" t="s">
        <v>12</v>
      </c>
      <c r="I626" s="11" t="s">
        <v>13</v>
      </c>
      <c r="J626" s="8" t="s">
        <v>24</v>
      </c>
    </row>
    <row r="627" customFormat="false" ht="14.25" hidden="false" customHeight="false" outlineLevel="0" collapsed="false">
      <c r="A627" s="8" t="n">
        <v>626</v>
      </c>
      <c r="B627" s="8" t="s">
        <v>62</v>
      </c>
      <c r="C627" s="8" t="s">
        <v>21</v>
      </c>
      <c r="D627" s="9" t="n">
        <v>44026</v>
      </c>
      <c r="E627" s="9" t="str">
        <f aca="false">TEXT(D627,"MMM")</f>
        <v>jul</v>
      </c>
      <c r="F627" s="10" t="n">
        <v>-26497.84</v>
      </c>
      <c r="G627" s="8" t="s">
        <v>34</v>
      </c>
      <c r="H627" s="8" t="s">
        <v>17</v>
      </c>
      <c r="I627" s="11" t="s">
        <v>18</v>
      </c>
      <c r="J627" s="8" t="s">
        <v>26</v>
      </c>
    </row>
    <row r="628" customFormat="false" ht="14.25" hidden="false" customHeight="false" outlineLevel="0" collapsed="false">
      <c r="A628" s="8" t="n">
        <v>627</v>
      </c>
      <c r="B628" s="8" t="s">
        <v>33</v>
      </c>
      <c r="C628" s="8" t="s">
        <v>10</v>
      </c>
      <c r="D628" s="9" t="n">
        <v>44026</v>
      </c>
      <c r="E628" s="9" t="str">
        <f aca="false">TEXT(D628,"MMM")</f>
        <v>jul</v>
      </c>
      <c r="F628" s="10" t="n">
        <v>31085.64</v>
      </c>
      <c r="G628" s="8" t="s">
        <v>11</v>
      </c>
      <c r="H628" s="8" t="s">
        <v>17</v>
      </c>
      <c r="I628" s="11" t="s">
        <v>18</v>
      </c>
      <c r="J628" s="8" t="s">
        <v>19</v>
      </c>
    </row>
    <row r="629" customFormat="false" ht="14.25" hidden="false" customHeight="false" outlineLevel="0" collapsed="false">
      <c r="A629" s="8" t="n">
        <v>628</v>
      </c>
      <c r="B629" s="8" t="s">
        <v>61</v>
      </c>
      <c r="C629" s="8" t="s">
        <v>28</v>
      </c>
      <c r="D629" s="9" t="n">
        <v>44026</v>
      </c>
      <c r="E629" s="9" t="str">
        <f aca="false">TEXT(D629,"MMM")</f>
        <v>jul</v>
      </c>
      <c r="F629" s="10" t="n">
        <v>-62689.41</v>
      </c>
      <c r="G629" s="8" t="s">
        <v>34</v>
      </c>
      <c r="H629" s="8" t="s">
        <v>12</v>
      </c>
      <c r="I629" s="11" t="s">
        <v>13</v>
      </c>
      <c r="J629" s="8" t="s">
        <v>14</v>
      </c>
    </row>
    <row r="630" customFormat="false" ht="14.25" hidden="false" customHeight="false" outlineLevel="0" collapsed="false">
      <c r="A630" s="8" t="n">
        <v>629</v>
      </c>
      <c r="B630" s="8" t="s">
        <v>62</v>
      </c>
      <c r="C630" s="8" t="s">
        <v>21</v>
      </c>
      <c r="D630" s="9" t="n">
        <v>44026</v>
      </c>
      <c r="E630" s="9" t="str">
        <f aca="false">TEXT(D630,"MMM")</f>
        <v>jul</v>
      </c>
      <c r="F630" s="10" t="n">
        <v>-8880.87</v>
      </c>
      <c r="G630" s="8" t="s">
        <v>34</v>
      </c>
      <c r="H630" s="8" t="s">
        <v>17</v>
      </c>
      <c r="I630" s="11" t="s">
        <v>18</v>
      </c>
      <c r="J630" s="8" t="s">
        <v>26</v>
      </c>
    </row>
    <row r="631" customFormat="false" ht="14.25" hidden="false" customHeight="false" outlineLevel="0" collapsed="false">
      <c r="A631" s="8" t="n">
        <v>630</v>
      </c>
      <c r="B631" s="8" t="s">
        <v>33</v>
      </c>
      <c r="C631" s="8" t="s">
        <v>10</v>
      </c>
      <c r="D631" s="9" t="n">
        <v>44026</v>
      </c>
      <c r="E631" s="9" t="str">
        <f aca="false">TEXT(D631,"MMM")</f>
        <v>jul</v>
      </c>
      <c r="F631" s="10" t="n">
        <v>-26740.25</v>
      </c>
      <c r="G631" s="8" t="s">
        <v>34</v>
      </c>
      <c r="H631" s="8" t="s">
        <v>12</v>
      </c>
      <c r="I631" s="11" t="s">
        <v>13</v>
      </c>
      <c r="J631" s="8" t="s">
        <v>24</v>
      </c>
    </row>
    <row r="632" customFormat="false" ht="14.25" hidden="false" customHeight="false" outlineLevel="0" collapsed="false">
      <c r="A632" s="8" t="n">
        <v>631</v>
      </c>
      <c r="B632" s="8" t="s">
        <v>33</v>
      </c>
      <c r="C632" s="8" t="s">
        <v>28</v>
      </c>
      <c r="D632" s="9" t="n">
        <v>44026</v>
      </c>
      <c r="E632" s="9" t="str">
        <f aca="false">TEXT(D632,"MMM")</f>
        <v>jul</v>
      </c>
      <c r="F632" s="10" t="n">
        <v>-43456.63</v>
      </c>
      <c r="G632" s="8" t="s">
        <v>34</v>
      </c>
      <c r="H632" s="8" t="s">
        <v>12</v>
      </c>
      <c r="I632" s="11" t="s">
        <v>13</v>
      </c>
      <c r="J632" s="8" t="s">
        <v>14</v>
      </c>
    </row>
    <row r="633" customFormat="false" ht="14.25" hidden="false" customHeight="false" outlineLevel="0" collapsed="false">
      <c r="A633" s="8" t="n">
        <v>632</v>
      </c>
      <c r="B633" s="8" t="s">
        <v>33</v>
      </c>
      <c r="C633" s="8" t="s">
        <v>21</v>
      </c>
      <c r="D633" s="9" t="n">
        <v>44026</v>
      </c>
      <c r="E633" s="9" t="str">
        <f aca="false">TEXT(D633,"MMM")</f>
        <v>jul</v>
      </c>
      <c r="F633" s="10" t="n">
        <v>-19297.81</v>
      </c>
      <c r="G633" s="8" t="s">
        <v>34</v>
      </c>
      <c r="H633" s="8" t="s">
        <v>22</v>
      </c>
      <c r="I633" s="11" t="s">
        <v>23</v>
      </c>
      <c r="J633" s="8" t="s">
        <v>19</v>
      </c>
    </row>
    <row r="634" customFormat="false" ht="14.25" hidden="false" customHeight="false" outlineLevel="0" collapsed="false">
      <c r="A634" s="8" t="n">
        <v>633</v>
      </c>
      <c r="B634" s="8" t="s">
        <v>40</v>
      </c>
      <c r="C634" s="8" t="s">
        <v>10</v>
      </c>
      <c r="D634" s="9" t="n">
        <v>44030</v>
      </c>
      <c r="E634" s="9" t="str">
        <f aca="false">TEXT(D634,"MMM")</f>
        <v>jul</v>
      </c>
      <c r="F634" s="10" t="n">
        <v>-26854.87</v>
      </c>
      <c r="G634" s="8" t="s">
        <v>34</v>
      </c>
      <c r="H634" s="8" t="s">
        <v>12</v>
      </c>
      <c r="I634" s="11" t="s">
        <v>13</v>
      </c>
      <c r="J634" s="8" t="s">
        <v>24</v>
      </c>
    </row>
    <row r="635" customFormat="false" ht="14.25" hidden="false" customHeight="false" outlineLevel="0" collapsed="false">
      <c r="A635" s="8" t="n">
        <v>634</v>
      </c>
      <c r="B635" s="8" t="s">
        <v>129</v>
      </c>
      <c r="C635" s="8" t="s">
        <v>10</v>
      </c>
      <c r="D635" s="9" t="n">
        <v>44032</v>
      </c>
      <c r="E635" s="9" t="str">
        <f aca="false">TEXT(D635,"MMM")</f>
        <v>jul</v>
      </c>
      <c r="F635" s="10" t="n">
        <v>-14372.75</v>
      </c>
      <c r="G635" s="8" t="s">
        <v>34</v>
      </c>
      <c r="H635" s="8" t="s">
        <v>12</v>
      </c>
      <c r="I635" s="11" t="s">
        <v>13</v>
      </c>
      <c r="J635" s="8" t="s">
        <v>19</v>
      </c>
    </row>
    <row r="636" customFormat="false" ht="14.25" hidden="false" customHeight="false" outlineLevel="0" collapsed="false">
      <c r="A636" s="8" t="n">
        <v>635</v>
      </c>
      <c r="B636" s="8" t="s">
        <v>64</v>
      </c>
      <c r="C636" s="8" t="s">
        <v>10</v>
      </c>
      <c r="D636" s="9" t="n">
        <v>44032</v>
      </c>
      <c r="E636" s="9" t="str">
        <f aca="false">TEXT(D636,"MMM")</f>
        <v>jul</v>
      </c>
      <c r="F636" s="10" t="n">
        <v>-9299.75</v>
      </c>
      <c r="G636" s="8" t="s">
        <v>34</v>
      </c>
      <c r="H636" s="8" t="s">
        <v>17</v>
      </c>
      <c r="I636" s="11" t="s">
        <v>18</v>
      </c>
      <c r="J636" s="8" t="s">
        <v>19</v>
      </c>
    </row>
    <row r="637" customFormat="false" ht="14.25" hidden="false" customHeight="false" outlineLevel="0" collapsed="false">
      <c r="A637" s="8" t="n">
        <v>636</v>
      </c>
      <c r="B637" s="8" t="s">
        <v>40</v>
      </c>
      <c r="C637" s="8" t="s">
        <v>28</v>
      </c>
      <c r="D637" s="9" t="n">
        <v>44032</v>
      </c>
      <c r="E637" s="9" t="str">
        <f aca="false">TEXT(D637,"MMM")</f>
        <v>jul</v>
      </c>
      <c r="F637" s="10" t="n">
        <v>-31277.4</v>
      </c>
      <c r="G637" s="8" t="s">
        <v>34</v>
      </c>
      <c r="H637" s="8" t="s">
        <v>12</v>
      </c>
      <c r="I637" s="11" t="s">
        <v>13</v>
      </c>
      <c r="J637" s="8" t="s">
        <v>14</v>
      </c>
    </row>
    <row r="638" customFormat="false" ht="14.25" hidden="false" customHeight="false" outlineLevel="0" collapsed="false">
      <c r="A638" s="8" t="n">
        <v>637</v>
      </c>
      <c r="B638" s="8" t="s">
        <v>32</v>
      </c>
      <c r="C638" s="8" t="s">
        <v>10</v>
      </c>
      <c r="D638" s="9" t="n">
        <v>44032</v>
      </c>
      <c r="E638" s="9" t="str">
        <f aca="false">TEXT(D638,"MMM")</f>
        <v>jul</v>
      </c>
      <c r="F638" s="10" t="n">
        <v>6324</v>
      </c>
      <c r="G638" s="8" t="s">
        <v>11</v>
      </c>
      <c r="H638" s="8" t="s">
        <v>17</v>
      </c>
      <c r="I638" s="11" t="s">
        <v>18</v>
      </c>
      <c r="J638" s="8" t="s">
        <v>26</v>
      </c>
    </row>
    <row r="639" customFormat="false" ht="14.25" hidden="false" customHeight="false" outlineLevel="0" collapsed="false">
      <c r="A639" s="8" t="n">
        <v>638</v>
      </c>
      <c r="B639" s="8" t="s">
        <v>100</v>
      </c>
      <c r="C639" s="8" t="s">
        <v>10</v>
      </c>
      <c r="D639" s="9" t="n">
        <v>44032</v>
      </c>
      <c r="E639" s="9" t="str">
        <f aca="false">TEXT(D639,"MMM")</f>
        <v>jul</v>
      </c>
      <c r="F639" s="10" t="n">
        <v>17395.68</v>
      </c>
      <c r="G639" s="8" t="s">
        <v>11</v>
      </c>
      <c r="H639" s="8" t="s">
        <v>36</v>
      </c>
      <c r="I639" s="11" t="s">
        <v>37</v>
      </c>
      <c r="J639" s="8" t="s">
        <v>14</v>
      </c>
    </row>
    <row r="640" customFormat="false" ht="14.25" hidden="false" customHeight="false" outlineLevel="0" collapsed="false">
      <c r="A640" s="8" t="n">
        <v>639</v>
      </c>
      <c r="B640" s="8" t="s">
        <v>100</v>
      </c>
      <c r="C640" s="8" t="s">
        <v>10</v>
      </c>
      <c r="D640" s="9" t="n">
        <v>44032</v>
      </c>
      <c r="E640" s="9" t="str">
        <f aca="false">TEXT(D640,"MMM")</f>
        <v>jul</v>
      </c>
      <c r="F640" s="10" t="n">
        <v>6324</v>
      </c>
      <c r="G640" s="8" t="s">
        <v>11</v>
      </c>
      <c r="H640" s="8" t="s">
        <v>12</v>
      </c>
      <c r="I640" s="11" t="s">
        <v>13</v>
      </c>
      <c r="J640" s="8" t="s">
        <v>26</v>
      </c>
    </row>
    <row r="641" customFormat="false" ht="14.25" hidden="false" customHeight="false" outlineLevel="0" collapsed="false">
      <c r="A641" s="8" t="n">
        <v>640</v>
      </c>
      <c r="B641" s="8" t="s">
        <v>100</v>
      </c>
      <c r="C641" s="8" t="s">
        <v>10</v>
      </c>
      <c r="D641" s="9" t="n">
        <v>44032</v>
      </c>
      <c r="E641" s="9" t="str">
        <f aca="false">TEXT(D641,"MMM")</f>
        <v>jul</v>
      </c>
      <c r="F641" s="10" t="n">
        <v>6324</v>
      </c>
      <c r="G641" s="8" t="s">
        <v>11</v>
      </c>
      <c r="H641" s="8" t="s">
        <v>30</v>
      </c>
      <c r="I641" s="11" t="s">
        <v>31</v>
      </c>
      <c r="J641" s="8" t="s">
        <v>14</v>
      </c>
    </row>
    <row r="642" customFormat="false" ht="14.25" hidden="false" customHeight="false" outlineLevel="0" collapsed="false">
      <c r="A642" s="8" t="n">
        <v>641</v>
      </c>
      <c r="B642" s="8" t="s">
        <v>100</v>
      </c>
      <c r="C642" s="8" t="s">
        <v>10</v>
      </c>
      <c r="D642" s="9" t="n">
        <v>44032</v>
      </c>
      <c r="E642" s="9" t="str">
        <f aca="false">TEXT(D642,"MMM")</f>
        <v>jul</v>
      </c>
      <c r="F642" s="10" t="n">
        <v>6324</v>
      </c>
      <c r="G642" s="8" t="s">
        <v>11</v>
      </c>
      <c r="H642" s="8" t="s">
        <v>17</v>
      </c>
      <c r="I642" s="11" t="s">
        <v>18</v>
      </c>
      <c r="J642" s="8" t="s">
        <v>26</v>
      </c>
    </row>
    <row r="643" customFormat="false" ht="14.25" hidden="false" customHeight="false" outlineLevel="0" collapsed="false">
      <c r="A643" s="8" t="n">
        <v>642</v>
      </c>
      <c r="B643" s="8" t="s">
        <v>100</v>
      </c>
      <c r="C643" s="8" t="s">
        <v>21</v>
      </c>
      <c r="D643" s="9" t="n">
        <v>44032</v>
      </c>
      <c r="E643" s="9" t="str">
        <f aca="false">TEXT(D643,"MMM")</f>
        <v>jul</v>
      </c>
      <c r="F643" s="10" t="n">
        <v>6324</v>
      </c>
      <c r="G643" s="8" t="s">
        <v>11</v>
      </c>
      <c r="H643" s="8" t="s">
        <v>17</v>
      </c>
      <c r="I643" s="11" t="s">
        <v>18</v>
      </c>
      <c r="J643" s="8" t="s">
        <v>26</v>
      </c>
    </row>
    <row r="644" customFormat="false" ht="14.25" hidden="false" customHeight="false" outlineLevel="0" collapsed="false">
      <c r="A644" s="8" t="n">
        <v>643</v>
      </c>
      <c r="B644" s="8" t="s">
        <v>100</v>
      </c>
      <c r="C644" s="8" t="s">
        <v>10</v>
      </c>
      <c r="D644" s="9" t="n">
        <v>44032</v>
      </c>
      <c r="E644" s="9" t="str">
        <f aca="false">TEXT(D644,"MMM")</f>
        <v>jul</v>
      </c>
      <c r="F644" s="10" t="n">
        <v>15725.24</v>
      </c>
      <c r="G644" s="8" t="s">
        <v>11</v>
      </c>
      <c r="H644" s="8" t="s">
        <v>36</v>
      </c>
      <c r="I644" s="11" t="s">
        <v>37</v>
      </c>
      <c r="J644" s="8" t="s">
        <v>14</v>
      </c>
    </row>
    <row r="645" customFormat="false" ht="14.25" hidden="false" customHeight="false" outlineLevel="0" collapsed="false">
      <c r="A645" s="8" t="n">
        <v>644</v>
      </c>
      <c r="B645" s="8" t="s">
        <v>66</v>
      </c>
      <c r="C645" s="8" t="s">
        <v>16</v>
      </c>
      <c r="D645" s="9" t="n">
        <v>44033</v>
      </c>
      <c r="E645" s="9" t="str">
        <f aca="false">TEXT(D645,"MMM")</f>
        <v>jul</v>
      </c>
      <c r="F645" s="10" t="n">
        <v>16382.33</v>
      </c>
      <c r="G645" s="8" t="s">
        <v>11</v>
      </c>
      <c r="H645" s="8" t="s">
        <v>17</v>
      </c>
      <c r="I645" s="11" t="s">
        <v>18</v>
      </c>
      <c r="J645" s="8" t="s">
        <v>14</v>
      </c>
    </row>
    <row r="646" customFormat="false" ht="14.25" hidden="false" customHeight="false" outlineLevel="0" collapsed="false">
      <c r="A646" s="8" t="n">
        <v>645</v>
      </c>
      <c r="B646" s="8" t="s">
        <v>66</v>
      </c>
      <c r="C646" s="8" t="s">
        <v>10</v>
      </c>
      <c r="D646" s="9" t="n">
        <v>44033</v>
      </c>
      <c r="E646" s="9" t="str">
        <f aca="false">TEXT(D646,"MMM")</f>
        <v>jul</v>
      </c>
      <c r="F646" s="10" t="n">
        <v>18451.73</v>
      </c>
      <c r="G646" s="8" t="s">
        <v>11</v>
      </c>
      <c r="H646" s="8" t="s">
        <v>12</v>
      </c>
      <c r="I646" s="11" t="s">
        <v>13</v>
      </c>
      <c r="J646" s="8" t="s">
        <v>26</v>
      </c>
    </row>
    <row r="647" customFormat="false" ht="14.25" hidden="false" customHeight="false" outlineLevel="0" collapsed="false">
      <c r="A647" s="8" t="n">
        <v>646</v>
      </c>
      <c r="B647" s="8" t="s">
        <v>39</v>
      </c>
      <c r="C647" s="8" t="s">
        <v>28</v>
      </c>
      <c r="D647" s="9" t="n">
        <v>44033</v>
      </c>
      <c r="E647" s="9" t="str">
        <f aca="false">TEXT(D647,"MMM")</f>
        <v>jul</v>
      </c>
      <c r="F647" s="10" t="n">
        <v>2256.2</v>
      </c>
      <c r="G647" s="8" t="s">
        <v>11</v>
      </c>
      <c r="H647" s="8" t="s">
        <v>17</v>
      </c>
      <c r="I647" s="11" t="s">
        <v>18</v>
      </c>
      <c r="J647" s="8" t="s">
        <v>14</v>
      </c>
    </row>
    <row r="648" customFormat="false" ht="14.25" hidden="false" customHeight="false" outlineLevel="0" collapsed="false">
      <c r="A648" s="8" t="n">
        <v>647</v>
      </c>
      <c r="B648" s="8" t="s">
        <v>66</v>
      </c>
      <c r="C648" s="8" t="s">
        <v>10</v>
      </c>
      <c r="D648" s="9" t="n">
        <v>44033</v>
      </c>
      <c r="E648" s="9" t="str">
        <f aca="false">TEXT(D648,"MMM")</f>
        <v>jul</v>
      </c>
      <c r="F648" s="10" t="n">
        <v>17891.3</v>
      </c>
      <c r="G648" s="8" t="s">
        <v>11</v>
      </c>
      <c r="H648" s="8" t="s">
        <v>36</v>
      </c>
      <c r="I648" s="11" t="s">
        <v>37</v>
      </c>
      <c r="J648" s="8" t="s">
        <v>14</v>
      </c>
    </row>
    <row r="649" customFormat="false" ht="14.25" hidden="false" customHeight="false" outlineLevel="0" collapsed="false">
      <c r="A649" s="8" t="n">
        <v>648</v>
      </c>
      <c r="B649" s="8" t="s">
        <v>47</v>
      </c>
      <c r="C649" s="8" t="s">
        <v>16</v>
      </c>
      <c r="D649" s="9" t="n">
        <v>44033</v>
      </c>
      <c r="E649" s="9" t="str">
        <f aca="false">TEXT(D649,"MMM")</f>
        <v>jul</v>
      </c>
      <c r="F649" s="10" t="n">
        <v>9314.56</v>
      </c>
      <c r="G649" s="8" t="s">
        <v>11</v>
      </c>
      <c r="H649" s="8" t="s">
        <v>36</v>
      </c>
      <c r="I649" s="11" t="s">
        <v>37</v>
      </c>
      <c r="J649" s="8" t="s">
        <v>19</v>
      </c>
    </row>
    <row r="650" customFormat="false" ht="14.25" hidden="false" customHeight="false" outlineLevel="0" collapsed="false">
      <c r="A650" s="8" t="n">
        <v>649</v>
      </c>
      <c r="B650" s="8" t="s">
        <v>66</v>
      </c>
      <c r="C650" s="8" t="s">
        <v>21</v>
      </c>
      <c r="D650" s="9" t="n">
        <v>44033</v>
      </c>
      <c r="E650" s="9" t="str">
        <f aca="false">TEXT(D650,"MMM")</f>
        <v>jul</v>
      </c>
      <c r="F650" s="10" t="n">
        <v>-7443.87</v>
      </c>
      <c r="G650" s="8" t="s">
        <v>34</v>
      </c>
      <c r="H650" s="8" t="s">
        <v>12</v>
      </c>
      <c r="I650" s="11" t="s">
        <v>13</v>
      </c>
      <c r="J650" s="8" t="s">
        <v>24</v>
      </c>
    </row>
    <row r="651" customFormat="false" ht="14.25" hidden="false" customHeight="false" outlineLevel="0" collapsed="false">
      <c r="A651" s="8" t="n">
        <v>650</v>
      </c>
      <c r="B651" s="8" t="s">
        <v>47</v>
      </c>
      <c r="C651" s="8" t="s">
        <v>16</v>
      </c>
      <c r="D651" s="9" t="n">
        <v>44033</v>
      </c>
      <c r="E651" s="9" t="str">
        <f aca="false">TEXT(D651,"MMM")</f>
        <v>jul</v>
      </c>
      <c r="F651" s="10" t="n">
        <v>-10015.95</v>
      </c>
      <c r="G651" s="8" t="s">
        <v>34</v>
      </c>
      <c r="H651" s="8" t="s">
        <v>36</v>
      </c>
      <c r="I651" s="11" t="s">
        <v>37</v>
      </c>
      <c r="J651" s="8" t="s">
        <v>14</v>
      </c>
    </row>
    <row r="652" customFormat="false" ht="14.25" hidden="false" customHeight="false" outlineLevel="0" collapsed="false">
      <c r="A652" s="8" t="n">
        <v>651</v>
      </c>
      <c r="B652" s="8" t="s">
        <v>66</v>
      </c>
      <c r="C652" s="8" t="s">
        <v>16</v>
      </c>
      <c r="D652" s="9" t="n">
        <v>44033</v>
      </c>
      <c r="E652" s="9" t="str">
        <f aca="false">TEXT(D652,"MMM")</f>
        <v>jul</v>
      </c>
      <c r="F652" s="10" t="n">
        <v>14789.51</v>
      </c>
      <c r="G652" s="8" t="s">
        <v>11</v>
      </c>
      <c r="H652" s="8" t="s">
        <v>12</v>
      </c>
      <c r="I652" s="11" t="s">
        <v>13</v>
      </c>
      <c r="J652" s="8" t="s">
        <v>19</v>
      </c>
    </row>
    <row r="653" customFormat="false" ht="14.25" hidden="false" customHeight="false" outlineLevel="0" collapsed="false">
      <c r="A653" s="8" t="n">
        <v>652</v>
      </c>
      <c r="B653" s="8" t="s">
        <v>66</v>
      </c>
      <c r="C653" s="8" t="s">
        <v>16</v>
      </c>
      <c r="D653" s="9" t="n">
        <v>44033</v>
      </c>
      <c r="E653" s="9" t="str">
        <f aca="false">TEXT(D653,"MMM")</f>
        <v>jul</v>
      </c>
      <c r="F653" s="10" t="n">
        <v>14789.51</v>
      </c>
      <c r="G653" s="8" t="s">
        <v>11</v>
      </c>
      <c r="H653" s="8" t="s">
        <v>17</v>
      </c>
      <c r="I653" s="11" t="s">
        <v>18</v>
      </c>
      <c r="J653" s="8" t="s">
        <v>19</v>
      </c>
    </row>
    <row r="654" customFormat="false" ht="14.25" hidden="false" customHeight="false" outlineLevel="0" collapsed="false">
      <c r="A654" s="8" t="n">
        <v>653</v>
      </c>
      <c r="B654" s="8" t="s">
        <v>66</v>
      </c>
      <c r="C654" s="8" t="s">
        <v>16</v>
      </c>
      <c r="D654" s="9" t="n">
        <v>44033</v>
      </c>
      <c r="E654" s="9" t="str">
        <f aca="false">TEXT(D654,"MMM")</f>
        <v>jul</v>
      </c>
      <c r="F654" s="10" t="n">
        <v>158546.55</v>
      </c>
      <c r="G654" s="8" t="s">
        <v>11</v>
      </c>
      <c r="H654" s="8" t="s">
        <v>17</v>
      </c>
      <c r="I654" s="11" t="s">
        <v>18</v>
      </c>
      <c r="J654" s="8" t="s">
        <v>14</v>
      </c>
    </row>
    <row r="655" customFormat="false" ht="14.25" hidden="false" customHeight="false" outlineLevel="0" collapsed="false">
      <c r="A655" s="8" t="n">
        <v>654</v>
      </c>
      <c r="B655" s="8" t="s">
        <v>66</v>
      </c>
      <c r="C655" s="8" t="s">
        <v>21</v>
      </c>
      <c r="D655" s="9" t="n">
        <v>44033</v>
      </c>
      <c r="E655" s="9" t="str">
        <f aca="false">TEXT(D655,"MMM")</f>
        <v>jul</v>
      </c>
      <c r="F655" s="10" t="n">
        <v>14789.49</v>
      </c>
      <c r="G655" s="8" t="s">
        <v>11</v>
      </c>
      <c r="H655" s="8" t="s">
        <v>12</v>
      </c>
      <c r="I655" s="11" t="s">
        <v>13</v>
      </c>
      <c r="J655" s="8" t="s">
        <v>14</v>
      </c>
    </row>
    <row r="656" customFormat="false" ht="14.25" hidden="false" customHeight="false" outlineLevel="0" collapsed="false">
      <c r="A656" s="8" t="n">
        <v>655</v>
      </c>
      <c r="B656" s="8" t="s">
        <v>66</v>
      </c>
      <c r="C656" s="8" t="s">
        <v>16</v>
      </c>
      <c r="D656" s="9" t="n">
        <v>44033</v>
      </c>
      <c r="E656" s="9" t="str">
        <f aca="false">TEXT(D656,"MMM")</f>
        <v>jul</v>
      </c>
      <c r="F656" s="10" t="n">
        <v>-700406.25</v>
      </c>
      <c r="G656" s="8" t="s">
        <v>34</v>
      </c>
      <c r="H656" s="8" t="s">
        <v>12</v>
      </c>
      <c r="I656" s="11" t="s">
        <v>13</v>
      </c>
      <c r="J656" s="8" t="s">
        <v>14</v>
      </c>
    </row>
    <row r="657" customFormat="false" ht="14.25" hidden="false" customHeight="false" outlineLevel="0" collapsed="false">
      <c r="A657" s="8" t="n">
        <v>656</v>
      </c>
      <c r="B657" s="8" t="s">
        <v>66</v>
      </c>
      <c r="C657" s="8" t="s">
        <v>10</v>
      </c>
      <c r="D657" s="9" t="n">
        <v>44033</v>
      </c>
      <c r="E657" s="9" t="str">
        <f aca="false">TEXT(D657,"MMM")</f>
        <v>jul</v>
      </c>
      <c r="F657" s="10" t="n">
        <v>-3179.4</v>
      </c>
      <c r="G657" s="8" t="s">
        <v>34</v>
      </c>
      <c r="H657" s="8" t="s">
        <v>17</v>
      </c>
      <c r="I657" s="11" t="s">
        <v>18</v>
      </c>
      <c r="J657" s="8" t="s">
        <v>14</v>
      </c>
    </row>
    <row r="658" customFormat="false" ht="14.25" hidden="false" customHeight="false" outlineLevel="0" collapsed="false">
      <c r="A658" s="8" t="n">
        <v>657</v>
      </c>
      <c r="B658" s="8" t="s">
        <v>130</v>
      </c>
      <c r="C658" s="8" t="s">
        <v>28</v>
      </c>
      <c r="D658" s="9" t="n">
        <v>44037</v>
      </c>
      <c r="E658" s="9" t="str">
        <f aca="false">TEXT(D658,"MMM")</f>
        <v>jul</v>
      </c>
      <c r="F658" s="10" t="n">
        <v>-6848.21</v>
      </c>
      <c r="G658" s="8" t="s">
        <v>34</v>
      </c>
      <c r="H658" s="8" t="s">
        <v>36</v>
      </c>
      <c r="I658" s="11" t="s">
        <v>37</v>
      </c>
      <c r="J658" s="8" t="s">
        <v>24</v>
      </c>
    </row>
    <row r="659" customFormat="false" ht="14.25" hidden="false" customHeight="false" outlineLevel="0" collapsed="false">
      <c r="A659" s="8" t="n">
        <v>658</v>
      </c>
      <c r="B659" s="8" t="s">
        <v>40</v>
      </c>
      <c r="C659" s="8" t="s">
        <v>28</v>
      </c>
      <c r="D659" s="9" t="n">
        <v>44038</v>
      </c>
      <c r="E659" s="9" t="str">
        <f aca="false">TEXT(D659,"MMM")</f>
        <v>jul</v>
      </c>
      <c r="F659" s="10" t="n">
        <v>-2708.9</v>
      </c>
      <c r="G659" s="8" t="s">
        <v>34</v>
      </c>
      <c r="H659" s="8" t="s">
        <v>17</v>
      </c>
      <c r="I659" s="11" t="s">
        <v>18</v>
      </c>
      <c r="J659" s="8" t="s">
        <v>14</v>
      </c>
    </row>
    <row r="660" customFormat="false" ht="14.25" hidden="false" customHeight="false" outlineLevel="0" collapsed="false">
      <c r="A660" s="8" t="n">
        <v>659</v>
      </c>
      <c r="B660" s="8" t="s">
        <v>27</v>
      </c>
      <c r="C660" s="8" t="s">
        <v>10</v>
      </c>
      <c r="D660" s="9" t="n">
        <v>44038</v>
      </c>
      <c r="E660" s="9" t="str">
        <f aca="false">TEXT(D660,"MMM")</f>
        <v>jul</v>
      </c>
      <c r="F660" s="10" t="n">
        <v>-7817.36</v>
      </c>
      <c r="G660" s="8" t="s">
        <v>34</v>
      </c>
      <c r="H660" s="8" t="s">
        <v>22</v>
      </c>
      <c r="I660" s="11" t="s">
        <v>23</v>
      </c>
      <c r="J660" s="8" t="s">
        <v>14</v>
      </c>
    </row>
    <row r="661" customFormat="false" ht="14.25" hidden="false" customHeight="false" outlineLevel="0" collapsed="false">
      <c r="A661" s="8" t="n">
        <v>660</v>
      </c>
      <c r="B661" s="8" t="s">
        <v>27</v>
      </c>
      <c r="C661" s="8" t="s">
        <v>21</v>
      </c>
      <c r="D661" s="9" t="n">
        <v>44038</v>
      </c>
      <c r="E661" s="9" t="str">
        <f aca="false">TEXT(D661,"MMM")</f>
        <v>jul</v>
      </c>
      <c r="F661" s="10" t="n">
        <v>-1968.82</v>
      </c>
      <c r="G661" s="8" t="s">
        <v>34</v>
      </c>
      <c r="H661" s="8" t="s">
        <v>12</v>
      </c>
      <c r="I661" s="11" t="s">
        <v>13</v>
      </c>
      <c r="J661" s="8" t="s">
        <v>14</v>
      </c>
    </row>
    <row r="662" customFormat="false" ht="14.25" hidden="false" customHeight="false" outlineLevel="0" collapsed="false">
      <c r="A662" s="8" t="n">
        <v>661</v>
      </c>
      <c r="B662" s="8" t="s">
        <v>27</v>
      </c>
      <c r="C662" s="8" t="s">
        <v>28</v>
      </c>
      <c r="D662" s="9" t="n">
        <v>44038</v>
      </c>
      <c r="E662" s="9" t="str">
        <f aca="false">TEXT(D662,"MMM")</f>
        <v>jul</v>
      </c>
      <c r="F662" s="10" t="n">
        <v>-803.36</v>
      </c>
      <c r="G662" s="8" t="s">
        <v>34</v>
      </c>
      <c r="H662" s="8" t="s">
        <v>12</v>
      </c>
      <c r="I662" s="11" t="s">
        <v>13</v>
      </c>
      <c r="J662" s="8" t="s">
        <v>19</v>
      </c>
    </row>
    <row r="663" customFormat="false" ht="14.25" hidden="false" customHeight="false" outlineLevel="0" collapsed="false">
      <c r="A663" s="8" t="n">
        <v>662</v>
      </c>
      <c r="B663" s="8" t="s">
        <v>29</v>
      </c>
      <c r="C663" s="8" t="s">
        <v>28</v>
      </c>
      <c r="D663" s="9" t="n">
        <v>44040</v>
      </c>
      <c r="E663" s="9" t="str">
        <f aca="false">TEXT(D663,"MMM")</f>
        <v>jul</v>
      </c>
      <c r="F663" s="10" t="n">
        <v>-542.47</v>
      </c>
      <c r="G663" s="8" t="s">
        <v>34</v>
      </c>
      <c r="H663" s="8" t="s">
        <v>22</v>
      </c>
      <c r="I663" s="11" t="s">
        <v>23</v>
      </c>
      <c r="J663" s="8" t="s">
        <v>14</v>
      </c>
    </row>
    <row r="664" customFormat="false" ht="14.25" hidden="false" customHeight="false" outlineLevel="0" collapsed="false">
      <c r="A664" s="8" t="n">
        <v>663</v>
      </c>
      <c r="B664" s="8" t="s">
        <v>131</v>
      </c>
      <c r="C664" s="8" t="s">
        <v>21</v>
      </c>
      <c r="D664" s="9" t="n">
        <v>44040</v>
      </c>
      <c r="E664" s="9" t="str">
        <f aca="false">TEXT(D664,"MMM")</f>
        <v>jul</v>
      </c>
      <c r="F664" s="10" t="n">
        <v>-1324.61</v>
      </c>
      <c r="G664" s="8" t="s">
        <v>34</v>
      </c>
      <c r="H664" s="8" t="s">
        <v>36</v>
      </c>
      <c r="I664" s="11" t="s">
        <v>37</v>
      </c>
      <c r="J664" s="8" t="s">
        <v>24</v>
      </c>
    </row>
    <row r="665" customFormat="false" ht="14.25" hidden="false" customHeight="false" outlineLevel="0" collapsed="false">
      <c r="A665" s="8" t="n">
        <v>664</v>
      </c>
      <c r="B665" s="8" t="s">
        <v>132</v>
      </c>
      <c r="C665" s="8" t="s">
        <v>28</v>
      </c>
      <c r="D665" s="9" t="n">
        <v>44040</v>
      </c>
      <c r="E665" s="9" t="str">
        <f aca="false">TEXT(D665,"MMM")</f>
        <v>jul</v>
      </c>
      <c r="F665" s="10" t="n">
        <v>-444.22</v>
      </c>
      <c r="G665" s="8" t="s">
        <v>34</v>
      </c>
      <c r="H665" s="8" t="s">
        <v>12</v>
      </c>
      <c r="I665" s="11" t="s">
        <v>13</v>
      </c>
      <c r="J665" s="8" t="s">
        <v>24</v>
      </c>
    </row>
    <row r="666" customFormat="false" ht="14.25" hidden="false" customHeight="false" outlineLevel="0" collapsed="false">
      <c r="A666" s="8" t="n">
        <v>665</v>
      </c>
      <c r="B666" s="8" t="s">
        <v>133</v>
      </c>
      <c r="C666" s="8" t="s">
        <v>21</v>
      </c>
      <c r="D666" s="9" t="n">
        <v>44040</v>
      </c>
      <c r="E666" s="9" t="str">
        <f aca="false">TEXT(D666,"MMM")</f>
        <v>jul</v>
      </c>
      <c r="F666" s="10" t="n">
        <v>13260</v>
      </c>
      <c r="G666" s="8" t="s">
        <v>11</v>
      </c>
      <c r="H666" s="8" t="s">
        <v>12</v>
      </c>
      <c r="I666" s="11" t="s">
        <v>13</v>
      </c>
      <c r="J666" s="8" t="s">
        <v>19</v>
      </c>
    </row>
    <row r="667" customFormat="false" ht="14.25" hidden="false" customHeight="false" outlineLevel="0" collapsed="false">
      <c r="A667" s="8" t="n">
        <v>666</v>
      </c>
      <c r="B667" s="8" t="s">
        <v>134</v>
      </c>
      <c r="C667" s="8" t="s">
        <v>28</v>
      </c>
      <c r="D667" s="9" t="n">
        <v>44040</v>
      </c>
      <c r="E667" s="9" t="str">
        <f aca="false">TEXT(D667,"MMM")</f>
        <v>jul</v>
      </c>
      <c r="F667" s="10" t="n">
        <v>742.48</v>
      </c>
      <c r="G667" s="8" t="s">
        <v>11</v>
      </c>
      <c r="H667" s="8" t="s">
        <v>17</v>
      </c>
      <c r="I667" s="11" t="s">
        <v>18</v>
      </c>
      <c r="J667" s="8" t="s">
        <v>14</v>
      </c>
    </row>
    <row r="668" customFormat="false" ht="14.25" hidden="false" customHeight="false" outlineLevel="0" collapsed="false">
      <c r="A668" s="8" t="n">
        <v>667</v>
      </c>
      <c r="B668" s="8" t="s">
        <v>111</v>
      </c>
      <c r="C668" s="8" t="s">
        <v>10</v>
      </c>
      <c r="D668" s="9" t="n">
        <v>44040</v>
      </c>
      <c r="E668" s="9" t="str">
        <f aca="false">TEXT(D668,"MMM")</f>
        <v>jul</v>
      </c>
      <c r="F668" s="10" t="n">
        <v>47788.02</v>
      </c>
      <c r="G668" s="8" t="s">
        <v>11</v>
      </c>
      <c r="H668" s="8" t="s">
        <v>12</v>
      </c>
      <c r="I668" s="11" t="s">
        <v>13</v>
      </c>
      <c r="J668" s="8" t="s">
        <v>14</v>
      </c>
    </row>
    <row r="669" customFormat="false" ht="14.25" hidden="false" customHeight="false" outlineLevel="0" collapsed="false">
      <c r="A669" s="8" t="n">
        <v>668</v>
      </c>
      <c r="B669" s="8" t="s">
        <v>32</v>
      </c>
      <c r="C669" s="8" t="s">
        <v>21</v>
      </c>
      <c r="D669" s="9" t="n">
        <v>44043</v>
      </c>
      <c r="E669" s="9" t="str">
        <f aca="false">TEXT(D669,"MMM")</f>
        <v>jul</v>
      </c>
      <c r="F669" s="10" t="n">
        <v>45512.4</v>
      </c>
      <c r="G669" s="8" t="s">
        <v>11</v>
      </c>
      <c r="H669" s="8" t="s">
        <v>17</v>
      </c>
      <c r="I669" s="11" t="s">
        <v>18</v>
      </c>
      <c r="J669" s="8" t="s">
        <v>14</v>
      </c>
    </row>
    <row r="670" customFormat="false" ht="14.25" hidden="false" customHeight="false" outlineLevel="0" collapsed="false">
      <c r="A670" s="8" t="n">
        <v>669</v>
      </c>
      <c r="B670" s="8" t="s">
        <v>73</v>
      </c>
      <c r="C670" s="8" t="s">
        <v>28</v>
      </c>
      <c r="D670" s="9" t="n">
        <v>44043</v>
      </c>
      <c r="E670" s="9" t="str">
        <f aca="false">TEXT(D670,"MMM")</f>
        <v>jul</v>
      </c>
      <c r="F670" s="10" t="n">
        <v>-21575.3</v>
      </c>
      <c r="G670" s="8" t="s">
        <v>34</v>
      </c>
      <c r="H670" s="8" t="s">
        <v>17</v>
      </c>
      <c r="I670" s="11" t="s">
        <v>18</v>
      </c>
      <c r="J670" s="8" t="s">
        <v>26</v>
      </c>
    </row>
    <row r="671" customFormat="false" ht="14.25" hidden="false" customHeight="false" outlineLevel="0" collapsed="false">
      <c r="A671" s="8" t="n">
        <v>670</v>
      </c>
      <c r="B671" s="8" t="s">
        <v>61</v>
      </c>
      <c r="C671" s="8" t="s">
        <v>10</v>
      </c>
      <c r="D671" s="9" t="n">
        <v>44043</v>
      </c>
      <c r="E671" s="9" t="str">
        <f aca="false">TEXT(D671,"MMM")</f>
        <v>jul</v>
      </c>
      <c r="F671" s="10" t="n">
        <v>-17101.14</v>
      </c>
      <c r="G671" s="8" t="s">
        <v>34</v>
      </c>
      <c r="H671" s="8" t="s">
        <v>12</v>
      </c>
      <c r="I671" s="11" t="s">
        <v>13</v>
      </c>
      <c r="J671" s="8" t="s">
        <v>24</v>
      </c>
    </row>
    <row r="672" customFormat="false" ht="14.25" hidden="false" customHeight="false" outlineLevel="0" collapsed="false">
      <c r="A672" s="8" t="n">
        <v>671</v>
      </c>
      <c r="B672" s="8" t="s">
        <v>62</v>
      </c>
      <c r="C672" s="8" t="s">
        <v>10</v>
      </c>
      <c r="D672" s="9" t="n">
        <v>44043</v>
      </c>
      <c r="E672" s="9" t="str">
        <f aca="false">TEXT(D672,"MMM")</f>
        <v>jul</v>
      </c>
      <c r="F672" s="10" t="n">
        <v>-15811.74</v>
      </c>
      <c r="G672" s="8" t="s">
        <v>34</v>
      </c>
      <c r="H672" s="8" t="s">
        <v>12</v>
      </c>
      <c r="I672" s="11" t="s">
        <v>13</v>
      </c>
      <c r="J672" s="8" t="s">
        <v>14</v>
      </c>
    </row>
    <row r="673" customFormat="false" ht="14.25" hidden="false" customHeight="false" outlineLevel="0" collapsed="false">
      <c r="A673" s="8" t="n">
        <v>672</v>
      </c>
      <c r="B673" s="8" t="s">
        <v>73</v>
      </c>
      <c r="C673" s="8" t="s">
        <v>10</v>
      </c>
      <c r="D673" s="9" t="n">
        <v>44043</v>
      </c>
      <c r="E673" s="9" t="str">
        <f aca="false">TEXT(D673,"MMM")</f>
        <v>jul</v>
      </c>
      <c r="F673" s="10" t="n">
        <v>-11502.44</v>
      </c>
      <c r="G673" s="8" t="s">
        <v>34</v>
      </c>
      <c r="H673" s="8" t="s">
        <v>17</v>
      </c>
      <c r="I673" s="11" t="s">
        <v>18</v>
      </c>
      <c r="J673" s="8" t="s">
        <v>24</v>
      </c>
    </row>
    <row r="674" customFormat="false" ht="14.25" hidden="false" customHeight="false" outlineLevel="0" collapsed="false">
      <c r="A674" s="8" t="n">
        <v>673</v>
      </c>
      <c r="B674" s="8" t="s">
        <v>61</v>
      </c>
      <c r="C674" s="8" t="s">
        <v>10</v>
      </c>
      <c r="D674" s="9" t="n">
        <v>44043</v>
      </c>
      <c r="E674" s="9" t="str">
        <f aca="false">TEXT(D674,"MMM")</f>
        <v>jul</v>
      </c>
      <c r="F674" s="10" t="n">
        <v>-8443.65</v>
      </c>
      <c r="G674" s="8" t="s">
        <v>34</v>
      </c>
      <c r="H674" s="8" t="s">
        <v>17</v>
      </c>
      <c r="I674" s="11" t="s">
        <v>18</v>
      </c>
      <c r="J674" s="8" t="s">
        <v>19</v>
      </c>
    </row>
    <row r="675" customFormat="false" ht="14.25" hidden="false" customHeight="false" outlineLevel="0" collapsed="false">
      <c r="A675" s="8" t="n">
        <v>674</v>
      </c>
      <c r="B675" s="8" t="s">
        <v>62</v>
      </c>
      <c r="C675" s="8" t="s">
        <v>10</v>
      </c>
      <c r="D675" s="9" t="n">
        <v>44043</v>
      </c>
      <c r="E675" s="9" t="str">
        <f aca="false">TEXT(D675,"MMM")</f>
        <v>jul</v>
      </c>
      <c r="F675" s="10" t="n">
        <v>-18918.13</v>
      </c>
      <c r="G675" s="8" t="s">
        <v>34</v>
      </c>
      <c r="H675" s="8" t="s">
        <v>17</v>
      </c>
      <c r="I675" s="11" t="s">
        <v>18</v>
      </c>
      <c r="J675" s="8" t="s">
        <v>26</v>
      </c>
    </row>
    <row r="676" customFormat="false" ht="14.25" hidden="false" customHeight="false" outlineLevel="0" collapsed="false">
      <c r="A676" s="8" t="n">
        <v>675</v>
      </c>
      <c r="B676" s="8" t="s">
        <v>73</v>
      </c>
      <c r="C676" s="8" t="s">
        <v>16</v>
      </c>
      <c r="D676" s="9" t="n">
        <v>44043</v>
      </c>
      <c r="E676" s="9" t="str">
        <f aca="false">TEXT(D676,"MMM")</f>
        <v>jul</v>
      </c>
      <c r="F676" s="10" t="n">
        <v>-6108.66</v>
      </c>
      <c r="G676" s="8" t="s">
        <v>34</v>
      </c>
      <c r="H676" s="8" t="s">
        <v>17</v>
      </c>
      <c r="I676" s="11" t="s">
        <v>18</v>
      </c>
      <c r="J676" s="8" t="s">
        <v>14</v>
      </c>
    </row>
    <row r="677" customFormat="false" ht="14.25" hidden="false" customHeight="false" outlineLevel="0" collapsed="false">
      <c r="A677" s="8" t="n">
        <v>676</v>
      </c>
      <c r="B677" s="8" t="s">
        <v>61</v>
      </c>
      <c r="C677" s="8" t="s">
        <v>16</v>
      </c>
      <c r="D677" s="9" t="n">
        <v>44043</v>
      </c>
      <c r="E677" s="9" t="str">
        <f aca="false">TEXT(D677,"MMM")</f>
        <v>jul</v>
      </c>
      <c r="F677" s="10" t="n">
        <v>-17322.55</v>
      </c>
      <c r="G677" s="8" t="s">
        <v>34</v>
      </c>
      <c r="H677" s="8" t="s">
        <v>17</v>
      </c>
      <c r="I677" s="11" t="s">
        <v>18</v>
      </c>
      <c r="J677" s="8" t="s">
        <v>24</v>
      </c>
    </row>
    <row r="678" customFormat="false" ht="14.25" hidden="false" customHeight="false" outlineLevel="0" collapsed="false">
      <c r="A678" s="8" t="n">
        <v>677</v>
      </c>
      <c r="B678" s="8" t="s">
        <v>62</v>
      </c>
      <c r="C678" s="8" t="s">
        <v>10</v>
      </c>
      <c r="D678" s="9" t="n">
        <v>44043</v>
      </c>
      <c r="E678" s="9" t="str">
        <f aca="false">TEXT(D678,"MMM")</f>
        <v>jul</v>
      </c>
      <c r="F678" s="10" t="n">
        <v>10676.39</v>
      </c>
      <c r="G678" s="8" t="s">
        <v>11</v>
      </c>
      <c r="H678" s="8" t="s">
        <v>36</v>
      </c>
      <c r="I678" s="11" t="s">
        <v>37</v>
      </c>
      <c r="J678" s="8" t="s">
        <v>14</v>
      </c>
    </row>
    <row r="679" customFormat="false" ht="14.25" hidden="false" customHeight="false" outlineLevel="0" collapsed="false">
      <c r="A679" s="8" t="n">
        <v>678</v>
      </c>
      <c r="B679" s="8" t="s">
        <v>63</v>
      </c>
      <c r="C679" s="8" t="s">
        <v>16</v>
      </c>
      <c r="D679" s="9" t="n">
        <v>44043</v>
      </c>
      <c r="E679" s="9" t="str">
        <f aca="false">TEXT(D679,"MMM")</f>
        <v>jul</v>
      </c>
      <c r="F679" s="10" t="n">
        <v>131071.51</v>
      </c>
      <c r="G679" s="8" t="s">
        <v>11</v>
      </c>
      <c r="H679" s="8" t="s">
        <v>22</v>
      </c>
      <c r="I679" s="11" t="s">
        <v>23</v>
      </c>
      <c r="J679" s="8" t="s">
        <v>14</v>
      </c>
    </row>
    <row r="680" customFormat="false" ht="14.25" hidden="false" customHeight="false" outlineLevel="0" collapsed="false">
      <c r="A680" s="8" t="n">
        <v>679</v>
      </c>
      <c r="B680" s="8" t="s">
        <v>63</v>
      </c>
      <c r="C680" s="8" t="s">
        <v>16</v>
      </c>
      <c r="D680" s="9" t="n">
        <v>44043</v>
      </c>
      <c r="E680" s="9" t="str">
        <f aca="false">TEXT(D680,"MMM")</f>
        <v>jul</v>
      </c>
      <c r="F680" s="10" t="n">
        <v>163.64</v>
      </c>
      <c r="G680" s="8" t="s">
        <v>11</v>
      </c>
      <c r="H680" s="8" t="s">
        <v>17</v>
      </c>
      <c r="I680" s="11" t="s">
        <v>18</v>
      </c>
      <c r="J680" s="8" t="s">
        <v>14</v>
      </c>
    </row>
    <row r="681" customFormat="false" ht="14.25" hidden="false" customHeight="false" outlineLevel="0" collapsed="false">
      <c r="A681" s="8" t="n">
        <v>680</v>
      </c>
      <c r="B681" s="8" t="s">
        <v>63</v>
      </c>
      <c r="C681" s="8" t="s">
        <v>21</v>
      </c>
      <c r="D681" s="9" t="n">
        <v>44043</v>
      </c>
      <c r="E681" s="9" t="str">
        <f aca="false">TEXT(D681,"MMM")</f>
        <v>jul</v>
      </c>
      <c r="F681" s="10" t="n">
        <v>20680.85</v>
      </c>
      <c r="G681" s="8" t="s">
        <v>11</v>
      </c>
      <c r="H681" s="8" t="s">
        <v>17</v>
      </c>
      <c r="I681" s="11" t="s">
        <v>18</v>
      </c>
      <c r="J681" s="8" t="s">
        <v>26</v>
      </c>
    </row>
    <row r="682" customFormat="false" ht="14.25" hidden="false" customHeight="false" outlineLevel="0" collapsed="false">
      <c r="A682" s="8" t="n">
        <v>681</v>
      </c>
      <c r="B682" s="8" t="s">
        <v>125</v>
      </c>
      <c r="C682" s="8" t="s">
        <v>21</v>
      </c>
      <c r="D682" s="9" t="n">
        <v>44044</v>
      </c>
      <c r="E682" s="9" t="str">
        <f aca="false">TEXT(D682,"MMM")</f>
        <v>ago</v>
      </c>
      <c r="F682" s="10" t="n">
        <v>165678.3</v>
      </c>
      <c r="G682" s="8" t="s">
        <v>11</v>
      </c>
      <c r="H682" s="8" t="s">
        <v>22</v>
      </c>
      <c r="I682" s="11" t="s">
        <v>23</v>
      </c>
      <c r="J682" s="8" t="s">
        <v>19</v>
      </c>
    </row>
    <row r="683" customFormat="false" ht="14.25" hidden="false" customHeight="false" outlineLevel="0" collapsed="false">
      <c r="A683" s="8" t="n">
        <v>682</v>
      </c>
      <c r="B683" s="8" t="s">
        <v>125</v>
      </c>
      <c r="C683" s="8" t="s">
        <v>28</v>
      </c>
      <c r="D683" s="9" t="n">
        <v>44044</v>
      </c>
      <c r="E683" s="9" t="str">
        <f aca="false">TEXT(D683,"MMM")</f>
        <v>ago</v>
      </c>
      <c r="F683" s="10" t="n">
        <v>20066.57</v>
      </c>
      <c r="G683" s="8" t="s">
        <v>11</v>
      </c>
      <c r="H683" s="8" t="s">
        <v>12</v>
      </c>
      <c r="I683" s="11" t="s">
        <v>13</v>
      </c>
      <c r="J683" s="8" t="s">
        <v>26</v>
      </c>
    </row>
    <row r="684" customFormat="false" ht="14.25" hidden="false" customHeight="false" outlineLevel="0" collapsed="false">
      <c r="A684" s="8" t="n">
        <v>683</v>
      </c>
      <c r="B684" s="8" t="s">
        <v>125</v>
      </c>
      <c r="C684" s="8" t="s">
        <v>28</v>
      </c>
      <c r="D684" s="9" t="n">
        <v>44044</v>
      </c>
      <c r="E684" s="9" t="str">
        <f aca="false">TEXT(D684,"MMM")</f>
        <v>ago</v>
      </c>
      <c r="F684" s="10" t="n">
        <v>19306.02</v>
      </c>
      <c r="G684" s="8" t="s">
        <v>11</v>
      </c>
      <c r="H684" s="8" t="s">
        <v>17</v>
      </c>
      <c r="I684" s="11" t="s">
        <v>18</v>
      </c>
      <c r="J684" s="8" t="s">
        <v>26</v>
      </c>
    </row>
    <row r="685" customFormat="false" ht="14.25" hidden="false" customHeight="false" outlineLevel="0" collapsed="false">
      <c r="A685" s="8" t="n">
        <v>684</v>
      </c>
      <c r="B685" s="8" t="s">
        <v>125</v>
      </c>
      <c r="C685" s="8" t="s">
        <v>21</v>
      </c>
      <c r="D685" s="9" t="n">
        <v>44044</v>
      </c>
      <c r="E685" s="9" t="str">
        <f aca="false">TEXT(D685,"MMM")</f>
        <v>ago</v>
      </c>
      <c r="F685" s="10" t="n">
        <v>-1554300.18</v>
      </c>
      <c r="G685" s="8" t="s">
        <v>34</v>
      </c>
      <c r="H685" s="8" t="s">
        <v>17</v>
      </c>
      <c r="I685" s="11" t="s">
        <v>18</v>
      </c>
      <c r="J685" s="8" t="s">
        <v>26</v>
      </c>
    </row>
    <row r="686" customFormat="false" ht="14.25" hidden="false" customHeight="false" outlineLevel="0" collapsed="false">
      <c r="A686" s="8" t="n">
        <v>685</v>
      </c>
      <c r="B686" s="8" t="s">
        <v>125</v>
      </c>
      <c r="C686" s="8" t="s">
        <v>28</v>
      </c>
      <c r="D686" s="9" t="n">
        <v>44044</v>
      </c>
      <c r="E686" s="9" t="str">
        <f aca="false">TEXT(D686,"MMM")</f>
        <v>ago</v>
      </c>
      <c r="F686" s="10" t="n">
        <v>5157.8</v>
      </c>
      <c r="G686" s="8" t="s">
        <v>11</v>
      </c>
      <c r="H686" s="8" t="s">
        <v>12</v>
      </c>
      <c r="I686" s="11" t="s">
        <v>13</v>
      </c>
      <c r="J686" s="8" t="s">
        <v>14</v>
      </c>
    </row>
    <row r="687" customFormat="false" ht="14.25" hidden="false" customHeight="false" outlineLevel="0" collapsed="false">
      <c r="A687" s="8" t="n">
        <v>686</v>
      </c>
      <c r="B687" s="8" t="s">
        <v>125</v>
      </c>
      <c r="C687" s="8" t="s">
        <v>28</v>
      </c>
      <c r="D687" s="9" t="n">
        <v>44044</v>
      </c>
      <c r="E687" s="9" t="str">
        <f aca="false">TEXT(D687,"MMM")</f>
        <v>ago</v>
      </c>
      <c r="F687" s="10" t="n">
        <v>2439.5</v>
      </c>
      <c r="G687" s="8" t="s">
        <v>11</v>
      </c>
      <c r="H687" s="8" t="s">
        <v>12</v>
      </c>
      <c r="I687" s="11" t="s">
        <v>13</v>
      </c>
      <c r="J687" s="8" t="s">
        <v>14</v>
      </c>
    </row>
    <row r="688" customFormat="false" ht="14.25" hidden="false" customHeight="false" outlineLevel="0" collapsed="false">
      <c r="A688" s="8" t="n">
        <v>687</v>
      </c>
      <c r="B688" s="8" t="s">
        <v>125</v>
      </c>
      <c r="C688" s="8" t="s">
        <v>28</v>
      </c>
      <c r="D688" s="9" t="n">
        <v>44044</v>
      </c>
      <c r="E688" s="9" t="str">
        <f aca="false">TEXT(D688,"MMM")</f>
        <v>ago</v>
      </c>
      <c r="F688" s="10" t="n">
        <v>3275.9</v>
      </c>
      <c r="G688" s="8" t="s">
        <v>11</v>
      </c>
      <c r="H688" s="8" t="s">
        <v>36</v>
      </c>
      <c r="I688" s="11" t="s">
        <v>37</v>
      </c>
      <c r="J688" s="8" t="s">
        <v>14</v>
      </c>
    </row>
    <row r="689" customFormat="false" ht="14.25" hidden="false" customHeight="false" outlineLevel="0" collapsed="false">
      <c r="A689" s="8" t="n">
        <v>688</v>
      </c>
      <c r="B689" s="8" t="s">
        <v>51</v>
      </c>
      <c r="C689" s="8" t="s">
        <v>10</v>
      </c>
      <c r="D689" s="9" t="n">
        <v>44044</v>
      </c>
      <c r="E689" s="9" t="str">
        <f aca="false">TEXT(D689,"MMM")</f>
        <v>ago</v>
      </c>
      <c r="F689" s="10" t="n">
        <v>2788</v>
      </c>
      <c r="G689" s="8" t="s">
        <v>11</v>
      </c>
      <c r="H689" s="8" t="s">
        <v>22</v>
      </c>
      <c r="I689" s="11" t="s">
        <v>23</v>
      </c>
      <c r="J689" s="8" t="s">
        <v>19</v>
      </c>
    </row>
    <row r="690" customFormat="false" ht="14.25" hidden="false" customHeight="false" outlineLevel="0" collapsed="false">
      <c r="A690" s="8" t="n">
        <v>689</v>
      </c>
      <c r="B690" s="8" t="s">
        <v>101</v>
      </c>
      <c r="C690" s="8" t="s">
        <v>28</v>
      </c>
      <c r="D690" s="9" t="n">
        <v>44045</v>
      </c>
      <c r="E690" s="9" t="str">
        <f aca="false">TEXT(D690,"MMM")</f>
        <v>ago</v>
      </c>
      <c r="F690" s="10" t="n">
        <v>4879</v>
      </c>
      <c r="G690" s="8" t="s">
        <v>11</v>
      </c>
      <c r="H690" s="8" t="s">
        <v>17</v>
      </c>
      <c r="I690" s="11" t="s">
        <v>18</v>
      </c>
      <c r="J690" s="8" t="s">
        <v>14</v>
      </c>
    </row>
    <row r="691" customFormat="false" ht="14.25" hidden="false" customHeight="false" outlineLevel="0" collapsed="false">
      <c r="A691" s="8" t="n">
        <v>690</v>
      </c>
      <c r="B691" s="8" t="s">
        <v>41</v>
      </c>
      <c r="C691" s="8" t="s">
        <v>21</v>
      </c>
      <c r="D691" s="9" t="n">
        <v>44045</v>
      </c>
      <c r="E691" s="9" t="str">
        <f aca="false">TEXT(D691,"MMM")</f>
        <v>ago</v>
      </c>
      <c r="F691" s="10" t="n">
        <v>2439.5</v>
      </c>
      <c r="G691" s="8" t="s">
        <v>11</v>
      </c>
      <c r="H691" s="8" t="s">
        <v>36</v>
      </c>
      <c r="I691" s="11" t="s">
        <v>37</v>
      </c>
      <c r="J691" s="8" t="s">
        <v>14</v>
      </c>
    </row>
    <row r="692" customFormat="false" ht="14.25" hidden="false" customHeight="false" outlineLevel="0" collapsed="false">
      <c r="A692" s="8" t="n">
        <v>691</v>
      </c>
      <c r="B692" s="8" t="s">
        <v>20</v>
      </c>
      <c r="C692" s="8" t="s">
        <v>28</v>
      </c>
      <c r="D692" s="9" t="n">
        <v>44045</v>
      </c>
      <c r="E692" s="9" t="str">
        <f aca="false">TEXT(D692,"MMM")</f>
        <v>ago</v>
      </c>
      <c r="F692" s="10" t="n">
        <v>4879</v>
      </c>
      <c r="G692" s="8" t="s">
        <v>11</v>
      </c>
      <c r="H692" s="8" t="s">
        <v>12</v>
      </c>
      <c r="I692" s="11" t="s">
        <v>13</v>
      </c>
      <c r="J692" s="8" t="s">
        <v>14</v>
      </c>
    </row>
    <row r="693" customFormat="false" ht="14.25" hidden="false" customHeight="false" outlineLevel="0" collapsed="false">
      <c r="A693" s="8" t="n">
        <v>692</v>
      </c>
      <c r="B693" s="8" t="s">
        <v>20</v>
      </c>
      <c r="C693" s="8" t="s">
        <v>28</v>
      </c>
      <c r="D693" s="9" t="n">
        <v>44045</v>
      </c>
      <c r="E693" s="9" t="str">
        <f aca="false">TEXT(D693,"MMM")</f>
        <v>ago</v>
      </c>
      <c r="F693" s="10" t="n">
        <v>3275.9</v>
      </c>
      <c r="G693" s="8" t="s">
        <v>11</v>
      </c>
      <c r="H693" s="8" t="s">
        <v>17</v>
      </c>
      <c r="I693" s="11" t="s">
        <v>18</v>
      </c>
      <c r="J693" s="8" t="s">
        <v>14</v>
      </c>
    </row>
    <row r="694" customFormat="false" ht="14.25" hidden="false" customHeight="false" outlineLevel="0" collapsed="false">
      <c r="A694" s="8" t="n">
        <v>693</v>
      </c>
      <c r="B694" s="8" t="s">
        <v>20</v>
      </c>
      <c r="C694" s="8" t="s">
        <v>10</v>
      </c>
      <c r="D694" s="9" t="n">
        <v>44045</v>
      </c>
      <c r="E694" s="9" t="str">
        <f aca="false">TEXT(D694,"MMM")</f>
        <v>ago</v>
      </c>
      <c r="F694" s="10" t="n">
        <v>2788</v>
      </c>
      <c r="G694" s="8" t="s">
        <v>11</v>
      </c>
      <c r="H694" s="8" t="s">
        <v>17</v>
      </c>
      <c r="I694" s="11" t="s">
        <v>18</v>
      </c>
      <c r="J694" s="8" t="s">
        <v>14</v>
      </c>
    </row>
    <row r="695" customFormat="false" ht="14.25" hidden="false" customHeight="false" outlineLevel="0" collapsed="false">
      <c r="A695" s="8" t="n">
        <v>694</v>
      </c>
      <c r="B695" s="8" t="s">
        <v>20</v>
      </c>
      <c r="C695" s="8" t="s">
        <v>16</v>
      </c>
      <c r="D695" s="9" t="n">
        <v>44045</v>
      </c>
      <c r="E695" s="9" t="str">
        <f aca="false">TEXT(D695,"MMM")</f>
        <v>ago</v>
      </c>
      <c r="F695" s="10" t="n">
        <v>2866.06</v>
      </c>
      <c r="G695" s="8" t="s">
        <v>11</v>
      </c>
      <c r="H695" s="8" t="s">
        <v>30</v>
      </c>
      <c r="I695" s="11" t="s">
        <v>31</v>
      </c>
      <c r="J695" s="8" t="s">
        <v>24</v>
      </c>
    </row>
    <row r="696" customFormat="false" ht="14.25" hidden="false" customHeight="false" outlineLevel="0" collapsed="false">
      <c r="A696" s="8" t="n">
        <v>695</v>
      </c>
      <c r="B696" s="8" t="s">
        <v>39</v>
      </c>
      <c r="C696" s="8" t="s">
        <v>21</v>
      </c>
      <c r="D696" s="9" t="n">
        <v>44047</v>
      </c>
      <c r="E696" s="9" t="str">
        <f aca="false">TEXT(D696,"MMM")</f>
        <v>ago</v>
      </c>
      <c r="F696" s="10" t="n">
        <v>2863.28</v>
      </c>
      <c r="G696" s="8" t="s">
        <v>11</v>
      </c>
      <c r="H696" s="8" t="s">
        <v>22</v>
      </c>
      <c r="I696" s="11" t="s">
        <v>23</v>
      </c>
      <c r="J696" s="8" t="s">
        <v>14</v>
      </c>
    </row>
    <row r="697" customFormat="false" ht="14.25" hidden="false" customHeight="false" outlineLevel="0" collapsed="false">
      <c r="A697" s="8" t="n">
        <v>696</v>
      </c>
      <c r="B697" s="8" t="s">
        <v>52</v>
      </c>
      <c r="C697" s="8" t="s">
        <v>28</v>
      </c>
      <c r="D697" s="9" t="n">
        <v>44050</v>
      </c>
      <c r="E697" s="9" t="str">
        <f aca="false">TEXT(D697,"MMM")</f>
        <v>ago</v>
      </c>
      <c r="F697" s="10" t="n">
        <v>4752.25</v>
      </c>
      <c r="G697" s="8" t="s">
        <v>11</v>
      </c>
      <c r="H697" s="8" t="s">
        <v>12</v>
      </c>
      <c r="I697" s="11" t="s">
        <v>13</v>
      </c>
      <c r="J697" s="8" t="s">
        <v>26</v>
      </c>
    </row>
    <row r="698" customFormat="false" ht="14.25" hidden="false" customHeight="false" outlineLevel="0" collapsed="false">
      <c r="A698" s="8" t="n">
        <v>697</v>
      </c>
      <c r="B698" s="8" t="s">
        <v>66</v>
      </c>
      <c r="C698" s="8" t="s">
        <v>28</v>
      </c>
      <c r="D698" s="9" t="n">
        <v>44050</v>
      </c>
      <c r="E698" s="9" t="str">
        <f aca="false">TEXT(D698,"MMM")</f>
        <v>ago</v>
      </c>
      <c r="F698" s="10" t="n">
        <v>5441.24</v>
      </c>
      <c r="G698" s="8" t="s">
        <v>11</v>
      </c>
      <c r="H698" s="8" t="s">
        <v>17</v>
      </c>
      <c r="I698" s="11" t="s">
        <v>18</v>
      </c>
      <c r="J698" s="8" t="s">
        <v>19</v>
      </c>
    </row>
    <row r="699" customFormat="false" ht="14.25" hidden="false" customHeight="false" outlineLevel="0" collapsed="false">
      <c r="A699" s="8" t="n">
        <v>698</v>
      </c>
      <c r="B699" s="8" t="s">
        <v>52</v>
      </c>
      <c r="C699" s="8" t="s">
        <v>21</v>
      </c>
      <c r="D699" s="9" t="n">
        <v>44050</v>
      </c>
      <c r="E699" s="9" t="str">
        <f aca="false">TEXT(D699,"MMM")</f>
        <v>ago</v>
      </c>
      <c r="F699" s="10" t="n">
        <v>4842.69</v>
      </c>
      <c r="G699" s="8" t="s">
        <v>11</v>
      </c>
      <c r="H699" s="8" t="s">
        <v>12</v>
      </c>
      <c r="I699" s="11" t="s">
        <v>13</v>
      </c>
      <c r="J699" s="8" t="s">
        <v>26</v>
      </c>
    </row>
    <row r="700" customFormat="false" ht="14.25" hidden="false" customHeight="false" outlineLevel="0" collapsed="false">
      <c r="A700" s="8" t="n">
        <v>699</v>
      </c>
      <c r="B700" s="8" t="s">
        <v>52</v>
      </c>
      <c r="C700" s="8" t="s">
        <v>28</v>
      </c>
      <c r="D700" s="9" t="n">
        <v>44050</v>
      </c>
      <c r="E700" s="9" t="str">
        <f aca="false">TEXT(D700,"MMM")</f>
        <v>ago</v>
      </c>
      <c r="F700" s="10" t="n">
        <v>5128.9</v>
      </c>
      <c r="G700" s="8" t="s">
        <v>11</v>
      </c>
      <c r="H700" s="8" t="s">
        <v>36</v>
      </c>
      <c r="I700" s="11" t="s">
        <v>37</v>
      </c>
      <c r="J700" s="8" t="s">
        <v>26</v>
      </c>
    </row>
    <row r="701" customFormat="false" ht="14.25" hidden="false" customHeight="false" outlineLevel="0" collapsed="false">
      <c r="A701" s="8" t="n">
        <v>700</v>
      </c>
      <c r="B701" s="8" t="s">
        <v>66</v>
      </c>
      <c r="C701" s="8" t="s">
        <v>16</v>
      </c>
      <c r="D701" s="9" t="n">
        <v>44050</v>
      </c>
      <c r="E701" s="9" t="str">
        <f aca="false">TEXT(D701,"MMM")</f>
        <v>ago</v>
      </c>
      <c r="F701" s="10" t="n">
        <v>5128.9</v>
      </c>
      <c r="G701" s="8" t="s">
        <v>11</v>
      </c>
      <c r="H701" s="8" t="s">
        <v>12</v>
      </c>
      <c r="I701" s="11" t="s">
        <v>13</v>
      </c>
      <c r="J701" s="8" t="s">
        <v>14</v>
      </c>
    </row>
    <row r="702" customFormat="false" ht="14.25" hidden="false" customHeight="false" outlineLevel="0" collapsed="false">
      <c r="A702" s="8" t="n">
        <v>701</v>
      </c>
      <c r="B702" s="8" t="s">
        <v>66</v>
      </c>
      <c r="C702" s="8" t="s">
        <v>21</v>
      </c>
      <c r="D702" s="9" t="n">
        <v>44050</v>
      </c>
      <c r="E702" s="9" t="str">
        <f aca="false">TEXT(D702,"MMM")</f>
        <v>ago</v>
      </c>
      <c r="F702" s="10" t="n">
        <v>2564.45</v>
      </c>
      <c r="G702" s="8" t="s">
        <v>11</v>
      </c>
      <c r="H702" s="8" t="s">
        <v>22</v>
      </c>
      <c r="I702" s="11" t="s">
        <v>23</v>
      </c>
      <c r="J702" s="8" t="s">
        <v>14</v>
      </c>
    </row>
    <row r="703" customFormat="false" ht="14.25" hidden="false" customHeight="false" outlineLevel="0" collapsed="false">
      <c r="A703" s="8" t="n">
        <v>702</v>
      </c>
      <c r="B703" s="8" t="s">
        <v>66</v>
      </c>
      <c r="C703" s="8" t="s">
        <v>16</v>
      </c>
      <c r="D703" s="9" t="n">
        <v>44050</v>
      </c>
      <c r="E703" s="9" t="str">
        <f aca="false">TEXT(D703,"MMM")</f>
        <v>ago</v>
      </c>
      <c r="F703" s="10" t="n">
        <v>2784.26</v>
      </c>
      <c r="G703" s="8" t="s">
        <v>11</v>
      </c>
      <c r="H703" s="8" t="s">
        <v>17</v>
      </c>
      <c r="I703" s="11" t="s">
        <v>18</v>
      </c>
      <c r="J703" s="8" t="s">
        <v>14</v>
      </c>
    </row>
    <row r="704" customFormat="false" ht="14.25" hidden="false" customHeight="false" outlineLevel="0" collapsed="false">
      <c r="A704" s="8" t="n">
        <v>703</v>
      </c>
      <c r="B704" s="8" t="s">
        <v>66</v>
      </c>
      <c r="C704" s="8" t="s">
        <v>28</v>
      </c>
      <c r="D704" s="9" t="n">
        <v>44050</v>
      </c>
      <c r="E704" s="9" t="str">
        <f aca="false">TEXT(D704,"MMM")</f>
        <v>ago</v>
      </c>
      <c r="F704" s="10" t="n">
        <v>164492.44</v>
      </c>
      <c r="G704" s="8" t="s">
        <v>11</v>
      </c>
      <c r="H704" s="8" t="s">
        <v>17</v>
      </c>
      <c r="I704" s="11" t="s">
        <v>18</v>
      </c>
      <c r="J704" s="8" t="s">
        <v>24</v>
      </c>
    </row>
    <row r="705" customFormat="false" ht="14.25" hidden="false" customHeight="false" outlineLevel="0" collapsed="false">
      <c r="A705" s="8" t="n">
        <v>704</v>
      </c>
      <c r="B705" s="8" t="s">
        <v>66</v>
      </c>
      <c r="C705" s="8" t="s">
        <v>10</v>
      </c>
      <c r="D705" s="9" t="n">
        <v>44050</v>
      </c>
      <c r="E705" s="9" t="str">
        <f aca="false">TEXT(D705,"MMM")</f>
        <v>ago</v>
      </c>
      <c r="F705" s="10" t="n">
        <v>2564.45</v>
      </c>
      <c r="G705" s="8" t="s">
        <v>11</v>
      </c>
      <c r="H705" s="8" t="s">
        <v>12</v>
      </c>
      <c r="I705" s="11" t="s">
        <v>13</v>
      </c>
      <c r="J705" s="8" t="s">
        <v>19</v>
      </c>
    </row>
    <row r="706" customFormat="false" ht="14.25" hidden="false" customHeight="false" outlineLevel="0" collapsed="false">
      <c r="A706" s="8" t="n">
        <v>705</v>
      </c>
      <c r="B706" s="8" t="s">
        <v>66</v>
      </c>
      <c r="C706" s="8" t="s">
        <v>10</v>
      </c>
      <c r="D706" s="9" t="n">
        <v>44050</v>
      </c>
      <c r="E706" s="9" t="str">
        <f aca="false">TEXT(D706,"MMM")</f>
        <v>ago</v>
      </c>
      <c r="F706" s="10" t="n">
        <v>2784.26</v>
      </c>
      <c r="G706" s="8" t="s">
        <v>11</v>
      </c>
      <c r="H706" s="8" t="s">
        <v>22</v>
      </c>
      <c r="I706" s="11" t="s">
        <v>23</v>
      </c>
      <c r="J706" s="8" t="s">
        <v>26</v>
      </c>
    </row>
    <row r="707" customFormat="false" ht="14.25" hidden="false" customHeight="false" outlineLevel="0" collapsed="false">
      <c r="A707" s="8" t="n">
        <v>706</v>
      </c>
      <c r="B707" s="8" t="s">
        <v>66</v>
      </c>
      <c r="C707" s="8" t="s">
        <v>10</v>
      </c>
      <c r="D707" s="9" t="n">
        <v>44050</v>
      </c>
      <c r="E707" s="9" t="str">
        <f aca="false">TEXT(D707,"MMM")</f>
        <v>ago</v>
      </c>
      <c r="F707" s="10" t="n">
        <v>-1731.45</v>
      </c>
      <c r="G707" s="8" t="s">
        <v>34</v>
      </c>
      <c r="H707" s="8" t="s">
        <v>12</v>
      </c>
      <c r="I707" s="11" t="s">
        <v>13</v>
      </c>
      <c r="J707" s="8" t="s">
        <v>24</v>
      </c>
    </row>
    <row r="708" customFormat="false" ht="14.25" hidden="false" customHeight="false" outlineLevel="0" collapsed="false">
      <c r="A708" s="8" t="n">
        <v>707</v>
      </c>
      <c r="B708" s="8" t="s">
        <v>66</v>
      </c>
      <c r="C708" s="8" t="s">
        <v>10</v>
      </c>
      <c r="D708" s="9" t="n">
        <v>44050</v>
      </c>
      <c r="E708" s="9" t="str">
        <f aca="false">TEXT(D708,"MMM")</f>
        <v>ago</v>
      </c>
      <c r="F708" s="10" t="n">
        <v>-34023.5</v>
      </c>
      <c r="G708" s="8" t="s">
        <v>34</v>
      </c>
      <c r="H708" s="8" t="s">
        <v>12</v>
      </c>
      <c r="I708" s="11" t="s">
        <v>13</v>
      </c>
      <c r="J708" s="8" t="s">
        <v>14</v>
      </c>
    </row>
    <row r="709" customFormat="false" ht="14.25" hidden="false" customHeight="false" outlineLevel="0" collapsed="false">
      <c r="A709" s="8" t="n">
        <v>708</v>
      </c>
      <c r="B709" s="8" t="s">
        <v>66</v>
      </c>
      <c r="C709" s="8" t="s">
        <v>28</v>
      </c>
      <c r="D709" s="9" t="n">
        <v>44050</v>
      </c>
      <c r="E709" s="9" t="str">
        <f aca="false">TEXT(D709,"MMM")</f>
        <v>ago</v>
      </c>
      <c r="F709" s="10" t="n">
        <v>-33452.27</v>
      </c>
      <c r="G709" s="8" t="s">
        <v>34</v>
      </c>
      <c r="H709" s="8" t="s">
        <v>12</v>
      </c>
      <c r="I709" s="11" t="s">
        <v>13</v>
      </c>
      <c r="J709" s="8" t="s">
        <v>26</v>
      </c>
    </row>
    <row r="710" customFormat="false" ht="14.25" hidden="false" customHeight="false" outlineLevel="0" collapsed="false">
      <c r="A710" s="8" t="n">
        <v>709</v>
      </c>
      <c r="B710" s="8" t="s">
        <v>77</v>
      </c>
      <c r="C710" s="8" t="s">
        <v>10</v>
      </c>
      <c r="D710" s="9" t="n">
        <v>44052</v>
      </c>
      <c r="E710" s="9" t="str">
        <f aca="false">TEXT(D710,"MMM")</f>
        <v>ago</v>
      </c>
      <c r="F710" s="10" t="n">
        <v>-9051.91</v>
      </c>
      <c r="G710" s="8" t="s">
        <v>34</v>
      </c>
      <c r="H710" s="8" t="s">
        <v>36</v>
      </c>
      <c r="I710" s="11" t="s">
        <v>37</v>
      </c>
      <c r="J710" s="8" t="s">
        <v>14</v>
      </c>
    </row>
    <row r="711" customFormat="false" ht="14.25" hidden="false" customHeight="false" outlineLevel="0" collapsed="false">
      <c r="A711" s="8" t="n">
        <v>710</v>
      </c>
      <c r="B711" s="8" t="s">
        <v>9</v>
      </c>
      <c r="C711" s="8" t="s">
        <v>16</v>
      </c>
      <c r="D711" s="9" t="n">
        <v>44052</v>
      </c>
      <c r="E711" s="9" t="str">
        <f aca="false">TEXT(D711,"MMM")</f>
        <v>ago</v>
      </c>
      <c r="F711" s="10" t="n">
        <v>48497.91</v>
      </c>
      <c r="G711" s="8" t="s">
        <v>11</v>
      </c>
      <c r="H711" s="8" t="s">
        <v>36</v>
      </c>
      <c r="I711" s="11" t="s">
        <v>37</v>
      </c>
      <c r="J711" s="8" t="s">
        <v>26</v>
      </c>
    </row>
    <row r="712" customFormat="false" ht="14.25" hidden="false" customHeight="false" outlineLevel="0" collapsed="false">
      <c r="A712" s="8" t="n">
        <v>711</v>
      </c>
      <c r="B712" s="8" t="s">
        <v>45</v>
      </c>
      <c r="C712" s="8" t="s">
        <v>16</v>
      </c>
      <c r="D712" s="9" t="n">
        <v>44052</v>
      </c>
      <c r="E712" s="9" t="str">
        <f aca="false">TEXT(D712,"MMM")</f>
        <v>ago</v>
      </c>
      <c r="F712" s="10" t="n">
        <v>73907.5</v>
      </c>
      <c r="G712" s="8" t="s">
        <v>11</v>
      </c>
      <c r="H712" s="8" t="s">
        <v>12</v>
      </c>
      <c r="I712" s="11" t="s">
        <v>13</v>
      </c>
      <c r="J712" s="8" t="s">
        <v>14</v>
      </c>
    </row>
    <row r="713" customFormat="false" ht="14.25" hidden="false" customHeight="false" outlineLevel="0" collapsed="false">
      <c r="A713" s="8" t="n">
        <v>712</v>
      </c>
      <c r="B713" s="8" t="s">
        <v>44</v>
      </c>
      <c r="C713" s="8" t="s">
        <v>28</v>
      </c>
      <c r="D713" s="9" t="n">
        <v>44052</v>
      </c>
      <c r="E713" s="9" t="str">
        <f aca="false">TEXT(D713,"MMM")</f>
        <v>ago</v>
      </c>
      <c r="F713" s="10" t="n">
        <v>78508.58</v>
      </c>
      <c r="G713" s="8" t="s">
        <v>11</v>
      </c>
      <c r="H713" s="8" t="s">
        <v>12</v>
      </c>
      <c r="I713" s="11" t="s">
        <v>13</v>
      </c>
      <c r="J713" s="8" t="s">
        <v>14</v>
      </c>
    </row>
    <row r="714" customFormat="false" ht="14.25" hidden="false" customHeight="false" outlineLevel="0" collapsed="false">
      <c r="A714" s="8" t="n">
        <v>713</v>
      </c>
      <c r="B714" s="8" t="s">
        <v>44</v>
      </c>
      <c r="C714" s="8" t="s">
        <v>21</v>
      </c>
      <c r="D714" s="9" t="n">
        <v>44052</v>
      </c>
      <c r="E714" s="9" t="str">
        <f aca="false">TEXT(D714,"MMM")</f>
        <v>ago</v>
      </c>
      <c r="F714" s="10" t="n">
        <v>-1075800.83</v>
      </c>
      <c r="G714" s="8" t="s">
        <v>34</v>
      </c>
      <c r="H714" s="8" t="s">
        <v>12</v>
      </c>
      <c r="I714" s="11" t="s">
        <v>13</v>
      </c>
      <c r="J714" s="8" t="s">
        <v>14</v>
      </c>
    </row>
    <row r="715" customFormat="false" ht="14.25" hidden="false" customHeight="false" outlineLevel="0" collapsed="false">
      <c r="A715" s="8" t="n">
        <v>714</v>
      </c>
      <c r="B715" s="8" t="s">
        <v>57</v>
      </c>
      <c r="C715" s="8" t="s">
        <v>16</v>
      </c>
      <c r="D715" s="9" t="n">
        <v>44052</v>
      </c>
      <c r="E715" s="9" t="str">
        <f aca="false">TEXT(D715,"MMM")</f>
        <v>ago</v>
      </c>
      <c r="F715" s="10" t="n">
        <v>50343.85</v>
      </c>
      <c r="G715" s="8" t="s">
        <v>11</v>
      </c>
      <c r="H715" s="8" t="s">
        <v>12</v>
      </c>
      <c r="I715" s="11" t="s">
        <v>13</v>
      </c>
      <c r="J715" s="8" t="s">
        <v>14</v>
      </c>
    </row>
    <row r="716" customFormat="false" ht="14.25" hidden="false" customHeight="false" outlineLevel="0" collapsed="false">
      <c r="A716" s="8" t="n">
        <v>715</v>
      </c>
      <c r="B716" s="8" t="s">
        <v>72</v>
      </c>
      <c r="C716" s="8" t="s">
        <v>10</v>
      </c>
      <c r="D716" s="9" t="n">
        <v>44052</v>
      </c>
      <c r="E716" s="9" t="str">
        <f aca="false">TEXT(D716,"MMM")</f>
        <v>ago</v>
      </c>
      <c r="F716" s="10" t="n">
        <v>14229.71</v>
      </c>
      <c r="G716" s="8" t="s">
        <v>11</v>
      </c>
      <c r="H716" s="8" t="s">
        <v>36</v>
      </c>
      <c r="I716" s="11" t="s">
        <v>37</v>
      </c>
      <c r="J716" s="8" t="s">
        <v>14</v>
      </c>
    </row>
    <row r="717" customFormat="false" ht="14.25" hidden="false" customHeight="false" outlineLevel="0" collapsed="false">
      <c r="A717" s="8" t="n">
        <v>716</v>
      </c>
      <c r="B717" s="8" t="s">
        <v>79</v>
      </c>
      <c r="C717" s="8" t="s">
        <v>28</v>
      </c>
      <c r="D717" s="9" t="n">
        <v>44052</v>
      </c>
      <c r="E717" s="9" t="str">
        <f aca="false">TEXT(D717,"MMM")</f>
        <v>ago</v>
      </c>
      <c r="F717" s="10" t="n">
        <v>12365.96</v>
      </c>
      <c r="G717" s="8" t="s">
        <v>11</v>
      </c>
      <c r="H717" s="8" t="s">
        <v>12</v>
      </c>
      <c r="I717" s="11" t="s">
        <v>13</v>
      </c>
      <c r="J717" s="8" t="s">
        <v>26</v>
      </c>
    </row>
    <row r="718" customFormat="false" ht="14.25" hidden="false" customHeight="false" outlineLevel="0" collapsed="false">
      <c r="A718" s="8" t="n">
        <v>717</v>
      </c>
      <c r="B718" s="8" t="s">
        <v>45</v>
      </c>
      <c r="C718" s="8" t="s">
        <v>10</v>
      </c>
      <c r="D718" s="9" t="n">
        <v>44052</v>
      </c>
      <c r="E718" s="9" t="str">
        <f aca="false">TEXT(D718,"MMM")</f>
        <v>ago</v>
      </c>
      <c r="F718" s="10" t="n">
        <v>13411.49</v>
      </c>
      <c r="G718" s="8" t="s">
        <v>11</v>
      </c>
      <c r="H718" s="8" t="s">
        <v>22</v>
      </c>
      <c r="I718" s="11" t="s">
        <v>23</v>
      </c>
      <c r="J718" s="8" t="s">
        <v>26</v>
      </c>
    </row>
    <row r="719" customFormat="false" ht="14.25" hidden="false" customHeight="false" outlineLevel="0" collapsed="false">
      <c r="A719" s="8" t="n">
        <v>718</v>
      </c>
      <c r="B719" s="8" t="s">
        <v>49</v>
      </c>
      <c r="C719" s="8" t="s">
        <v>16</v>
      </c>
      <c r="D719" s="9" t="n">
        <v>44052</v>
      </c>
      <c r="E719" s="9" t="str">
        <f aca="false">TEXT(D719,"MMM")</f>
        <v>ago</v>
      </c>
      <c r="F719" s="10" t="n">
        <v>173967.88</v>
      </c>
      <c r="G719" s="8" t="s">
        <v>11</v>
      </c>
      <c r="H719" s="8" t="s">
        <v>12</v>
      </c>
      <c r="I719" s="11" t="s">
        <v>13</v>
      </c>
      <c r="J719" s="8" t="s">
        <v>26</v>
      </c>
    </row>
    <row r="720" customFormat="false" ht="14.25" hidden="false" customHeight="false" outlineLevel="0" collapsed="false">
      <c r="A720" s="8" t="n">
        <v>719</v>
      </c>
      <c r="B720" s="8" t="s">
        <v>57</v>
      </c>
      <c r="C720" s="8" t="s">
        <v>21</v>
      </c>
      <c r="D720" s="9" t="n">
        <v>44052</v>
      </c>
      <c r="E720" s="9" t="str">
        <f aca="false">TEXT(D720,"MMM")</f>
        <v>ago</v>
      </c>
      <c r="F720" s="10" t="n">
        <v>-182.07</v>
      </c>
      <c r="G720" s="8" t="s">
        <v>34</v>
      </c>
      <c r="H720" s="8" t="s">
        <v>12</v>
      </c>
      <c r="I720" s="11" t="s">
        <v>13</v>
      </c>
      <c r="J720" s="8" t="s">
        <v>14</v>
      </c>
    </row>
    <row r="721" customFormat="false" ht="14.25" hidden="false" customHeight="false" outlineLevel="0" collapsed="false">
      <c r="A721" s="8" t="n">
        <v>720</v>
      </c>
      <c r="B721" s="8" t="s">
        <v>72</v>
      </c>
      <c r="C721" s="8" t="s">
        <v>10</v>
      </c>
      <c r="D721" s="9" t="n">
        <v>44052</v>
      </c>
      <c r="E721" s="9" t="str">
        <f aca="false">TEXT(D721,"MMM")</f>
        <v>ago</v>
      </c>
      <c r="F721" s="10" t="n">
        <v>-23317.14</v>
      </c>
      <c r="G721" s="8" t="s">
        <v>34</v>
      </c>
      <c r="H721" s="8" t="s">
        <v>17</v>
      </c>
      <c r="I721" s="11" t="s">
        <v>18</v>
      </c>
      <c r="J721" s="8" t="s">
        <v>14</v>
      </c>
    </row>
    <row r="722" customFormat="false" ht="14.25" hidden="false" customHeight="false" outlineLevel="0" collapsed="false">
      <c r="A722" s="8" t="n">
        <v>721</v>
      </c>
      <c r="B722" s="8" t="s">
        <v>79</v>
      </c>
      <c r="C722" s="8" t="s">
        <v>10</v>
      </c>
      <c r="D722" s="9" t="n">
        <v>44052</v>
      </c>
      <c r="E722" s="9" t="str">
        <f aca="false">TEXT(D722,"MMM")</f>
        <v>ago</v>
      </c>
      <c r="F722" s="10" t="n">
        <v>-50054.38</v>
      </c>
      <c r="G722" s="8" t="s">
        <v>34</v>
      </c>
      <c r="H722" s="8" t="s">
        <v>17</v>
      </c>
      <c r="I722" s="11" t="s">
        <v>18</v>
      </c>
      <c r="J722" s="8" t="s">
        <v>26</v>
      </c>
    </row>
    <row r="723" customFormat="false" ht="14.25" hidden="false" customHeight="false" outlineLevel="0" collapsed="false">
      <c r="A723" s="8" t="n">
        <v>722</v>
      </c>
      <c r="B723" s="8" t="s">
        <v>47</v>
      </c>
      <c r="C723" s="8" t="s">
        <v>16</v>
      </c>
      <c r="D723" s="9" t="n">
        <v>44052</v>
      </c>
      <c r="E723" s="9" t="str">
        <f aca="false">TEXT(D723,"MMM")</f>
        <v>ago</v>
      </c>
      <c r="F723" s="10" t="n">
        <v>-4146.84</v>
      </c>
      <c r="G723" s="8" t="s">
        <v>34</v>
      </c>
      <c r="H723" s="8" t="s">
        <v>17</v>
      </c>
      <c r="I723" s="11" t="s">
        <v>18</v>
      </c>
      <c r="J723" s="8" t="s">
        <v>24</v>
      </c>
    </row>
    <row r="724" customFormat="false" ht="14.25" hidden="false" customHeight="false" outlineLevel="0" collapsed="false">
      <c r="A724" s="8" t="n">
        <v>723</v>
      </c>
      <c r="B724" s="8" t="s">
        <v>47</v>
      </c>
      <c r="C724" s="8" t="s">
        <v>21</v>
      </c>
      <c r="D724" s="9" t="n">
        <v>44052</v>
      </c>
      <c r="E724" s="9" t="str">
        <f aca="false">TEXT(D724,"MMM")</f>
        <v>ago</v>
      </c>
      <c r="F724" s="10" t="n">
        <v>-838.85</v>
      </c>
      <c r="G724" s="8" t="s">
        <v>34</v>
      </c>
      <c r="H724" s="8" t="s">
        <v>12</v>
      </c>
      <c r="I724" s="11" t="s">
        <v>13</v>
      </c>
      <c r="J724" s="8" t="s">
        <v>26</v>
      </c>
    </row>
    <row r="725" customFormat="false" ht="14.25" hidden="false" customHeight="false" outlineLevel="0" collapsed="false">
      <c r="A725" s="8" t="n">
        <v>724</v>
      </c>
      <c r="B725" s="8" t="s">
        <v>85</v>
      </c>
      <c r="C725" s="8" t="s">
        <v>28</v>
      </c>
      <c r="D725" s="9" t="n">
        <v>44053</v>
      </c>
      <c r="E725" s="9" t="str">
        <f aca="false">TEXT(D725,"MMM")</f>
        <v>ago</v>
      </c>
      <c r="F725" s="10" t="n">
        <v>140153.93</v>
      </c>
      <c r="G725" s="8" t="s">
        <v>11</v>
      </c>
      <c r="H725" s="8" t="s">
        <v>17</v>
      </c>
      <c r="I725" s="11" t="s">
        <v>18</v>
      </c>
      <c r="J725" s="8" t="s">
        <v>14</v>
      </c>
    </row>
    <row r="726" customFormat="false" ht="14.25" hidden="false" customHeight="false" outlineLevel="0" collapsed="false">
      <c r="A726" s="8" t="n">
        <v>725</v>
      </c>
      <c r="B726" s="8" t="s">
        <v>81</v>
      </c>
      <c r="C726" s="8" t="s">
        <v>16</v>
      </c>
      <c r="D726" s="9" t="n">
        <v>44053</v>
      </c>
      <c r="E726" s="9" t="str">
        <f aca="false">TEXT(D726,"MMM")</f>
        <v>ago</v>
      </c>
      <c r="F726" s="10" t="n">
        <v>167782.29</v>
      </c>
      <c r="G726" s="8" t="s">
        <v>11</v>
      </c>
      <c r="H726" s="8" t="s">
        <v>17</v>
      </c>
      <c r="I726" s="11" t="s">
        <v>18</v>
      </c>
      <c r="J726" s="8" t="s">
        <v>14</v>
      </c>
    </row>
    <row r="727" customFormat="false" ht="14.25" hidden="false" customHeight="false" outlineLevel="0" collapsed="false">
      <c r="A727" s="8" t="n">
        <v>726</v>
      </c>
      <c r="B727" s="8" t="s">
        <v>81</v>
      </c>
      <c r="C727" s="8" t="s">
        <v>28</v>
      </c>
      <c r="D727" s="9" t="n">
        <v>44053</v>
      </c>
      <c r="E727" s="9" t="str">
        <f aca="false">TEXT(D727,"MMM")</f>
        <v>ago</v>
      </c>
      <c r="F727" s="10" t="n">
        <v>-1668520.41</v>
      </c>
      <c r="G727" s="8" t="s">
        <v>34</v>
      </c>
      <c r="H727" s="8" t="s">
        <v>36</v>
      </c>
      <c r="I727" s="11" t="s">
        <v>37</v>
      </c>
      <c r="J727" s="8" t="s">
        <v>26</v>
      </c>
    </row>
    <row r="728" customFormat="false" ht="14.25" hidden="false" customHeight="false" outlineLevel="0" collapsed="false">
      <c r="A728" s="8" t="n">
        <v>727</v>
      </c>
      <c r="B728" s="8" t="s">
        <v>81</v>
      </c>
      <c r="C728" s="8" t="s">
        <v>10</v>
      </c>
      <c r="D728" s="9" t="n">
        <v>44053</v>
      </c>
      <c r="E728" s="9" t="str">
        <f aca="false">TEXT(D728,"MMM")</f>
        <v>ago</v>
      </c>
      <c r="F728" s="10" t="n">
        <v>-48696.69</v>
      </c>
      <c r="G728" s="8" t="s">
        <v>34</v>
      </c>
      <c r="H728" s="8" t="s">
        <v>12</v>
      </c>
      <c r="I728" s="11" t="s">
        <v>13</v>
      </c>
      <c r="J728" s="8" t="s">
        <v>14</v>
      </c>
    </row>
    <row r="729" customFormat="false" ht="14.25" hidden="false" customHeight="false" outlineLevel="0" collapsed="false">
      <c r="A729" s="8" t="n">
        <v>728</v>
      </c>
      <c r="B729" s="8" t="s">
        <v>81</v>
      </c>
      <c r="C729" s="8" t="s">
        <v>28</v>
      </c>
      <c r="D729" s="9" t="n">
        <v>44053</v>
      </c>
      <c r="E729" s="9" t="str">
        <f aca="false">TEXT(D729,"MMM")</f>
        <v>ago</v>
      </c>
      <c r="F729" s="10" t="n">
        <v>-38105.9</v>
      </c>
      <c r="G729" s="8" t="s">
        <v>34</v>
      </c>
      <c r="H729" s="8" t="s">
        <v>12</v>
      </c>
      <c r="I729" s="11" t="s">
        <v>13</v>
      </c>
      <c r="J729" s="8" t="s">
        <v>14</v>
      </c>
    </row>
    <row r="730" customFormat="false" ht="14.25" hidden="false" customHeight="false" outlineLevel="0" collapsed="false">
      <c r="A730" s="8" t="n">
        <v>729</v>
      </c>
      <c r="B730" s="8" t="s">
        <v>86</v>
      </c>
      <c r="C730" s="8" t="s">
        <v>16</v>
      </c>
      <c r="D730" s="9" t="n">
        <v>44054</v>
      </c>
      <c r="E730" s="9" t="str">
        <f aca="false">TEXT(D730,"MMM")</f>
        <v>ago</v>
      </c>
      <c r="F730" s="10" t="n">
        <v>-11647.9</v>
      </c>
      <c r="G730" s="8" t="s">
        <v>34</v>
      </c>
      <c r="H730" s="8" t="s">
        <v>22</v>
      </c>
      <c r="I730" s="11" t="s">
        <v>23</v>
      </c>
      <c r="J730" s="8" t="s">
        <v>26</v>
      </c>
    </row>
    <row r="731" customFormat="false" ht="14.25" hidden="false" customHeight="false" outlineLevel="0" collapsed="false">
      <c r="A731" s="8" t="n">
        <v>730</v>
      </c>
      <c r="B731" s="8" t="s">
        <v>39</v>
      </c>
      <c r="C731" s="8" t="s">
        <v>16</v>
      </c>
      <c r="D731" s="9" t="n">
        <v>44054</v>
      </c>
      <c r="E731" s="9" t="str">
        <f aca="false">TEXT(D731,"MMM")</f>
        <v>ago</v>
      </c>
      <c r="F731" s="10" t="n">
        <v>-31673.08</v>
      </c>
      <c r="G731" s="8" t="s">
        <v>34</v>
      </c>
      <c r="H731" s="8" t="s">
        <v>12</v>
      </c>
      <c r="I731" s="11" t="s">
        <v>13</v>
      </c>
      <c r="J731" s="8" t="s">
        <v>19</v>
      </c>
    </row>
    <row r="732" customFormat="false" ht="14.25" hidden="false" customHeight="false" outlineLevel="0" collapsed="false">
      <c r="A732" s="8" t="n">
        <v>731</v>
      </c>
      <c r="B732" s="8" t="s">
        <v>27</v>
      </c>
      <c r="C732" s="8" t="s">
        <v>21</v>
      </c>
      <c r="D732" s="9" t="n">
        <v>44054</v>
      </c>
      <c r="E732" s="9" t="str">
        <f aca="false">TEXT(D732,"MMM")</f>
        <v>ago</v>
      </c>
      <c r="F732" s="10" t="n">
        <v>22655.41</v>
      </c>
      <c r="G732" s="8" t="s">
        <v>11</v>
      </c>
      <c r="H732" s="8" t="s">
        <v>36</v>
      </c>
      <c r="I732" s="11" t="s">
        <v>37</v>
      </c>
      <c r="J732" s="8" t="s">
        <v>14</v>
      </c>
    </row>
    <row r="733" customFormat="false" ht="14.25" hidden="false" customHeight="false" outlineLevel="0" collapsed="false">
      <c r="A733" s="8" t="n">
        <v>732</v>
      </c>
      <c r="B733" s="8" t="s">
        <v>58</v>
      </c>
      <c r="C733" s="8" t="s">
        <v>10</v>
      </c>
      <c r="D733" s="9" t="n">
        <v>44057</v>
      </c>
      <c r="E733" s="9" t="str">
        <f aca="false">TEXT(D733,"MMM")</f>
        <v>ago</v>
      </c>
      <c r="F733" s="10" t="n">
        <v>20685.13</v>
      </c>
      <c r="G733" s="8" t="s">
        <v>11</v>
      </c>
      <c r="H733" s="8" t="s">
        <v>17</v>
      </c>
      <c r="I733" s="11" t="s">
        <v>18</v>
      </c>
      <c r="J733" s="8" t="s">
        <v>24</v>
      </c>
    </row>
    <row r="734" customFormat="false" ht="14.25" hidden="false" customHeight="false" outlineLevel="0" collapsed="false">
      <c r="A734" s="8" t="n">
        <v>733</v>
      </c>
      <c r="B734" s="8" t="s">
        <v>58</v>
      </c>
      <c r="C734" s="8" t="s">
        <v>21</v>
      </c>
      <c r="D734" s="9" t="n">
        <v>44057</v>
      </c>
      <c r="E734" s="9" t="str">
        <f aca="false">TEXT(D734,"MMM")</f>
        <v>ago</v>
      </c>
      <c r="F734" s="10" t="n">
        <v>22187.11</v>
      </c>
      <c r="G734" s="8" t="s">
        <v>11</v>
      </c>
      <c r="H734" s="8" t="s">
        <v>22</v>
      </c>
      <c r="I734" s="11" t="s">
        <v>23</v>
      </c>
      <c r="J734" s="8" t="s">
        <v>26</v>
      </c>
    </row>
    <row r="735" customFormat="false" ht="14.25" hidden="false" customHeight="false" outlineLevel="0" collapsed="false">
      <c r="A735" s="8" t="n">
        <v>734</v>
      </c>
      <c r="B735" s="8" t="s">
        <v>58</v>
      </c>
      <c r="C735" s="8" t="s">
        <v>21</v>
      </c>
      <c r="D735" s="9" t="n">
        <v>44057</v>
      </c>
      <c r="E735" s="9" t="str">
        <f aca="false">TEXT(D735,"MMM")</f>
        <v>ago</v>
      </c>
      <c r="F735" s="10" t="n">
        <v>-12399.1</v>
      </c>
      <c r="G735" s="8" t="s">
        <v>34</v>
      </c>
      <c r="H735" s="8" t="s">
        <v>36</v>
      </c>
      <c r="I735" s="11" t="s">
        <v>37</v>
      </c>
      <c r="J735" s="8" t="s">
        <v>26</v>
      </c>
    </row>
    <row r="736" customFormat="false" ht="14.25" hidden="false" customHeight="false" outlineLevel="0" collapsed="false">
      <c r="A736" s="8" t="n">
        <v>735</v>
      </c>
      <c r="B736" s="8" t="s">
        <v>58</v>
      </c>
      <c r="C736" s="8" t="s">
        <v>28</v>
      </c>
      <c r="D736" s="9" t="n">
        <v>44057</v>
      </c>
      <c r="E736" s="9" t="str">
        <f aca="false">TEXT(D736,"MMM")</f>
        <v>ago</v>
      </c>
      <c r="F736" s="10" t="n">
        <v>-67964.58</v>
      </c>
      <c r="G736" s="8" t="s">
        <v>34</v>
      </c>
      <c r="H736" s="8" t="s">
        <v>12</v>
      </c>
      <c r="I736" s="11" t="s">
        <v>13</v>
      </c>
      <c r="J736" s="8" t="s">
        <v>19</v>
      </c>
    </row>
    <row r="737" customFormat="false" ht="14.25" hidden="false" customHeight="false" outlineLevel="0" collapsed="false">
      <c r="A737" s="8" t="n">
        <v>736</v>
      </c>
      <c r="B737" s="8" t="s">
        <v>58</v>
      </c>
      <c r="C737" s="8" t="s">
        <v>10</v>
      </c>
      <c r="D737" s="9" t="n">
        <v>44057</v>
      </c>
      <c r="E737" s="9" t="str">
        <f aca="false">TEXT(D737,"MMM")</f>
        <v>ago</v>
      </c>
      <c r="F737" s="10" t="n">
        <v>-11458.72</v>
      </c>
      <c r="G737" s="8" t="s">
        <v>34</v>
      </c>
      <c r="H737" s="8" t="s">
        <v>12</v>
      </c>
      <c r="I737" s="11" t="s">
        <v>13</v>
      </c>
      <c r="J737" s="8" t="s">
        <v>24</v>
      </c>
    </row>
    <row r="738" customFormat="false" ht="14.25" hidden="false" customHeight="false" outlineLevel="0" collapsed="false">
      <c r="A738" s="8" t="n">
        <v>737</v>
      </c>
      <c r="B738" s="8" t="s">
        <v>50</v>
      </c>
      <c r="C738" s="8" t="s">
        <v>10</v>
      </c>
      <c r="D738" s="9" t="n">
        <v>44058</v>
      </c>
      <c r="E738" s="9" t="str">
        <f aca="false">TEXT(D738,"MMM")</f>
        <v>ago</v>
      </c>
      <c r="F738" s="10" t="n">
        <v>-20882.58</v>
      </c>
      <c r="G738" s="8" t="s">
        <v>34</v>
      </c>
      <c r="H738" s="8" t="s">
        <v>12</v>
      </c>
      <c r="I738" s="11" t="s">
        <v>13</v>
      </c>
      <c r="J738" s="8" t="s">
        <v>14</v>
      </c>
    </row>
    <row r="739" customFormat="false" ht="14.25" hidden="false" customHeight="false" outlineLevel="0" collapsed="false">
      <c r="A739" s="8" t="n">
        <v>738</v>
      </c>
      <c r="B739" s="8" t="s">
        <v>40</v>
      </c>
      <c r="C739" s="8" t="s">
        <v>28</v>
      </c>
      <c r="D739" s="9" t="n">
        <v>44058</v>
      </c>
      <c r="E739" s="9" t="str">
        <f aca="false">TEXT(D739,"MMM")</f>
        <v>ago</v>
      </c>
      <c r="F739" s="10" t="n">
        <v>-15160.6</v>
      </c>
      <c r="G739" s="8" t="s">
        <v>34</v>
      </c>
      <c r="H739" s="8" t="s">
        <v>12</v>
      </c>
      <c r="I739" s="11" t="s">
        <v>13</v>
      </c>
      <c r="J739" s="8" t="s">
        <v>19</v>
      </c>
    </row>
    <row r="740" customFormat="false" ht="14.25" hidden="false" customHeight="false" outlineLevel="0" collapsed="false">
      <c r="A740" s="8" t="n">
        <v>739</v>
      </c>
      <c r="B740" s="8" t="s">
        <v>85</v>
      </c>
      <c r="C740" s="8" t="s">
        <v>16</v>
      </c>
      <c r="D740" s="9" t="n">
        <v>44059</v>
      </c>
      <c r="E740" s="9" t="str">
        <f aca="false">TEXT(D740,"MMM")</f>
        <v>ago</v>
      </c>
      <c r="F740" s="10" t="n">
        <v>-2264.64</v>
      </c>
      <c r="G740" s="8" t="s">
        <v>34</v>
      </c>
      <c r="H740" s="8" t="s">
        <v>17</v>
      </c>
      <c r="I740" s="11" t="s">
        <v>18</v>
      </c>
      <c r="J740" s="8" t="s">
        <v>24</v>
      </c>
    </row>
    <row r="741" customFormat="false" ht="14.25" hidden="false" customHeight="false" outlineLevel="0" collapsed="false">
      <c r="A741" s="8" t="n">
        <v>740</v>
      </c>
      <c r="B741" s="8" t="s">
        <v>50</v>
      </c>
      <c r="C741" s="8" t="s">
        <v>21</v>
      </c>
      <c r="D741" s="9" t="n">
        <v>44060</v>
      </c>
      <c r="E741" s="9" t="str">
        <f aca="false">TEXT(D741,"MMM")</f>
        <v>ago</v>
      </c>
      <c r="F741" s="10" t="n">
        <v>5691.6</v>
      </c>
      <c r="G741" s="8" t="s">
        <v>11</v>
      </c>
      <c r="H741" s="8" t="s">
        <v>12</v>
      </c>
      <c r="I741" s="11" t="s">
        <v>13</v>
      </c>
      <c r="J741" s="8" t="s">
        <v>14</v>
      </c>
    </row>
    <row r="742" customFormat="false" ht="14.25" hidden="false" customHeight="false" outlineLevel="0" collapsed="false">
      <c r="A742" s="8" t="n">
        <v>741</v>
      </c>
      <c r="B742" s="8" t="s">
        <v>32</v>
      </c>
      <c r="C742" s="8" t="s">
        <v>28</v>
      </c>
      <c r="D742" s="9" t="n">
        <v>44061</v>
      </c>
      <c r="E742" s="9" t="str">
        <f aca="false">TEXT(D742,"MMM")</f>
        <v>ago</v>
      </c>
      <c r="F742" s="10" t="n">
        <v>5691.6</v>
      </c>
      <c r="G742" s="8" t="s">
        <v>11</v>
      </c>
      <c r="H742" s="8" t="s">
        <v>12</v>
      </c>
      <c r="I742" s="11" t="s">
        <v>13</v>
      </c>
      <c r="J742" s="8" t="s">
        <v>19</v>
      </c>
    </row>
    <row r="743" customFormat="false" ht="14.25" hidden="false" customHeight="false" outlineLevel="0" collapsed="false">
      <c r="A743" s="8" t="n">
        <v>742</v>
      </c>
      <c r="B743" s="8" t="s">
        <v>39</v>
      </c>
      <c r="C743" s="8" t="s">
        <v>28</v>
      </c>
      <c r="D743" s="9" t="n">
        <v>44061</v>
      </c>
      <c r="E743" s="9" t="str">
        <f aca="false">TEXT(D743,"MMM")</f>
        <v>ago</v>
      </c>
      <c r="F743" s="10" t="n">
        <v>92126.63</v>
      </c>
      <c r="G743" s="8" t="s">
        <v>11</v>
      </c>
      <c r="H743" s="8" t="s">
        <v>30</v>
      </c>
      <c r="I743" s="11" t="s">
        <v>31</v>
      </c>
      <c r="J743" s="8" t="s">
        <v>26</v>
      </c>
    </row>
    <row r="744" customFormat="false" ht="14.25" hidden="false" customHeight="false" outlineLevel="0" collapsed="false">
      <c r="A744" s="8" t="n">
        <v>743</v>
      </c>
      <c r="B744" s="8" t="s">
        <v>85</v>
      </c>
      <c r="C744" s="8" t="s">
        <v>16</v>
      </c>
      <c r="D744" s="9" t="n">
        <v>44064</v>
      </c>
      <c r="E744" s="9" t="str">
        <f aca="false">TEXT(D744,"MMM")</f>
        <v>ago</v>
      </c>
      <c r="F744" s="10" t="n">
        <v>5691.6</v>
      </c>
      <c r="G744" s="8" t="s">
        <v>11</v>
      </c>
      <c r="H744" s="8" t="s">
        <v>17</v>
      </c>
      <c r="I744" s="11" t="s">
        <v>18</v>
      </c>
      <c r="J744" s="8" t="s">
        <v>26</v>
      </c>
    </row>
    <row r="745" customFormat="false" ht="14.25" hidden="false" customHeight="false" outlineLevel="0" collapsed="false">
      <c r="A745" s="8" t="n">
        <v>744</v>
      </c>
      <c r="B745" s="8" t="s">
        <v>85</v>
      </c>
      <c r="C745" s="8" t="s">
        <v>28</v>
      </c>
      <c r="D745" s="9" t="n">
        <v>44064</v>
      </c>
      <c r="E745" s="9" t="str">
        <f aca="false">TEXT(D745,"MMM")</f>
        <v>ago</v>
      </c>
      <c r="F745" s="10" t="n">
        <v>5691.6</v>
      </c>
      <c r="G745" s="8" t="s">
        <v>11</v>
      </c>
      <c r="H745" s="8" t="s">
        <v>36</v>
      </c>
      <c r="I745" s="11" t="s">
        <v>37</v>
      </c>
      <c r="J745" s="8" t="s">
        <v>26</v>
      </c>
    </row>
    <row r="746" customFormat="false" ht="14.25" hidden="false" customHeight="false" outlineLevel="0" collapsed="false">
      <c r="A746" s="8" t="n">
        <v>745</v>
      </c>
      <c r="B746" s="8" t="s">
        <v>85</v>
      </c>
      <c r="C746" s="8" t="s">
        <v>10</v>
      </c>
      <c r="D746" s="9" t="n">
        <v>44064</v>
      </c>
      <c r="E746" s="9" t="str">
        <f aca="false">TEXT(D746,"MMM")</f>
        <v>ago</v>
      </c>
      <c r="F746" s="10" t="n">
        <v>5691.6</v>
      </c>
      <c r="G746" s="8" t="s">
        <v>11</v>
      </c>
      <c r="H746" s="8" t="s">
        <v>30</v>
      </c>
      <c r="I746" s="11" t="s">
        <v>31</v>
      </c>
      <c r="J746" s="8" t="s">
        <v>14</v>
      </c>
    </row>
    <row r="747" customFormat="false" ht="14.25" hidden="false" customHeight="false" outlineLevel="0" collapsed="false">
      <c r="A747" s="8" t="n">
        <v>746</v>
      </c>
      <c r="B747" s="8" t="s">
        <v>86</v>
      </c>
      <c r="C747" s="8" t="s">
        <v>21</v>
      </c>
      <c r="D747" s="9" t="n">
        <v>44065</v>
      </c>
      <c r="E747" s="9" t="str">
        <f aca="false">TEXT(D747,"MMM")</f>
        <v>ago</v>
      </c>
      <c r="F747" s="10" t="n">
        <v>-785.02</v>
      </c>
      <c r="G747" s="8" t="s">
        <v>34</v>
      </c>
      <c r="H747" s="8" t="s">
        <v>12</v>
      </c>
      <c r="I747" s="11" t="s">
        <v>13</v>
      </c>
      <c r="J747" s="8" t="s">
        <v>14</v>
      </c>
    </row>
    <row r="748" customFormat="false" ht="14.25" hidden="false" customHeight="false" outlineLevel="0" collapsed="false">
      <c r="A748" s="8" t="n">
        <v>747</v>
      </c>
      <c r="B748" s="8" t="s">
        <v>40</v>
      </c>
      <c r="C748" s="8" t="s">
        <v>16</v>
      </c>
      <c r="D748" s="9" t="n">
        <v>44065</v>
      </c>
      <c r="E748" s="9" t="str">
        <f aca="false">TEXT(D748,"MMM")</f>
        <v>ago</v>
      </c>
      <c r="F748" s="10" t="n">
        <v>-402.85</v>
      </c>
      <c r="G748" s="8" t="s">
        <v>34</v>
      </c>
      <c r="H748" s="8" t="s">
        <v>17</v>
      </c>
      <c r="I748" s="11" t="s">
        <v>18</v>
      </c>
      <c r="J748" s="8" t="s">
        <v>14</v>
      </c>
    </row>
    <row r="749" customFormat="false" ht="14.25" hidden="false" customHeight="false" outlineLevel="0" collapsed="false">
      <c r="A749" s="8" t="n">
        <v>748</v>
      </c>
      <c r="B749" s="8" t="s">
        <v>50</v>
      </c>
      <c r="C749" s="8" t="s">
        <v>21</v>
      </c>
      <c r="D749" s="9" t="n">
        <v>44067</v>
      </c>
      <c r="E749" s="9" t="str">
        <f aca="false">TEXT(D749,"MMM")</f>
        <v>ago</v>
      </c>
      <c r="F749" s="10" t="n">
        <v>-173.6</v>
      </c>
      <c r="G749" s="8" t="s">
        <v>34</v>
      </c>
      <c r="H749" s="8" t="s">
        <v>12</v>
      </c>
      <c r="I749" s="11" t="s">
        <v>13</v>
      </c>
      <c r="J749" s="8" t="s">
        <v>14</v>
      </c>
    </row>
    <row r="750" customFormat="false" ht="14.25" hidden="false" customHeight="false" outlineLevel="0" collapsed="false">
      <c r="A750" s="8" t="n">
        <v>749</v>
      </c>
      <c r="B750" s="8" t="s">
        <v>54</v>
      </c>
      <c r="C750" s="8" t="s">
        <v>10</v>
      </c>
      <c r="D750" s="9" t="n">
        <v>44067</v>
      </c>
      <c r="E750" s="9" t="str">
        <f aca="false">TEXT(D750,"MMM")</f>
        <v>ago</v>
      </c>
      <c r="F750" s="10" t="n">
        <v>-1165.19</v>
      </c>
      <c r="G750" s="8" t="s">
        <v>34</v>
      </c>
      <c r="H750" s="8" t="s">
        <v>17</v>
      </c>
      <c r="I750" s="11" t="s">
        <v>18</v>
      </c>
      <c r="J750" s="8" t="s">
        <v>14</v>
      </c>
    </row>
    <row r="751" customFormat="false" ht="14.25" hidden="false" customHeight="false" outlineLevel="0" collapsed="false">
      <c r="A751" s="8" t="n">
        <v>750</v>
      </c>
      <c r="B751" s="8" t="s">
        <v>44</v>
      </c>
      <c r="C751" s="8" t="s">
        <v>16</v>
      </c>
      <c r="D751" s="9" t="n">
        <v>44067</v>
      </c>
      <c r="E751" s="9" t="str">
        <f aca="false">TEXT(D751,"MMM")</f>
        <v>ago</v>
      </c>
      <c r="F751" s="10" t="n">
        <v>-153.06</v>
      </c>
      <c r="G751" s="8" t="s">
        <v>34</v>
      </c>
      <c r="H751" s="8" t="s">
        <v>30</v>
      </c>
      <c r="I751" s="11" t="s">
        <v>31</v>
      </c>
      <c r="J751" s="8" t="s">
        <v>14</v>
      </c>
    </row>
    <row r="752" customFormat="false" ht="14.25" hidden="false" customHeight="false" outlineLevel="0" collapsed="false">
      <c r="A752" s="8" t="n">
        <v>751</v>
      </c>
      <c r="B752" s="8" t="s">
        <v>44</v>
      </c>
      <c r="C752" s="8" t="s">
        <v>28</v>
      </c>
      <c r="D752" s="9" t="n">
        <v>44067</v>
      </c>
      <c r="E752" s="9" t="str">
        <f aca="false">TEXT(D752,"MMM")</f>
        <v>ago</v>
      </c>
      <c r="F752" s="10" t="n">
        <v>-638780.52</v>
      </c>
      <c r="G752" s="8" t="s">
        <v>34</v>
      </c>
      <c r="H752" s="8" t="s">
        <v>17</v>
      </c>
      <c r="I752" s="11" t="s">
        <v>18</v>
      </c>
      <c r="J752" s="8" t="s">
        <v>26</v>
      </c>
    </row>
    <row r="753" customFormat="false" ht="14.25" hidden="false" customHeight="false" outlineLevel="0" collapsed="false">
      <c r="A753" s="8" t="n">
        <v>752</v>
      </c>
      <c r="B753" s="8" t="s">
        <v>57</v>
      </c>
      <c r="C753" s="8" t="s">
        <v>28</v>
      </c>
      <c r="D753" s="9" t="n">
        <v>44067</v>
      </c>
      <c r="E753" s="9" t="str">
        <f aca="false">TEXT(D753,"MMM")</f>
        <v>ago</v>
      </c>
      <c r="F753" s="10" t="n">
        <v>148913.55</v>
      </c>
      <c r="G753" s="8" t="s">
        <v>11</v>
      </c>
      <c r="H753" s="8" t="s">
        <v>36</v>
      </c>
      <c r="I753" s="11" t="s">
        <v>37</v>
      </c>
      <c r="J753" s="8" t="s">
        <v>19</v>
      </c>
    </row>
    <row r="754" customFormat="false" ht="14.25" hidden="false" customHeight="false" outlineLevel="0" collapsed="false">
      <c r="A754" s="8" t="n">
        <v>753</v>
      </c>
      <c r="B754" s="8" t="s">
        <v>45</v>
      </c>
      <c r="C754" s="8" t="s">
        <v>10</v>
      </c>
      <c r="D754" s="9" t="n">
        <v>44067</v>
      </c>
      <c r="E754" s="9" t="str">
        <f aca="false">TEXT(D754,"MMM")</f>
        <v>ago</v>
      </c>
      <c r="F754" s="10" t="n">
        <v>49777.39</v>
      </c>
      <c r="G754" s="8" t="s">
        <v>11</v>
      </c>
      <c r="H754" s="8" t="s">
        <v>12</v>
      </c>
      <c r="I754" s="11" t="s">
        <v>13</v>
      </c>
      <c r="J754" s="8" t="s">
        <v>26</v>
      </c>
    </row>
    <row r="755" customFormat="false" ht="14.25" hidden="false" customHeight="false" outlineLevel="0" collapsed="false">
      <c r="A755" s="8" t="n">
        <v>754</v>
      </c>
      <c r="B755" s="8" t="s">
        <v>45</v>
      </c>
      <c r="C755" s="8" t="s">
        <v>21</v>
      </c>
      <c r="D755" s="9" t="n">
        <v>44067</v>
      </c>
      <c r="E755" s="9" t="str">
        <f aca="false">TEXT(D755,"MMM")</f>
        <v>ago</v>
      </c>
      <c r="F755" s="10" t="n">
        <v>45437.88</v>
      </c>
      <c r="G755" s="8" t="s">
        <v>11</v>
      </c>
      <c r="H755" s="8" t="s">
        <v>36</v>
      </c>
      <c r="I755" s="11" t="s">
        <v>37</v>
      </c>
      <c r="J755" s="8" t="s">
        <v>26</v>
      </c>
    </row>
    <row r="756" customFormat="false" ht="14.25" hidden="false" customHeight="false" outlineLevel="0" collapsed="false">
      <c r="A756" s="8" t="n">
        <v>755</v>
      </c>
      <c r="B756" s="8" t="s">
        <v>47</v>
      </c>
      <c r="C756" s="8" t="s">
        <v>28</v>
      </c>
      <c r="D756" s="9" t="n">
        <v>44067</v>
      </c>
      <c r="E756" s="9" t="str">
        <f aca="false">TEXT(D756,"MMM")</f>
        <v>ago</v>
      </c>
      <c r="F756" s="10" t="n">
        <v>45088.74</v>
      </c>
      <c r="G756" s="8" t="s">
        <v>11</v>
      </c>
      <c r="H756" s="8" t="s">
        <v>36</v>
      </c>
      <c r="I756" s="11" t="s">
        <v>37</v>
      </c>
      <c r="J756" s="8" t="s">
        <v>19</v>
      </c>
    </row>
    <row r="757" customFormat="false" ht="14.25" hidden="false" customHeight="false" outlineLevel="0" collapsed="false">
      <c r="A757" s="8" t="n">
        <v>756</v>
      </c>
      <c r="B757" s="8" t="s">
        <v>57</v>
      </c>
      <c r="C757" s="8" t="s">
        <v>10</v>
      </c>
      <c r="D757" s="9" t="n">
        <v>44067</v>
      </c>
      <c r="E757" s="9" t="str">
        <f aca="false">TEXT(D757,"MMM")</f>
        <v>ago</v>
      </c>
      <c r="F757" s="10" t="n">
        <v>-1139.15</v>
      </c>
      <c r="G757" s="8" t="s">
        <v>34</v>
      </c>
      <c r="H757" s="8" t="s">
        <v>36</v>
      </c>
      <c r="I757" s="11" t="s">
        <v>37</v>
      </c>
      <c r="J757" s="8" t="s">
        <v>26</v>
      </c>
    </row>
    <row r="758" customFormat="false" ht="14.25" hidden="false" customHeight="false" outlineLevel="0" collapsed="false">
      <c r="A758" s="8" t="n">
        <v>757</v>
      </c>
      <c r="B758" s="8" t="s">
        <v>47</v>
      </c>
      <c r="C758" s="8" t="s">
        <v>10</v>
      </c>
      <c r="D758" s="9" t="n">
        <v>44067</v>
      </c>
      <c r="E758" s="9" t="str">
        <f aca="false">TEXT(D758,"MMM")</f>
        <v>ago</v>
      </c>
      <c r="F758" s="10" t="n">
        <v>-17997.84</v>
      </c>
      <c r="G758" s="8" t="s">
        <v>34</v>
      </c>
      <c r="H758" s="8" t="s">
        <v>17</v>
      </c>
      <c r="I758" s="11" t="s">
        <v>18</v>
      </c>
      <c r="J758" s="8" t="s">
        <v>26</v>
      </c>
    </row>
    <row r="759" customFormat="false" ht="14.25" hidden="false" customHeight="false" outlineLevel="0" collapsed="false">
      <c r="A759" s="8" t="n">
        <v>758</v>
      </c>
      <c r="B759" s="8" t="s">
        <v>85</v>
      </c>
      <c r="C759" s="8" t="s">
        <v>28</v>
      </c>
      <c r="D759" s="9" t="n">
        <v>44071</v>
      </c>
      <c r="E759" s="9" t="str">
        <f aca="false">TEXT(D759,"MMM")</f>
        <v>ago</v>
      </c>
      <c r="F759" s="10" t="n">
        <v>490.63</v>
      </c>
      <c r="G759" s="8" t="s">
        <v>11</v>
      </c>
      <c r="H759" s="8" t="s">
        <v>17</v>
      </c>
      <c r="I759" s="11" t="s">
        <v>18</v>
      </c>
      <c r="J759" s="8" t="s">
        <v>26</v>
      </c>
    </row>
    <row r="760" customFormat="false" ht="14.25" hidden="false" customHeight="false" outlineLevel="0" collapsed="false">
      <c r="A760" s="8" t="n">
        <v>759</v>
      </c>
      <c r="B760" s="8" t="s">
        <v>85</v>
      </c>
      <c r="C760" s="8" t="s">
        <v>10</v>
      </c>
      <c r="D760" s="9" t="n">
        <v>44071</v>
      </c>
      <c r="E760" s="9" t="str">
        <f aca="false">TEXT(D760,"MMM")</f>
        <v>ago</v>
      </c>
      <c r="F760" s="10" t="n">
        <v>8449.95</v>
      </c>
      <c r="G760" s="8" t="s">
        <v>11</v>
      </c>
      <c r="H760" s="8" t="s">
        <v>12</v>
      </c>
      <c r="I760" s="11" t="s">
        <v>13</v>
      </c>
      <c r="J760" s="8" t="s">
        <v>26</v>
      </c>
    </row>
    <row r="761" customFormat="false" ht="14.25" hidden="false" customHeight="false" outlineLevel="0" collapsed="false">
      <c r="A761" s="8" t="n">
        <v>760</v>
      </c>
      <c r="B761" s="8" t="s">
        <v>27</v>
      </c>
      <c r="C761" s="8" t="s">
        <v>10</v>
      </c>
      <c r="D761" s="9" t="n">
        <v>44071</v>
      </c>
      <c r="E761" s="9" t="str">
        <f aca="false">TEXT(D761,"MMM")</f>
        <v>ago</v>
      </c>
      <c r="F761" s="10" t="n">
        <v>2564.45</v>
      </c>
      <c r="G761" s="8" t="s">
        <v>11</v>
      </c>
      <c r="H761" s="8" t="s">
        <v>12</v>
      </c>
      <c r="I761" s="11" t="s">
        <v>13</v>
      </c>
      <c r="J761" s="8" t="s">
        <v>14</v>
      </c>
    </row>
    <row r="762" customFormat="false" ht="14.25" hidden="false" customHeight="false" outlineLevel="0" collapsed="false">
      <c r="A762" s="8" t="n">
        <v>761</v>
      </c>
      <c r="B762" s="8" t="s">
        <v>41</v>
      </c>
      <c r="C762" s="8" t="s">
        <v>16</v>
      </c>
      <c r="D762" s="9" t="n">
        <v>44072</v>
      </c>
      <c r="E762" s="9" t="str">
        <f aca="false">TEXT(D762,"MMM")</f>
        <v>ago</v>
      </c>
      <c r="F762" s="10" t="n">
        <v>2564.45</v>
      </c>
      <c r="G762" s="8" t="s">
        <v>11</v>
      </c>
      <c r="H762" s="8" t="s">
        <v>17</v>
      </c>
      <c r="I762" s="11" t="s">
        <v>18</v>
      </c>
      <c r="J762" s="8" t="s">
        <v>19</v>
      </c>
    </row>
    <row r="763" customFormat="false" ht="14.25" hidden="false" customHeight="false" outlineLevel="0" collapsed="false">
      <c r="A763" s="8" t="n">
        <v>762</v>
      </c>
      <c r="B763" s="8" t="s">
        <v>61</v>
      </c>
      <c r="C763" s="8" t="s">
        <v>10</v>
      </c>
      <c r="D763" s="9" t="n">
        <v>44072</v>
      </c>
      <c r="E763" s="9" t="str">
        <f aca="false">TEXT(D763,"MMM")</f>
        <v>ago</v>
      </c>
      <c r="F763" s="10" t="n">
        <v>4029.85</v>
      </c>
      <c r="G763" s="8" t="s">
        <v>11</v>
      </c>
      <c r="H763" s="8" t="s">
        <v>12</v>
      </c>
      <c r="I763" s="11" t="s">
        <v>13</v>
      </c>
      <c r="J763" s="8" t="s">
        <v>14</v>
      </c>
    </row>
    <row r="764" customFormat="false" ht="14.25" hidden="false" customHeight="false" outlineLevel="0" collapsed="false">
      <c r="A764" s="8" t="n">
        <v>763</v>
      </c>
      <c r="B764" s="8" t="s">
        <v>49</v>
      </c>
      <c r="C764" s="8" t="s">
        <v>28</v>
      </c>
      <c r="D764" s="9" t="n">
        <v>44072</v>
      </c>
      <c r="E764" s="9" t="str">
        <f aca="false">TEXT(D764,"MMM")</f>
        <v>ago</v>
      </c>
      <c r="F764" s="10" t="n">
        <v>4029.85</v>
      </c>
      <c r="G764" s="8" t="s">
        <v>11</v>
      </c>
      <c r="H764" s="8" t="s">
        <v>12</v>
      </c>
      <c r="I764" s="11" t="s">
        <v>13</v>
      </c>
      <c r="J764" s="8" t="s">
        <v>19</v>
      </c>
    </row>
    <row r="765" customFormat="false" ht="14.25" hidden="false" customHeight="false" outlineLevel="0" collapsed="false">
      <c r="A765" s="8" t="n">
        <v>764</v>
      </c>
      <c r="B765" s="8" t="s">
        <v>61</v>
      </c>
      <c r="C765" s="8" t="s">
        <v>21</v>
      </c>
      <c r="D765" s="9" t="n">
        <v>44072</v>
      </c>
      <c r="E765" s="9" t="str">
        <f aca="false">TEXT(D765,"MMM")</f>
        <v>ago</v>
      </c>
      <c r="F765" s="10" t="n">
        <v>2564.45</v>
      </c>
      <c r="G765" s="8" t="s">
        <v>11</v>
      </c>
      <c r="H765" s="8" t="s">
        <v>36</v>
      </c>
      <c r="I765" s="11" t="s">
        <v>37</v>
      </c>
      <c r="J765" s="8" t="s">
        <v>26</v>
      </c>
    </row>
    <row r="766" customFormat="false" ht="14.25" hidden="false" customHeight="false" outlineLevel="0" collapsed="false">
      <c r="A766" s="8" t="n">
        <v>765</v>
      </c>
      <c r="B766" s="8" t="s">
        <v>61</v>
      </c>
      <c r="C766" s="8" t="s">
        <v>10</v>
      </c>
      <c r="D766" s="9" t="n">
        <v>44072</v>
      </c>
      <c r="E766" s="9" t="str">
        <f aca="false">TEXT(D766,"MMM")</f>
        <v>ago</v>
      </c>
      <c r="F766" s="10" t="n">
        <v>7990.16</v>
      </c>
      <c r="G766" s="8" t="s">
        <v>11</v>
      </c>
      <c r="H766" s="8" t="s">
        <v>17</v>
      </c>
      <c r="I766" s="11" t="s">
        <v>18</v>
      </c>
      <c r="J766" s="8" t="s">
        <v>14</v>
      </c>
    </row>
    <row r="767" customFormat="false" ht="14.25" hidden="false" customHeight="false" outlineLevel="0" collapsed="false">
      <c r="A767" s="8" t="n">
        <v>766</v>
      </c>
      <c r="B767" s="8" t="s">
        <v>62</v>
      </c>
      <c r="C767" s="8" t="s">
        <v>21</v>
      </c>
      <c r="D767" s="9" t="n">
        <v>44072</v>
      </c>
      <c r="E767" s="9" t="str">
        <f aca="false">TEXT(D767,"MMM")</f>
        <v>ago</v>
      </c>
      <c r="F767" s="10" t="n">
        <v>2564.45</v>
      </c>
      <c r="G767" s="8" t="s">
        <v>11</v>
      </c>
      <c r="H767" s="8" t="s">
        <v>12</v>
      </c>
      <c r="I767" s="11" t="s">
        <v>13</v>
      </c>
      <c r="J767" s="8" t="s">
        <v>14</v>
      </c>
    </row>
    <row r="768" customFormat="false" ht="14.25" hidden="false" customHeight="false" outlineLevel="0" collapsed="false">
      <c r="A768" s="8" t="n">
        <v>767</v>
      </c>
      <c r="B768" s="8" t="s">
        <v>62</v>
      </c>
      <c r="C768" s="8" t="s">
        <v>28</v>
      </c>
      <c r="D768" s="9" t="n">
        <v>44072</v>
      </c>
      <c r="E768" s="9" t="str">
        <f aca="false">TEXT(D768,"MMM")</f>
        <v>ago</v>
      </c>
      <c r="F768" s="10" t="n">
        <v>2564.45</v>
      </c>
      <c r="G768" s="8" t="s">
        <v>11</v>
      </c>
      <c r="H768" s="8" t="s">
        <v>17</v>
      </c>
      <c r="I768" s="11" t="s">
        <v>18</v>
      </c>
      <c r="J768" s="8" t="s">
        <v>26</v>
      </c>
    </row>
    <row r="769" customFormat="false" ht="14.25" hidden="false" customHeight="false" outlineLevel="0" collapsed="false">
      <c r="A769" s="8" t="n">
        <v>768</v>
      </c>
      <c r="B769" s="8" t="s">
        <v>135</v>
      </c>
      <c r="C769" s="8" t="s">
        <v>21</v>
      </c>
      <c r="D769" s="9" t="n">
        <v>44073</v>
      </c>
      <c r="E769" s="9" t="str">
        <f aca="false">TEXT(D769,"MMM")</f>
        <v>ago</v>
      </c>
      <c r="F769" s="10" t="n">
        <v>2564.45</v>
      </c>
      <c r="G769" s="8" t="s">
        <v>11</v>
      </c>
      <c r="H769" s="8" t="s">
        <v>30</v>
      </c>
      <c r="I769" s="11" t="s">
        <v>31</v>
      </c>
      <c r="J769" s="8" t="s">
        <v>14</v>
      </c>
    </row>
    <row r="770" customFormat="false" ht="14.25" hidden="false" customHeight="false" outlineLevel="0" collapsed="false">
      <c r="A770" s="8" t="n">
        <v>769</v>
      </c>
      <c r="B770" s="8" t="s">
        <v>69</v>
      </c>
      <c r="C770" s="8" t="s">
        <v>10</v>
      </c>
      <c r="D770" s="9" t="n">
        <v>44073</v>
      </c>
      <c r="E770" s="9" t="str">
        <f aca="false">TEXT(D770,"MMM")</f>
        <v>ago</v>
      </c>
      <c r="F770" s="10" t="n">
        <v>9002.42</v>
      </c>
      <c r="G770" s="8" t="s">
        <v>11</v>
      </c>
      <c r="H770" s="8" t="s">
        <v>12</v>
      </c>
      <c r="I770" s="11" t="s">
        <v>13</v>
      </c>
      <c r="J770" s="8" t="s">
        <v>14</v>
      </c>
    </row>
    <row r="771" customFormat="false" ht="14.25" hidden="false" customHeight="false" outlineLevel="0" collapsed="false">
      <c r="A771" s="8" t="n">
        <v>770</v>
      </c>
      <c r="B771" s="8" t="s">
        <v>136</v>
      </c>
      <c r="C771" s="8" t="s">
        <v>10</v>
      </c>
      <c r="D771" s="9" t="n">
        <v>44073</v>
      </c>
      <c r="E771" s="9" t="str">
        <f aca="false">TEXT(D771,"MMM")</f>
        <v>ago</v>
      </c>
      <c r="F771" s="10" t="n">
        <v>9163.85</v>
      </c>
      <c r="G771" s="8" t="s">
        <v>11</v>
      </c>
      <c r="H771" s="8" t="s">
        <v>36</v>
      </c>
      <c r="I771" s="11" t="s">
        <v>37</v>
      </c>
      <c r="J771" s="8" t="s">
        <v>26</v>
      </c>
    </row>
    <row r="772" customFormat="false" ht="14.25" hidden="false" customHeight="false" outlineLevel="0" collapsed="false">
      <c r="A772" s="8" t="n">
        <v>771</v>
      </c>
      <c r="B772" s="8" t="s">
        <v>137</v>
      </c>
      <c r="C772" s="8" t="s">
        <v>16</v>
      </c>
      <c r="D772" s="9" t="n">
        <v>44073</v>
      </c>
      <c r="E772" s="9" t="str">
        <f aca="false">TEXT(D772,"MMM")</f>
        <v>ago</v>
      </c>
      <c r="F772" s="10" t="n">
        <v>9027.05</v>
      </c>
      <c r="G772" s="8" t="s">
        <v>11</v>
      </c>
      <c r="H772" s="8" t="s">
        <v>12</v>
      </c>
      <c r="I772" s="11" t="s">
        <v>13</v>
      </c>
      <c r="J772" s="8" t="s">
        <v>26</v>
      </c>
    </row>
    <row r="773" customFormat="false" ht="14.25" hidden="false" customHeight="false" outlineLevel="0" collapsed="false">
      <c r="A773" s="8" t="n">
        <v>772</v>
      </c>
      <c r="B773" s="8" t="s">
        <v>40</v>
      </c>
      <c r="C773" s="8" t="s">
        <v>21</v>
      </c>
      <c r="D773" s="9" t="n">
        <v>44073</v>
      </c>
      <c r="E773" s="9" t="str">
        <f aca="false">TEXT(D773,"MMM")</f>
        <v>ago</v>
      </c>
      <c r="F773" s="10" t="n">
        <v>8399.87</v>
      </c>
      <c r="G773" s="8" t="s">
        <v>11</v>
      </c>
      <c r="H773" s="8" t="s">
        <v>17</v>
      </c>
      <c r="I773" s="11" t="s">
        <v>18</v>
      </c>
      <c r="J773" s="8" t="s">
        <v>26</v>
      </c>
    </row>
    <row r="774" customFormat="false" ht="14.25" hidden="false" customHeight="false" outlineLevel="0" collapsed="false">
      <c r="A774" s="8" t="n">
        <v>773</v>
      </c>
      <c r="B774" s="8" t="s">
        <v>75</v>
      </c>
      <c r="C774" s="8" t="s">
        <v>28</v>
      </c>
      <c r="D774" s="9" t="n">
        <v>44073</v>
      </c>
      <c r="E774" s="9" t="str">
        <f aca="false">TEXT(D774,"MMM")</f>
        <v>ago</v>
      </c>
      <c r="F774" s="10" t="n">
        <v>8194.89</v>
      </c>
      <c r="G774" s="8" t="s">
        <v>11</v>
      </c>
      <c r="H774" s="8" t="s">
        <v>12</v>
      </c>
      <c r="I774" s="11" t="s">
        <v>13</v>
      </c>
      <c r="J774" s="8" t="s">
        <v>26</v>
      </c>
    </row>
    <row r="775" customFormat="false" ht="14.25" hidden="false" customHeight="false" outlineLevel="0" collapsed="false">
      <c r="A775" s="8" t="n">
        <v>774</v>
      </c>
      <c r="B775" s="8" t="s">
        <v>75</v>
      </c>
      <c r="C775" s="8" t="s">
        <v>10</v>
      </c>
      <c r="D775" s="9" t="n">
        <v>44073</v>
      </c>
      <c r="E775" s="9" t="str">
        <f aca="false">TEXT(D775,"MMM")</f>
        <v>ago</v>
      </c>
      <c r="F775" s="10" t="n">
        <v>7916.23</v>
      </c>
      <c r="G775" s="8" t="s">
        <v>11</v>
      </c>
      <c r="H775" s="8" t="s">
        <v>12</v>
      </c>
      <c r="I775" s="11" t="s">
        <v>13</v>
      </c>
      <c r="J775" s="8" t="s">
        <v>14</v>
      </c>
    </row>
    <row r="776" customFormat="false" ht="14.25" hidden="false" customHeight="false" outlineLevel="0" collapsed="false">
      <c r="A776" s="8" t="n">
        <v>775</v>
      </c>
      <c r="B776" s="8" t="s">
        <v>75</v>
      </c>
      <c r="C776" s="8" t="s">
        <v>21</v>
      </c>
      <c r="D776" s="9" t="n">
        <v>44073</v>
      </c>
      <c r="E776" s="9" t="str">
        <f aca="false">TEXT(D776,"MMM")</f>
        <v>ago</v>
      </c>
      <c r="F776" s="10" t="n">
        <v>8281.87</v>
      </c>
      <c r="G776" s="8" t="s">
        <v>11</v>
      </c>
      <c r="H776" s="8" t="s">
        <v>12</v>
      </c>
      <c r="I776" s="11" t="s">
        <v>13</v>
      </c>
      <c r="J776" s="8" t="s">
        <v>26</v>
      </c>
    </row>
    <row r="777" customFormat="false" ht="14.25" hidden="false" customHeight="false" outlineLevel="0" collapsed="false">
      <c r="A777" s="8" t="n">
        <v>776</v>
      </c>
      <c r="B777" s="8" t="s">
        <v>51</v>
      </c>
      <c r="C777" s="8" t="s">
        <v>10</v>
      </c>
      <c r="D777" s="9" t="n">
        <v>44074</v>
      </c>
      <c r="E777" s="9" t="str">
        <f aca="false">TEXT(D777,"MMM")</f>
        <v>ago</v>
      </c>
      <c r="F777" s="10" t="n">
        <v>8598.76</v>
      </c>
      <c r="G777" s="8" t="s">
        <v>11</v>
      </c>
      <c r="H777" s="8" t="s">
        <v>12</v>
      </c>
      <c r="I777" s="11" t="s">
        <v>13</v>
      </c>
      <c r="J777" s="8" t="s">
        <v>26</v>
      </c>
    </row>
    <row r="778" customFormat="false" ht="14.25" hidden="false" customHeight="false" outlineLevel="0" collapsed="false">
      <c r="A778" s="8" t="n">
        <v>777</v>
      </c>
      <c r="B778" s="8" t="s">
        <v>32</v>
      </c>
      <c r="C778" s="8" t="s">
        <v>28</v>
      </c>
      <c r="D778" s="9" t="n">
        <v>44074</v>
      </c>
      <c r="E778" s="9" t="str">
        <f aca="false">TEXT(D778,"MMM")</f>
        <v>ago</v>
      </c>
      <c r="F778" s="10" t="n">
        <v>-56543.41</v>
      </c>
      <c r="G778" s="8" t="s">
        <v>34</v>
      </c>
      <c r="H778" s="8" t="s">
        <v>22</v>
      </c>
      <c r="I778" s="11" t="s">
        <v>23</v>
      </c>
      <c r="J778" s="8" t="s">
        <v>14</v>
      </c>
    </row>
    <row r="779" customFormat="false" ht="14.25" hidden="false" customHeight="false" outlineLevel="0" collapsed="false">
      <c r="A779" s="8" t="n">
        <v>778</v>
      </c>
      <c r="B779" s="8" t="s">
        <v>73</v>
      </c>
      <c r="C779" s="8" t="s">
        <v>10</v>
      </c>
      <c r="D779" s="9" t="n">
        <v>44074</v>
      </c>
      <c r="E779" s="9" t="str">
        <f aca="false">TEXT(D779,"MMM")</f>
        <v>ago</v>
      </c>
      <c r="F779" s="10" t="n">
        <v>14960</v>
      </c>
      <c r="G779" s="8" t="s">
        <v>11</v>
      </c>
      <c r="H779" s="8" t="s">
        <v>30</v>
      </c>
      <c r="I779" s="11" t="s">
        <v>31</v>
      </c>
      <c r="J779" s="8" t="s">
        <v>26</v>
      </c>
    </row>
    <row r="780" customFormat="false" ht="14.25" hidden="false" customHeight="false" outlineLevel="0" collapsed="false">
      <c r="A780" s="8" t="n">
        <v>779</v>
      </c>
      <c r="B780" s="8" t="s">
        <v>61</v>
      </c>
      <c r="C780" s="8" t="s">
        <v>21</v>
      </c>
      <c r="D780" s="9" t="n">
        <v>44074</v>
      </c>
      <c r="E780" s="9" t="str">
        <f aca="false">TEXT(D780,"MMM")</f>
        <v>ago</v>
      </c>
      <c r="F780" s="10" t="n">
        <v>14960</v>
      </c>
      <c r="G780" s="8" t="s">
        <v>11</v>
      </c>
      <c r="H780" s="8" t="s">
        <v>36</v>
      </c>
      <c r="I780" s="11" t="s">
        <v>37</v>
      </c>
      <c r="J780" s="8" t="s">
        <v>14</v>
      </c>
    </row>
    <row r="781" customFormat="false" ht="14.25" hidden="false" customHeight="false" outlineLevel="0" collapsed="false">
      <c r="A781" s="8" t="n">
        <v>780</v>
      </c>
      <c r="B781" s="8" t="s">
        <v>81</v>
      </c>
      <c r="C781" s="8" t="s">
        <v>16</v>
      </c>
      <c r="D781" s="9" t="n">
        <v>44074</v>
      </c>
      <c r="E781" s="9" t="str">
        <f aca="false">TEXT(D781,"MMM")</f>
        <v>ago</v>
      </c>
      <c r="F781" s="10" t="n">
        <v>14960</v>
      </c>
      <c r="G781" s="8" t="s">
        <v>11</v>
      </c>
      <c r="H781" s="8" t="s">
        <v>36</v>
      </c>
      <c r="I781" s="11" t="s">
        <v>37</v>
      </c>
      <c r="J781" s="8" t="s">
        <v>24</v>
      </c>
    </row>
    <row r="782" customFormat="false" ht="14.25" hidden="false" customHeight="false" outlineLevel="0" collapsed="false">
      <c r="A782" s="8" t="n">
        <v>781</v>
      </c>
      <c r="B782" s="8" t="s">
        <v>73</v>
      </c>
      <c r="C782" s="8" t="s">
        <v>10</v>
      </c>
      <c r="D782" s="9" t="n">
        <v>44074</v>
      </c>
      <c r="E782" s="9" t="str">
        <f aca="false">TEXT(D782,"MMM")</f>
        <v>ago</v>
      </c>
      <c r="F782" s="10" t="n">
        <v>-12252.8</v>
      </c>
      <c r="G782" s="8" t="s">
        <v>34</v>
      </c>
      <c r="H782" s="8" t="s">
        <v>17</v>
      </c>
      <c r="I782" s="11" t="s">
        <v>18</v>
      </c>
      <c r="J782" s="8" t="s">
        <v>26</v>
      </c>
    </row>
    <row r="783" customFormat="false" ht="14.25" hidden="false" customHeight="false" outlineLevel="0" collapsed="false">
      <c r="A783" s="8" t="n">
        <v>782</v>
      </c>
      <c r="B783" s="8" t="s">
        <v>39</v>
      </c>
      <c r="C783" s="8" t="s">
        <v>16</v>
      </c>
      <c r="D783" s="9" t="n">
        <v>44074</v>
      </c>
      <c r="E783" s="9" t="str">
        <f aca="false">TEXT(D783,"MMM")</f>
        <v>ago</v>
      </c>
      <c r="F783" s="10" t="n">
        <v>-12497.28</v>
      </c>
      <c r="G783" s="8" t="s">
        <v>34</v>
      </c>
      <c r="H783" s="8" t="s">
        <v>12</v>
      </c>
      <c r="I783" s="11" t="s">
        <v>13</v>
      </c>
      <c r="J783" s="8" t="s">
        <v>24</v>
      </c>
    </row>
    <row r="784" customFormat="false" ht="14.25" hidden="false" customHeight="false" outlineLevel="0" collapsed="false">
      <c r="A784" s="8" t="n">
        <v>783</v>
      </c>
      <c r="B784" s="8" t="s">
        <v>61</v>
      </c>
      <c r="C784" s="8" t="s">
        <v>10</v>
      </c>
      <c r="D784" s="9" t="n">
        <v>44074</v>
      </c>
      <c r="E784" s="9" t="str">
        <f aca="false">TEXT(D784,"MMM")</f>
        <v>ago</v>
      </c>
      <c r="F784" s="10" t="n">
        <v>4530.5</v>
      </c>
      <c r="G784" s="8" t="s">
        <v>11</v>
      </c>
      <c r="H784" s="8" t="s">
        <v>12</v>
      </c>
      <c r="I784" s="11" t="s">
        <v>13</v>
      </c>
      <c r="J784" s="8" t="s">
        <v>14</v>
      </c>
    </row>
    <row r="785" customFormat="false" ht="14.25" hidden="false" customHeight="false" outlineLevel="0" collapsed="false">
      <c r="A785" s="8" t="n">
        <v>784</v>
      </c>
      <c r="B785" s="8" t="s">
        <v>62</v>
      </c>
      <c r="C785" s="8" t="s">
        <v>28</v>
      </c>
      <c r="D785" s="9" t="n">
        <v>44074</v>
      </c>
      <c r="E785" s="9" t="str">
        <f aca="false">TEXT(D785,"MMM")</f>
        <v>ago</v>
      </c>
      <c r="F785" s="10" t="n">
        <v>8364</v>
      </c>
      <c r="G785" s="8" t="s">
        <v>11</v>
      </c>
      <c r="H785" s="8" t="s">
        <v>12</v>
      </c>
      <c r="I785" s="11" t="s">
        <v>13</v>
      </c>
      <c r="J785" s="8" t="s">
        <v>26</v>
      </c>
    </row>
    <row r="786" customFormat="false" ht="14.25" hidden="false" customHeight="false" outlineLevel="0" collapsed="false">
      <c r="A786" s="8" t="n">
        <v>785</v>
      </c>
      <c r="B786" s="8" t="s">
        <v>62</v>
      </c>
      <c r="C786" s="8" t="s">
        <v>28</v>
      </c>
      <c r="D786" s="9" t="n">
        <v>44074</v>
      </c>
      <c r="E786" s="9" t="str">
        <f aca="false">TEXT(D786,"MMM")</f>
        <v>ago</v>
      </c>
      <c r="F786" s="10" t="n">
        <v>3136.5</v>
      </c>
      <c r="G786" s="8" t="s">
        <v>11</v>
      </c>
      <c r="H786" s="8" t="s">
        <v>17</v>
      </c>
      <c r="I786" s="11" t="s">
        <v>18</v>
      </c>
      <c r="J786" s="8" t="s">
        <v>14</v>
      </c>
    </row>
    <row r="787" customFormat="false" ht="14.25" hidden="false" customHeight="false" outlineLevel="0" collapsed="false">
      <c r="A787" s="8" t="n">
        <v>786</v>
      </c>
      <c r="B787" s="8" t="s">
        <v>81</v>
      </c>
      <c r="C787" s="8" t="s">
        <v>21</v>
      </c>
      <c r="D787" s="9" t="n">
        <v>44074</v>
      </c>
      <c r="E787" s="9" t="str">
        <f aca="false">TEXT(D787,"MMM")</f>
        <v>ago</v>
      </c>
      <c r="F787" s="10" t="n">
        <v>2788</v>
      </c>
      <c r="G787" s="8" t="s">
        <v>11</v>
      </c>
      <c r="H787" s="8" t="s">
        <v>12</v>
      </c>
      <c r="I787" s="11" t="s">
        <v>13</v>
      </c>
      <c r="J787" s="8" t="s">
        <v>24</v>
      </c>
    </row>
    <row r="788" customFormat="false" ht="14.25" hidden="false" customHeight="false" outlineLevel="0" collapsed="false">
      <c r="A788" s="8" t="n">
        <v>787</v>
      </c>
      <c r="B788" s="8" t="s">
        <v>73</v>
      </c>
      <c r="C788" s="8" t="s">
        <v>16</v>
      </c>
      <c r="D788" s="9" t="n">
        <v>44074</v>
      </c>
      <c r="E788" s="9" t="str">
        <f aca="false">TEXT(D788,"MMM")</f>
        <v>ago</v>
      </c>
      <c r="F788" s="10" t="n">
        <v>4530.5</v>
      </c>
      <c r="G788" s="8" t="s">
        <v>11</v>
      </c>
      <c r="H788" s="8" t="s">
        <v>12</v>
      </c>
      <c r="I788" s="11" t="s">
        <v>13</v>
      </c>
      <c r="J788" s="8" t="s">
        <v>24</v>
      </c>
    </row>
    <row r="789" customFormat="false" ht="14.25" hidden="false" customHeight="false" outlineLevel="0" collapsed="false">
      <c r="A789" s="8" t="n">
        <v>788</v>
      </c>
      <c r="B789" s="8" t="s">
        <v>61</v>
      </c>
      <c r="C789" s="8" t="s">
        <v>21</v>
      </c>
      <c r="D789" s="9" t="n">
        <v>44074</v>
      </c>
      <c r="E789" s="9" t="str">
        <f aca="false">TEXT(D789,"MMM")</f>
        <v>ago</v>
      </c>
      <c r="F789" s="10" t="n">
        <v>8364</v>
      </c>
      <c r="G789" s="8" t="s">
        <v>11</v>
      </c>
      <c r="H789" s="8" t="s">
        <v>12</v>
      </c>
      <c r="I789" s="11" t="s">
        <v>13</v>
      </c>
      <c r="J789" s="8" t="s">
        <v>14</v>
      </c>
    </row>
    <row r="790" customFormat="false" ht="14.25" hidden="false" customHeight="false" outlineLevel="0" collapsed="false">
      <c r="A790" s="8" t="n">
        <v>789</v>
      </c>
      <c r="B790" s="8" t="s">
        <v>62</v>
      </c>
      <c r="C790" s="8" t="s">
        <v>10</v>
      </c>
      <c r="D790" s="9" t="n">
        <v>44074</v>
      </c>
      <c r="E790" s="9" t="str">
        <f aca="false">TEXT(D790,"MMM")</f>
        <v>ago</v>
      </c>
      <c r="F790" s="10" t="n">
        <v>3218</v>
      </c>
      <c r="G790" s="8" t="s">
        <v>11</v>
      </c>
      <c r="H790" s="8" t="s">
        <v>12</v>
      </c>
      <c r="I790" s="11" t="s">
        <v>13</v>
      </c>
      <c r="J790" s="8" t="s">
        <v>26</v>
      </c>
    </row>
    <row r="791" customFormat="false" ht="14.25" hidden="false" customHeight="false" outlineLevel="0" collapsed="false">
      <c r="A791" s="8" t="n">
        <v>790</v>
      </c>
      <c r="B791" s="8" t="s">
        <v>81</v>
      </c>
      <c r="C791" s="8" t="s">
        <v>10</v>
      </c>
      <c r="D791" s="9" t="n">
        <v>44074</v>
      </c>
      <c r="E791" s="9" t="str">
        <f aca="false">TEXT(D791,"MMM")</f>
        <v>ago</v>
      </c>
      <c r="F791" s="10" t="n">
        <v>2788</v>
      </c>
      <c r="G791" s="8" t="s">
        <v>11</v>
      </c>
      <c r="H791" s="8" t="s">
        <v>22</v>
      </c>
      <c r="I791" s="11" t="s">
        <v>23</v>
      </c>
      <c r="J791" s="8" t="s">
        <v>26</v>
      </c>
    </row>
    <row r="792" customFormat="false" ht="14.25" hidden="false" customHeight="false" outlineLevel="0" collapsed="false">
      <c r="A792" s="8" t="n">
        <v>791</v>
      </c>
      <c r="B792" s="8" t="s">
        <v>81</v>
      </c>
      <c r="C792" s="8" t="s">
        <v>10</v>
      </c>
      <c r="D792" s="9" t="n">
        <v>44074</v>
      </c>
      <c r="E792" s="9" t="str">
        <f aca="false">TEXT(D792,"MMM")</f>
        <v>ago</v>
      </c>
      <c r="F792" s="10" t="n">
        <v>3218</v>
      </c>
      <c r="G792" s="8" t="s">
        <v>11</v>
      </c>
      <c r="H792" s="8" t="s">
        <v>36</v>
      </c>
      <c r="I792" s="11" t="s">
        <v>37</v>
      </c>
      <c r="J792" s="8" t="s">
        <v>14</v>
      </c>
    </row>
    <row r="793" customFormat="false" ht="14.25" hidden="false" customHeight="false" outlineLevel="0" collapsed="false">
      <c r="A793" s="8" t="n">
        <v>792</v>
      </c>
      <c r="B793" s="8" t="s">
        <v>29</v>
      </c>
      <c r="C793" s="8" t="s">
        <v>28</v>
      </c>
      <c r="D793" s="9" t="n">
        <v>44075</v>
      </c>
      <c r="E793" s="9" t="str">
        <f aca="false">TEXT(D793,"MMM")</f>
        <v>set</v>
      </c>
      <c r="F793" s="10" t="n">
        <v>3224.25</v>
      </c>
      <c r="G793" s="8" t="s">
        <v>11</v>
      </c>
      <c r="H793" s="8" t="s">
        <v>12</v>
      </c>
      <c r="I793" s="11" t="s">
        <v>13</v>
      </c>
      <c r="J793" s="8" t="s">
        <v>14</v>
      </c>
    </row>
    <row r="794" customFormat="false" ht="14.25" hidden="false" customHeight="false" outlineLevel="0" collapsed="false">
      <c r="A794" s="8" t="n">
        <v>793</v>
      </c>
      <c r="B794" s="8" t="s">
        <v>138</v>
      </c>
      <c r="C794" s="8" t="s">
        <v>21</v>
      </c>
      <c r="D794" s="9" t="n">
        <v>44075</v>
      </c>
      <c r="E794" s="9" t="str">
        <f aca="false">TEXT(D794,"MMM")</f>
        <v>set</v>
      </c>
      <c r="F794" s="10" t="n">
        <v>4710.36</v>
      </c>
      <c r="G794" s="8" t="s">
        <v>11</v>
      </c>
      <c r="H794" s="8" t="s">
        <v>12</v>
      </c>
      <c r="I794" s="11" t="s">
        <v>13</v>
      </c>
      <c r="J794" s="8" t="s">
        <v>26</v>
      </c>
    </row>
    <row r="795" customFormat="false" ht="14.25" hidden="false" customHeight="false" outlineLevel="0" collapsed="false">
      <c r="A795" s="8" t="n">
        <v>794</v>
      </c>
      <c r="B795" s="8" t="s">
        <v>15</v>
      </c>
      <c r="C795" s="8" t="s">
        <v>16</v>
      </c>
      <c r="D795" s="9" t="n">
        <v>44075</v>
      </c>
      <c r="E795" s="9" t="str">
        <f aca="false">TEXT(D795,"MMM")</f>
        <v>set</v>
      </c>
      <c r="F795" s="10" t="n">
        <v>4701.45</v>
      </c>
      <c r="G795" s="8" t="s">
        <v>11</v>
      </c>
      <c r="H795" s="8" t="s">
        <v>30</v>
      </c>
      <c r="I795" s="11" t="s">
        <v>31</v>
      </c>
      <c r="J795" s="8" t="s">
        <v>14</v>
      </c>
    </row>
    <row r="796" customFormat="false" ht="14.25" hidden="false" customHeight="false" outlineLevel="0" collapsed="false">
      <c r="A796" s="8" t="n">
        <v>795</v>
      </c>
      <c r="B796" s="8" t="s">
        <v>77</v>
      </c>
      <c r="C796" s="8" t="s">
        <v>21</v>
      </c>
      <c r="D796" s="9" t="n">
        <v>44078</v>
      </c>
      <c r="E796" s="9" t="str">
        <f aca="false">TEXT(D796,"MMM")</f>
        <v>set</v>
      </c>
      <c r="F796" s="10" t="n">
        <v>3485</v>
      </c>
      <c r="G796" s="8" t="s">
        <v>11</v>
      </c>
      <c r="H796" s="8" t="s">
        <v>17</v>
      </c>
      <c r="I796" s="11" t="s">
        <v>18</v>
      </c>
      <c r="J796" s="8" t="s">
        <v>14</v>
      </c>
    </row>
    <row r="797" customFormat="false" ht="14.25" hidden="false" customHeight="false" outlineLevel="0" collapsed="false">
      <c r="A797" s="8" t="n">
        <v>796</v>
      </c>
      <c r="B797" s="8" t="s">
        <v>85</v>
      </c>
      <c r="C797" s="8" t="s">
        <v>28</v>
      </c>
      <c r="D797" s="9" t="n">
        <v>44078</v>
      </c>
      <c r="E797" s="9" t="str">
        <f aca="false">TEXT(D797,"MMM")</f>
        <v>set</v>
      </c>
      <c r="F797" s="10" t="n">
        <v>3485</v>
      </c>
      <c r="G797" s="8" t="s">
        <v>11</v>
      </c>
      <c r="H797" s="8" t="s">
        <v>30</v>
      </c>
      <c r="I797" s="11" t="s">
        <v>31</v>
      </c>
      <c r="J797" s="8" t="s">
        <v>24</v>
      </c>
    </row>
    <row r="798" customFormat="false" ht="14.25" hidden="false" customHeight="false" outlineLevel="0" collapsed="false">
      <c r="A798" s="8" t="n">
        <v>797</v>
      </c>
      <c r="B798" s="8" t="s">
        <v>85</v>
      </c>
      <c r="C798" s="8" t="s">
        <v>10</v>
      </c>
      <c r="D798" s="9" t="n">
        <v>44078</v>
      </c>
      <c r="E798" s="9" t="str">
        <f aca="false">TEXT(D798,"MMM")</f>
        <v>set</v>
      </c>
      <c r="F798" s="10" t="n">
        <v>-3556.46</v>
      </c>
      <c r="G798" s="8" t="s">
        <v>34</v>
      </c>
      <c r="H798" s="8" t="s">
        <v>17</v>
      </c>
      <c r="I798" s="11" t="s">
        <v>18</v>
      </c>
      <c r="J798" s="8" t="s">
        <v>26</v>
      </c>
    </row>
    <row r="799" customFormat="false" ht="14.25" hidden="false" customHeight="false" outlineLevel="0" collapsed="false">
      <c r="A799" s="8" t="n">
        <v>798</v>
      </c>
      <c r="B799" s="8" t="s">
        <v>85</v>
      </c>
      <c r="C799" s="8" t="s">
        <v>21</v>
      </c>
      <c r="D799" s="9" t="n">
        <v>44078</v>
      </c>
      <c r="E799" s="9" t="str">
        <f aca="false">TEXT(D799,"MMM")</f>
        <v>set</v>
      </c>
      <c r="F799" s="10" t="n">
        <v>-1690.05</v>
      </c>
      <c r="G799" s="8" t="s">
        <v>34</v>
      </c>
      <c r="H799" s="8" t="s">
        <v>12</v>
      </c>
      <c r="I799" s="11" t="s">
        <v>13</v>
      </c>
      <c r="J799" s="8" t="s">
        <v>19</v>
      </c>
    </row>
    <row r="800" customFormat="false" ht="14.25" hidden="false" customHeight="false" outlineLevel="0" collapsed="false">
      <c r="A800" s="8" t="n">
        <v>799</v>
      </c>
      <c r="B800" s="8" t="s">
        <v>35</v>
      </c>
      <c r="C800" s="8" t="s">
        <v>21</v>
      </c>
      <c r="D800" s="9" t="n">
        <v>44079</v>
      </c>
      <c r="E800" s="9" t="str">
        <f aca="false">TEXT(D800,"MMM")</f>
        <v>set</v>
      </c>
      <c r="F800" s="10" t="n">
        <v>-493.99</v>
      </c>
      <c r="G800" s="8" t="s">
        <v>34</v>
      </c>
      <c r="H800" s="8" t="s">
        <v>36</v>
      </c>
      <c r="I800" s="11" t="s">
        <v>37</v>
      </c>
      <c r="J800" s="8" t="s">
        <v>14</v>
      </c>
    </row>
    <row r="801" customFormat="false" ht="14.25" hidden="false" customHeight="false" outlineLevel="0" collapsed="false">
      <c r="A801" s="8" t="n">
        <v>800</v>
      </c>
      <c r="B801" s="8" t="s">
        <v>85</v>
      </c>
      <c r="C801" s="8" t="s">
        <v>16</v>
      </c>
      <c r="D801" s="9" t="n">
        <v>44080</v>
      </c>
      <c r="E801" s="9" t="str">
        <f aca="false">TEXT(D801,"MMM")</f>
        <v>set</v>
      </c>
      <c r="F801" s="10" t="n">
        <v>-2302.83</v>
      </c>
      <c r="G801" s="8" t="s">
        <v>34</v>
      </c>
      <c r="H801" s="8" t="s">
        <v>22</v>
      </c>
      <c r="I801" s="11" t="s">
        <v>23</v>
      </c>
      <c r="J801" s="8" t="s">
        <v>14</v>
      </c>
    </row>
    <row r="802" customFormat="false" ht="14.25" hidden="false" customHeight="false" outlineLevel="0" collapsed="false">
      <c r="A802" s="8" t="n">
        <v>801</v>
      </c>
      <c r="B802" s="8" t="s">
        <v>85</v>
      </c>
      <c r="C802" s="8" t="s">
        <v>16</v>
      </c>
      <c r="D802" s="9" t="n">
        <v>44080</v>
      </c>
      <c r="E802" s="9" t="str">
        <f aca="false">TEXT(D802,"MMM")</f>
        <v>set</v>
      </c>
      <c r="F802" s="10" t="n">
        <v>-24038.91</v>
      </c>
      <c r="G802" s="8" t="s">
        <v>34</v>
      </c>
      <c r="H802" s="8" t="s">
        <v>22</v>
      </c>
      <c r="I802" s="11" t="s">
        <v>23</v>
      </c>
      <c r="J802" s="8" t="s">
        <v>14</v>
      </c>
    </row>
    <row r="803" customFormat="false" ht="14.25" hidden="false" customHeight="false" outlineLevel="0" collapsed="false">
      <c r="A803" s="8" t="n">
        <v>802</v>
      </c>
      <c r="B803" s="8" t="s">
        <v>85</v>
      </c>
      <c r="C803" s="8" t="s">
        <v>10</v>
      </c>
      <c r="D803" s="9" t="n">
        <v>44080</v>
      </c>
      <c r="E803" s="9" t="str">
        <f aca="false">TEXT(D803,"MMM")</f>
        <v>set</v>
      </c>
      <c r="F803" s="10" t="n">
        <v>-6437.1</v>
      </c>
      <c r="G803" s="8" t="s">
        <v>34</v>
      </c>
      <c r="H803" s="8" t="s">
        <v>17</v>
      </c>
      <c r="I803" s="11" t="s">
        <v>18</v>
      </c>
      <c r="J803" s="8" t="s">
        <v>14</v>
      </c>
    </row>
    <row r="804" customFormat="false" ht="14.25" hidden="false" customHeight="false" outlineLevel="0" collapsed="false">
      <c r="A804" s="8" t="n">
        <v>803</v>
      </c>
      <c r="B804" s="8" t="s">
        <v>49</v>
      </c>
      <c r="C804" s="8" t="s">
        <v>21</v>
      </c>
      <c r="D804" s="9" t="n">
        <v>44080</v>
      </c>
      <c r="E804" s="9" t="str">
        <f aca="false">TEXT(D804,"MMM")</f>
        <v>set</v>
      </c>
      <c r="F804" s="10" t="n">
        <v>158313.86</v>
      </c>
      <c r="G804" s="8" t="s">
        <v>11</v>
      </c>
      <c r="H804" s="8" t="s">
        <v>22</v>
      </c>
      <c r="I804" s="11" t="s">
        <v>23</v>
      </c>
      <c r="J804" s="8" t="s">
        <v>14</v>
      </c>
    </row>
    <row r="805" customFormat="false" ht="14.25" hidden="false" customHeight="false" outlineLevel="0" collapsed="false">
      <c r="A805" s="8" t="n">
        <v>804</v>
      </c>
      <c r="B805" s="8" t="s">
        <v>45</v>
      </c>
      <c r="C805" s="8" t="s">
        <v>10</v>
      </c>
      <c r="D805" s="9" t="n">
        <v>44082</v>
      </c>
      <c r="E805" s="9" t="str">
        <f aca="false">TEXT(D805,"MMM")</f>
        <v>set</v>
      </c>
      <c r="F805" s="10" t="n">
        <v>-1242.82</v>
      </c>
      <c r="G805" s="8" t="s">
        <v>34</v>
      </c>
      <c r="H805" s="8" t="s">
        <v>22</v>
      </c>
      <c r="I805" s="11" t="s">
        <v>23</v>
      </c>
      <c r="J805" s="8" t="s">
        <v>24</v>
      </c>
    </row>
    <row r="806" customFormat="false" ht="14.25" hidden="false" customHeight="false" outlineLevel="0" collapsed="false">
      <c r="A806" s="8" t="n">
        <v>805</v>
      </c>
      <c r="B806" s="8" t="s">
        <v>72</v>
      </c>
      <c r="C806" s="8" t="s">
        <v>16</v>
      </c>
      <c r="D806" s="9" t="n">
        <v>44082</v>
      </c>
      <c r="E806" s="9" t="str">
        <f aca="false">TEXT(D806,"MMM")</f>
        <v>set</v>
      </c>
      <c r="F806" s="10" t="n">
        <v>-709.14</v>
      </c>
      <c r="G806" s="8" t="s">
        <v>34</v>
      </c>
      <c r="H806" s="8" t="s">
        <v>12</v>
      </c>
      <c r="I806" s="11" t="s">
        <v>13</v>
      </c>
      <c r="J806" s="8" t="s">
        <v>26</v>
      </c>
    </row>
    <row r="807" customFormat="false" ht="14.25" hidden="false" customHeight="false" outlineLevel="0" collapsed="false">
      <c r="A807" s="8" t="n">
        <v>806</v>
      </c>
      <c r="B807" s="8" t="s">
        <v>79</v>
      </c>
      <c r="C807" s="8" t="s">
        <v>10</v>
      </c>
      <c r="D807" s="9" t="n">
        <v>44082</v>
      </c>
      <c r="E807" s="9" t="str">
        <f aca="false">TEXT(D807,"MMM")</f>
        <v>set</v>
      </c>
      <c r="F807" s="10" t="n">
        <v>-13096.27</v>
      </c>
      <c r="G807" s="8" t="s">
        <v>34</v>
      </c>
      <c r="H807" s="8" t="s">
        <v>12</v>
      </c>
      <c r="I807" s="11" t="s">
        <v>13</v>
      </c>
      <c r="J807" s="8" t="s">
        <v>26</v>
      </c>
    </row>
    <row r="808" customFormat="false" ht="14.25" hidden="false" customHeight="false" outlineLevel="0" collapsed="false">
      <c r="A808" s="8" t="n">
        <v>807</v>
      </c>
      <c r="B808" s="8" t="s">
        <v>45</v>
      </c>
      <c r="C808" s="8" t="s">
        <v>10</v>
      </c>
      <c r="D808" s="9" t="n">
        <v>44082</v>
      </c>
      <c r="E808" s="9" t="str">
        <f aca="false">TEXT(D808,"MMM")</f>
        <v>set</v>
      </c>
      <c r="F808" s="10" t="n">
        <v>-314443.15</v>
      </c>
      <c r="G808" s="8" t="s">
        <v>34</v>
      </c>
      <c r="H808" s="8" t="s">
        <v>17</v>
      </c>
      <c r="I808" s="11" t="s">
        <v>18</v>
      </c>
      <c r="J808" s="8" t="s">
        <v>14</v>
      </c>
    </row>
    <row r="809" customFormat="false" ht="14.25" hidden="false" customHeight="false" outlineLevel="0" collapsed="false">
      <c r="A809" s="8" t="n">
        <v>808</v>
      </c>
      <c r="B809" s="8" t="s">
        <v>72</v>
      </c>
      <c r="C809" s="8" t="s">
        <v>28</v>
      </c>
      <c r="D809" s="9" t="n">
        <v>44082</v>
      </c>
      <c r="E809" s="9" t="str">
        <f aca="false">TEXT(D809,"MMM")</f>
        <v>set</v>
      </c>
      <c r="F809" s="10" t="n">
        <v>-1903.9</v>
      </c>
      <c r="G809" s="8" t="s">
        <v>34</v>
      </c>
      <c r="H809" s="8" t="s">
        <v>12</v>
      </c>
      <c r="I809" s="11" t="s">
        <v>13</v>
      </c>
      <c r="J809" s="8" t="s">
        <v>14</v>
      </c>
    </row>
    <row r="810" customFormat="false" ht="14.25" hidden="false" customHeight="false" outlineLevel="0" collapsed="false">
      <c r="A810" s="8" t="n">
        <v>809</v>
      </c>
      <c r="B810" s="8" t="s">
        <v>47</v>
      </c>
      <c r="C810" s="8" t="s">
        <v>28</v>
      </c>
      <c r="D810" s="9" t="n">
        <v>44082</v>
      </c>
      <c r="E810" s="9" t="str">
        <f aca="false">TEXT(D810,"MMM")</f>
        <v>set</v>
      </c>
      <c r="F810" s="10" t="n">
        <v>-7858.55</v>
      </c>
      <c r="G810" s="8" t="s">
        <v>34</v>
      </c>
      <c r="H810" s="8" t="s">
        <v>12</v>
      </c>
      <c r="I810" s="11" t="s">
        <v>13</v>
      </c>
      <c r="J810" s="8" t="s">
        <v>14</v>
      </c>
    </row>
    <row r="811" customFormat="false" ht="14.25" hidden="false" customHeight="false" outlineLevel="0" collapsed="false">
      <c r="A811" s="8" t="n">
        <v>810</v>
      </c>
      <c r="B811" s="8" t="s">
        <v>79</v>
      </c>
      <c r="C811" s="8" t="s">
        <v>16</v>
      </c>
      <c r="D811" s="9" t="n">
        <v>44082</v>
      </c>
      <c r="E811" s="9" t="str">
        <f aca="false">TEXT(D811,"MMM")</f>
        <v>set</v>
      </c>
      <c r="F811" s="10" t="n">
        <v>-1139.88</v>
      </c>
      <c r="G811" s="8" t="s">
        <v>34</v>
      </c>
      <c r="H811" s="8" t="s">
        <v>12</v>
      </c>
      <c r="I811" s="11" t="s">
        <v>13</v>
      </c>
      <c r="J811" s="8" t="s">
        <v>26</v>
      </c>
    </row>
    <row r="812" customFormat="false" ht="14.25" hidden="false" customHeight="false" outlineLevel="0" collapsed="false">
      <c r="A812" s="8" t="n">
        <v>811</v>
      </c>
      <c r="B812" s="8" t="s">
        <v>47</v>
      </c>
      <c r="C812" s="8" t="s">
        <v>28</v>
      </c>
      <c r="D812" s="9" t="n">
        <v>44082</v>
      </c>
      <c r="E812" s="9" t="str">
        <f aca="false">TEXT(D812,"MMM")</f>
        <v>set</v>
      </c>
      <c r="F812" s="10" t="n">
        <v>-11567.19</v>
      </c>
      <c r="G812" s="8" t="s">
        <v>34</v>
      </c>
      <c r="H812" s="8" t="s">
        <v>12</v>
      </c>
      <c r="I812" s="11" t="s">
        <v>13</v>
      </c>
      <c r="J812" s="8" t="s">
        <v>24</v>
      </c>
    </row>
    <row r="813" customFormat="false" ht="14.25" hidden="false" customHeight="false" outlineLevel="0" collapsed="false">
      <c r="A813" s="8" t="n">
        <v>812</v>
      </c>
      <c r="B813" s="8" t="s">
        <v>39</v>
      </c>
      <c r="C813" s="8" t="s">
        <v>16</v>
      </c>
      <c r="D813" s="9" t="n">
        <v>44083</v>
      </c>
      <c r="E813" s="9" t="str">
        <f aca="false">TEXT(D813,"MMM")</f>
        <v>set</v>
      </c>
      <c r="F813" s="10" t="n">
        <v>-6212.05</v>
      </c>
      <c r="G813" s="8" t="s">
        <v>34</v>
      </c>
      <c r="H813" s="8" t="s">
        <v>12</v>
      </c>
      <c r="I813" s="11" t="s">
        <v>13</v>
      </c>
      <c r="J813" s="8" t="s">
        <v>14</v>
      </c>
    </row>
    <row r="814" customFormat="false" ht="14.25" hidden="false" customHeight="false" outlineLevel="0" collapsed="false">
      <c r="A814" s="8" t="n">
        <v>813</v>
      </c>
      <c r="B814" s="8" t="s">
        <v>85</v>
      </c>
      <c r="C814" s="8" t="s">
        <v>10</v>
      </c>
      <c r="D814" s="9" t="n">
        <v>44085</v>
      </c>
      <c r="E814" s="9" t="str">
        <f aca="false">TEXT(D814,"MMM")</f>
        <v>set</v>
      </c>
      <c r="F814" s="10" t="n">
        <v>28176.22</v>
      </c>
      <c r="G814" s="8" t="s">
        <v>11</v>
      </c>
      <c r="H814" s="8" t="s">
        <v>36</v>
      </c>
      <c r="I814" s="11" t="s">
        <v>37</v>
      </c>
      <c r="J814" s="8" t="s">
        <v>19</v>
      </c>
    </row>
    <row r="815" customFormat="false" ht="14.25" hidden="false" customHeight="false" outlineLevel="0" collapsed="false">
      <c r="A815" s="8" t="n">
        <v>814</v>
      </c>
      <c r="B815" s="8" t="s">
        <v>85</v>
      </c>
      <c r="C815" s="8" t="s">
        <v>28</v>
      </c>
      <c r="D815" s="9" t="n">
        <v>44085</v>
      </c>
      <c r="E815" s="9" t="str">
        <f aca="false">TEXT(D815,"MMM")</f>
        <v>set</v>
      </c>
      <c r="F815" s="10" t="n">
        <v>120597.88</v>
      </c>
      <c r="G815" s="8" t="s">
        <v>11</v>
      </c>
      <c r="H815" s="8" t="s">
        <v>12</v>
      </c>
      <c r="I815" s="11" t="s">
        <v>13</v>
      </c>
      <c r="J815" s="8" t="s">
        <v>26</v>
      </c>
    </row>
    <row r="816" customFormat="false" ht="14.25" hidden="false" customHeight="false" outlineLevel="0" collapsed="false">
      <c r="A816" s="8" t="n">
        <v>815</v>
      </c>
      <c r="B816" s="8" t="s">
        <v>9</v>
      </c>
      <c r="C816" s="8" t="s">
        <v>10</v>
      </c>
      <c r="D816" s="9" t="n">
        <v>44085</v>
      </c>
      <c r="E816" s="9" t="str">
        <f aca="false">TEXT(D816,"MMM")</f>
        <v>set</v>
      </c>
      <c r="F816" s="10" t="n">
        <v>153192.1</v>
      </c>
      <c r="G816" s="8" t="s">
        <v>11</v>
      </c>
      <c r="H816" s="8" t="s">
        <v>17</v>
      </c>
      <c r="I816" s="11" t="s">
        <v>18</v>
      </c>
      <c r="J816" s="8" t="s">
        <v>26</v>
      </c>
    </row>
    <row r="817" customFormat="false" ht="14.25" hidden="false" customHeight="false" outlineLevel="0" collapsed="false">
      <c r="A817" s="8" t="n">
        <v>816</v>
      </c>
      <c r="B817" s="8" t="s">
        <v>9</v>
      </c>
      <c r="C817" s="8" t="s">
        <v>21</v>
      </c>
      <c r="D817" s="9" t="n">
        <v>44089</v>
      </c>
      <c r="E817" s="9" t="str">
        <f aca="false">TEXT(D817,"MMM")</f>
        <v>set</v>
      </c>
      <c r="F817" s="10" t="n">
        <v>-902585.45</v>
      </c>
      <c r="G817" s="8" t="s">
        <v>34</v>
      </c>
      <c r="H817" s="8" t="s">
        <v>12</v>
      </c>
      <c r="I817" s="11" t="s">
        <v>13</v>
      </c>
      <c r="J817" s="8" t="s">
        <v>26</v>
      </c>
    </row>
    <row r="818" customFormat="false" ht="14.25" hidden="false" customHeight="false" outlineLevel="0" collapsed="false">
      <c r="A818" s="8" t="n">
        <v>817</v>
      </c>
      <c r="B818" s="8" t="s">
        <v>33</v>
      </c>
      <c r="C818" s="8" t="s">
        <v>10</v>
      </c>
      <c r="D818" s="9" t="n">
        <v>44090</v>
      </c>
      <c r="E818" s="9" t="str">
        <f aca="false">TEXT(D818,"MMM")</f>
        <v>set</v>
      </c>
      <c r="F818" s="10" t="n">
        <v>11028.96</v>
      </c>
      <c r="G818" s="8" t="s">
        <v>11</v>
      </c>
      <c r="H818" s="8" t="s">
        <v>36</v>
      </c>
      <c r="I818" s="11" t="s">
        <v>37</v>
      </c>
      <c r="J818" s="8" t="s">
        <v>14</v>
      </c>
    </row>
    <row r="819" customFormat="false" ht="14.25" hidden="false" customHeight="false" outlineLevel="0" collapsed="false">
      <c r="A819" s="8" t="n">
        <v>818</v>
      </c>
      <c r="B819" s="8" t="s">
        <v>39</v>
      </c>
      <c r="C819" s="8" t="s">
        <v>10</v>
      </c>
      <c r="D819" s="9" t="n">
        <v>44090</v>
      </c>
      <c r="E819" s="9" t="str">
        <f aca="false">TEXT(D819,"MMM")</f>
        <v>set</v>
      </c>
      <c r="F819" s="10" t="n">
        <v>19194.43</v>
      </c>
      <c r="G819" s="8" t="s">
        <v>11</v>
      </c>
      <c r="H819" s="8" t="s">
        <v>12</v>
      </c>
      <c r="I819" s="11" t="s">
        <v>13</v>
      </c>
      <c r="J819" s="8" t="s">
        <v>24</v>
      </c>
    </row>
    <row r="820" customFormat="false" ht="14.25" hidden="false" customHeight="false" outlineLevel="0" collapsed="false">
      <c r="A820" s="8" t="n">
        <v>819</v>
      </c>
      <c r="B820" s="8" t="s">
        <v>33</v>
      </c>
      <c r="C820" s="8" t="s">
        <v>28</v>
      </c>
      <c r="D820" s="9" t="n">
        <v>44090</v>
      </c>
      <c r="E820" s="9" t="str">
        <f aca="false">TEXT(D820,"MMM")</f>
        <v>set</v>
      </c>
      <c r="F820" s="10" t="n">
        <v>20369.6</v>
      </c>
      <c r="G820" s="8" t="s">
        <v>11</v>
      </c>
      <c r="H820" s="8" t="s">
        <v>36</v>
      </c>
      <c r="I820" s="11" t="s">
        <v>37</v>
      </c>
      <c r="J820" s="8" t="s">
        <v>19</v>
      </c>
    </row>
    <row r="821" customFormat="false" ht="14.25" hidden="false" customHeight="false" outlineLevel="0" collapsed="false">
      <c r="A821" s="8" t="n">
        <v>820</v>
      </c>
      <c r="B821" s="8" t="s">
        <v>33</v>
      </c>
      <c r="C821" s="8" t="s">
        <v>28</v>
      </c>
      <c r="D821" s="9" t="n">
        <v>44090</v>
      </c>
      <c r="E821" s="9" t="str">
        <f aca="false">TEXT(D821,"MMM")</f>
        <v>set</v>
      </c>
      <c r="F821" s="10" t="n">
        <v>11477.74</v>
      </c>
      <c r="G821" s="8" t="s">
        <v>11</v>
      </c>
      <c r="H821" s="8" t="s">
        <v>12</v>
      </c>
      <c r="I821" s="11" t="s">
        <v>13</v>
      </c>
      <c r="J821" s="8" t="s">
        <v>14</v>
      </c>
    </row>
    <row r="822" customFormat="false" ht="14.25" hidden="false" customHeight="false" outlineLevel="0" collapsed="false">
      <c r="A822" s="8" t="n">
        <v>821</v>
      </c>
      <c r="B822" s="8" t="s">
        <v>33</v>
      </c>
      <c r="C822" s="8" t="s">
        <v>16</v>
      </c>
      <c r="D822" s="9" t="n">
        <v>44090</v>
      </c>
      <c r="E822" s="9" t="str">
        <f aca="false">TEXT(D822,"MMM")</f>
        <v>set</v>
      </c>
      <c r="F822" s="10" t="n">
        <v>10914.08</v>
      </c>
      <c r="G822" s="8" t="s">
        <v>11</v>
      </c>
      <c r="H822" s="8" t="s">
        <v>17</v>
      </c>
      <c r="I822" s="11" t="s">
        <v>18</v>
      </c>
      <c r="J822" s="8" t="s">
        <v>14</v>
      </c>
    </row>
    <row r="823" customFormat="false" ht="14.25" hidden="false" customHeight="false" outlineLevel="0" collapsed="false">
      <c r="A823" s="8" t="n">
        <v>822</v>
      </c>
      <c r="B823" s="8" t="s">
        <v>33</v>
      </c>
      <c r="C823" s="8" t="s">
        <v>21</v>
      </c>
      <c r="D823" s="9" t="n">
        <v>44090</v>
      </c>
      <c r="E823" s="9" t="str">
        <f aca="false">TEXT(D823,"MMM")</f>
        <v>set</v>
      </c>
      <c r="F823" s="10" t="n">
        <v>-2299.96</v>
      </c>
      <c r="G823" s="8" t="s">
        <v>34</v>
      </c>
      <c r="H823" s="8" t="s">
        <v>17</v>
      </c>
      <c r="I823" s="11" t="s">
        <v>18</v>
      </c>
      <c r="J823" s="8" t="s">
        <v>14</v>
      </c>
    </row>
    <row r="824" customFormat="false" ht="14.25" hidden="false" customHeight="false" outlineLevel="0" collapsed="false">
      <c r="A824" s="8" t="n">
        <v>823</v>
      </c>
      <c r="B824" s="8" t="s">
        <v>138</v>
      </c>
      <c r="C824" s="8" t="s">
        <v>10</v>
      </c>
      <c r="D824" s="9" t="n">
        <v>44092</v>
      </c>
      <c r="E824" s="9" t="str">
        <f aca="false">TEXT(D824,"MMM")</f>
        <v>set</v>
      </c>
      <c r="F824" s="10" t="n">
        <v>-1812.51</v>
      </c>
      <c r="G824" s="8" t="s">
        <v>34</v>
      </c>
      <c r="H824" s="8" t="s">
        <v>36</v>
      </c>
      <c r="I824" s="11" t="s">
        <v>37</v>
      </c>
      <c r="J824" s="8" t="s">
        <v>14</v>
      </c>
    </row>
    <row r="825" customFormat="false" ht="14.25" hidden="false" customHeight="false" outlineLevel="0" collapsed="false">
      <c r="A825" s="8" t="n">
        <v>824</v>
      </c>
      <c r="B825" s="8" t="s">
        <v>85</v>
      </c>
      <c r="C825" s="8" t="s">
        <v>16</v>
      </c>
      <c r="D825" s="9" t="n">
        <v>44092</v>
      </c>
      <c r="E825" s="9" t="str">
        <f aca="false">TEXT(D825,"MMM")</f>
        <v>set</v>
      </c>
      <c r="F825" s="10" t="n">
        <v>-335.55</v>
      </c>
      <c r="G825" s="8" t="s">
        <v>34</v>
      </c>
      <c r="H825" s="8" t="s">
        <v>12</v>
      </c>
      <c r="I825" s="11" t="s">
        <v>13</v>
      </c>
      <c r="J825" s="8" t="s">
        <v>24</v>
      </c>
    </row>
    <row r="826" customFormat="false" ht="14.25" hidden="false" customHeight="false" outlineLevel="0" collapsed="false">
      <c r="A826" s="8" t="n">
        <v>825</v>
      </c>
      <c r="B826" s="8" t="s">
        <v>50</v>
      </c>
      <c r="C826" s="8" t="s">
        <v>28</v>
      </c>
      <c r="D826" s="9" t="n">
        <v>44093</v>
      </c>
      <c r="E826" s="9" t="str">
        <f aca="false">TEXT(D826,"MMM")</f>
        <v>set</v>
      </c>
      <c r="F826" s="10" t="n">
        <v>83.23</v>
      </c>
      <c r="G826" s="8" t="s">
        <v>11</v>
      </c>
      <c r="H826" s="8" t="s">
        <v>17</v>
      </c>
      <c r="I826" s="11" t="s">
        <v>18</v>
      </c>
      <c r="J826" s="8" t="s">
        <v>14</v>
      </c>
    </row>
    <row r="827" customFormat="false" ht="14.25" hidden="false" customHeight="false" outlineLevel="0" collapsed="false">
      <c r="A827" s="8" t="n">
        <v>826</v>
      </c>
      <c r="B827" s="8" t="s">
        <v>81</v>
      </c>
      <c r="C827" s="8" t="s">
        <v>10</v>
      </c>
      <c r="D827" s="9" t="n">
        <v>44093</v>
      </c>
      <c r="E827" s="9" t="str">
        <f aca="false">TEXT(D827,"MMM")</f>
        <v>set</v>
      </c>
      <c r="F827" s="10" t="n">
        <v>127153.8</v>
      </c>
      <c r="G827" s="8" t="s">
        <v>11</v>
      </c>
      <c r="H827" s="8" t="s">
        <v>12</v>
      </c>
      <c r="I827" s="11" t="s">
        <v>13</v>
      </c>
      <c r="J827" s="8" t="s">
        <v>14</v>
      </c>
    </row>
    <row r="828" customFormat="false" ht="14.25" hidden="false" customHeight="false" outlineLevel="0" collapsed="false">
      <c r="A828" s="8" t="n">
        <v>827</v>
      </c>
      <c r="B828" s="8" t="s">
        <v>81</v>
      </c>
      <c r="C828" s="8" t="s">
        <v>16</v>
      </c>
      <c r="D828" s="9" t="n">
        <v>44093</v>
      </c>
      <c r="E828" s="9" t="str">
        <f aca="false">TEXT(D828,"MMM")</f>
        <v>set</v>
      </c>
      <c r="F828" s="10" t="n">
        <v>-7122.15</v>
      </c>
      <c r="G828" s="8" t="s">
        <v>34</v>
      </c>
      <c r="H828" s="8" t="s">
        <v>30</v>
      </c>
      <c r="I828" s="11" t="s">
        <v>31</v>
      </c>
      <c r="J828" s="8" t="s">
        <v>26</v>
      </c>
    </row>
    <row r="829" customFormat="false" ht="14.25" hidden="false" customHeight="false" outlineLevel="0" collapsed="false">
      <c r="A829" s="8" t="n">
        <v>828</v>
      </c>
      <c r="B829" s="8" t="s">
        <v>81</v>
      </c>
      <c r="C829" s="8" t="s">
        <v>16</v>
      </c>
      <c r="D829" s="9" t="n">
        <v>44093</v>
      </c>
      <c r="E829" s="9" t="str">
        <f aca="false">TEXT(D829,"MMM")</f>
        <v>set</v>
      </c>
      <c r="F829" s="10" t="n">
        <v>-665839.55</v>
      </c>
      <c r="G829" s="8" t="s">
        <v>34</v>
      </c>
      <c r="H829" s="8" t="s">
        <v>36</v>
      </c>
      <c r="I829" s="11" t="s">
        <v>37</v>
      </c>
      <c r="J829" s="8" t="s">
        <v>14</v>
      </c>
    </row>
    <row r="830" customFormat="false" ht="14.25" hidden="false" customHeight="false" outlineLevel="0" collapsed="false">
      <c r="A830" s="8" t="n">
        <v>829</v>
      </c>
      <c r="B830" s="8" t="s">
        <v>81</v>
      </c>
      <c r="C830" s="8" t="s">
        <v>16</v>
      </c>
      <c r="D830" s="9" t="n">
        <v>44093</v>
      </c>
      <c r="E830" s="9" t="str">
        <f aca="false">TEXT(D830,"MMM")</f>
        <v>set</v>
      </c>
      <c r="F830" s="10" t="n">
        <v>3781.48</v>
      </c>
      <c r="G830" s="8" t="s">
        <v>11</v>
      </c>
      <c r="H830" s="8" t="s">
        <v>17</v>
      </c>
      <c r="I830" s="11" t="s">
        <v>18</v>
      </c>
      <c r="J830" s="8" t="s">
        <v>26</v>
      </c>
    </row>
    <row r="831" customFormat="false" ht="14.25" hidden="false" customHeight="false" outlineLevel="0" collapsed="false">
      <c r="A831" s="8" t="n">
        <v>830</v>
      </c>
      <c r="B831" s="8" t="s">
        <v>81</v>
      </c>
      <c r="C831" s="8" t="s">
        <v>16</v>
      </c>
      <c r="D831" s="9" t="n">
        <v>44093</v>
      </c>
      <c r="E831" s="9" t="str">
        <f aca="false">TEXT(D831,"MMM")</f>
        <v>set</v>
      </c>
      <c r="F831" s="10" t="n">
        <v>12178.7</v>
      </c>
      <c r="G831" s="8" t="s">
        <v>11</v>
      </c>
      <c r="H831" s="8" t="s">
        <v>36</v>
      </c>
      <c r="I831" s="11" t="s">
        <v>37</v>
      </c>
      <c r="J831" s="8" t="s">
        <v>26</v>
      </c>
    </row>
    <row r="832" customFormat="false" ht="14.25" hidden="false" customHeight="false" outlineLevel="0" collapsed="false">
      <c r="A832" s="8" t="n">
        <v>831</v>
      </c>
      <c r="B832" s="8" t="s">
        <v>81</v>
      </c>
      <c r="C832" s="8" t="s">
        <v>28</v>
      </c>
      <c r="D832" s="9" t="n">
        <v>44093</v>
      </c>
      <c r="E832" s="9" t="str">
        <f aca="false">TEXT(D832,"MMM")</f>
        <v>set</v>
      </c>
      <c r="F832" s="10" t="n">
        <v>898.15</v>
      </c>
      <c r="G832" s="8" t="s">
        <v>11</v>
      </c>
      <c r="H832" s="8" t="s">
        <v>12</v>
      </c>
      <c r="I832" s="11" t="s">
        <v>13</v>
      </c>
      <c r="J832" s="8" t="s">
        <v>14</v>
      </c>
    </row>
    <row r="833" customFormat="false" ht="14.25" hidden="false" customHeight="false" outlineLevel="0" collapsed="false">
      <c r="A833" s="8" t="n">
        <v>832</v>
      </c>
      <c r="B833" s="8" t="s">
        <v>81</v>
      </c>
      <c r="C833" s="8" t="s">
        <v>10</v>
      </c>
      <c r="D833" s="9" t="n">
        <v>44093</v>
      </c>
      <c r="E833" s="9" t="str">
        <f aca="false">TEXT(D833,"MMM")</f>
        <v>set</v>
      </c>
      <c r="F833" s="10" t="n">
        <v>144188.92</v>
      </c>
      <c r="G833" s="8" t="s">
        <v>11</v>
      </c>
      <c r="H833" s="8" t="s">
        <v>17</v>
      </c>
      <c r="I833" s="11" t="s">
        <v>18</v>
      </c>
      <c r="J833" s="8" t="s">
        <v>14</v>
      </c>
    </row>
    <row r="834" customFormat="false" ht="14.25" hidden="false" customHeight="false" outlineLevel="0" collapsed="false">
      <c r="A834" s="8" t="n">
        <v>833</v>
      </c>
      <c r="B834" s="8" t="s">
        <v>81</v>
      </c>
      <c r="C834" s="8" t="s">
        <v>16</v>
      </c>
      <c r="D834" s="9" t="n">
        <v>44093</v>
      </c>
      <c r="E834" s="9" t="str">
        <f aca="false">TEXT(D834,"MMM")</f>
        <v>set</v>
      </c>
      <c r="F834" s="10" t="n">
        <v>131307.27</v>
      </c>
      <c r="G834" s="8" t="s">
        <v>11</v>
      </c>
      <c r="H834" s="8" t="s">
        <v>12</v>
      </c>
      <c r="I834" s="11" t="s">
        <v>13</v>
      </c>
      <c r="J834" s="8" t="s">
        <v>14</v>
      </c>
    </row>
    <row r="835" customFormat="false" ht="14.25" hidden="false" customHeight="false" outlineLevel="0" collapsed="false">
      <c r="A835" s="8" t="n">
        <v>834</v>
      </c>
      <c r="B835" s="8" t="s">
        <v>41</v>
      </c>
      <c r="C835" s="8" t="s">
        <v>28</v>
      </c>
      <c r="D835" s="9" t="n">
        <v>44094</v>
      </c>
      <c r="E835" s="9" t="str">
        <f aca="false">TEXT(D835,"MMM")</f>
        <v>set</v>
      </c>
      <c r="F835" s="10" t="n">
        <v>308.9</v>
      </c>
      <c r="G835" s="8" t="s">
        <v>11</v>
      </c>
      <c r="H835" s="8" t="s">
        <v>17</v>
      </c>
      <c r="I835" s="11" t="s">
        <v>18</v>
      </c>
      <c r="J835" s="8" t="s">
        <v>19</v>
      </c>
    </row>
    <row r="836" customFormat="false" ht="14.25" hidden="false" customHeight="false" outlineLevel="0" collapsed="false">
      <c r="A836" s="8" t="n">
        <v>835</v>
      </c>
      <c r="B836" s="8" t="s">
        <v>139</v>
      </c>
      <c r="C836" s="8" t="s">
        <v>10</v>
      </c>
      <c r="D836" s="9" t="n">
        <v>44094</v>
      </c>
      <c r="E836" s="9" t="str">
        <f aca="false">TEXT(D836,"MMM")</f>
        <v>set</v>
      </c>
      <c r="F836" s="10" t="n">
        <v>10460.91</v>
      </c>
      <c r="G836" s="8" t="s">
        <v>11</v>
      </c>
      <c r="H836" s="8" t="s">
        <v>12</v>
      </c>
      <c r="I836" s="11" t="s">
        <v>13</v>
      </c>
      <c r="J836" s="8" t="s">
        <v>19</v>
      </c>
    </row>
    <row r="837" customFormat="false" ht="14.25" hidden="false" customHeight="false" outlineLevel="0" collapsed="false">
      <c r="A837" s="8" t="n">
        <v>836</v>
      </c>
      <c r="B837" s="8" t="s">
        <v>9</v>
      </c>
      <c r="C837" s="8" t="s">
        <v>21</v>
      </c>
      <c r="D837" s="9" t="n">
        <v>44094</v>
      </c>
      <c r="E837" s="9" t="str">
        <f aca="false">TEXT(D837,"MMM")</f>
        <v>set</v>
      </c>
      <c r="F837" s="10" t="n">
        <v>28835.76</v>
      </c>
      <c r="G837" s="8" t="s">
        <v>11</v>
      </c>
      <c r="H837" s="8" t="s">
        <v>36</v>
      </c>
      <c r="I837" s="11" t="s">
        <v>37</v>
      </c>
      <c r="J837" s="8" t="s">
        <v>26</v>
      </c>
    </row>
    <row r="838" customFormat="false" ht="14.25" hidden="false" customHeight="false" outlineLevel="0" collapsed="false">
      <c r="A838" s="8" t="n">
        <v>837</v>
      </c>
      <c r="B838" s="8" t="s">
        <v>58</v>
      </c>
      <c r="C838" s="8" t="s">
        <v>28</v>
      </c>
      <c r="D838" s="9" t="n">
        <v>44095</v>
      </c>
      <c r="E838" s="9" t="str">
        <f aca="false">TEXT(D838,"MMM")</f>
        <v>set</v>
      </c>
      <c r="F838" s="10" t="n">
        <v>145049.7</v>
      </c>
      <c r="G838" s="8" t="s">
        <v>11</v>
      </c>
      <c r="H838" s="8" t="s">
        <v>12</v>
      </c>
      <c r="I838" s="11" t="s">
        <v>13</v>
      </c>
      <c r="J838" s="8" t="s">
        <v>14</v>
      </c>
    </row>
    <row r="839" customFormat="false" ht="14.25" hidden="false" customHeight="false" outlineLevel="0" collapsed="false">
      <c r="A839" s="8" t="n">
        <v>838</v>
      </c>
      <c r="B839" s="8" t="s">
        <v>58</v>
      </c>
      <c r="C839" s="8" t="s">
        <v>21</v>
      </c>
      <c r="D839" s="9" t="n">
        <v>44095</v>
      </c>
      <c r="E839" s="9" t="str">
        <f aca="false">TEXT(D839,"MMM")</f>
        <v>set</v>
      </c>
      <c r="F839" s="10" t="n">
        <v>7904.52</v>
      </c>
      <c r="G839" s="8" t="s">
        <v>11</v>
      </c>
      <c r="H839" s="8" t="s">
        <v>36</v>
      </c>
      <c r="I839" s="11" t="s">
        <v>37</v>
      </c>
      <c r="J839" s="8" t="s">
        <v>19</v>
      </c>
    </row>
    <row r="840" customFormat="false" ht="14.25" hidden="false" customHeight="false" outlineLevel="0" collapsed="false">
      <c r="A840" s="8" t="n">
        <v>839</v>
      </c>
      <c r="B840" s="8" t="s">
        <v>58</v>
      </c>
      <c r="C840" s="8" t="s">
        <v>21</v>
      </c>
      <c r="D840" s="9" t="n">
        <v>44095</v>
      </c>
      <c r="E840" s="9" t="str">
        <f aca="false">TEXT(D840,"MMM")</f>
        <v>set</v>
      </c>
      <c r="F840" s="10" t="n">
        <v>22579.01</v>
      </c>
      <c r="G840" s="8" t="s">
        <v>11</v>
      </c>
      <c r="H840" s="8" t="s">
        <v>36</v>
      </c>
      <c r="I840" s="11" t="s">
        <v>37</v>
      </c>
      <c r="J840" s="8" t="s">
        <v>24</v>
      </c>
    </row>
    <row r="841" customFormat="false" ht="14.25" hidden="false" customHeight="false" outlineLevel="0" collapsed="false">
      <c r="A841" s="8" t="n">
        <v>840</v>
      </c>
      <c r="B841" s="8" t="s">
        <v>58</v>
      </c>
      <c r="C841" s="8" t="s">
        <v>10</v>
      </c>
      <c r="D841" s="9" t="n">
        <v>44095</v>
      </c>
      <c r="E841" s="9" t="str">
        <f aca="false">TEXT(D841,"MMM")</f>
        <v>set</v>
      </c>
      <c r="F841" s="10" t="n">
        <v>22270</v>
      </c>
      <c r="G841" s="8" t="s">
        <v>11</v>
      </c>
      <c r="H841" s="8" t="s">
        <v>12</v>
      </c>
      <c r="I841" s="11" t="s">
        <v>13</v>
      </c>
      <c r="J841" s="8" t="s">
        <v>19</v>
      </c>
    </row>
    <row r="842" customFormat="false" ht="14.25" hidden="false" customHeight="false" outlineLevel="0" collapsed="false">
      <c r="A842" s="8" t="n">
        <v>841</v>
      </c>
      <c r="B842" s="8" t="s">
        <v>58</v>
      </c>
      <c r="C842" s="8" t="s">
        <v>10</v>
      </c>
      <c r="D842" s="9" t="n">
        <v>44095</v>
      </c>
      <c r="E842" s="9" t="str">
        <f aca="false">TEXT(D842,"MMM")</f>
        <v>set</v>
      </c>
      <c r="F842" s="10" t="n">
        <v>28844.42</v>
      </c>
      <c r="G842" s="8" t="s">
        <v>11</v>
      </c>
      <c r="H842" s="8" t="s">
        <v>17</v>
      </c>
      <c r="I842" s="11" t="s">
        <v>18</v>
      </c>
      <c r="J842" s="8" t="s">
        <v>24</v>
      </c>
    </row>
    <row r="843" customFormat="false" ht="14.25" hidden="false" customHeight="false" outlineLevel="0" collapsed="false">
      <c r="A843" s="8" t="n">
        <v>842</v>
      </c>
      <c r="B843" s="8" t="s">
        <v>58</v>
      </c>
      <c r="C843" s="8" t="s">
        <v>28</v>
      </c>
      <c r="D843" s="9" t="n">
        <v>44095</v>
      </c>
      <c r="E843" s="9" t="str">
        <f aca="false">TEXT(D843,"MMM")</f>
        <v>set</v>
      </c>
      <c r="F843" s="10" t="n">
        <v>171262.08</v>
      </c>
      <c r="G843" s="8" t="s">
        <v>11</v>
      </c>
      <c r="H843" s="8" t="s">
        <v>17</v>
      </c>
      <c r="I843" s="11" t="s">
        <v>18</v>
      </c>
      <c r="J843" s="8" t="s">
        <v>19</v>
      </c>
    </row>
    <row r="844" customFormat="false" ht="14.25" hidden="false" customHeight="false" outlineLevel="0" collapsed="false">
      <c r="A844" s="8" t="n">
        <v>843</v>
      </c>
      <c r="B844" s="8" t="s">
        <v>58</v>
      </c>
      <c r="C844" s="8" t="s">
        <v>16</v>
      </c>
      <c r="D844" s="9" t="n">
        <v>44095</v>
      </c>
      <c r="E844" s="9" t="str">
        <f aca="false">TEXT(D844,"MMM")</f>
        <v>set</v>
      </c>
      <c r="F844" s="10" t="n">
        <v>9679.04</v>
      </c>
      <c r="G844" s="8" t="s">
        <v>11</v>
      </c>
      <c r="H844" s="8" t="s">
        <v>22</v>
      </c>
      <c r="I844" s="11" t="s">
        <v>23</v>
      </c>
      <c r="J844" s="8" t="s">
        <v>24</v>
      </c>
    </row>
    <row r="845" customFormat="false" ht="14.25" hidden="false" customHeight="false" outlineLevel="0" collapsed="false">
      <c r="A845" s="8" t="n">
        <v>844</v>
      </c>
      <c r="B845" s="8" t="s">
        <v>58</v>
      </c>
      <c r="C845" s="8" t="s">
        <v>28</v>
      </c>
      <c r="D845" s="9" t="n">
        <v>44095</v>
      </c>
      <c r="E845" s="9" t="str">
        <f aca="false">TEXT(D845,"MMM")</f>
        <v>set</v>
      </c>
      <c r="F845" s="10" t="n">
        <v>23480.29</v>
      </c>
      <c r="G845" s="8" t="s">
        <v>11</v>
      </c>
      <c r="H845" s="8" t="s">
        <v>17</v>
      </c>
      <c r="I845" s="11" t="s">
        <v>18</v>
      </c>
      <c r="J845" s="8" t="s">
        <v>14</v>
      </c>
    </row>
    <row r="846" customFormat="false" ht="14.25" hidden="false" customHeight="false" outlineLevel="0" collapsed="false">
      <c r="A846" s="8" t="n">
        <v>845</v>
      </c>
      <c r="B846" s="8" t="s">
        <v>58</v>
      </c>
      <c r="C846" s="8" t="s">
        <v>21</v>
      </c>
      <c r="D846" s="9" t="n">
        <v>44095</v>
      </c>
      <c r="E846" s="9" t="str">
        <f aca="false">TEXT(D846,"MMM")</f>
        <v>set</v>
      </c>
      <c r="F846" s="10" t="n">
        <v>26646.75</v>
      </c>
      <c r="G846" s="8" t="s">
        <v>11</v>
      </c>
      <c r="H846" s="8" t="s">
        <v>36</v>
      </c>
      <c r="I846" s="11" t="s">
        <v>37</v>
      </c>
      <c r="J846" s="8" t="s">
        <v>14</v>
      </c>
    </row>
    <row r="847" customFormat="false" ht="14.25" hidden="false" customHeight="false" outlineLevel="0" collapsed="false">
      <c r="A847" s="8" t="n">
        <v>846</v>
      </c>
      <c r="B847" s="8" t="s">
        <v>9</v>
      </c>
      <c r="C847" s="8" t="s">
        <v>16</v>
      </c>
      <c r="D847" s="9" t="n">
        <v>44096</v>
      </c>
      <c r="E847" s="9" t="str">
        <f aca="false">TEXT(D847,"MMM")</f>
        <v>set</v>
      </c>
      <c r="F847" s="10" t="n">
        <v>27689.42</v>
      </c>
      <c r="G847" s="8" t="s">
        <v>11</v>
      </c>
      <c r="H847" s="8" t="s">
        <v>17</v>
      </c>
      <c r="I847" s="11" t="s">
        <v>18</v>
      </c>
      <c r="J847" s="8" t="s">
        <v>14</v>
      </c>
    </row>
    <row r="848" customFormat="false" ht="14.25" hidden="false" customHeight="false" outlineLevel="0" collapsed="false">
      <c r="A848" s="8" t="n">
        <v>847</v>
      </c>
      <c r="B848" s="8" t="s">
        <v>15</v>
      </c>
      <c r="C848" s="8" t="s">
        <v>16</v>
      </c>
      <c r="D848" s="9" t="n">
        <v>44096</v>
      </c>
      <c r="E848" s="9" t="str">
        <f aca="false">TEXT(D848,"MMM")</f>
        <v>set</v>
      </c>
      <c r="F848" s="10" t="n">
        <v>28023.1</v>
      </c>
      <c r="G848" s="8" t="s">
        <v>11</v>
      </c>
      <c r="H848" s="8" t="s">
        <v>12</v>
      </c>
      <c r="I848" s="11" t="s">
        <v>13</v>
      </c>
      <c r="J848" s="8" t="s">
        <v>14</v>
      </c>
    </row>
    <row r="849" customFormat="false" ht="14.25" hidden="false" customHeight="false" outlineLevel="0" collapsed="false">
      <c r="A849" s="8" t="n">
        <v>848</v>
      </c>
      <c r="B849" s="8" t="s">
        <v>44</v>
      </c>
      <c r="C849" s="8" t="s">
        <v>21</v>
      </c>
      <c r="D849" s="9" t="n">
        <v>44097</v>
      </c>
      <c r="E849" s="9" t="str">
        <f aca="false">TEXT(D849,"MMM")</f>
        <v>set</v>
      </c>
      <c r="F849" s="10" t="n">
        <v>142330.24</v>
      </c>
      <c r="G849" s="8" t="s">
        <v>11</v>
      </c>
      <c r="H849" s="8" t="s">
        <v>36</v>
      </c>
      <c r="I849" s="11" t="s">
        <v>37</v>
      </c>
      <c r="J849" s="8" t="s">
        <v>14</v>
      </c>
    </row>
    <row r="850" customFormat="false" ht="14.25" hidden="false" customHeight="false" outlineLevel="0" collapsed="false">
      <c r="A850" s="8" t="n">
        <v>849</v>
      </c>
      <c r="B850" s="8" t="s">
        <v>44</v>
      </c>
      <c r="C850" s="8" t="s">
        <v>10</v>
      </c>
      <c r="D850" s="9" t="n">
        <v>44097</v>
      </c>
      <c r="E850" s="9" t="str">
        <f aca="false">TEXT(D850,"MMM")</f>
        <v>set</v>
      </c>
      <c r="F850" s="10" t="n">
        <v>-54723.38</v>
      </c>
      <c r="G850" s="8" t="s">
        <v>34</v>
      </c>
      <c r="H850" s="8" t="s">
        <v>17</v>
      </c>
      <c r="I850" s="11" t="s">
        <v>18</v>
      </c>
      <c r="J850" s="8" t="s">
        <v>14</v>
      </c>
    </row>
    <row r="851" customFormat="false" ht="14.25" hidden="false" customHeight="false" outlineLevel="0" collapsed="false">
      <c r="A851" s="8" t="n">
        <v>850</v>
      </c>
      <c r="B851" s="8" t="s">
        <v>57</v>
      </c>
      <c r="C851" s="8" t="s">
        <v>16</v>
      </c>
      <c r="D851" s="9" t="n">
        <v>44097</v>
      </c>
      <c r="E851" s="9" t="str">
        <f aca="false">TEXT(D851,"MMM")</f>
        <v>set</v>
      </c>
      <c r="F851" s="10" t="n">
        <v>840.03</v>
      </c>
      <c r="G851" s="8" t="s">
        <v>11</v>
      </c>
      <c r="H851" s="8" t="s">
        <v>12</v>
      </c>
      <c r="I851" s="11" t="s">
        <v>13</v>
      </c>
      <c r="J851" s="8" t="s">
        <v>26</v>
      </c>
    </row>
    <row r="852" customFormat="false" ht="14.25" hidden="false" customHeight="false" outlineLevel="0" collapsed="false">
      <c r="A852" s="8" t="n">
        <v>851</v>
      </c>
      <c r="B852" s="8" t="s">
        <v>72</v>
      </c>
      <c r="C852" s="8" t="s">
        <v>10</v>
      </c>
      <c r="D852" s="9" t="n">
        <v>44097</v>
      </c>
      <c r="E852" s="9" t="str">
        <f aca="false">TEXT(D852,"MMM")</f>
        <v>set</v>
      </c>
      <c r="F852" s="10" t="n">
        <v>4136.98</v>
      </c>
      <c r="G852" s="8" t="s">
        <v>11</v>
      </c>
      <c r="H852" s="8" t="s">
        <v>17</v>
      </c>
      <c r="I852" s="11" t="s">
        <v>18</v>
      </c>
      <c r="J852" s="8" t="s">
        <v>14</v>
      </c>
    </row>
    <row r="853" customFormat="false" ht="14.25" hidden="false" customHeight="false" outlineLevel="0" collapsed="false">
      <c r="A853" s="8" t="n">
        <v>852</v>
      </c>
      <c r="B853" s="8" t="s">
        <v>79</v>
      </c>
      <c r="C853" s="8" t="s">
        <v>10</v>
      </c>
      <c r="D853" s="9" t="n">
        <v>44097</v>
      </c>
      <c r="E853" s="9" t="str">
        <f aca="false">TEXT(D853,"MMM")</f>
        <v>set</v>
      </c>
      <c r="F853" s="10" t="n">
        <v>1652040.74</v>
      </c>
      <c r="G853" s="8" t="s">
        <v>11</v>
      </c>
      <c r="H853" s="8" t="s">
        <v>12</v>
      </c>
      <c r="I853" s="11" t="s">
        <v>13</v>
      </c>
      <c r="J853" s="8" t="s">
        <v>14</v>
      </c>
    </row>
    <row r="854" customFormat="false" ht="14.25" hidden="false" customHeight="false" outlineLevel="0" collapsed="false">
      <c r="A854" s="8" t="n">
        <v>853</v>
      </c>
      <c r="B854" s="8" t="s">
        <v>45</v>
      </c>
      <c r="C854" s="8" t="s">
        <v>10</v>
      </c>
      <c r="D854" s="9" t="n">
        <v>44097</v>
      </c>
      <c r="E854" s="9" t="str">
        <f aca="false">TEXT(D854,"MMM")</f>
        <v>set</v>
      </c>
      <c r="F854" s="10" t="n">
        <v>10391.57</v>
      </c>
      <c r="G854" s="8" t="s">
        <v>11</v>
      </c>
      <c r="H854" s="8" t="s">
        <v>12</v>
      </c>
      <c r="I854" s="11" t="s">
        <v>13</v>
      </c>
      <c r="J854" s="8" t="s">
        <v>26</v>
      </c>
    </row>
    <row r="855" customFormat="false" ht="14.25" hidden="false" customHeight="false" outlineLevel="0" collapsed="false">
      <c r="A855" s="8" t="n">
        <v>854</v>
      </c>
      <c r="B855" s="8" t="s">
        <v>45</v>
      </c>
      <c r="C855" s="8" t="s">
        <v>21</v>
      </c>
      <c r="D855" s="9" t="n">
        <v>44097</v>
      </c>
      <c r="E855" s="9" t="str">
        <f aca="false">TEXT(D855,"MMM")</f>
        <v>set</v>
      </c>
      <c r="F855" s="10" t="n">
        <v>22291.73</v>
      </c>
      <c r="G855" s="8" t="s">
        <v>11</v>
      </c>
      <c r="H855" s="8" t="s">
        <v>17</v>
      </c>
      <c r="I855" s="11" t="s">
        <v>18</v>
      </c>
      <c r="J855" s="8" t="s">
        <v>19</v>
      </c>
    </row>
    <row r="856" customFormat="false" ht="14.25" hidden="false" customHeight="false" outlineLevel="0" collapsed="false">
      <c r="A856" s="8" t="n">
        <v>855</v>
      </c>
      <c r="B856" s="8" t="s">
        <v>39</v>
      </c>
      <c r="C856" s="8" t="s">
        <v>28</v>
      </c>
      <c r="D856" s="9" t="n">
        <v>44097</v>
      </c>
      <c r="E856" s="9" t="str">
        <f aca="false">TEXT(D856,"MMM")</f>
        <v>set</v>
      </c>
      <c r="F856" s="10" t="n">
        <v>9492.3</v>
      </c>
      <c r="G856" s="8" t="s">
        <v>11</v>
      </c>
      <c r="H856" s="8" t="s">
        <v>12</v>
      </c>
      <c r="I856" s="11" t="s">
        <v>13</v>
      </c>
      <c r="J856" s="8" t="s">
        <v>14</v>
      </c>
    </row>
    <row r="857" customFormat="false" ht="14.25" hidden="false" customHeight="false" outlineLevel="0" collapsed="false">
      <c r="A857" s="8" t="n">
        <v>856</v>
      </c>
      <c r="B857" s="8" t="s">
        <v>57</v>
      </c>
      <c r="C857" s="8" t="s">
        <v>16</v>
      </c>
      <c r="D857" s="9" t="n">
        <v>44097</v>
      </c>
      <c r="E857" s="9" t="str">
        <f aca="false">TEXT(D857,"MMM")</f>
        <v>set</v>
      </c>
      <c r="F857" s="10" t="n">
        <v>24381.58</v>
      </c>
      <c r="G857" s="8" t="s">
        <v>11</v>
      </c>
      <c r="H857" s="8" t="s">
        <v>36</v>
      </c>
      <c r="I857" s="11" t="s">
        <v>37</v>
      </c>
      <c r="J857" s="8" t="s">
        <v>14</v>
      </c>
    </row>
    <row r="858" customFormat="false" ht="14.25" hidden="false" customHeight="false" outlineLevel="0" collapsed="false">
      <c r="A858" s="8" t="n">
        <v>857</v>
      </c>
      <c r="B858" s="8" t="s">
        <v>72</v>
      </c>
      <c r="C858" s="8" t="s">
        <v>10</v>
      </c>
      <c r="D858" s="9" t="n">
        <v>44097</v>
      </c>
      <c r="E858" s="9" t="str">
        <f aca="false">TEXT(D858,"MMM")</f>
        <v>set</v>
      </c>
      <c r="F858" s="10" t="n">
        <v>8961.75</v>
      </c>
      <c r="G858" s="8" t="s">
        <v>11</v>
      </c>
      <c r="H858" s="8" t="s">
        <v>17</v>
      </c>
      <c r="I858" s="11" t="s">
        <v>18</v>
      </c>
      <c r="J858" s="8" t="s">
        <v>14</v>
      </c>
    </row>
    <row r="859" customFormat="false" ht="14.25" hidden="false" customHeight="false" outlineLevel="0" collapsed="false">
      <c r="A859" s="8" t="n">
        <v>858</v>
      </c>
      <c r="B859" s="8" t="s">
        <v>79</v>
      </c>
      <c r="C859" s="8" t="s">
        <v>28</v>
      </c>
      <c r="D859" s="9" t="n">
        <v>44097</v>
      </c>
      <c r="E859" s="9" t="str">
        <f aca="false">TEXT(D859,"MMM")</f>
        <v>set</v>
      </c>
      <c r="F859" s="10" t="n">
        <v>25150.01</v>
      </c>
      <c r="G859" s="8" t="s">
        <v>11</v>
      </c>
      <c r="H859" s="8" t="s">
        <v>12</v>
      </c>
      <c r="I859" s="11" t="s">
        <v>13</v>
      </c>
      <c r="J859" s="8" t="s">
        <v>26</v>
      </c>
    </row>
    <row r="860" customFormat="false" ht="14.25" hidden="false" customHeight="false" outlineLevel="0" collapsed="false">
      <c r="A860" s="8" t="n">
        <v>859</v>
      </c>
      <c r="B860" s="8" t="s">
        <v>47</v>
      </c>
      <c r="C860" s="8" t="s">
        <v>10</v>
      </c>
      <c r="D860" s="9" t="n">
        <v>44097</v>
      </c>
      <c r="E860" s="9" t="str">
        <f aca="false">TEXT(D860,"MMM")</f>
        <v>set</v>
      </c>
      <c r="F860" s="10" t="n">
        <v>-7707.18</v>
      </c>
      <c r="G860" s="8" t="s">
        <v>34</v>
      </c>
      <c r="H860" s="8" t="s">
        <v>30</v>
      </c>
      <c r="I860" s="11" t="s">
        <v>31</v>
      </c>
      <c r="J860" s="8" t="s">
        <v>26</v>
      </c>
    </row>
    <row r="861" customFormat="false" ht="14.25" hidden="false" customHeight="false" outlineLevel="0" collapsed="false">
      <c r="A861" s="8" t="n">
        <v>860</v>
      </c>
      <c r="B861" s="8" t="s">
        <v>47</v>
      </c>
      <c r="C861" s="8" t="s">
        <v>28</v>
      </c>
      <c r="D861" s="9" t="n">
        <v>44097</v>
      </c>
      <c r="E861" s="9" t="str">
        <f aca="false">TEXT(D861,"MMM")</f>
        <v>set</v>
      </c>
      <c r="F861" s="10" t="n">
        <v>-2891.49</v>
      </c>
      <c r="G861" s="8" t="s">
        <v>34</v>
      </c>
      <c r="H861" s="8" t="s">
        <v>17</v>
      </c>
      <c r="I861" s="11" t="s">
        <v>18</v>
      </c>
      <c r="J861" s="8" t="s">
        <v>24</v>
      </c>
    </row>
    <row r="862" customFormat="false" ht="14.25" hidden="false" customHeight="false" outlineLevel="0" collapsed="false">
      <c r="A862" s="8" t="n">
        <v>861</v>
      </c>
      <c r="B862" s="8" t="s">
        <v>101</v>
      </c>
      <c r="C862" s="8" t="s">
        <v>21</v>
      </c>
      <c r="D862" s="9" t="n">
        <v>44099</v>
      </c>
      <c r="E862" s="9" t="str">
        <f aca="false">TEXT(D862,"MMM")</f>
        <v>set</v>
      </c>
      <c r="F862" s="10" t="n">
        <v>4998.68</v>
      </c>
      <c r="G862" s="8" t="s">
        <v>11</v>
      </c>
      <c r="H862" s="8" t="s">
        <v>17</v>
      </c>
      <c r="I862" s="11" t="s">
        <v>18</v>
      </c>
      <c r="J862" s="8" t="s">
        <v>14</v>
      </c>
    </row>
    <row r="863" customFormat="false" ht="14.25" hidden="false" customHeight="false" outlineLevel="0" collapsed="false">
      <c r="A863" s="8" t="n">
        <v>862</v>
      </c>
      <c r="B863" s="8" t="s">
        <v>85</v>
      </c>
      <c r="C863" s="8" t="s">
        <v>28</v>
      </c>
      <c r="D863" s="9" t="n">
        <v>44099</v>
      </c>
      <c r="E863" s="9" t="str">
        <f aca="false">TEXT(D863,"MMM")</f>
        <v>set</v>
      </c>
      <c r="F863" s="10" t="n">
        <v>-31745.07</v>
      </c>
      <c r="G863" s="8" t="s">
        <v>34</v>
      </c>
      <c r="H863" s="8" t="s">
        <v>17</v>
      </c>
      <c r="I863" s="11" t="s">
        <v>18</v>
      </c>
      <c r="J863" s="8" t="s">
        <v>14</v>
      </c>
    </row>
    <row r="864" customFormat="false" ht="14.25" hidden="false" customHeight="false" outlineLevel="0" collapsed="false">
      <c r="A864" s="8" t="n">
        <v>863</v>
      </c>
      <c r="B864" s="8" t="s">
        <v>40</v>
      </c>
      <c r="C864" s="8" t="s">
        <v>28</v>
      </c>
      <c r="D864" s="9" t="n">
        <v>44099</v>
      </c>
      <c r="E864" s="9" t="str">
        <f aca="false">TEXT(D864,"MMM")</f>
        <v>set</v>
      </c>
      <c r="F864" s="10" t="n">
        <v>-1695.75</v>
      </c>
      <c r="G864" s="8" t="s">
        <v>34</v>
      </c>
      <c r="H864" s="8" t="s">
        <v>36</v>
      </c>
      <c r="I864" s="11" t="s">
        <v>37</v>
      </c>
      <c r="J864" s="8" t="s">
        <v>14</v>
      </c>
    </row>
    <row r="865" customFormat="false" ht="14.25" hidden="false" customHeight="false" outlineLevel="0" collapsed="false">
      <c r="A865" s="8" t="n">
        <v>864</v>
      </c>
      <c r="B865" s="8" t="s">
        <v>85</v>
      </c>
      <c r="C865" s="8" t="s">
        <v>21</v>
      </c>
      <c r="D865" s="9" t="n">
        <v>44099</v>
      </c>
      <c r="E865" s="9" t="str">
        <f aca="false">TEXT(D865,"MMM")</f>
        <v>set</v>
      </c>
      <c r="F865" s="10" t="n">
        <v>2634.98</v>
      </c>
      <c r="G865" s="8" t="s">
        <v>11</v>
      </c>
      <c r="H865" s="8" t="s">
        <v>17</v>
      </c>
      <c r="I865" s="11" t="s">
        <v>18</v>
      </c>
      <c r="J865" s="8" t="s">
        <v>14</v>
      </c>
    </row>
    <row r="866" customFormat="false" ht="14.25" hidden="false" customHeight="false" outlineLevel="0" collapsed="false">
      <c r="A866" s="8" t="n">
        <v>865</v>
      </c>
      <c r="B866" s="8" t="s">
        <v>86</v>
      </c>
      <c r="C866" s="8" t="s">
        <v>10</v>
      </c>
      <c r="D866" s="9" t="n">
        <v>44100</v>
      </c>
      <c r="E866" s="9" t="str">
        <f aca="false">TEXT(D866,"MMM")</f>
        <v>set</v>
      </c>
      <c r="F866" s="10" t="n">
        <v>137204.02</v>
      </c>
      <c r="G866" s="8" t="s">
        <v>11</v>
      </c>
      <c r="H866" s="8" t="s">
        <v>30</v>
      </c>
      <c r="I866" s="11" t="s">
        <v>31</v>
      </c>
      <c r="J866" s="8" t="s">
        <v>19</v>
      </c>
    </row>
    <row r="867" customFormat="false" ht="14.25" hidden="false" customHeight="false" outlineLevel="0" collapsed="false">
      <c r="A867" s="8" t="n">
        <v>866</v>
      </c>
      <c r="B867" s="8" t="s">
        <v>86</v>
      </c>
      <c r="C867" s="8" t="s">
        <v>10</v>
      </c>
      <c r="D867" s="9" t="n">
        <v>44100</v>
      </c>
      <c r="E867" s="9" t="str">
        <f aca="false">TEXT(D867,"MMM")</f>
        <v>set</v>
      </c>
      <c r="F867" s="10" t="n">
        <v>-13512.1</v>
      </c>
      <c r="G867" s="8" t="s">
        <v>34</v>
      </c>
      <c r="H867" s="8" t="s">
        <v>17</v>
      </c>
      <c r="I867" s="11" t="s">
        <v>18</v>
      </c>
      <c r="J867" s="8" t="s">
        <v>26</v>
      </c>
    </row>
    <row r="868" customFormat="false" ht="14.25" hidden="false" customHeight="false" outlineLevel="0" collapsed="false">
      <c r="A868" s="8" t="n">
        <v>867</v>
      </c>
      <c r="B868" s="8" t="s">
        <v>52</v>
      </c>
      <c r="C868" s="8" t="s">
        <v>16</v>
      </c>
      <c r="D868" s="9" t="n">
        <v>44100</v>
      </c>
      <c r="E868" s="9" t="str">
        <f aca="false">TEXT(D868,"MMM")</f>
        <v>set</v>
      </c>
      <c r="F868" s="10" t="n">
        <v>141523.61</v>
      </c>
      <c r="G868" s="8" t="s">
        <v>11</v>
      </c>
      <c r="H868" s="8" t="s">
        <v>17</v>
      </c>
      <c r="I868" s="11" t="s">
        <v>18</v>
      </c>
      <c r="J868" s="8" t="s">
        <v>26</v>
      </c>
    </row>
    <row r="869" customFormat="false" ht="14.25" hidden="false" customHeight="false" outlineLevel="0" collapsed="false">
      <c r="A869" s="8" t="n">
        <v>868</v>
      </c>
      <c r="B869" s="8" t="s">
        <v>52</v>
      </c>
      <c r="C869" s="8" t="s">
        <v>16</v>
      </c>
      <c r="D869" s="9" t="n">
        <v>44100</v>
      </c>
      <c r="E869" s="9" t="str">
        <f aca="false">TEXT(D869,"MMM")</f>
        <v>set</v>
      </c>
      <c r="F869" s="10" t="n">
        <v>-8955.38</v>
      </c>
      <c r="G869" s="8" t="s">
        <v>34</v>
      </c>
      <c r="H869" s="8" t="s">
        <v>17</v>
      </c>
      <c r="I869" s="11" t="s">
        <v>18</v>
      </c>
      <c r="J869" s="8" t="s">
        <v>14</v>
      </c>
    </row>
    <row r="870" customFormat="false" ht="14.25" hidden="false" customHeight="false" outlineLevel="0" collapsed="false">
      <c r="A870" s="8" t="n">
        <v>869</v>
      </c>
      <c r="B870" s="8" t="s">
        <v>52</v>
      </c>
      <c r="C870" s="8" t="s">
        <v>28</v>
      </c>
      <c r="D870" s="9" t="n">
        <v>44100</v>
      </c>
      <c r="E870" s="9" t="str">
        <f aca="false">TEXT(D870,"MMM")</f>
        <v>set</v>
      </c>
      <c r="F870" s="10" t="n">
        <v>-6872.39</v>
      </c>
      <c r="G870" s="8" t="s">
        <v>34</v>
      </c>
      <c r="H870" s="8" t="s">
        <v>22</v>
      </c>
      <c r="I870" s="11" t="s">
        <v>23</v>
      </c>
      <c r="J870" s="8" t="s">
        <v>26</v>
      </c>
    </row>
    <row r="871" customFormat="false" ht="14.25" hidden="false" customHeight="false" outlineLevel="0" collapsed="false">
      <c r="A871" s="8" t="n">
        <v>870</v>
      </c>
      <c r="B871" s="8" t="s">
        <v>140</v>
      </c>
      <c r="C871" s="8" t="s">
        <v>10</v>
      </c>
      <c r="D871" s="9" t="n">
        <v>44101</v>
      </c>
      <c r="E871" s="9" t="str">
        <f aca="false">TEXT(D871,"MMM")</f>
        <v>set</v>
      </c>
      <c r="F871" s="10" t="n">
        <v>-16125.94</v>
      </c>
      <c r="G871" s="8" t="s">
        <v>34</v>
      </c>
      <c r="H871" s="8" t="s">
        <v>36</v>
      </c>
      <c r="I871" s="11" t="s">
        <v>37</v>
      </c>
      <c r="J871" s="8" t="s">
        <v>26</v>
      </c>
    </row>
    <row r="872" customFormat="false" ht="14.25" hidden="false" customHeight="false" outlineLevel="0" collapsed="false">
      <c r="A872" s="8" t="n">
        <v>871</v>
      </c>
      <c r="B872" s="8" t="s">
        <v>83</v>
      </c>
      <c r="C872" s="8" t="s">
        <v>10</v>
      </c>
      <c r="D872" s="9" t="n">
        <v>44101</v>
      </c>
      <c r="E872" s="9" t="str">
        <f aca="false">TEXT(D872,"MMM")</f>
        <v>set</v>
      </c>
      <c r="F872" s="10" t="n">
        <v>146677.28</v>
      </c>
      <c r="G872" s="8" t="s">
        <v>11</v>
      </c>
      <c r="H872" s="8" t="s">
        <v>12</v>
      </c>
      <c r="I872" s="11" t="s">
        <v>13</v>
      </c>
      <c r="J872" s="8" t="s">
        <v>26</v>
      </c>
    </row>
    <row r="873" customFormat="false" ht="14.25" hidden="false" customHeight="false" outlineLevel="0" collapsed="false">
      <c r="A873" s="8" t="n">
        <v>872</v>
      </c>
      <c r="B873" s="8" t="s">
        <v>27</v>
      </c>
      <c r="C873" s="8" t="s">
        <v>10</v>
      </c>
      <c r="D873" s="9" t="n">
        <v>44102</v>
      </c>
      <c r="E873" s="9" t="str">
        <f aca="false">TEXT(D873,"MMM")</f>
        <v>set</v>
      </c>
      <c r="F873" s="10" t="n">
        <v>3833.5</v>
      </c>
      <c r="G873" s="8" t="s">
        <v>11</v>
      </c>
      <c r="H873" s="8" t="s">
        <v>17</v>
      </c>
      <c r="I873" s="11" t="s">
        <v>18</v>
      </c>
      <c r="J873" s="8" t="s">
        <v>26</v>
      </c>
    </row>
    <row r="874" customFormat="false" ht="14.25" hidden="false" customHeight="false" outlineLevel="0" collapsed="false">
      <c r="A874" s="8" t="n">
        <v>873</v>
      </c>
      <c r="B874" s="8" t="s">
        <v>27</v>
      </c>
      <c r="C874" s="8" t="s">
        <v>21</v>
      </c>
      <c r="D874" s="9" t="n">
        <v>44102</v>
      </c>
      <c r="E874" s="9" t="str">
        <f aca="false">TEXT(D874,"MMM")</f>
        <v>set</v>
      </c>
      <c r="F874" s="10" t="n">
        <v>3833.5</v>
      </c>
      <c r="G874" s="8" t="s">
        <v>11</v>
      </c>
      <c r="H874" s="8" t="s">
        <v>36</v>
      </c>
      <c r="I874" s="11" t="s">
        <v>37</v>
      </c>
      <c r="J874" s="8" t="s">
        <v>14</v>
      </c>
    </row>
    <row r="875" customFormat="false" ht="14.25" hidden="false" customHeight="false" outlineLevel="0" collapsed="false">
      <c r="A875" s="8" t="n">
        <v>874</v>
      </c>
      <c r="B875" s="8" t="s">
        <v>27</v>
      </c>
      <c r="C875" s="8" t="s">
        <v>16</v>
      </c>
      <c r="D875" s="9" t="n">
        <v>44102</v>
      </c>
      <c r="E875" s="9" t="str">
        <f aca="false">TEXT(D875,"MMM")</f>
        <v>set</v>
      </c>
      <c r="F875" s="10" t="n">
        <v>2439.5</v>
      </c>
      <c r="G875" s="8" t="s">
        <v>11</v>
      </c>
      <c r="H875" s="8" t="s">
        <v>17</v>
      </c>
      <c r="I875" s="11" t="s">
        <v>18</v>
      </c>
      <c r="J875" s="8" t="s">
        <v>14</v>
      </c>
    </row>
    <row r="876" customFormat="false" ht="14.25" hidden="false" customHeight="false" outlineLevel="0" collapsed="false">
      <c r="A876" s="8" t="n">
        <v>875</v>
      </c>
      <c r="B876" s="8" t="s">
        <v>27</v>
      </c>
      <c r="C876" s="8" t="s">
        <v>21</v>
      </c>
      <c r="D876" s="9" t="n">
        <v>44102</v>
      </c>
      <c r="E876" s="9" t="str">
        <f aca="false">TEXT(D876,"MMM")</f>
        <v>set</v>
      </c>
      <c r="F876" s="10" t="n">
        <v>3833.5</v>
      </c>
      <c r="G876" s="8" t="s">
        <v>11</v>
      </c>
      <c r="H876" s="8" t="s">
        <v>12</v>
      </c>
      <c r="I876" s="11" t="s">
        <v>13</v>
      </c>
      <c r="J876" s="8" t="s">
        <v>14</v>
      </c>
    </row>
    <row r="877" customFormat="false" ht="14.25" hidden="false" customHeight="false" outlineLevel="0" collapsed="false">
      <c r="A877" s="8" t="n">
        <v>876</v>
      </c>
      <c r="B877" s="8" t="s">
        <v>27</v>
      </c>
      <c r="C877" s="8" t="s">
        <v>10</v>
      </c>
      <c r="D877" s="9" t="n">
        <v>44102</v>
      </c>
      <c r="E877" s="9" t="str">
        <f aca="false">TEXT(D877,"MMM")</f>
        <v>set</v>
      </c>
      <c r="F877" s="10" t="n">
        <v>2718.3</v>
      </c>
      <c r="G877" s="8" t="s">
        <v>11</v>
      </c>
      <c r="H877" s="8" t="s">
        <v>12</v>
      </c>
      <c r="I877" s="11" t="s">
        <v>13</v>
      </c>
      <c r="J877" s="8" t="s">
        <v>26</v>
      </c>
    </row>
    <row r="878" customFormat="false" ht="14.25" hidden="false" customHeight="false" outlineLevel="0" collapsed="false">
      <c r="A878" s="8" t="n">
        <v>877</v>
      </c>
      <c r="B878" s="8" t="s">
        <v>27</v>
      </c>
      <c r="C878" s="8" t="s">
        <v>28</v>
      </c>
      <c r="D878" s="9" t="n">
        <v>44102</v>
      </c>
      <c r="E878" s="9" t="str">
        <f aca="false">TEXT(D878,"MMM")</f>
        <v>set</v>
      </c>
      <c r="F878" s="10" t="n">
        <v>3972.9</v>
      </c>
      <c r="G878" s="8" t="s">
        <v>11</v>
      </c>
      <c r="H878" s="8" t="s">
        <v>12</v>
      </c>
      <c r="I878" s="11" t="s">
        <v>13</v>
      </c>
      <c r="J878" s="8" t="s">
        <v>19</v>
      </c>
    </row>
    <row r="879" customFormat="false" ht="14.25" hidden="false" customHeight="false" outlineLevel="0" collapsed="false">
      <c r="A879" s="8" t="n">
        <v>878</v>
      </c>
      <c r="B879" s="8" t="s">
        <v>27</v>
      </c>
      <c r="C879" s="8" t="s">
        <v>21</v>
      </c>
      <c r="D879" s="9" t="n">
        <v>44102</v>
      </c>
      <c r="E879" s="9" t="str">
        <f aca="false">TEXT(D879,"MMM")</f>
        <v>set</v>
      </c>
      <c r="F879" s="10" t="n">
        <v>186446.2</v>
      </c>
      <c r="G879" s="8" t="s">
        <v>11</v>
      </c>
      <c r="H879" s="8" t="s">
        <v>22</v>
      </c>
      <c r="I879" s="11" t="s">
        <v>23</v>
      </c>
      <c r="J879" s="8" t="s">
        <v>19</v>
      </c>
    </row>
    <row r="880" customFormat="false" ht="14.25" hidden="false" customHeight="false" outlineLevel="0" collapsed="false">
      <c r="A880" s="8" t="n">
        <v>879</v>
      </c>
      <c r="B880" s="8" t="s">
        <v>27</v>
      </c>
      <c r="C880" s="8" t="s">
        <v>28</v>
      </c>
      <c r="D880" s="9" t="n">
        <v>44102</v>
      </c>
      <c r="E880" s="9" t="str">
        <f aca="false">TEXT(D880,"MMM")</f>
        <v>set</v>
      </c>
      <c r="F880" s="10" t="n">
        <v>2439.5</v>
      </c>
      <c r="G880" s="8" t="s">
        <v>11</v>
      </c>
      <c r="H880" s="8" t="s">
        <v>17</v>
      </c>
      <c r="I880" s="11" t="s">
        <v>18</v>
      </c>
      <c r="J880" s="8" t="s">
        <v>26</v>
      </c>
    </row>
    <row r="881" customFormat="false" ht="14.25" hidden="false" customHeight="false" outlineLevel="0" collapsed="false">
      <c r="A881" s="8" t="n">
        <v>880</v>
      </c>
      <c r="B881" s="8" t="s">
        <v>27</v>
      </c>
      <c r="C881" s="8" t="s">
        <v>10</v>
      </c>
      <c r="D881" s="9" t="n">
        <v>44102</v>
      </c>
      <c r="E881" s="9" t="str">
        <f aca="false">TEXT(D881,"MMM")</f>
        <v>set</v>
      </c>
      <c r="F881" s="10" t="n">
        <v>3833.5</v>
      </c>
      <c r="G881" s="8" t="s">
        <v>11</v>
      </c>
      <c r="H881" s="8" t="s">
        <v>12</v>
      </c>
      <c r="I881" s="11" t="s">
        <v>13</v>
      </c>
      <c r="J881" s="8" t="s">
        <v>26</v>
      </c>
    </row>
    <row r="882" customFormat="false" ht="14.25" hidden="false" customHeight="false" outlineLevel="0" collapsed="false">
      <c r="A882" s="8" t="n">
        <v>881</v>
      </c>
      <c r="B882" s="8" t="s">
        <v>27</v>
      </c>
      <c r="C882" s="8" t="s">
        <v>28</v>
      </c>
      <c r="D882" s="9" t="n">
        <v>44102</v>
      </c>
      <c r="E882" s="9" t="str">
        <f aca="false">TEXT(D882,"MMM")</f>
        <v>set</v>
      </c>
      <c r="F882" s="10" t="n">
        <v>2718.3</v>
      </c>
      <c r="G882" s="8" t="s">
        <v>11</v>
      </c>
      <c r="H882" s="8" t="s">
        <v>30</v>
      </c>
      <c r="I882" s="11" t="s">
        <v>31</v>
      </c>
      <c r="J882" s="8" t="s">
        <v>19</v>
      </c>
    </row>
    <row r="883" customFormat="false" ht="14.25" hidden="false" customHeight="false" outlineLevel="0" collapsed="false">
      <c r="A883" s="8" t="n">
        <v>882</v>
      </c>
      <c r="B883" s="8" t="s">
        <v>27</v>
      </c>
      <c r="C883" s="8" t="s">
        <v>16</v>
      </c>
      <c r="D883" s="9" t="n">
        <v>44102</v>
      </c>
      <c r="E883" s="9" t="str">
        <f aca="false">TEXT(D883,"MMM")</f>
        <v>set</v>
      </c>
      <c r="F883" s="10" t="n">
        <v>3972.9</v>
      </c>
      <c r="G883" s="8" t="s">
        <v>11</v>
      </c>
      <c r="H883" s="8" t="s">
        <v>12</v>
      </c>
      <c r="I883" s="11" t="s">
        <v>13</v>
      </c>
      <c r="J883" s="8" t="s">
        <v>14</v>
      </c>
    </row>
    <row r="884" customFormat="false" ht="14.25" hidden="false" customHeight="false" outlineLevel="0" collapsed="false">
      <c r="A884" s="8" t="n">
        <v>883</v>
      </c>
      <c r="B884" s="8" t="s">
        <v>73</v>
      </c>
      <c r="C884" s="8" t="s">
        <v>16</v>
      </c>
      <c r="D884" s="9" t="n">
        <v>44103</v>
      </c>
      <c r="E884" s="9" t="str">
        <f aca="false">TEXT(D884,"MMM")</f>
        <v>set</v>
      </c>
      <c r="F884" s="10" t="n">
        <v>-818.3</v>
      </c>
      <c r="G884" s="8" t="s">
        <v>34</v>
      </c>
      <c r="H884" s="8" t="s">
        <v>17</v>
      </c>
      <c r="I884" s="11" t="s">
        <v>18</v>
      </c>
      <c r="J884" s="8" t="s">
        <v>14</v>
      </c>
    </row>
    <row r="885" customFormat="false" ht="14.25" hidden="false" customHeight="false" outlineLevel="0" collapsed="false">
      <c r="A885" s="8" t="n">
        <v>884</v>
      </c>
      <c r="B885" s="8" t="s">
        <v>73</v>
      </c>
      <c r="C885" s="8" t="s">
        <v>16</v>
      </c>
      <c r="D885" s="9" t="n">
        <v>44103</v>
      </c>
      <c r="E885" s="9" t="str">
        <f aca="false">TEXT(D885,"MMM")</f>
        <v>set</v>
      </c>
      <c r="F885" s="10" t="n">
        <v>-232.3</v>
      </c>
      <c r="G885" s="8" t="s">
        <v>34</v>
      </c>
      <c r="H885" s="8" t="s">
        <v>17</v>
      </c>
      <c r="I885" s="11" t="s">
        <v>18</v>
      </c>
      <c r="J885" s="8" t="s">
        <v>14</v>
      </c>
    </row>
    <row r="886" customFormat="false" ht="14.25" hidden="false" customHeight="false" outlineLevel="0" collapsed="false">
      <c r="A886" s="8" t="n">
        <v>885</v>
      </c>
      <c r="B886" s="8" t="s">
        <v>39</v>
      </c>
      <c r="C886" s="8" t="s">
        <v>16</v>
      </c>
      <c r="D886" s="9" t="n">
        <v>44103</v>
      </c>
      <c r="E886" s="9" t="str">
        <f aca="false">TEXT(D886,"MMM")</f>
        <v>set</v>
      </c>
      <c r="F886" s="10" t="n">
        <v>-282.8</v>
      </c>
      <c r="G886" s="8" t="s">
        <v>34</v>
      </c>
      <c r="H886" s="8" t="s">
        <v>22</v>
      </c>
      <c r="I886" s="11" t="s">
        <v>23</v>
      </c>
      <c r="J886" s="8" t="s">
        <v>14</v>
      </c>
    </row>
    <row r="887" customFormat="false" ht="14.25" hidden="false" customHeight="false" outlineLevel="0" collapsed="false">
      <c r="A887" s="8" t="n">
        <v>886</v>
      </c>
      <c r="B887" s="8" t="s">
        <v>73</v>
      </c>
      <c r="C887" s="8" t="s">
        <v>21</v>
      </c>
      <c r="D887" s="9" t="n">
        <v>44103</v>
      </c>
      <c r="E887" s="9" t="str">
        <f aca="false">TEXT(D887,"MMM")</f>
        <v>set</v>
      </c>
      <c r="F887" s="10" t="n">
        <v>2564.45</v>
      </c>
      <c r="G887" s="8" t="s">
        <v>11</v>
      </c>
      <c r="H887" s="8" t="s">
        <v>12</v>
      </c>
      <c r="I887" s="11" t="s">
        <v>13</v>
      </c>
      <c r="J887" s="8" t="s">
        <v>14</v>
      </c>
    </row>
    <row r="888" customFormat="false" ht="14.25" hidden="false" customHeight="false" outlineLevel="0" collapsed="false">
      <c r="A888" s="8" t="n">
        <v>887</v>
      </c>
      <c r="B888" s="8" t="s">
        <v>75</v>
      </c>
      <c r="C888" s="8" t="s">
        <v>21</v>
      </c>
      <c r="D888" s="9" t="n">
        <v>44104</v>
      </c>
      <c r="E888" s="9" t="str">
        <f aca="false">TEXT(D888,"MMM")</f>
        <v>set</v>
      </c>
      <c r="F888" s="10" t="n">
        <v>5128.9</v>
      </c>
      <c r="G888" s="8" t="s">
        <v>11</v>
      </c>
      <c r="H888" s="8" t="s">
        <v>36</v>
      </c>
      <c r="I888" s="11" t="s">
        <v>37</v>
      </c>
      <c r="J888" s="8" t="s">
        <v>19</v>
      </c>
    </row>
    <row r="889" customFormat="false" ht="14.25" hidden="false" customHeight="false" outlineLevel="0" collapsed="false">
      <c r="A889" s="8" t="n">
        <v>888</v>
      </c>
      <c r="B889" s="8" t="s">
        <v>20</v>
      </c>
      <c r="C889" s="8" t="s">
        <v>28</v>
      </c>
      <c r="D889" s="9" t="n">
        <v>44104</v>
      </c>
      <c r="E889" s="9" t="str">
        <f aca="false">TEXT(D889,"MMM")</f>
        <v>set</v>
      </c>
      <c r="F889" s="10" t="n">
        <v>3663.5</v>
      </c>
      <c r="G889" s="8" t="s">
        <v>11</v>
      </c>
      <c r="H889" s="8" t="s">
        <v>17</v>
      </c>
      <c r="I889" s="11" t="s">
        <v>18</v>
      </c>
      <c r="J889" s="8" t="s">
        <v>24</v>
      </c>
    </row>
    <row r="890" customFormat="false" ht="14.25" hidden="false" customHeight="false" outlineLevel="0" collapsed="false">
      <c r="A890" s="8" t="n">
        <v>889</v>
      </c>
      <c r="B890" s="8" t="s">
        <v>81</v>
      </c>
      <c r="C890" s="8" t="s">
        <v>21</v>
      </c>
      <c r="D890" s="9" t="n">
        <v>44104</v>
      </c>
      <c r="E890" s="9" t="str">
        <f aca="false">TEXT(D890,"MMM")</f>
        <v>set</v>
      </c>
      <c r="F890" s="10" t="n">
        <v>51878.81</v>
      </c>
      <c r="G890" s="8" t="s">
        <v>11</v>
      </c>
      <c r="H890" s="8" t="s">
        <v>12</v>
      </c>
      <c r="I890" s="11" t="s">
        <v>13</v>
      </c>
      <c r="J890" s="8" t="s">
        <v>19</v>
      </c>
    </row>
    <row r="891" customFormat="false" ht="14.25" hidden="false" customHeight="false" outlineLevel="0" collapsed="false">
      <c r="A891" s="8" t="n">
        <v>890</v>
      </c>
      <c r="B891" s="8" t="s">
        <v>81</v>
      </c>
      <c r="C891" s="8" t="s">
        <v>21</v>
      </c>
      <c r="D891" s="9" t="n">
        <v>44104</v>
      </c>
      <c r="E891" s="9" t="str">
        <f aca="false">TEXT(D891,"MMM")</f>
        <v>set</v>
      </c>
      <c r="F891" s="10" t="n">
        <v>2564.45</v>
      </c>
      <c r="G891" s="8" t="s">
        <v>11</v>
      </c>
      <c r="H891" s="8" t="s">
        <v>12</v>
      </c>
      <c r="I891" s="11" t="s">
        <v>13</v>
      </c>
      <c r="J891" s="8" t="s">
        <v>19</v>
      </c>
    </row>
    <row r="892" customFormat="false" ht="14.25" hidden="false" customHeight="false" outlineLevel="0" collapsed="false">
      <c r="A892" s="8" t="n">
        <v>891</v>
      </c>
      <c r="B892" s="8" t="s">
        <v>32</v>
      </c>
      <c r="C892" s="8" t="s">
        <v>28</v>
      </c>
      <c r="D892" s="9" t="n">
        <v>44104</v>
      </c>
      <c r="E892" s="9" t="str">
        <f aca="false">TEXT(D892,"MMM")</f>
        <v>set</v>
      </c>
      <c r="F892" s="10" t="n">
        <v>5128.9</v>
      </c>
      <c r="G892" s="8" t="s">
        <v>11</v>
      </c>
      <c r="H892" s="8" t="s">
        <v>22</v>
      </c>
      <c r="I892" s="11" t="s">
        <v>23</v>
      </c>
      <c r="J892" s="8" t="s">
        <v>14</v>
      </c>
    </row>
    <row r="893" customFormat="false" ht="14.25" hidden="false" customHeight="false" outlineLevel="0" collapsed="false">
      <c r="A893" s="8" t="n">
        <v>892</v>
      </c>
      <c r="B893" s="8" t="s">
        <v>20</v>
      </c>
      <c r="C893" s="8" t="s">
        <v>28</v>
      </c>
      <c r="D893" s="9" t="n">
        <v>44104</v>
      </c>
      <c r="E893" s="9" t="str">
        <f aca="false">TEXT(D893,"MMM")</f>
        <v>set</v>
      </c>
      <c r="F893" s="10" t="n">
        <v>3663.5</v>
      </c>
      <c r="G893" s="8" t="s">
        <v>11</v>
      </c>
      <c r="H893" s="8" t="s">
        <v>12</v>
      </c>
      <c r="I893" s="11" t="s">
        <v>13</v>
      </c>
      <c r="J893" s="8" t="s">
        <v>14</v>
      </c>
    </row>
    <row r="894" customFormat="false" ht="14.25" hidden="false" customHeight="false" outlineLevel="0" collapsed="false">
      <c r="A894" s="8" t="n">
        <v>893</v>
      </c>
      <c r="B894" s="8" t="s">
        <v>81</v>
      </c>
      <c r="C894" s="8" t="s">
        <v>28</v>
      </c>
      <c r="D894" s="9" t="n">
        <v>44104</v>
      </c>
      <c r="E894" s="9" t="str">
        <f aca="false">TEXT(D894,"MMM")</f>
        <v>set</v>
      </c>
      <c r="F894" s="10" t="n">
        <v>47841.3</v>
      </c>
      <c r="G894" s="8" t="s">
        <v>11</v>
      </c>
      <c r="H894" s="8" t="s">
        <v>12</v>
      </c>
      <c r="I894" s="11" t="s">
        <v>13</v>
      </c>
      <c r="J894" s="8" t="s">
        <v>26</v>
      </c>
    </row>
    <row r="895" customFormat="false" ht="14.25" hidden="false" customHeight="false" outlineLevel="0" collapsed="false">
      <c r="A895" s="8" t="n">
        <v>894</v>
      </c>
      <c r="B895" s="8" t="s">
        <v>81</v>
      </c>
      <c r="C895" s="8" t="s">
        <v>28</v>
      </c>
      <c r="D895" s="9" t="n">
        <v>44104</v>
      </c>
      <c r="E895" s="9" t="str">
        <f aca="false">TEXT(D895,"MMM")</f>
        <v>set</v>
      </c>
      <c r="F895" s="10" t="n">
        <v>54509.33</v>
      </c>
      <c r="G895" s="8" t="s">
        <v>11</v>
      </c>
      <c r="H895" s="8" t="s">
        <v>12</v>
      </c>
      <c r="I895" s="11" t="s">
        <v>13</v>
      </c>
      <c r="J895" s="8" t="s">
        <v>14</v>
      </c>
    </row>
    <row r="896" customFormat="false" ht="14.25" hidden="false" customHeight="false" outlineLevel="0" collapsed="false">
      <c r="A896" s="8" t="n">
        <v>895</v>
      </c>
      <c r="B896" s="8" t="s">
        <v>75</v>
      </c>
      <c r="C896" s="8" t="s">
        <v>10</v>
      </c>
      <c r="D896" s="9" t="n">
        <v>44104</v>
      </c>
      <c r="E896" s="9" t="str">
        <f aca="false">TEXT(D896,"MMM")</f>
        <v>set</v>
      </c>
      <c r="F896" s="10" t="n">
        <v>12454.02</v>
      </c>
      <c r="G896" s="8" t="s">
        <v>11</v>
      </c>
      <c r="H896" s="8" t="s">
        <v>12</v>
      </c>
      <c r="I896" s="11" t="s">
        <v>13</v>
      </c>
      <c r="J896" s="8" t="s">
        <v>26</v>
      </c>
    </row>
    <row r="897" customFormat="false" ht="14.25" hidden="false" customHeight="false" outlineLevel="0" collapsed="false">
      <c r="A897" s="8" t="n">
        <v>896</v>
      </c>
      <c r="B897" s="8" t="s">
        <v>66</v>
      </c>
      <c r="C897" s="8" t="s">
        <v>16</v>
      </c>
      <c r="D897" s="9" t="n">
        <v>44104</v>
      </c>
      <c r="E897" s="9" t="str">
        <f aca="false">TEXT(D897,"MMM")</f>
        <v>set</v>
      </c>
      <c r="F897" s="10" t="n">
        <v>13064.16</v>
      </c>
      <c r="G897" s="8" t="s">
        <v>11</v>
      </c>
      <c r="H897" s="8" t="s">
        <v>12</v>
      </c>
      <c r="I897" s="11" t="s">
        <v>13</v>
      </c>
      <c r="J897" s="8" t="s">
        <v>26</v>
      </c>
    </row>
    <row r="898" customFormat="false" ht="14.25" hidden="false" customHeight="false" outlineLevel="0" collapsed="false">
      <c r="A898" s="8" t="n">
        <v>897</v>
      </c>
      <c r="B898" s="8" t="s">
        <v>20</v>
      </c>
      <c r="C898" s="8" t="s">
        <v>10</v>
      </c>
      <c r="D898" s="9" t="n">
        <v>44104</v>
      </c>
      <c r="E898" s="9" t="str">
        <f aca="false">TEXT(D898,"MMM")</f>
        <v>set</v>
      </c>
      <c r="F898" s="10" t="n">
        <v>13465.48</v>
      </c>
      <c r="G898" s="8" t="s">
        <v>11</v>
      </c>
      <c r="H898" s="8" t="s">
        <v>12</v>
      </c>
      <c r="I898" s="11" t="s">
        <v>13</v>
      </c>
      <c r="J898" s="8" t="s">
        <v>19</v>
      </c>
    </row>
    <row r="899" customFormat="false" ht="14.25" hidden="false" customHeight="false" outlineLevel="0" collapsed="false">
      <c r="A899" s="8" t="n">
        <v>898</v>
      </c>
      <c r="B899" s="8" t="s">
        <v>81</v>
      </c>
      <c r="C899" s="8" t="s">
        <v>10</v>
      </c>
      <c r="D899" s="9" t="n">
        <v>44104</v>
      </c>
      <c r="E899" s="9" t="str">
        <f aca="false">TEXT(D899,"MMM")</f>
        <v>set</v>
      </c>
      <c r="F899" s="10" t="n">
        <v>14870.56</v>
      </c>
      <c r="G899" s="8" t="s">
        <v>11</v>
      </c>
      <c r="H899" s="8" t="s">
        <v>12</v>
      </c>
      <c r="I899" s="11" t="s">
        <v>13</v>
      </c>
      <c r="J899" s="8" t="s">
        <v>14</v>
      </c>
    </row>
    <row r="900" customFormat="false" ht="14.25" hidden="false" customHeight="false" outlineLevel="0" collapsed="false">
      <c r="A900" s="8" t="n">
        <v>899</v>
      </c>
      <c r="B900" s="8" t="s">
        <v>81</v>
      </c>
      <c r="C900" s="8" t="s">
        <v>21</v>
      </c>
      <c r="D900" s="9" t="n">
        <v>44104</v>
      </c>
      <c r="E900" s="9" t="str">
        <f aca="false">TEXT(D900,"MMM")</f>
        <v>set</v>
      </c>
      <c r="F900" s="10" t="n">
        <v>-10901.1</v>
      </c>
      <c r="G900" s="8" t="s">
        <v>34</v>
      </c>
      <c r="H900" s="8" t="s">
        <v>12</v>
      </c>
      <c r="I900" s="11" t="s">
        <v>13</v>
      </c>
      <c r="J900" s="8" t="s">
        <v>26</v>
      </c>
    </row>
    <row r="901" customFormat="false" ht="14.25" hidden="false" customHeight="false" outlineLevel="0" collapsed="false">
      <c r="A901" s="8" t="n">
        <v>900</v>
      </c>
      <c r="B901" s="8" t="s">
        <v>75</v>
      </c>
      <c r="C901" s="8" t="s">
        <v>16</v>
      </c>
      <c r="D901" s="9" t="n">
        <v>44104</v>
      </c>
      <c r="E901" s="9" t="str">
        <f aca="false">TEXT(D901,"MMM")</f>
        <v>set</v>
      </c>
      <c r="F901" s="10" t="n">
        <v>-1767.15</v>
      </c>
      <c r="G901" s="8" t="s">
        <v>34</v>
      </c>
      <c r="H901" s="8" t="s">
        <v>36</v>
      </c>
      <c r="I901" s="11" t="s">
        <v>37</v>
      </c>
      <c r="J901" s="8" t="s">
        <v>19</v>
      </c>
    </row>
    <row r="902" customFormat="false" ht="14.25" hidden="false" customHeight="false" outlineLevel="0" collapsed="false">
      <c r="A902" s="8" t="n">
        <v>901</v>
      </c>
      <c r="B902" s="8" t="s">
        <v>73</v>
      </c>
      <c r="C902" s="8" t="s">
        <v>21</v>
      </c>
      <c r="D902" s="9" t="n">
        <v>44104</v>
      </c>
      <c r="E902" s="9" t="str">
        <f aca="false">TEXT(D902,"MMM")</f>
        <v>set</v>
      </c>
      <c r="F902" s="10" t="n">
        <v>621303.05</v>
      </c>
      <c r="G902" s="8" t="s">
        <v>11</v>
      </c>
      <c r="H902" s="8" t="s">
        <v>12</v>
      </c>
      <c r="I902" s="11" t="s">
        <v>13</v>
      </c>
      <c r="J902" s="8" t="s">
        <v>26</v>
      </c>
    </row>
    <row r="903" customFormat="false" ht="14.25" hidden="false" customHeight="false" outlineLevel="0" collapsed="false">
      <c r="A903" s="8" t="n">
        <v>902</v>
      </c>
      <c r="B903" s="8" t="s">
        <v>49</v>
      </c>
      <c r="C903" s="8" t="s">
        <v>21</v>
      </c>
      <c r="D903" s="9" t="n">
        <v>44104</v>
      </c>
      <c r="E903" s="9" t="str">
        <f aca="false">TEXT(D903,"MMM")</f>
        <v>set</v>
      </c>
      <c r="F903" s="10" t="n">
        <v>6320.38</v>
      </c>
      <c r="G903" s="8" t="s">
        <v>11</v>
      </c>
      <c r="H903" s="8" t="s">
        <v>12</v>
      </c>
      <c r="I903" s="11" t="s">
        <v>13</v>
      </c>
      <c r="J903" s="8" t="s">
        <v>14</v>
      </c>
    </row>
    <row r="904" customFormat="false" ht="14.25" hidden="false" customHeight="false" outlineLevel="0" collapsed="false">
      <c r="A904" s="8" t="n">
        <v>903</v>
      </c>
      <c r="B904" s="8" t="s">
        <v>100</v>
      </c>
      <c r="C904" s="8" t="s">
        <v>21</v>
      </c>
      <c r="D904" s="9" t="n">
        <v>44104</v>
      </c>
      <c r="E904" s="9" t="str">
        <f aca="false">TEXT(D904,"MMM")</f>
        <v>set</v>
      </c>
      <c r="F904" s="10" t="n">
        <v>5845.44</v>
      </c>
      <c r="G904" s="8" t="s">
        <v>11</v>
      </c>
      <c r="H904" s="8" t="s">
        <v>12</v>
      </c>
      <c r="I904" s="11" t="s">
        <v>13</v>
      </c>
      <c r="J904" s="8" t="s">
        <v>26</v>
      </c>
    </row>
    <row r="905" customFormat="false" ht="14.25" hidden="false" customHeight="false" outlineLevel="0" collapsed="false">
      <c r="A905" s="8" t="n">
        <v>904</v>
      </c>
      <c r="B905" s="8" t="s">
        <v>66</v>
      </c>
      <c r="C905" s="8" t="s">
        <v>10</v>
      </c>
      <c r="D905" s="9" t="n">
        <v>44104</v>
      </c>
      <c r="E905" s="9" t="str">
        <f aca="false">TEXT(D905,"MMM")</f>
        <v>set</v>
      </c>
      <c r="F905" s="10" t="n">
        <v>6081.9</v>
      </c>
      <c r="G905" s="8" t="s">
        <v>11</v>
      </c>
      <c r="H905" s="8" t="s">
        <v>17</v>
      </c>
      <c r="I905" s="11" t="s">
        <v>18</v>
      </c>
      <c r="J905" s="8" t="s">
        <v>14</v>
      </c>
    </row>
    <row r="906" customFormat="false" ht="14.25" hidden="false" customHeight="false" outlineLevel="0" collapsed="false">
      <c r="A906" s="8" t="n">
        <v>905</v>
      </c>
      <c r="B906" s="8" t="s">
        <v>20</v>
      </c>
      <c r="C906" s="8" t="s">
        <v>28</v>
      </c>
      <c r="D906" s="9" t="n">
        <v>44104</v>
      </c>
      <c r="E906" s="9" t="str">
        <f aca="false">TEXT(D906,"MMM")</f>
        <v>set</v>
      </c>
      <c r="F906" s="10" t="n">
        <v>6720.16</v>
      </c>
      <c r="G906" s="8" t="s">
        <v>11</v>
      </c>
      <c r="H906" s="8" t="s">
        <v>22</v>
      </c>
      <c r="I906" s="11" t="s">
        <v>23</v>
      </c>
      <c r="J906" s="8" t="s">
        <v>26</v>
      </c>
    </row>
    <row r="907" customFormat="false" ht="14.25" hidden="false" customHeight="false" outlineLevel="0" collapsed="false">
      <c r="A907" s="8" t="n">
        <v>906</v>
      </c>
      <c r="B907" s="8" t="s">
        <v>66</v>
      </c>
      <c r="C907" s="8" t="s">
        <v>10</v>
      </c>
      <c r="D907" s="9" t="n">
        <v>44104</v>
      </c>
      <c r="E907" s="9" t="str">
        <f aca="false">TEXT(D907,"MMM")</f>
        <v>set</v>
      </c>
      <c r="F907" s="10" t="n">
        <v>6451.93</v>
      </c>
      <c r="G907" s="8" t="s">
        <v>11</v>
      </c>
      <c r="H907" s="8" t="s">
        <v>17</v>
      </c>
      <c r="I907" s="11" t="s">
        <v>18</v>
      </c>
      <c r="J907" s="8" t="s">
        <v>24</v>
      </c>
    </row>
    <row r="908" customFormat="false" ht="14.25" hidden="false" customHeight="false" outlineLevel="0" collapsed="false">
      <c r="A908" s="8" t="n">
        <v>907</v>
      </c>
      <c r="B908" s="8" t="s">
        <v>100</v>
      </c>
      <c r="C908" s="8" t="s">
        <v>21</v>
      </c>
      <c r="D908" s="9" t="n">
        <v>44104</v>
      </c>
      <c r="E908" s="9" t="str">
        <f aca="false">TEXT(D908,"MMM")</f>
        <v>set</v>
      </c>
      <c r="F908" s="10" t="n">
        <v>5601.94</v>
      </c>
      <c r="G908" s="8" t="s">
        <v>11</v>
      </c>
      <c r="H908" s="8" t="s">
        <v>12</v>
      </c>
      <c r="I908" s="11" t="s">
        <v>13</v>
      </c>
      <c r="J908" s="8" t="s">
        <v>14</v>
      </c>
    </row>
    <row r="909" customFormat="false" ht="14.25" hidden="false" customHeight="false" outlineLevel="0" collapsed="false">
      <c r="A909" s="8" t="n">
        <v>908</v>
      </c>
      <c r="B909" s="8" t="s">
        <v>81</v>
      </c>
      <c r="C909" s="8" t="s">
        <v>28</v>
      </c>
      <c r="D909" s="9" t="n">
        <v>44104</v>
      </c>
      <c r="E909" s="9" t="str">
        <f aca="false">TEXT(D909,"MMM")</f>
        <v>set</v>
      </c>
      <c r="F909" s="10" t="n">
        <v>6118.25</v>
      </c>
      <c r="G909" s="8" t="s">
        <v>11</v>
      </c>
      <c r="H909" s="8" t="s">
        <v>12</v>
      </c>
      <c r="I909" s="11" t="s">
        <v>13</v>
      </c>
      <c r="J909" s="8" t="s">
        <v>24</v>
      </c>
    </row>
    <row r="910" customFormat="false" ht="14.25" hidden="false" customHeight="false" outlineLevel="0" collapsed="false">
      <c r="A910" s="8" t="n">
        <v>909</v>
      </c>
      <c r="B910" s="8" t="s">
        <v>81</v>
      </c>
      <c r="C910" s="8" t="s">
        <v>10</v>
      </c>
      <c r="D910" s="9" t="n">
        <v>44104</v>
      </c>
      <c r="E910" s="9" t="str">
        <f aca="false">TEXT(D910,"MMM")</f>
        <v>set</v>
      </c>
      <c r="F910" s="10" t="n">
        <v>-6071.03</v>
      </c>
      <c r="G910" s="8" t="s">
        <v>34</v>
      </c>
      <c r="H910" s="8" t="s">
        <v>36</v>
      </c>
      <c r="I910" s="11" t="s">
        <v>37</v>
      </c>
      <c r="J910" s="8" t="s">
        <v>24</v>
      </c>
    </row>
    <row r="911" customFormat="false" ht="14.25" hidden="false" customHeight="false" outlineLevel="0" collapsed="false">
      <c r="A911" s="8" t="n">
        <v>910</v>
      </c>
      <c r="B911" s="8" t="s">
        <v>73</v>
      </c>
      <c r="C911" s="8" t="s">
        <v>28</v>
      </c>
      <c r="D911" s="9" t="n">
        <v>44104</v>
      </c>
      <c r="E911" s="9" t="str">
        <f aca="false">TEXT(D911,"MMM")</f>
        <v>set</v>
      </c>
      <c r="F911" s="10" t="n">
        <v>-6711.34</v>
      </c>
      <c r="G911" s="8" t="s">
        <v>34</v>
      </c>
      <c r="H911" s="8" t="s">
        <v>17</v>
      </c>
      <c r="I911" s="11" t="s">
        <v>18</v>
      </c>
      <c r="J911" s="8" t="s">
        <v>19</v>
      </c>
    </row>
    <row r="912" customFormat="false" ht="14.25" hidden="false" customHeight="false" outlineLevel="0" collapsed="false">
      <c r="A912" s="8" t="n">
        <v>911</v>
      </c>
      <c r="B912" s="8" t="s">
        <v>39</v>
      </c>
      <c r="C912" s="8" t="s">
        <v>16</v>
      </c>
      <c r="D912" s="9" t="n">
        <v>44104</v>
      </c>
      <c r="E912" s="9" t="str">
        <f aca="false">TEXT(D912,"MMM")</f>
        <v>set</v>
      </c>
      <c r="F912" s="10" t="n">
        <v>-1771.04</v>
      </c>
      <c r="G912" s="8" t="s">
        <v>34</v>
      </c>
      <c r="H912" s="8" t="s">
        <v>17</v>
      </c>
      <c r="I912" s="11" t="s">
        <v>18</v>
      </c>
      <c r="J912" s="8" t="s">
        <v>26</v>
      </c>
    </row>
    <row r="913" customFormat="false" ht="14.25" hidden="false" customHeight="false" outlineLevel="0" collapsed="false">
      <c r="A913" s="8" t="n">
        <v>912</v>
      </c>
      <c r="B913" s="8" t="s">
        <v>66</v>
      </c>
      <c r="C913" s="8" t="s">
        <v>21</v>
      </c>
      <c r="D913" s="9" t="n">
        <v>44104</v>
      </c>
      <c r="E913" s="9" t="str">
        <f aca="false">TEXT(D913,"MMM")</f>
        <v>set</v>
      </c>
      <c r="F913" s="10" t="n">
        <v>-401.21</v>
      </c>
      <c r="G913" s="8" t="s">
        <v>34</v>
      </c>
      <c r="H913" s="8" t="s">
        <v>12</v>
      </c>
      <c r="I913" s="11" t="s">
        <v>13</v>
      </c>
      <c r="J913" s="8" t="s">
        <v>14</v>
      </c>
    </row>
    <row r="914" customFormat="false" ht="14.25" hidden="false" customHeight="false" outlineLevel="0" collapsed="false">
      <c r="A914" s="8" t="n">
        <v>913</v>
      </c>
      <c r="B914" s="8" t="s">
        <v>100</v>
      </c>
      <c r="C914" s="8" t="s">
        <v>28</v>
      </c>
      <c r="D914" s="9" t="n">
        <v>44104</v>
      </c>
      <c r="E914" s="9" t="str">
        <f aca="false">TEXT(D914,"MMM")</f>
        <v>set</v>
      </c>
      <c r="F914" s="10" t="n">
        <v>-38441.87</v>
      </c>
      <c r="G914" s="8" t="s">
        <v>34</v>
      </c>
      <c r="H914" s="8" t="s">
        <v>22</v>
      </c>
      <c r="I914" s="11" t="s">
        <v>23</v>
      </c>
      <c r="J914" s="8" t="s">
        <v>26</v>
      </c>
    </row>
    <row r="915" customFormat="false" ht="14.25" hidden="false" customHeight="false" outlineLevel="0" collapsed="false">
      <c r="A915" s="8" t="n">
        <v>914</v>
      </c>
      <c r="B915" s="8" t="s">
        <v>73</v>
      </c>
      <c r="C915" s="8" t="s">
        <v>16</v>
      </c>
      <c r="D915" s="9" t="n">
        <v>44104</v>
      </c>
      <c r="E915" s="9" t="str">
        <f aca="false">TEXT(D915,"MMM")</f>
        <v>set</v>
      </c>
      <c r="F915" s="10" t="n">
        <v>-25991.07</v>
      </c>
      <c r="G915" s="8" t="s">
        <v>34</v>
      </c>
      <c r="H915" s="8" t="s">
        <v>12</v>
      </c>
      <c r="I915" s="11" t="s">
        <v>13</v>
      </c>
      <c r="J915" s="8" t="s">
        <v>19</v>
      </c>
    </row>
    <row r="916" customFormat="false" ht="14.25" hidden="false" customHeight="false" outlineLevel="0" collapsed="false">
      <c r="A916" s="8" t="n">
        <v>915</v>
      </c>
      <c r="B916" s="8" t="s">
        <v>81</v>
      </c>
      <c r="C916" s="8" t="s">
        <v>28</v>
      </c>
      <c r="D916" s="9" t="n">
        <v>44104</v>
      </c>
      <c r="E916" s="9" t="str">
        <f aca="false">TEXT(D916,"MMM")</f>
        <v>set</v>
      </c>
      <c r="F916" s="10" t="n">
        <v>11656.12</v>
      </c>
      <c r="G916" s="8" t="s">
        <v>11</v>
      </c>
      <c r="H916" s="8" t="s">
        <v>12</v>
      </c>
      <c r="I916" s="11" t="s">
        <v>13</v>
      </c>
      <c r="J916" s="8" t="s">
        <v>14</v>
      </c>
    </row>
    <row r="917" customFormat="false" ht="14.25" hidden="false" customHeight="false" outlineLevel="0" collapsed="false">
      <c r="A917" s="8" t="n">
        <v>916</v>
      </c>
      <c r="B917" s="8" t="s">
        <v>81</v>
      </c>
      <c r="C917" s="8" t="s">
        <v>28</v>
      </c>
      <c r="D917" s="9" t="n">
        <v>44104</v>
      </c>
      <c r="E917" s="9" t="str">
        <f aca="false">TEXT(D917,"MMM")</f>
        <v>set</v>
      </c>
      <c r="F917" s="10" t="n">
        <v>160361.7</v>
      </c>
      <c r="G917" s="8" t="s">
        <v>11</v>
      </c>
      <c r="H917" s="8" t="s">
        <v>30</v>
      </c>
      <c r="I917" s="11" t="s">
        <v>31</v>
      </c>
      <c r="J917" s="8" t="s">
        <v>26</v>
      </c>
    </row>
    <row r="918" customFormat="false" ht="14.25" hidden="false" customHeight="false" outlineLevel="0" collapsed="false">
      <c r="A918" s="8" t="n">
        <v>917</v>
      </c>
      <c r="B918" s="8" t="s">
        <v>100</v>
      </c>
      <c r="C918" s="8" t="s">
        <v>16</v>
      </c>
      <c r="D918" s="9" t="n">
        <v>44104</v>
      </c>
      <c r="E918" s="9" t="str">
        <f aca="false">TEXT(D918,"MMM")</f>
        <v>set</v>
      </c>
      <c r="F918" s="10" t="n">
        <v>26690.35</v>
      </c>
      <c r="G918" s="8" t="s">
        <v>11</v>
      </c>
      <c r="H918" s="8" t="s">
        <v>12</v>
      </c>
      <c r="I918" s="11" t="s">
        <v>13</v>
      </c>
      <c r="J918" s="8" t="s">
        <v>26</v>
      </c>
    </row>
    <row r="919" customFormat="false" ht="14.25" hidden="false" customHeight="false" outlineLevel="0" collapsed="false">
      <c r="A919" s="8" t="n">
        <v>918</v>
      </c>
      <c r="B919" s="8" t="s">
        <v>100</v>
      </c>
      <c r="C919" s="8" t="s">
        <v>10</v>
      </c>
      <c r="D919" s="9" t="n">
        <v>44104</v>
      </c>
      <c r="E919" s="9" t="str">
        <f aca="false">TEXT(D919,"MMM")</f>
        <v>set</v>
      </c>
      <c r="F919" s="10" t="n">
        <v>-38140.48</v>
      </c>
      <c r="G919" s="8" t="s">
        <v>34</v>
      </c>
      <c r="H919" s="8" t="s">
        <v>17</v>
      </c>
      <c r="I919" s="11" t="s">
        <v>18</v>
      </c>
      <c r="J919" s="8" t="s">
        <v>24</v>
      </c>
    </row>
    <row r="920" customFormat="false" ht="14.25" hidden="false" customHeight="false" outlineLevel="0" collapsed="false">
      <c r="A920" s="8" t="n">
        <v>919</v>
      </c>
      <c r="B920" s="8" t="s">
        <v>100</v>
      </c>
      <c r="C920" s="8" t="s">
        <v>16</v>
      </c>
      <c r="D920" s="9" t="n">
        <v>44104</v>
      </c>
      <c r="E920" s="9" t="str">
        <f aca="false">TEXT(D920,"MMM")</f>
        <v>set</v>
      </c>
      <c r="F920" s="10" t="n">
        <v>70176.95</v>
      </c>
      <c r="G920" s="8" t="s">
        <v>11</v>
      </c>
      <c r="H920" s="8" t="s">
        <v>36</v>
      </c>
      <c r="I920" s="11" t="s">
        <v>37</v>
      </c>
      <c r="J920" s="8" t="s">
        <v>26</v>
      </c>
    </row>
    <row r="921" customFormat="false" ht="14.25" hidden="false" customHeight="false" outlineLevel="0" collapsed="false">
      <c r="A921" s="8" t="n">
        <v>920</v>
      </c>
      <c r="B921" s="8" t="s">
        <v>66</v>
      </c>
      <c r="C921" s="8" t="s">
        <v>28</v>
      </c>
      <c r="D921" s="9" t="n">
        <v>44104</v>
      </c>
      <c r="E921" s="9" t="str">
        <f aca="false">TEXT(D921,"MMM")</f>
        <v>set</v>
      </c>
      <c r="F921" s="10" t="n">
        <v>11976.84</v>
      </c>
      <c r="G921" s="8" t="s">
        <v>11</v>
      </c>
      <c r="H921" s="8" t="s">
        <v>17</v>
      </c>
      <c r="I921" s="11" t="s">
        <v>18</v>
      </c>
      <c r="J921" s="8" t="s">
        <v>14</v>
      </c>
    </row>
    <row r="922" customFormat="false" ht="14.25" hidden="false" customHeight="false" outlineLevel="0" collapsed="false">
      <c r="A922" s="8" t="n">
        <v>921</v>
      </c>
      <c r="B922" s="8" t="s">
        <v>66</v>
      </c>
      <c r="C922" s="8" t="s">
        <v>21</v>
      </c>
      <c r="D922" s="9" t="n">
        <v>44104</v>
      </c>
      <c r="E922" s="9" t="str">
        <f aca="false">TEXT(D922,"MMM")</f>
        <v>set</v>
      </c>
      <c r="F922" s="10" t="n">
        <v>12464.82</v>
      </c>
      <c r="G922" s="8" t="s">
        <v>11</v>
      </c>
      <c r="H922" s="8" t="s">
        <v>17</v>
      </c>
      <c r="I922" s="11" t="s">
        <v>18</v>
      </c>
      <c r="J922" s="8" t="s">
        <v>14</v>
      </c>
    </row>
    <row r="923" customFormat="false" ht="14.25" hidden="false" customHeight="false" outlineLevel="0" collapsed="false">
      <c r="A923" s="8" t="n">
        <v>922</v>
      </c>
      <c r="B923" s="8" t="s">
        <v>141</v>
      </c>
      <c r="C923" s="8" t="s">
        <v>21</v>
      </c>
      <c r="D923" s="9" t="n">
        <v>44104</v>
      </c>
      <c r="E923" s="9" t="str">
        <f aca="false">TEXT(D923,"MMM")</f>
        <v>set</v>
      </c>
      <c r="F923" s="10" t="n">
        <v>12100.75</v>
      </c>
      <c r="G923" s="8" t="s">
        <v>11</v>
      </c>
      <c r="H923" s="8" t="s">
        <v>36</v>
      </c>
      <c r="I923" s="11" t="s">
        <v>37</v>
      </c>
      <c r="J923" s="8" t="s">
        <v>19</v>
      </c>
    </row>
    <row r="924" customFormat="false" ht="14.25" hidden="false" customHeight="false" outlineLevel="0" collapsed="false">
      <c r="A924" s="8" t="n">
        <v>923</v>
      </c>
      <c r="B924" s="8" t="s">
        <v>85</v>
      </c>
      <c r="C924" s="8" t="s">
        <v>28</v>
      </c>
      <c r="D924" s="9" t="n">
        <v>44106</v>
      </c>
      <c r="E924" s="9" t="str">
        <f aca="false">TEXT(D924,"MMM")</f>
        <v>out</v>
      </c>
      <c r="F924" s="10" t="n">
        <v>-12216.37</v>
      </c>
      <c r="G924" s="8" t="s">
        <v>34</v>
      </c>
      <c r="H924" s="8" t="s">
        <v>17</v>
      </c>
      <c r="I924" s="11" t="s">
        <v>18</v>
      </c>
      <c r="J924" s="8" t="s">
        <v>14</v>
      </c>
    </row>
    <row r="925" customFormat="false" ht="14.25" hidden="false" customHeight="false" outlineLevel="0" collapsed="false">
      <c r="A925" s="8" t="n">
        <v>924</v>
      </c>
      <c r="B925" s="8" t="s">
        <v>85</v>
      </c>
      <c r="C925" s="8" t="s">
        <v>21</v>
      </c>
      <c r="D925" s="9" t="n">
        <v>44106</v>
      </c>
      <c r="E925" s="9" t="str">
        <f aca="false">TEXT(D925,"MMM")</f>
        <v>out</v>
      </c>
      <c r="F925" s="10" t="n">
        <v>-11749.22</v>
      </c>
      <c r="G925" s="8" t="s">
        <v>34</v>
      </c>
      <c r="H925" s="8" t="s">
        <v>17</v>
      </c>
      <c r="I925" s="11" t="s">
        <v>18</v>
      </c>
      <c r="J925" s="8" t="s">
        <v>26</v>
      </c>
    </row>
    <row r="926" customFormat="false" ht="14.25" hidden="false" customHeight="false" outlineLevel="0" collapsed="false">
      <c r="A926" s="8" t="n">
        <v>925</v>
      </c>
      <c r="B926" s="8" t="s">
        <v>85</v>
      </c>
      <c r="C926" s="8" t="s">
        <v>16</v>
      </c>
      <c r="D926" s="9" t="n">
        <v>44106</v>
      </c>
      <c r="E926" s="9" t="str">
        <f aca="false">TEXT(D926,"MMM")</f>
        <v>out</v>
      </c>
      <c r="F926" s="10" t="n">
        <v>0</v>
      </c>
      <c r="G926" s="8" t="s">
        <v>34</v>
      </c>
      <c r="H926" s="8" t="s">
        <v>30</v>
      </c>
      <c r="I926" s="11" t="s">
        <v>31</v>
      </c>
      <c r="J926" s="8" t="s">
        <v>26</v>
      </c>
    </row>
    <row r="927" customFormat="false" ht="14.25" hidden="false" customHeight="false" outlineLevel="0" collapsed="false">
      <c r="A927" s="8" t="n">
        <v>926</v>
      </c>
      <c r="B927" s="8" t="s">
        <v>93</v>
      </c>
      <c r="C927" s="8" t="s">
        <v>21</v>
      </c>
      <c r="D927" s="9" t="n">
        <v>44107</v>
      </c>
      <c r="E927" s="9" t="str">
        <f aca="false">TEXT(D927,"MMM")</f>
        <v>out</v>
      </c>
      <c r="F927" s="10" t="n">
        <v>-6940.36</v>
      </c>
      <c r="G927" s="8" t="s">
        <v>34</v>
      </c>
      <c r="H927" s="8" t="s">
        <v>17</v>
      </c>
      <c r="I927" s="11" t="s">
        <v>18</v>
      </c>
      <c r="J927" s="8" t="s">
        <v>14</v>
      </c>
    </row>
    <row r="928" customFormat="false" ht="14.25" hidden="false" customHeight="false" outlineLevel="0" collapsed="false">
      <c r="A928" s="8" t="n">
        <v>927</v>
      </c>
      <c r="B928" s="8" t="s">
        <v>93</v>
      </c>
      <c r="C928" s="8" t="s">
        <v>21</v>
      </c>
      <c r="D928" s="9" t="n">
        <v>44107</v>
      </c>
      <c r="E928" s="9" t="str">
        <f aca="false">TEXT(D928,"MMM")</f>
        <v>out</v>
      </c>
      <c r="F928" s="10" t="n">
        <v>-1090.25</v>
      </c>
      <c r="G928" s="8" t="s">
        <v>34</v>
      </c>
      <c r="H928" s="8" t="s">
        <v>17</v>
      </c>
      <c r="I928" s="11" t="s">
        <v>18</v>
      </c>
      <c r="J928" s="8" t="s">
        <v>26</v>
      </c>
    </row>
    <row r="929" customFormat="false" ht="14.25" hidden="false" customHeight="false" outlineLevel="0" collapsed="false">
      <c r="A929" s="8" t="n">
        <v>928</v>
      </c>
      <c r="B929" s="8" t="s">
        <v>39</v>
      </c>
      <c r="C929" s="8" t="s">
        <v>28</v>
      </c>
      <c r="D929" s="9" t="n">
        <v>44107</v>
      </c>
      <c r="E929" s="9" t="str">
        <f aca="false">TEXT(D929,"MMM")</f>
        <v>out</v>
      </c>
      <c r="F929" s="10" t="n">
        <v>-8699.53</v>
      </c>
      <c r="G929" s="8" t="s">
        <v>34</v>
      </c>
      <c r="H929" s="8" t="s">
        <v>12</v>
      </c>
      <c r="I929" s="11" t="s">
        <v>13</v>
      </c>
      <c r="J929" s="8" t="s">
        <v>14</v>
      </c>
    </row>
    <row r="930" customFormat="false" ht="14.25" hidden="false" customHeight="false" outlineLevel="0" collapsed="false">
      <c r="A930" s="8" t="n">
        <v>929</v>
      </c>
      <c r="B930" s="8" t="s">
        <v>101</v>
      </c>
      <c r="C930" s="8" t="s">
        <v>16</v>
      </c>
      <c r="D930" s="9" t="n">
        <v>44109</v>
      </c>
      <c r="E930" s="9" t="str">
        <f aca="false">TEXT(D930,"MMM")</f>
        <v>out</v>
      </c>
      <c r="F930" s="10" t="n">
        <v>-1178.35</v>
      </c>
      <c r="G930" s="8" t="s">
        <v>34</v>
      </c>
      <c r="H930" s="8" t="s">
        <v>12</v>
      </c>
      <c r="I930" s="11" t="s">
        <v>13</v>
      </c>
      <c r="J930" s="8" t="s">
        <v>19</v>
      </c>
    </row>
    <row r="931" customFormat="false" ht="14.25" hidden="false" customHeight="false" outlineLevel="0" collapsed="false">
      <c r="A931" s="8" t="n">
        <v>930</v>
      </c>
      <c r="B931" s="8" t="s">
        <v>33</v>
      </c>
      <c r="C931" s="8" t="s">
        <v>10</v>
      </c>
      <c r="D931" s="9" t="n">
        <v>44110</v>
      </c>
      <c r="E931" s="9" t="str">
        <f aca="false">TEXT(D931,"MMM")</f>
        <v>out</v>
      </c>
      <c r="F931" s="10" t="n">
        <v>-1163.26</v>
      </c>
      <c r="G931" s="8" t="s">
        <v>34</v>
      </c>
      <c r="H931" s="8" t="s">
        <v>36</v>
      </c>
      <c r="I931" s="11" t="s">
        <v>37</v>
      </c>
      <c r="J931" s="8" t="s">
        <v>14</v>
      </c>
    </row>
    <row r="932" customFormat="false" ht="14.25" hidden="false" customHeight="false" outlineLevel="0" collapsed="false">
      <c r="A932" s="8" t="n">
        <v>931</v>
      </c>
      <c r="B932" s="8" t="s">
        <v>142</v>
      </c>
      <c r="C932" s="8" t="s">
        <v>21</v>
      </c>
      <c r="D932" s="9" t="n">
        <v>44110</v>
      </c>
      <c r="E932" s="9" t="str">
        <f aca="false">TEXT(D932,"MMM")</f>
        <v>out</v>
      </c>
      <c r="F932" s="10" t="n">
        <v>-1725.33</v>
      </c>
      <c r="G932" s="8" t="s">
        <v>34</v>
      </c>
      <c r="H932" s="8" t="s">
        <v>30</v>
      </c>
      <c r="I932" s="11" t="s">
        <v>31</v>
      </c>
      <c r="J932" s="8" t="s">
        <v>14</v>
      </c>
    </row>
    <row r="933" customFormat="false" ht="14.25" hidden="false" customHeight="false" outlineLevel="0" collapsed="false">
      <c r="A933" s="8" t="n">
        <v>932</v>
      </c>
      <c r="B933" s="8" t="s">
        <v>85</v>
      </c>
      <c r="C933" s="8" t="s">
        <v>21</v>
      </c>
      <c r="D933" s="9" t="n">
        <v>44110</v>
      </c>
      <c r="E933" s="9" t="str">
        <f aca="false">TEXT(D933,"MMM")</f>
        <v>out</v>
      </c>
      <c r="F933" s="10" t="n">
        <v>-764.51</v>
      </c>
      <c r="G933" s="8" t="s">
        <v>34</v>
      </c>
      <c r="H933" s="8" t="s">
        <v>12</v>
      </c>
      <c r="I933" s="11" t="s">
        <v>13</v>
      </c>
      <c r="J933" s="8" t="s">
        <v>24</v>
      </c>
    </row>
    <row r="934" customFormat="false" ht="14.25" hidden="false" customHeight="false" outlineLevel="0" collapsed="false">
      <c r="A934" s="8" t="n">
        <v>933</v>
      </c>
      <c r="B934" s="8" t="s">
        <v>130</v>
      </c>
      <c r="C934" s="8" t="s">
        <v>16</v>
      </c>
      <c r="D934" s="9" t="n">
        <v>44110</v>
      </c>
      <c r="E934" s="9" t="str">
        <f aca="false">TEXT(D934,"MMM")</f>
        <v>out</v>
      </c>
      <c r="F934" s="10" t="n">
        <v>-1351.32</v>
      </c>
      <c r="G934" s="8" t="s">
        <v>34</v>
      </c>
      <c r="H934" s="8" t="s">
        <v>22</v>
      </c>
      <c r="I934" s="11" t="s">
        <v>23</v>
      </c>
      <c r="J934" s="8" t="s">
        <v>26</v>
      </c>
    </row>
    <row r="935" customFormat="false" ht="14.25" hidden="false" customHeight="false" outlineLevel="0" collapsed="false">
      <c r="A935" s="8" t="n">
        <v>934</v>
      </c>
      <c r="B935" s="8" t="s">
        <v>86</v>
      </c>
      <c r="C935" s="8" t="s">
        <v>16</v>
      </c>
      <c r="D935" s="9" t="n">
        <v>44110</v>
      </c>
      <c r="E935" s="9" t="str">
        <f aca="false">TEXT(D935,"MMM")</f>
        <v>out</v>
      </c>
      <c r="F935" s="10" t="n">
        <v>-1364.44</v>
      </c>
      <c r="G935" s="8" t="s">
        <v>34</v>
      </c>
      <c r="H935" s="8" t="s">
        <v>36</v>
      </c>
      <c r="I935" s="11" t="s">
        <v>37</v>
      </c>
      <c r="J935" s="8" t="s">
        <v>14</v>
      </c>
    </row>
    <row r="936" customFormat="false" ht="14.25" hidden="false" customHeight="false" outlineLevel="0" collapsed="false">
      <c r="A936" s="8" t="n">
        <v>935</v>
      </c>
      <c r="B936" s="8" t="s">
        <v>130</v>
      </c>
      <c r="C936" s="8" t="s">
        <v>10</v>
      </c>
      <c r="D936" s="9" t="n">
        <v>44110</v>
      </c>
      <c r="E936" s="9" t="str">
        <f aca="false">TEXT(D936,"MMM")</f>
        <v>out</v>
      </c>
      <c r="F936" s="10" t="n">
        <v>190063.39</v>
      </c>
      <c r="G936" s="8" t="s">
        <v>11</v>
      </c>
      <c r="H936" s="8" t="s">
        <v>12</v>
      </c>
      <c r="I936" s="11" t="s">
        <v>13</v>
      </c>
      <c r="J936" s="8" t="s">
        <v>14</v>
      </c>
    </row>
    <row r="937" customFormat="false" ht="14.25" hidden="false" customHeight="false" outlineLevel="0" collapsed="false">
      <c r="A937" s="8" t="n">
        <v>936</v>
      </c>
      <c r="B937" s="8" t="s">
        <v>85</v>
      </c>
      <c r="C937" s="8" t="s">
        <v>28</v>
      </c>
      <c r="D937" s="9" t="n">
        <v>44113</v>
      </c>
      <c r="E937" s="9" t="str">
        <f aca="false">TEXT(D937,"MMM")</f>
        <v>out</v>
      </c>
      <c r="F937" s="10" t="n">
        <v>64248.76</v>
      </c>
      <c r="G937" s="8" t="s">
        <v>11</v>
      </c>
      <c r="H937" s="8" t="s">
        <v>12</v>
      </c>
      <c r="I937" s="11" t="s">
        <v>13</v>
      </c>
      <c r="J937" s="8" t="s">
        <v>26</v>
      </c>
    </row>
    <row r="938" customFormat="false" ht="14.25" hidden="false" customHeight="false" outlineLevel="0" collapsed="false">
      <c r="A938" s="8" t="n">
        <v>937</v>
      </c>
      <c r="B938" s="8" t="s">
        <v>85</v>
      </c>
      <c r="C938" s="8" t="s">
        <v>28</v>
      </c>
      <c r="D938" s="9" t="n">
        <v>44113</v>
      </c>
      <c r="E938" s="9" t="str">
        <f aca="false">TEXT(D938,"MMM")</f>
        <v>out</v>
      </c>
      <c r="F938" s="10" t="n">
        <v>87480.99</v>
      </c>
      <c r="G938" s="8" t="s">
        <v>11</v>
      </c>
      <c r="H938" s="8" t="s">
        <v>12</v>
      </c>
      <c r="I938" s="11" t="s">
        <v>13</v>
      </c>
      <c r="J938" s="8" t="s">
        <v>26</v>
      </c>
    </row>
    <row r="939" customFormat="false" ht="14.25" hidden="false" customHeight="false" outlineLevel="0" collapsed="false">
      <c r="A939" s="8" t="n">
        <v>938</v>
      </c>
      <c r="B939" s="8" t="s">
        <v>54</v>
      </c>
      <c r="C939" s="8" t="s">
        <v>16</v>
      </c>
      <c r="D939" s="9" t="n">
        <v>44114</v>
      </c>
      <c r="E939" s="9" t="str">
        <f aca="false">TEXT(D939,"MMM")</f>
        <v>out</v>
      </c>
      <c r="F939" s="10" t="n">
        <v>6324</v>
      </c>
      <c r="G939" s="8" t="s">
        <v>11</v>
      </c>
      <c r="H939" s="8" t="s">
        <v>17</v>
      </c>
      <c r="I939" s="11" t="s">
        <v>18</v>
      </c>
      <c r="J939" s="8" t="s">
        <v>26</v>
      </c>
    </row>
    <row r="940" customFormat="false" ht="14.25" hidden="false" customHeight="false" outlineLevel="0" collapsed="false">
      <c r="A940" s="8" t="n">
        <v>939</v>
      </c>
      <c r="B940" s="8" t="s">
        <v>143</v>
      </c>
      <c r="C940" s="8" t="s">
        <v>28</v>
      </c>
      <c r="D940" s="9" t="n">
        <v>44116</v>
      </c>
      <c r="E940" s="9" t="str">
        <f aca="false">TEXT(D940,"MMM")</f>
        <v>out</v>
      </c>
      <c r="F940" s="10" t="n">
        <v>6324</v>
      </c>
      <c r="G940" s="8" t="s">
        <v>11</v>
      </c>
      <c r="H940" s="8" t="s">
        <v>17</v>
      </c>
      <c r="I940" s="11" t="s">
        <v>18</v>
      </c>
      <c r="J940" s="8" t="s">
        <v>14</v>
      </c>
    </row>
    <row r="941" customFormat="false" ht="14.25" hidden="false" customHeight="false" outlineLevel="0" collapsed="false">
      <c r="A941" s="8" t="n">
        <v>940</v>
      </c>
      <c r="B941" s="8" t="s">
        <v>45</v>
      </c>
      <c r="C941" s="8" t="s">
        <v>16</v>
      </c>
      <c r="D941" s="9" t="n">
        <v>44117</v>
      </c>
      <c r="E941" s="9" t="str">
        <f aca="false">TEXT(D941,"MMM")</f>
        <v>out</v>
      </c>
      <c r="F941" s="10" t="n">
        <v>6324</v>
      </c>
      <c r="G941" s="8" t="s">
        <v>11</v>
      </c>
      <c r="H941" s="8" t="s">
        <v>12</v>
      </c>
      <c r="I941" s="11" t="s">
        <v>13</v>
      </c>
      <c r="J941" s="8" t="s">
        <v>24</v>
      </c>
    </row>
    <row r="942" customFormat="false" ht="14.25" hidden="false" customHeight="false" outlineLevel="0" collapsed="false">
      <c r="A942" s="8" t="n">
        <v>941</v>
      </c>
      <c r="B942" s="8" t="s">
        <v>45</v>
      </c>
      <c r="C942" s="8" t="s">
        <v>21</v>
      </c>
      <c r="D942" s="9" t="n">
        <v>44117</v>
      </c>
      <c r="E942" s="9" t="str">
        <f aca="false">TEXT(D942,"MMM")</f>
        <v>out</v>
      </c>
      <c r="F942" s="10" t="n">
        <v>6324</v>
      </c>
      <c r="G942" s="8" t="s">
        <v>11</v>
      </c>
      <c r="H942" s="8" t="s">
        <v>17</v>
      </c>
      <c r="I942" s="11" t="s">
        <v>18</v>
      </c>
      <c r="J942" s="8" t="s">
        <v>26</v>
      </c>
    </row>
    <row r="943" customFormat="false" ht="14.25" hidden="false" customHeight="false" outlineLevel="0" collapsed="false">
      <c r="A943" s="8" t="n">
        <v>942</v>
      </c>
      <c r="B943" s="8" t="s">
        <v>39</v>
      </c>
      <c r="C943" s="8" t="s">
        <v>10</v>
      </c>
      <c r="D943" s="9" t="n">
        <v>44117</v>
      </c>
      <c r="E943" s="9" t="str">
        <f aca="false">TEXT(D943,"MMM")</f>
        <v>out</v>
      </c>
      <c r="F943" s="10" t="n">
        <v>6324</v>
      </c>
      <c r="G943" s="8" t="s">
        <v>11</v>
      </c>
      <c r="H943" s="8" t="s">
        <v>12</v>
      </c>
      <c r="I943" s="11" t="s">
        <v>13</v>
      </c>
      <c r="J943" s="8" t="s">
        <v>19</v>
      </c>
    </row>
    <row r="944" customFormat="false" ht="14.25" hidden="false" customHeight="false" outlineLevel="0" collapsed="false">
      <c r="A944" s="8" t="n">
        <v>943</v>
      </c>
      <c r="B944" s="8" t="s">
        <v>85</v>
      </c>
      <c r="C944" s="8" t="s">
        <v>21</v>
      </c>
      <c r="D944" s="9" t="n">
        <v>44120</v>
      </c>
      <c r="E944" s="9" t="str">
        <f aca="false">TEXT(D944,"MMM")</f>
        <v>out</v>
      </c>
      <c r="F944" s="10" t="n">
        <v>-121.31</v>
      </c>
      <c r="G944" s="8" t="s">
        <v>34</v>
      </c>
      <c r="H944" s="8" t="s">
        <v>36</v>
      </c>
      <c r="I944" s="11" t="s">
        <v>37</v>
      </c>
      <c r="J944" s="8" t="s">
        <v>14</v>
      </c>
    </row>
    <row r="945" customFormat="false" ht="14.25" hidden="false" customHeight="false" outlineLevel="0" collapsed="false">
      <c r="A945" s="8" t="n">
        <v>944</v>
      </c>
      <c r="B945" s="8" t="s">
        <v>39</v>
      </c>
      <c r="C945" s="8" t="s">
        <v>21</v>
      </c>
      <c r="D945" s="9" t="n">
        <v>44120</v>
      </c>
      <c r="E945" s="9" t="str">
        <f aca="false">TEXT(D945,"MMM")</f>
        <v>out</v>
      </c>
      <c r="F945" s="10" t="n">
        <v>57804.8</v>
      </c>
      <c r="G945" s="8" t="s">
        <v>11</v>
      </c>
      <c r="H945" s="8" t="s">
        <v>12</v>
      </c>
      <c r="I945" s="11" t="s">
        <v>13</v>
      </c>
      <c r="J945" s="8" t="s">
        <v>14</v>
      </c>
    </row>
    <row r="946" customFormat="false" ht="14.25" hidden="false" customHeight="false" outlineLevel="0" collapsed="false">
      <c r="A946" s="8" t="n">
        <v>945</v>
      </c>
      <c r="B946" s="8" t="s">
        <v>15</v>
      </c>
      <c r="C946" s="8" t="s">
        <v>16</v>
      </c>
      <c r="D946" s="9" t="n">
        <v>44121</v>
      </c>
      <c r="E946" s="9" t="str">
        <f aca="false">TEXT(D946,"MMM")</f>
        <v>out</v>
      </c>
      <c r="F946" s="10" t="n">
        <v>6732</v>
      </c>
      <c r="G946" s="8" t="s">
        <v>11</v>
      </c>
      <c r="H946" s="8" t="s">
        <v>17</v>
      </c>
      <c r="I946" s="11" t="s">
        <v>18</v>
      </c>
      <c r="J946" s="8" t="s">
        <v>14</v>
      </c>
    </row>
    <row r="947" customFormat="false" ht="14.25" hidden="false" customHeight="false" outlineLevel="0" collapsed="false">
      <c r="A947" s="8" t="n">
        <v>946</v>
      </c>
      <c r="B947" s="8" t="s">
        <v>51</v>
      </c>
      <c r="C947" s="8" t="s">
        <v>16</v>
      </c>
      <c r="D947" s="9" t="n">
        <v>44121</v>
      </c>
      <c r="E947" s="9" t="str">
        <f aca="false">TEXT(D947,"MMM")</f>
        <v>out</v>
      </c>
      <c r="F947" s="10" t="n">
        <v>6732</v>
      </c>
      <c r="G947" s="8" t="s">
        <v>11</v>
      </c>
      <c r="H947" s="8" t="s">
        <v>17</v>
      </c>
      <c r="I947" s="11" t="s">
        <v>18</v>
      </c>
      <c r="J947" s="8" t="s">
        <v>14</v>
      </c>
    </row>
    <row r="948" customFormat="false" ht="14.25" hidden="false" customHeight="false" outlineLevel="0" collapsed="false">
      <c r="A948" s="8" t="n">
        <v>947</v>
      </c>
      <c r="B948" s="8" t="s">
        <v>29</v>
      </c>
      <c r="C948" s="8" t="s">
        <v>16</v>
      </c>
      <c r="D948" s="9" t="n">
        <v>44122</v>
      </c>
      <c r="E948" s="9" t="str">
        <f aca="false">TEXT(D948,"MMM")</f>
        <v>out</v>
      </c>
      <c r="F948" s="10" t="n">
        <v>6732</v>
      </c>
      <c r="G948" s="8" t="s">
        <v>11</v>
      </c>
      <c r="H948" s="8" t="s">
        <v>17</v>
      </c>
      <c r="I948" s="11" t="s">
        <v>18</v>
      </c>
      <c r="J948" s="8" t="s">
        <v>26</v>
      </c>
    </row>
    <row r="949" customFormat="false" ht="14.25" hidden="false" customHeight="false" outlineLevel="0" collapsed="false">
      <c r="A949" s="8" t="n">
        <v>948</v>
      </c>
      <c r="B949" s="8" t="s">
        <v>50</v>
      </c>
      <c r="C949" s="8" t="s">
        <v>16</v>
      </c>
      <c r="D949" s="9" t="n">
        <v>44122</v>
      </c>
      <c r="E949" s="9" t="str">
        <f aca="false">TEXT(D949,"MMM")</f>
        <v>out</v>
      </c>
      <c r="F949" s="10" t="n">
        <v>-1344.77</v>
      </c>
      <c r="G949" s="8" t="s">
        <v>34</v>
      </c>
      <c r="H949" s="8" t="s">
        <v>12</v>
      </c>
      <c r="I949" s="11" t="s">
        <v>13</v>
      </c>
      <c r="J949" s="8" t="s">
        <v>24</v>
      </c>
    </row>
    <row r="950" customFormat="false" ht="14.25" hidden="false" customHeight="false" outlineLevel="0" collapsed="false">
      <c r="A950" s="8" t="n">
        <v>949</v>
      </c>
      <c r="B950" s="8" t="s">
        <v>144</v>
      </c>
      <c r="C950" s="8" t="s">
        <v>16</v>
      </c>
      <c r="D950" s="9" t="n">
        <v>44122</v>
      </c>
      <c r="E950" s="9" t="str">
        <f aca="false">TEXT(D950,"MMM")</f>
        <v>out</v>
      </c>
      <c r="F950" s="10" t="n">
        <v>77544.48</v>
      </c>
      <c r="G950" s="8" t="s">
        <v>11</v>
      </c>
      <c r="H950" s="8" t="s">
        <v>30</v>
      </c>
      <c r="I950" s="11" t="s">
        <v>31</v>
      </c>
      <c r="J950" s="8" t="s">
        <v>26</v>
      </c>
    </row>
    <row r="951" customFormat="false" ht="14.25" hidden="false" customHeight="false" outlineLevel="0" collapsed="false">
      <c r="A951" s="8" t="n">
        <v>950</v>
      </c>
      <c r="B951" s="8" t="s">
        <v>144</v>
      </c>
      <c r="C951" s="8" t="s">
        <v>21</v>
      </c>
      <c r="D951" s="9" t="n">
        <v>44122</v>
      </c>
      <c r="E951" s="9" t="str">
        <f aca="false">TEXT(D951,"MMM")</f>
        <v>out</v>
      </c>
      <c r="F951" s="10" t="n">
        <v>-18793.32</v>
      </c>
      <c r="G951" s="8" t="s">
        <v>34</v>
      </c>
      <c r="H951" s="8" t="s">
        <v>17</v>
      </c>
      <c r="I951" s="11" t="s">
        <v>18</v>
      </c>
      <c r="J951" s="8" t="s">
        <v>26</v>
      </c>
    </row>
    <row r="952" customFormat="false" ht="14.25" hidden="false" customHeight="false" outlineLevel="0" collapsed="false">
      <c r="A952" s="8" t="n">
        <v>951</v>
      </c>
      <c r="B952" s="8" t="s">
        <v>32</v>
      </c>
      <c r="C952" s="8" t="s">
        <v>21</v>
      </c>
      <c r="D952" s="9" t="n">
        <v>44122</v>
      </c>
      <c r="E952" s="9" t="str">
        <f aca="false">TEXT(D952,"MMM")</f>
        <v>out</v>
      </c>
      <c r="F952" s="10" t="n">
        <v>15569.66</v>
      </c>
      <c r="G952" s="8" t="s">
        <v>11</v>
      </c>
      <c r="H952" s="8" t="s">
        <v>17</v>
      </c>
      <c r="I952" s="11" t="s">
        <v>18</v>
      </c>
      <c r="J952" s="8" t="s">
        <v>26</v>
      </c>
    </row>
    <row r="953" customFormat="false" ht="14.25" hidden="false" customHeight="false" outlineLevel="0" collapsed="false">
      <c r="A953" s="8" t="n">
        <v>952</v>
      </c>
      <c r="B953" s="8" t="s">
        <v>57</v>
      </c>
      <c r="C953" s="8" t="s">
        <v>28</v>
      </c>
      <c r="D953" s="9" t="n">
        <v>44122</v>
      </c>
      <c r="E953" s="9" t="str">
        <f aca="false">TEXT(D953,"MMM")</f>
        <v>out</v>
      </c>
      <c r="F953" s="10" t="n">
        <v>15079.72</v>
      </c>
      <c r="G953" s="8" t="s">
        <v>11</v>
      </c>
      <c r="H953" s="8" t="s">
        <v>12</v>
      </c>
      <c r="I953" s="11" t="s">
        <v>13</v>
      </c>
      <c r="J953" s="8" t="s">
        <v>14</v>
      </c>
    </row>
    <row r="954" customFormat="false" ht="14.25" hidden="false" customHeight="false" outlineLevel="0" collapsed="false">
      <c r="A954" s="8" t="n">
        <v>953</v>
      </c>
      <c r="B954" s="8" t="s">
        <v>44</v>
      </c>
      <c r="C954" s="8" t="s">
        <v>10</v>
      </c>
      <c r="D954" s="9" t="n">
        <v>44122</v>
      </c>
      <c r="E954" s="9" t="str">
        <f aca="false">TEXT(D954,"MMM")</f>
        <v>out</v>
      </c>
      <c r="F954" s="10" t="n">
        <v>16187.82</v>
      </c>
      <c r="G954" s="8" t="s">
        <v>11</v>
      </c>
      <c r="H954" s="8" t="s">
        <v>12</v>
      </c>
      <c r="I954" s="11" t="s">
        <v>13</v>
      </c>
      <c r="J954" s="8" t="s">
        <v>14</v>
      </c>
    </row>
    <row r="955" customFormat="false" ht="14.25" hidden="false" customHeight="false" outlineLevel="0" collapsed="false">
      <c r="A955" s="8" t="n">
        <v>954</v>
      </c>
      <c r="B955" s="8" t="s">
        <v>57</v>
      </c>
      <c r="C955" s="8" t="s">
        <v>16</v>
      </c>
      <c r="D955" s="9" t="n">
        <v>44122</v>
      </c>
      <c r="E955" s="9" t="str">
        <f aca="false">TEXT(D955,"MMM")</f>
        <v>out</v>
      </c>
      <c r="F955" s="10" t="n">
        <v>48298.19</v>
      </c>
      <c r="G955" s="8" t="s">
        <v>11</v>
      </c>
      <c r="H955" s="8" t="s">
        <v>17</v>
      </c>
      <c r="I955" s="11" t="s">
        <v>18</v>
      </c>
      <c r="J955" s="8" t="s">
        <v>19</v>
      </c>
    </row>
    <row r="956" customFormat="false" ht="14.25" hidden="false" customHeight="false" outlineLevel="0" collapsed="false">
      <c r="A956" s="8" t="n">
        <v>955</v>
      </c>
      <c r="B956" s="8" t="s">
        <v>44</v>
      </c>
      <c r="C956" s="8" t="s">
        <v>10</v>
      </c>
      <c r="D956" s="9" t="n">
        <v>44122</v>
      </c>
      <c r="E956" s="9" t="str">
        <f aca="false">TEXT(D956,"MMM")</f>
        <v>out</v>
      </c>
      <c r="F956" s="10" t="n">
        <v>73907.5</v>
      </c>
      <c r="G956" s="8" t="s">
        <v>11</v>
      </c>
      <c r="H956" s="8" t="s">
        <v>36</v>
      </c>
      <c r="I956" s="11" t="s">
        <v>37</v>
      </c>
      <c r="J956" s="8" t="s">
        <v>14</v>
      </c>
    </row>
    <row r="957" customFormat="false" ht="14.25" hidden="false" customHeight="false" outlineLevel="0" collapsed="false">
      <c r="A957" s="8" t="n">
        <v>956</v>
      </c>
      <c r="B957" s="8" t="s">
        <v>47</v>
      </c>
      <c r="C957" s="8" t="s">
        <v>28</v>
      </c>
      <c r="D957" s="9" t="n">
        <v>44122</v>
      </c>
      <c r="E957" s="9" t="str">
        <f aca="false">TEXT(D957,"MMM")</f>
        <v>out</v>
      </c>
      <c r="F957" s="10" t="n">
        <v>69633.97</v>
      </c>
      <c r="G957" s="8" t="s">
        <v>11</v>
      </c>
      <c r="H957" s="8" t="s">
        <v>12</v>
      </c>
      <c r="I957" s="11" t="s">
        <v>13</v>
      </c>
      <c r="J957" s="8" t="s">
        <v>19</v>
      </c>
    </row>
    <row r="958" customFormat="false" ht="14.25" hidden="false" customHeight="false" outlineLevel="0" collapsed="false">
      <c r="A958" s="8" t="n">
        <v>957</v>
      </c>
      <c r="B958" s="8" t="s">
        <v>143</v>
      </c>
      <c r="C958" s="8" t="s">
        <v>10</v>
      </c>
      <c r="D958" s="9" t="n">
        <v>44122</v>
      </c>
      <c r="E958" s="9" t="str">
        <f aca="false">TEXT(D958,"MMM")</f>
        <v>out</v>
      </c>
      <c r="F958" s="10" t="n">
        <v>-4257.19</v>
      </c>
      <c r="G958" s="8" t="s">
        <v>34</v>
      </c>
      <c r="H958" s="8" t="s">
        <v>30</v>
      </c>
      <c r="I958" s="11" t="s">
        <v>31</v>
      </c>
      <c r="J958" s="8" t="s">
        <v>14</v>
      </c>
    </row>
    <row r="959" customFormat="false" ht="14.25" hidden="false" customHeight="false" outlineLevel="0" collapsed="false">
      <c r="A959" s="8" t="n">
        <v>958</v>
      </c>
      <c r="B959" s="8" t="s">
        <v>143</v>
      </c>
      <c r="C959" s="8" t="s">
        <v>10</v>
      </c>
      <c r="D959" s="9" t="n">
        <v>44122</v>
      </c>
      <c r="E959" s="9" t="str">
        <f aca="false">TEXT(D959,"MMM")</f>
        <v>out</v>
      </c>
      <c r="F959" s="10" t="n">
        <v>-31334.03</v>
      </c>
      <c r="G959" s="8" t="s">
        <v>34</v>
      </c>
      <c r="H959" s="8" t="s">
        <v>17</v>
      </c>
      <c r="I959" s="11" t="s">
        <v>18</v>
      </c>
      <c r="J959" s="8" t="s">
        <v>24</v>
      </c>
    </row>
    <row r="960" customFormat="false" ht="14.25" hidden="false" customHeight="false" outlineLevel="0" collapsed="false">
      <c r="A960" s="8" t="n">
        <v>959</v>
      </c>
      <c r="B960" s="8" t="s">
        <v>47</v>
      </c>
      <c r="C960" s="8" t="s">
        <v>10</v>
      </c>
      <c r="D960" s="9" t="n">
        <v>44122</v>
      </c>
      <c r="E960" s="9" t="str">
        <f aca="false">TEXT(D960,"MMM")</f>
        <v>out</v>
      </c>
      <c r="F960" s="10" t="n">
        <v>-23201.05</v>
      </c>
      <c r="G960" s="8" t="s">
        <v>34</v>
      </c>
      <c r="H960" s="8" t="s">
        <v>22</v>
      </c>
      <c r="I960" s="11" t="s">
        <v>23</v>
      </c>
      <c r="J960" s="8" t="s">
        <v>14</v>
      </c>
    </row>
    <row r="961" customFormat="false" ht="14.25" hidden="false" customHeight="false" outlineLevel="0" collapsed="false">
      <c r="A961" s="8" t="n">
        <v>960</v>
      </c>
      <c r="B961" s="8" t="s">
        <v>15</v>
      </c>
      <c r="C961" s="8" t="s">
        <v>10</v>
      </c>
      <c r="D961" s="9" t="n">
        <v>44123</v>
      </c>
      <c r="E961" s="9" t="str">
        <f aca="false">TEXT(D961,"MMM")</f>
        <v>out</v>
      </c>
      <c r="F961" s="10" t="n">
        <v>-3382.33</v>
      </c>
      <c r="G961" s="8" t="s">
        <v>34</v>
      </c>
      <c r="H961" s="8" t="s">
        <v>12</v>
      </c>
      <c r="I961" s="11" t="s">
        <v>13</v>
      </c>
      <c r="J961" s="8" t="s">
        <v>26</v>
      </c>
    </row>
    <row r="962" customFormat="false" ht="14.25" hidden="false" customHeight="false" outlineLevel="0" collapsed="false">
      <c r="A962" s="8" t="n">
        <v>961</v>
      </c>
      <c r="B962" s="8" t="s">
        <v>41</v>
      </c>
      <c r="C962" s="8" t="s">
        <v>28</v>
      </c>
      <c r="D962" s="9" t="n">
        <v>44124</v>
      </c>
      <c r="E962" s="9" t="str">
        <f aca="false">TEXT(D962,"MMM")</f>
        <v>out</v>
      </c>
      <c r="F962" s="10" t="n">
        <v>-2522.98</v>
      </c>
      <c r="G962" s="8" t="s">
        <v>34</v>
      </c>
      <c r="H962" s="8" t="s">
        <v>12</v>
      </c>
      <c r="I962" s="11" t="s">
        <v>13</v>
      </c>
      <c r="J962" s="8" t="s">
        <v>14</v>
      </c>
    </row>
    <row r="963" customFormat="false" ht="14.25" hidden="false" customHeight="false" outlineLevel="0" collapsed="false">
      <c r="A963" s="8" t="n">
        <v>962</v>
      </c>
      <c r="B963" s="8" t="s">
        <v>41</v>
      </c>
      <c r="C963" s="8" t="s">
        <v>28</v>
      </c>
      <c r="D963" s="9" t="n">
        <v>44124</v>
      </c>
      <c r="E963" s="9" t="str">
        <f aca="false">TEXT(D963,"MMM")</f>
        <v>out</v>
      </c>
      <c r="F963" s="10" t="n">
        <v>-121</v>
      </c>
      <c r="G963" s="8" t="s">
        <v>34</v>
      </c>
      <c r="H963" s="8" t="s">
        <v>12</v>
      </c>
      <c r="I963" s="11" t="s">
        <v>13</v>
      </c>
      <c r="J963" s="8" t="s">
        <v>26</v>
      </c>
    </row>
    <row r="964" customFormat="false" ht="14.25" hidden="false" customHeight="false" outlineLevel="0" collapsed="false">
      <c r="A964" s="8" t="n">
        <v>963</v>
      </c>
      <c r="B964" s="8" t="s">
        <v>41</v>
      </c>
      <c r="C964" s="8" t="s">
        <v>16</v>
      </c>
      <c r="D964" s="9" t="n">
        <v>44124</v>
      </c>
      <c r="E964" s="9" t="str">
        <f aca="false">TEXT(D964,"MMM")</f>
        <v>out</v>
      </c>
      <c r="F964" s="10" t="n">
        <v>-20126.82</v>
      </c>
      <c r="G964" s="8" t="s">
        <v>34</v>
      </c>
      <c r="H964" s="8" t="s">
        <v>30</v>
      </c>
      <c r="I964" s="11" t="s">
        <v>31</v>
      </c>
      <c r="J964" s="8" t="s">
        <v>14</v>
      </c>
    </row>
    <row r="965" customFormat="false" ht="14.25" hidden="false" customHeight="false" outlineLevel="0" collapsed="false">
      <c r="A965" s="8" t="n">
        <v>964</v>
      </c>
      <c r="B965" s="8" t="s">
        <v>15</v>
      </c>
      <c r="C965" s="8" t="s">
        <v>10</v>
      </c>
      <c r="D965" s="9" t="n">
        <v>44124</v>
      </c>
      <c r="E965" s="9" t="str">
        <f aca="false">TEXT(D965,"MMM")</f>
        <v>out</v>
      </c>
      <c r="F965" s="10" t="n">
        <v>-13318.62</v>
      </c>
      <c r="G965" s="8" t="s">
        <v>34</v>
      </c>
      <c r="H965" s="8" t="s">
        <v>36</v>
      </c>
      <c r="I965" s="11" t="s">
        <v>37</v>
      </c>
      <c r="J965" s="8" t="s">
        <v>14</v>
      </c>
    </row>
    <row r="966" customFormat="false" ht="14.25" hidden="false" customHeight="false" outlineLevel="0" collapsed="false">
      <c r="A966" s="8" t="n">
        <v>965</v>
      </c>
      <c r="B966" s="8" t="s">
        <v>15</v>
      </c>
      <c r="C966" s="8" t="s">
        <v>10</v>
      </c>
      <c r="D966" s="9" t="n">
        <v>44124</v>
      </c>
      <c r="E966" s="9" t="str">
        <f aca="false">TEXT(D966,"MMM")</f>
        <v>out</v>
      </c>
      <c r="F966" s="10" t="n">
        <v>-433.23</v>
      </c>
      <c r="G966" s="8" t="s">
        <v>34</v>
      </c>
      <c r="H966" s="8" t="s">
        <v>12</v>
      </c>
      <c r="I966" s="11" t="s">
        <v>13</v>
      </c>
      <c r="J966" s="8" t="s">
        <v>14</v>
      </c>
    </row>
    <row r="967" customFormat="false" ht="14.25" hidden="false" customHeight="false" outlineLevel="0" collapsed="false">
      <c r="A967" s="8" t="n">
        <v>966</v>
      </c>
      <c r="B967" s="8" t="s">
        <v>39</v>
      </c>
      <c r="C967" s="8" t="s">
        <v>16</v>
      </c>
      <c r="D967" s="9" t="n">
        <v>44124</v>
      </c>
      <c r="E967" s="9" t="str">
        <f aca="false">TEXT(D967,"MMM")</f>
        <v>out</v>
      </c>
      <c r="F967" s="10" t="n">
        <v>-11322.82</v>
      </c>
      <c r="G967" s="8" t="s">
        <v>34</v>
      </c>
      <c r="H967" s="8" t="s">
        <v>30</v>
      </c>
      <c r="I967" s="11" t="s">
        <v>31</v>
      </c>
      <c r="J967" s="8" t="s">
        <v>14</v>
      </c>
    </row>
    <row r="968" customFormat="false" ht="14.25" hidden="false" customHeight="false" outlineLevel="0" collapsed="false">
      <c r="A968" s="8" t="n">
        <v>967</v>
      </c>
      <c r="B968" s="8" t="s">
        <v>49</v>
      </c>
      <c r="C968" s="8" t="s">
        <v>21</v>
      </c>
      <c r="D968" s="9" t="n">
        <v>44125</v>
      </c>
      <c r="E968" s="9" t="str">
        <f aca="false">TEXT(D968,"MMM")</f>
        <v>out</v>
      </c>
      <c r="F968" s="10" t="n">
        <v>-2758.25</v>
      </c>
      <c r="G968" s="8" t="s">
        <v>34</v>
      </c>
      <c r="H968" s="8" t="s">
        <v>22</v>
      </c>
      <c r="I968" s="11" t="s">
        <v>23</v>
      </c>
      <c r="J968" s="8" t="s">
        <v>26</v>
      </c>
    </row>
    <row r="969" customFormat="false" ht="14.25" hidden="false" customHeight="false" outlineLevel="0" collapsed="false">
      <c r="A969" s="8" t="n">
        <v>968</v>
      </c>
      <c r="B969" s="8" t="s">
        <v>77</v>
      </c>
      <c r="C969" s="8" t="s">
        <v>28</v>
      </c>
      <c r="D969" s="9" t="n">
        <v>44127</v>
      </c>
      <c r="E969" s="9" t="str">
        <f aca="false">TEXT(D969,"MMM")</f>
        <v>out</v>
      </c>
      <c r="F969" s="10" t="n">
        <v>-2681.21</v>
      </c>
      <c r="G969" s="8" t="s">
        <v>34</v>
      </c>
      <c r="H969" s="8" t="s">
        <v>17</v>
      </c>
      <c r="I969" s="11" t="s">
        <v>18</v>
      </c>
      <c r="J969" s="8" t="s">
        <v>26</v>
      </c>
    </row>
    <row r="970" customFormat="false" ht="14.25" hidden="false" customHeight="false" outlineLevel="0" collapsed="false">
      <c r="A970" s="8" t="n">
        <v>969</v>
      </c>
      <c r="B970" s="8" t="s">
        <v>79</v>
      </c>
      <c r="C970" s="8" t="s">
        <v>28</v>
      </c>
      <c r="D970" s="9" t="n">
        <v>44128</v>
      </c>
      <c r="E970" s="9" t="str">
        <f aca="false">TEXT(D970,"MMM")</f>
        <v>out</v>
      </c>
      <c r="F970" s="10" t="n">
        <v>12103.48</v>
      </c>
      <c r="G970" s="8" t="s">
        <v>11</v>
      </c>
      <c r="H970" s="8" t="s">
        <v>12</v>
      </c>
      <c r="I970" s="11" t="s">
        <v>13</v>
      </c>
      <c r="J970" s="8" t="s">
        <v>14</v>
      </c>
    </row>
    <row r="971" customFormat="false" ht="14.25" hidden="false" customHeight="false" outlineLevel="0" collapsed="false">
      <c r="A971" s="8" t="n">
        <v>970</v>
      </c>
      <c r="B971" s="8" t="s">
        <v>45</v>
      </c>
      <c r="C971" s="8" t="s">
        <v>28</v>
      </c>
      <c r="D971" s="9" t="n">
        <v>44128</v>
      </c>
      <c r="E971" s="9" t="str">
        <f aca="false">TEXT(D971,"MMM")</f>
        <v>out</v>
      </c>
      <c r="F971" s="10" t="n">
        <v>10955.76</v>
      </c>
      <c r="G971" s="8" t="s">
        <v>11</v>
      </c>
      <c r="H971" s="8" t="s">
        <v>30</v>
      </c>
      <c r="I971" s="11" t="s">
        <v>31</v>
      </c>
      <c r="J971" s="8" t="s">
        <v>26</v>
      </c>
    </row>
    <row r="972" customFormat="false" ht="14.25" hidden="false" customHeight="false" outlineLevel="0" collapsed="false">
      <c r="A972" s="8" t="n">
        <v>971</v>
      </c>
      <c r="B972" s="8" t="s">
        <v>57</v>
      </c>
      <c r="C972" s="8" t="s">
        <v>28</v>
      </c>
      <c r="D972" s="9" t="n">
        <v>44128</v>
      </c>
      <c r="E972" s="9" t="str">
        <f aca="false">TEXT(D972,"MMM")</f>
        <v>out</v>
      </c>
      <c r="F972" s="10" t="n">
        <v>11868.47</v>
      </c>
      <c r="G972" s="8" t="s">
        <v>11</v>
      </c>
      <c r="H972" s="8" t="s">
        <v>12</v>
      </c>
      <c r="I972" s="11" t="s">
        <v>13</v>
      </c>
      <c r="J972" s="8" t="s">
        <v>14</v>
      </c>
    </row>
    <row r="973" customFormat="false" ht="14.25" hidden="false" customHeight="false" outlineLevel="0" collapsed="false">
      <c r="A973" s="8" t="n">
        <v>972</v>
      </c>
      <c r="B973" s="8" t="s">
        <v>72</v>
      </c>
      <c r="C973" s="8" t="s">
        <v>28</v>
      </c>
      <c r="D973" s="9" t="n">
        <v>44128</v>
      </c>
      <c r="E973" s="9" t="str">
        <f aca="false">TEXT(D973,"MMM")</f>
        <v>out</v>
      </c>
      <c r="F973" s="10" t="n">
        <v>11979.13</v>
      </c>
      <c r="G973" s="8" t="s">
        <v>11</v>
      </c>
      <c r="H973" s="8" t="s">
        <v>12</v>
      </c>
      <c r="I973" s="11" t="s">
        <v>13</v>
      </c>
      <c r="J973" s="8" t="s">
        <v>26</v>
      </c>
    </row>
    <row r="974" customFormat="false" ht="14.25" hidden="false" customHeight="false" outlineLevel="0" collapsed="false">
      <c r="A974" s="8" t="n">
        <v>973</v>
      </c>
      <c r="B974" s="8" t="s">
        <v>44</v>
      </c>
      <c r="C974" s="8" t="s">
        <v>28</v>
      </c>
      <c r="D974" s="9" t="n">
        <v>44128</v>
      </c>
      <c r="E974" s="9" t="str">
        <f aca="false">TEXT(D974,"MMM")</f>
        <v>out</v>
      </c>
      <c r="F974" s="10" t="n">
        <v>10729.87</v>
      </c>
      <c r="G974" s="8" t="s">
        <v>11</v>
      </c>
      <c r="H974" s="8" t="s">
        <v>12</v>
      </c>
      <c r="I974" s="11" t="s">
        <v>13</v>
      </c>
      <c r="J974" s="8" t="s">
        <v>14</v>
      </c>
    </row>
    <row r="975" customFormat="false" ht="14.25" hidden="false" customHeight="false" outlineLevel="0" collapsed="false">
      <c r="A975" s="8" t="n">
        <v>974</v>
      </c>
      <c r="B975" s="8" t="s">
        <v>44</v>
      </c>
      <c r="C975" s="8" t="s">
        <v>10</v>
      </c>
      <c r="D975" s="9" t="n">
        <v>44128</v>
      </c>
      <c r="E975" s="9" t="str">
        <f aca="false">TEXT(D975,"MMM")</f>
        <v>out</v>
      </c>
      <c r="F975" s="10" t="n">
        <v>3485</v>
      </c>
      <c r="G975" s="8" t="s">
        <v>11</v>
      </c>
      <c r="H975" s="8" t="s">
        <v>17</v>
      </c>
      <c r="I975" s="11" t="s">
        <v>18</v>
      </c>
      <c r="J975" s="8" t="s">
        <v>24</v>
      </c>
    </row>
    <row r="976" customFormat="false" ht="14.25" hidden="false" customHeight="false" outlineLevel="0" collapsed="false">
      <c r="A976" s="8" t="n">
        <v>975</v>
      </c>
      <c r="B976" s="8" t="s">
        <v>45</v>
      </c>
      <c r="C976" s="8" t="s">
        <v>28</v>
      </c>
      <c r="D976" s="9" t="n">
        <v>44128</v>
      </c>
      <c r="E976" s="9" t="str">
        <f aca="false">TEXT(D976,"MMM")</f>
        <v>out</v>
      </c>
      <c r="F976" s="10" t="n">
        <v>3833.5</v>
      </c>
      <c r="G976" s="8" t="s">
        <v>11</v>
      </c>
      <c r="H976" s="8" t="s">
        <v>12</v>
      </c>
      <c r="I976" s="11" t="s">
        <v>13</v>
      </c>
      <c r="J976" s="8" t="s">
        <v>19</v>
      </c>
    </row>
    <row r="977" customFormat="false" ht="14.25" hidden="false" customHeight="false" outlineLevel="0" collapsed="false">
      <c r="A977" s="8" t="n">
        <v>976</v>
      </c>
      <c r="B977" s="8" t="s">
        <v>39</v>
      </c>
      <c r="C977" s="8" t="s">
        <v>10</v>
      </c>
      <c r="D977" s="9" t="n">
        <v>44128</v>
      </c>
      <c r="E977" s="9" t="str">
        <f aca="false">TEXT(D977,"MMM")</f>
        <v>out</v>
      </c>
      <c r="F977" s="10" t="n">
        <v>0</v>
      </c>
      <c r="G977" s="8" t="s">
        <v>34</v>
      </c>
      <c r="H977" s="8" t="s">
        <v>17</v>
      </c>
      <c r="I977" s="11" t="s">
        <v>18</v>
      </c>
      <c r="J977" s="8" t="s">
        <v>14</v>
      </c>
    </row>
    <row r="978" customFormat="false" ht="14.25" hidden="false" customHeight="false" outlineLevel="0" collapsed="false">
      <c r="A978" s="8" t="n">
        <v>977</v>
      </c>
      <c r="B978" s="8" t="s">
        <v>57</v>
      </c>
      <c r="C978" s="8" t="s">
        <v>28</v>
      </c>
      <c r="D978" s="9" t="n">
        <v>44128</v>
      </c>
      <c r="E978" s="9" t="str">
        <f aca="false">TEXT(D978,"MMM")</f>
        <v>out</v>
      </c>
      <c r="F978" s="10" t="n">
        <v>0</v>
      </c>
      <c r="G978" s="8" t="s">
        <v>34</v>
      </c>
      <c r="H978" s="8" t="s">
        <v>12</v>
      </c>
      <c r="I978" s="11" t="s">
        <v>13</v>
      </c>
      <c r="J978" s="8" t="s">
        <v>26</v>
      </c>
    </row>
    <row r="979" customFormat="false" ht="14.25" hidden="false" customHeight="false" outlineLevel="0" collapsed="false">
      <c r="A979" s="8" t="n">
        <v>978</v>
      </c>
      <c r="B979" s="8" t="s">
        <v>72</v>
      </c>
      <c r="C979" s="8" t="s">
        <v>21</v>
      </c>
      <c r="D979" s="9" t="n">
        <v>44128</v>
      </c>
      <c r="E979" s="9" t="str">
        <f aca="false">TEXT(D979,"MMM")</f>
        <v>out</v>
      </c>
      <c r="F979" s="10" t="n">
        <v>3485</v>
      </c>
      <c r="G979" s="8" t="s">
        <v>11</v>
      </c>
      <c r="H979" s="8" t="s">
        <v>22</v>
      </c>
      <c r="I979" s="11" t="s">
        <v>23</v>
      </c>
      <c r="J979" s="8" t="s">
        <v>19</v>
      </c>
    </row>
    <row r="980" customFormat="false" ht="14.25" hidden="false" customHeight="false" outlineLevel="0" collapsed="false">
      <c r="A980" s="8" t="n">
        <v>979</v>
      </c>
      <c r="B980" s="8" t="s">
        <v>79</v>
      </c>
      <c r="C980" s="8" t="s">
        <v>21</v>
      </c>
      <c r="D980" s="9" t="n">
        <v>44128</v>
      </c>
      <c r="E980" s="9" t="str">
        <f aca="false">TEXT(D980,"MMM")</f>
        <v>out</v>
      </c>
      <c r="F980" s="10" t="n">
        <v>3833.5</v>
      </c>
      <c r="G980" s="8" t="s">
        <v>11</v>
      </c>
      <c r="H980" s="8" t="s">
        <v>12</v>
      </c>
      <c r="I980" s="11" t="s">
        <v>13</v>
      </c>
      <c r="J980" s="8" t="s">
        <v>26</v>
      </c>
    </row>
    <row r="981" customFormat="false" ht="14.25" hidden="false" customHeight="false" outlineLevel="0" collapsed="false">
      <c r="A981" s="8" t="n">
        <v>980</v>
      </c>
      <c r="B981" s="8" t="s">
        <v>47</v>
      </c>
      <c r="C981" s="8" t="s">
        <v>21</v>
      </c>
      <c r="D981" s="9" t="n">
        <v>44128</v>
      </c>
      <c r="E981" s="9" t="str">
        <f aca="false">TEXT(D981,"MMM")</f>
        <v>out</v>
      </c>
      <c r="F981" s="10" t="n">
        <v>3632.9</v>
      </c>
      <c r="G981" s="8" t="s">
        <v>11</v>
      </c>
      <c r="H981" s="8" t="s">
        <v>12</v>
      </c>
      <c r="I981" s="11" t="s">
        <v>13</v>
      </c>
      <c r="J981" s="8" t="s">
        <v>14</v>
      </c>
    </row>
    <row r="982" customFormat="false" ht="14.25" hidden="false" customHeight="false" outlineLevel="0" collapsed="false">
      <c r="A982" s="8" t="n">
        <v>981</v>
      </c>
      <c r="B982" s="8" t="s">
        <v>47</v>
      </c>
      <c r="C982" s="8" t="s">
        <v>10</v>
      </c>
      <c r="D982" s="9" t="n">
        <v>44128</v>
      </c>
      <c r="E982" s="9" t="str">
        <f aca="false">TEXT(D982,"MMM")</f>
        <v>out</v>
      </c>
      <c r="F982" s="10" t="n">
        <v>3554.7</v>
      </c>
      <c r="G982" s="8" t="s">
        <v>11</v>
      </c>
      <c r="H982" s="8" t="s">
        <v>22</v>
      </c>
      <c r="I982" s="11" t="s">
        <v>23</v>
      </c>
      <c r="J982" s="8" t="s">
        <v>24</v>
      </c>
    </row>
    <row r="983" customFormat="false" ht="14.25" hidden="false" customHeight="false" outlineLevel="0" collapsed="false">
      <c r="A983" s="8" t="n">
        <v>982</v>
      </c>
      <c r="B983" s="8" t="s">
        <v>40</v>
      </c>
      <c r="C983" s="8" t="s">
        <v>28</v>
      </c>
      <c r="D983" s="9" t="n">
        <v>44129</v>
      </c>
      <c r="E983" s="9" t="str">
        <f aca="false">TEXT(D983,"MMM")</f>
        <v>out</v>
      </c>
      <c r="F983" s="10" t="n">
        <v>-10322.2</v>
      </c>
      <c r="G983" s="8" t="s">
        <v>34</v>
      </c>
      <c r="H983" s="8" t="s">
        <v>12</v>
      </c>
      <c r="I983" s="11" t="s">
        <v>13</v>
      </c>
      <c r="J983" s="8" t="s">
        <v>14</v>
      </c>
    </row>
    <row r="984" customFormat="false" ht="14.25" hidden="false" customHeight="false" outlineLevel="0" collapsed="false">
      <c r="A984" s="8" t="n">
        <v>983</v>
      </c>
      <c r="B984" s="8" t="s">
        <v>145</v>
      </c>
      <c r="C984" s="8" t="s">
        <v>16</v>
      </c>
      <c r="D984" s="9" t="n">
        <v>44130</v>
      </c>
      <c r="E984" s="9" t="str">
        <f aca="false">TEXT(D984,"MMM")</f>
        <v>out</v>
      </c>
      <c r="F984" s="10" t="n">
        <v>-261.7</v>
      </c>
      <c r="G984" s="8" t="s">
        <v>34</v>
      </c>
      <c r="H984" s="8" t="s">
        <v>36</v>
      </c>
      <c r="I984" s="11" t="s">
        <v>37</v>
      </c>
      <c r="J984" s="8" t="s">
        <v>14</v>
      </c>
    </row>
    <row r="985" customFormat="false" ht="14.25" hidden="false" customHeight="false" outlineLevel="0" collapsed="false">
      <c r="A985" s="8" t="n">
        <v>984</v>
      </c>
      <c r="B985" s="8" t="s">
        <v>146</v>
      </c>
      <c r="C985" s="8" t="s">
        <v>21</v>
      </c>
      <c r="D985" s="9" t="n">
        <v>44131</v>
      </c>
      <c r="E985" s="9" t="str">
        <f aca="false">TEXT(D985,"MMM")</f>
        <v>out</v>
      </c>
      <c r="F985" s="10" t="n">
        <v>-7500.26</v>
      </c>
      <c r="G985" s="8" t="s">
        <v>34</v>
      </c>
      <c r="H985" s="8" t="s">
        <v>36</v>
      </c>
      <c r="I985" s="11" t="s">
        <v>37</v>
      </c>
      <c r="J985" s="8" t="s">
        <v>14</v>
      </c>
    </row>
    <row r="986" customFormat="false" ht="14.25" hidden="false" customHeight="false" outlineLevel="0" collapsed="false">
      <c r="A986" s="8" t="n">
        <v>985</v>
      </c>
      <c r="B986" s="8" t="s">
        <v>41</v>
      </c>
      <c r="C986" s="8" t="s">
        <v>28</v>
      </c>
      <c r="D986" s="9" t="n">
        <v>44131</v>
      </c>
      <c r="E986" s="9" t="str">
        <f aca="false">TEXT(D986,"MMM")</f>
        <v>out</v>
      </c>
      <c r="F986" s="10" t="n">
        <v>71550.96</v>
      </c>
      <c r="G986" s="8" t="s">
        <v>11</v>
      </c>
      <c r="H986" s="8" t="s">
        <v>17</v>
      </c>
      <c r="I986" s="11" t="s">
        <v>18</v>
      </c>
      <c r="J986" s="8" t="s">
        <v>26</v>
      </c>
    </row>
    <row r="987" customFormat="false" ht="14.25" hidden="false" customHeight="false" outlineLevel="0" collapsed="false">
      <c r="A987" s="8" t="n">
        <v>986</v>
      </c>
      <c r="B987" s="8" t="s">
        <v>66</v>
      </c>
      <c r="C987" s="8" t="s">
        <v>16</v>
      </c>
      <c r="D987" s="9" t="n">
        <v>44132</v>
      </c>
      <c r="E987" s="9" t="str">
        <f aca="false">TEXT(D987,"MMM")</f>
        <v>out</v>
      </c>
      <c r="F987" s="10" t="n">
        <v>-2565.22</v>
      </c>
      <c r="G987" s="8" t="s">
        <v>34</v>
      </c>
      <c r="H987" s="8" t="s">
        <v>12</v>
      </c>
      <c r="I987" s="11" t="s">
        <v>13</v>
      </c>
      <c r="J987" s="8" t="s">
        <v>14</v>
      </c>
    </row>
    <row r="988" customFormat="false" ht="14.25" hidden="false" customHeight="false" outlineLevel="0" collapsed="false">
      <c r="A988" s="8" t="n">
        <v>987</v>
      </c>
      <c r="B988" s="8" t="s">
        <v>66</v>
      </c>
      <c r="C988" s="8" t="s">
        <v>28</v>
      </c>
      <c r="D988" s="9" t="n">
        <v>44132</v>
      </c>
      <c r="E988" s="9" t="str">
        <f aca="false">TEXT(D988,"MMM")</f>
        <v>out</v>
      </c>
      <c r="F988" s="10" t="n">
        <v>-415.45</v>
      </c>
      <c r="G988" s="8" t="s">
        <v>34</v>
      </c>
      <c r="H988" s="8" t="s">
        <v>12</v>
      </c>
      <c r="I988" s="11" t="s">
        <v>13</v>
      </c>
      <c r="J988" s="8" t="s">
        <v>24</v>
      </c>
    </row>
    <row r="989" customFormat="false" ht="14.25" hidden="false" customHeight="false" outlineLevel="0" collapsed="false">
      <c r="A989" s="8" t="n">
        <v>988</v>
      </c>
      <c r="B989" s="8" t="s">
        <v>66</v>
      </c>
      <c r="C989" s="8" t="s">
        <v>21</v>
      </c>
      <c r="D989" s="9" t="n">
        <v>44132</v>
      </c>
      <c r="E989" s="9" t="str">
        <f aca="false">TEXT(D989,"MMM")</f>
        <v>out</v>
      </c>
      <c r="F989" s="10" t="n">
        <v>-401.98</v>
      </c>
      <c r="G989" s="8" t="s">
        <v>34</v>
      </c>
      <c r="H989" s="8" t="s">
        <v>12</v>
      </c>
      <c r="I989" s="11" t="s">
        <v>13</v>
      </c>
      <c r="J989" s="8" t="s">
        <v>26</v>
      </c>
    </row>
    <row r="990" customFormat="false" ht="14.25" hidden="false" customHeight="false" outlineLevel="0" collapsed="false">
      <c r="A990" s="8" t="n">
        <v>989</v>
      </c>
      <c r="B990" s="8" t="s">
        <v>66</v>
      </c>
      <c r="C990" s="8" t="s">
        <v>21</v>
      </c>
      <c r="D990" s="9" t="n">
        <v>44132</v>
      </c>
      <c r="E990" s="9" t="str">
        <f aca="false">TEXT(D990,"MMM")</f>
        <v>out</v>
      </c>
      <c r="F990" s="10" t="n">
        <v>140374.66</v>
      </c>
      <c r="G990" s="8" t="s">
        <v>11</v>
      </c>
      <c r="H990" s="8" t="s">
        <v>36</v>
      </c>
      <c r="I990" s="11" t="s">
        <v>37</v>
      </c>
      <c r="J990" s="8" t="s">
        <v>19</v>
      </c>
    </row>
    <row r="991" customFormat="false" ht="14.25" hidden="false" customHeight="false" outlineLevel="0" collapsed="false">
      <c r="A991" s="8" t="n">
        <v>990</v>
      </c>
      <c r="B991" s="8" t="s">
        <v>39</v>
      </c>
      <c r="C991" s="8" t="s">
        <v>16</v>
      </c>
      <c r="D991" s="9" t="n">
        <v>44132</v>
      </c>
      <c r="E991" s="9" t="str">
        <f aca="false">TEXT(D991,"MMM")</f>
        <v>out</v>
      </c>
      <c r="F991" s="10" t="n">
        <v>2784.26</v>
      </c>
      <c r="G991" s="8" t="s">
        <v>11</v>
      </c>
      <c r="H991" s="8" t="s">
        <v>36</v>
      </c>
      <c r="I991" s="11" t="s">
        <v>37</v>
      </c>
      <c r="J991" s="8" t="s">
        <v>14</v>
      </c>
    </row>
    <row r="992" customFormat="false" ht="14.25" hidden="false" customHeight="false" outlineLevel="0" collapsed="false">
      <c r="A992" s="8" t="n">
        <v>991</v>
      </c>
      <c r="B992" s="8" t="s">
        <v>66</v>
      </c>
      <c r="C992" s="8" t="s">
        <v>16</v>
      </c>
      <c r="D992" s="9" t="n">
        <v>44132</v>
      </c>
      <c r="E992" s="9" t="str">
        <f aca="false">TEXT(D992,"MMM")</f>
        <v>out</v>
      </c>
      <c r="F992" s="10" t="n">
        <v>2564.45</v>
      </c>
      <c r="G992" s="8" t="s">
        <v>11</v>
      </c>
      <c r="H992" s="8" t="s">
        <v>17</v>
      </c>
      <c r="I992" s="11" t="s">
        <v>18</v>
      </c>
      <c r="J992" s="8" t="s">
        <v>26</v>
      </c>
    </row>
    <row r="993" customFormat="false" ht="14.25" hidden="false" customHeight="false" outlineLevel="0" collapsed="false">
      <c r="A993" s="8" t="n">
        <v>992</v>
      </c>
      <c r="B993" s="8" t="s">
        <v>66</v>
      </c>
      <c r="C993" s="8" t="s">
        <v>21</v>
      </c>
      <c r="D993" s="9" t="n">
        <v>44132</v>
      </c>
      <c r="E993" s="9" t="str">
        <f aca="false">TEXT(D993,"MMM")</f>
        <v>out</v>
      </c>
      <c r="F993" s="10" t="n">
        <v>3736.77</v>
      </c>
      <c r="G993" s="8" t="s">
        <v>11</v>
      </c>
      <c r="H993" s="8" t="s">
        <v>22</v>
      </c>
      <c r="I993" s="11" t="s">
        <v>23</v>
      </c>
      <c r="J993" s="8" t="s">
        <v>19</v>
      </c>
    </row>
    <row r="994" customFormat="false" ht="14.25" hidden="false" customHeight="false" outlineLevel="0" collapsed="false">
      <c r="A994" s="8" t="n">
        <v>993</v>
      </c>
      <c r="B994" s="8" t="s">
        <v>66</v>
      </c>
      <c r="C994" s="8" t="s">
        <v>28</v>
      </c>
      <c r="D994" s="9" t="n">
        <v>44132</v>
      </c>
      <c r="E994" s="9" t="str">
        <f aca="false">TEXT(D994,"MMM")</f>
        <v>out</v>
      </c>
      <c r="F994" s="10" t="n">
        <v>2784.26</v>
      </c>
      <c r="G994" s="8" t="s">
        <v>11</v>
      </c>
      <c r="H994" s="8" t="s">
        <v>17</v>
      </c>
      <c r="I994" s="11" t="s">
        <v>18</v>
      </c>
      <c r="J994" s="8" t="s">
        <v>26</v>
      </c>
    </row>
    <row r="995" customFormat="false" ht="14.25" hidden="false" customHeight="false" outlineLevel="0" collapsed="false">
      <c r="A995" s="8" t="n">
        <v>994</v>
      </c>
      <c r="B995" s="8" t="s">
        <v>66</v>
      </c>
      <c r="C995" s="8" t="s">
        <v>21</v>
      </c>
      <c r="D995" s="9" t="n">
        <v>44132</v>
      </c>
      <c r="E995" s="9" t="str">
        <f aca="false">TEXT(D995,"MMM")</f>
        <v>out</v>
      </c>
      <c r="F995" s="10" t="n">
        <v>2564.45</v>
      </c>
      <c r="G995" s="8" t="s">
        <v>11</v>
      </c>
      <c r="H995" s="8" t="s">
        <v>36</v>
      </c>
      <c r="I995" s="11" t="s">
        <v>37</v>
      </c>
      <c r="J995" s="8" t="s">
        <v>24</v>
      </c>
    </row>
    <row r="996" customFormat="false" ht="14.25" hidden="false" customHeight="false" outlineLevel="0" collapsed="false">
      <c r="A996" s="8" t="n">
        <v>995</v>
      </c>
      <c r="B996" s="8" t="s">
        <v>66</v>
      </c>
      <c r="C996" s="8" t="s">
        <v>16</v>
      </c>
      <c r="D996" s="9" t="n">
        <v>44132</v>
      </c>
      <c r="E996" s="9" t="str">
        <f aca="false">TEXT(D996,"MMM")</f>
        <v>out</v>
      </c>
      <c r="F996" s="10" t="n">
        <v>3736.77</v>
      </c>
      <c r="G996" s="8" t="s">
        <v>11</v>
      </c>
      <c r="H996" s="8" t="s">
        <v>36</v>
      </c>
      <c r="I996" s="11" t="s">
        <v>37</v>
      </c>
      <c r="J996" s="8" t="s">
        <v>14</v>
      </c>
    </row>
    <row r="997" customFormat="false" ht="14.25" hidden="false" customHeight="false" outlineLevel="0" collapsed="false">
      <c r="A997" s="8" t="n">
        <v>996</v>
      </c>
      <c r="B997" s="8" t="s">
        <v>66</v>
      </c>
      <c r="C997" s="8" t="s">
        <v>10</v>
      </c>
      <c r="D997" s="9" t="n">
        <v>44132</v>
      </c>
      <c r="E997" s="9" t="str">
        <f aca="false">TEXT(D997,"MMM")</f>
        <v>out</v>
      </c>
      <c r="F997" s="10" t="n">
        <v>-5294.98</v>
      </c>
      <c r="G997" s="8" t="s">
        <v>34</v>
      </c>
      <c r="H997" s="8" t="s">
        <v>12</v>
      </c>
      <c r="I997" s="11" t="s">
        <v>13</v>
      </c>
      <c r="J997" s="8" t="s">
        <v>14</v>
      </c>
    </row>
    <row r="998" customFormat="false" ht="14.25" hidden="false" customHeight="false" outlineLevel="0" collapsed="false">
      <c r="A998" s="8" t="n">
        <v>997</v>
      </c>
      <c r="B998" s="8" t="s">
        <v>40</v>
      </c>
      <c r="C998" s="8" t="s">
        <v>21</v>
      </c>
      <c r="D998" s="9" t="n">
        <v>44134</v>
      </c>
      <c r="E998" s="9" t="str">
        <f aca="false">TEXT(D998,"MMM")</f>
        <v>out</v>
      </c>
      <c r="F998" s="10" t="n">
        <v>-2022.06</v>
      </c>
      <c r="G998" s="8" t="s">
        <v>34</v>
      </c>
      <c r="H998" s="8" t="s">
        <v>17</v>
      </c>
      <c r="I998" s="11" t="s">
        <v>18</v>
      </c>
      <c r="J998" s="8" t="s">
        <v>14</v>
      </c>
    </row>
    <row r="999" customFormat="false" ht="14.25" hidden="false" customHeight="false" outlineLevel="0" collapsed="false">
      <c r="A999" s="8" t="n">
        <v>998</v>
      </c>
      <c r="B999" s="8" t="s">
        <v>85</v>
      </c>
      <c r="C999" s="8" t="s">
        <v>16</v>
      </c>
      <c r="D999" s="9" t="n">
        <v>44134</v>
      </c>
      <c r="E999" s="9" t="str">
        <f aca="false">TEXT(D999,"MMM")</f>
        <v>out</v>
      </c>
      <c r="F999" s="10" t="n">
        <v>-4807.92</v>
      </c>
      <c r="G999" s="8" t="s">
        <v>34</v>
      </c>
      <c r="H999" s="8" t="s">
        <v>17</v>
      </c>
      <c r="I999" s="11" t="s">
        <v>18</v>
      </c>
      <c r="J999" s="8" t="s">
        <v>24</v>
      </c>
    </row>
    <row r="1000" customFormat="false" ht="14.25" hidden="false" customHeight="false" outlineLevel="0" collapsed="false">
      <c r="A1000" s="8" t="n">
        <v>999</v>
      </c>
      <c r="B1000" s="8" t="s">
        <v>85</v>
      </c>
      <c r="C1000" s="8" t="s">
        <v>16</v>
      </c>
      <c r="D1000" s="9" t="n">
        <v>44134</v>
      </c>
      <c r="E1000" s="9" t="str">
        <f aca="false">TEXT(D1000,"MMM")</f>
        <v>out</v>
      </c>
      <c r="F1000" s="10" t="n">
        <v>-1035.69</v>
      </c>
      <c r="G1000" s="8" t="s">
        <v>34</v>
      </c>
      <c r="H1000" s="8" t="s">
        <v>22</v>
      </c>
      <c r="I1000" s="11" t="s">
        <v>23</v>
      </c>
      <c r="J1000" s="8" t="s">
        <v>26</v>
      </c>
    </row>
    <row r="1001" customFormat="false" ht="14.25" hidden="false" customHeight="false" outlineLevel="0" collapsed="false">
      <c r="A1001" s="8" t="n">
        <v>1000</v>
      </c>
      <c r="B1001" s="8" t="s">
        <v>85</v>
      </c>
      <c r="C1001" s="8" t="s">
        <v>16</v>
      </c>
      <c r="D1001" s="9" t="n">
        <v>44134</v>
      </c>
      <c r="E1001" s="9" t="str">
        <f aca="false">TEXT(D1001,"MMM")</f>
        <v>out</v>
      </c>
      <c r="F1001" s="10" t="n">
        <v>-6997.2</v>
      </c>
      <c r="G1001" s="8" t="s">
        <v>34</v>
      </c>
      <c r="H1001" s="8" t="s">
        <v>17</v>
      </c>
      <c r="I1001" s="11" t="s">
        <v>18</v>
      </c>
      <c r="J1001" s="8" t="s">
        <v>26</v>
      </c>
    </row>
    <row r="1002" customFormat="false" ht="14.25" hidden="false" customHeight="false" outlineLevel="0" collapsed="false">
      <c r="A1002" s="8" t="n">
        <v>1001</v>
      </c>
      <c r="B1002" s="8" t="s">
        <v>32</v>
      </c>
      <c r="C1002" s="8" t="s">
        <v>21</v>
      </c>
      <c r="D1002" s="9" t="n">
        <v>44134</v>
      </c>
      <c r="E1002" s="9" t="str">
        <f aca="false">TEXT(D1002,"MMM")</f>
        <v>out</v>
      </c>
      <c r="F1002" s="10" t="n">
        <v>-7646.94</v>
      </c>
      <c r="G1002" s="8" t="s">
        <v>34</v>
      </c>
      <c r="H1002" s="8" t="s">
        <v>17</v>
      </c>
      <c r="I1002" s="11" t="s">
        <v>18</v>
      </c>
      <c r="J1002" s="8" t="s">
        <v>14</v>
      </c>
    </row>
    <row r="1003" customFormat="false" ht="14.25" hidden="false" customHeight="false" outlineLevel="0" collapsed="false">
      <c r="A1003" s="8" t="n">
        <v>1002</v>
      </c>
      <c r="B1003" s="8" t="s">
        <v>62</v>
      </c>
      <c r="C1003" s="8" t="s">
        <v>16</v>
      </c>
      <c r="D1003" s="9" t="n">
        <v>44134</v>
      </c>
      <c r="E1003" s="9" t="str">
        <f aca="false">TEXT(D1003,"MMM")</f>
        <v>out</v>
      </c>
      <c r="F1003" s="10" t="n">
        <v>-3845.31</v>
      </c>
      <c r="G1003" s="8" t="s">
        <v>34</v>
      </c>
      <c r="H1003" s="8" t="s">
        <v>36</v>
      </c>
      <c r="I1003" s="11" t="s">
        <v>37</v>
      </c>
      <c r="J1003" s="8" t="s">
        <v>26</v>
      </c>
    </row>
    <row r="1004" customFormat="false" ht="14.25" hidden="false" customHeight="false" outlineLevel="0" collapsed="false">
      <c r="A1004" s="8" t="n">
        <v>1003</v>
      </c>
      <c r="B1004" s="8" t="s">
        <v>52</v>
      </c>
      <c r="C1004" s="8" t="s">
        <v>21</v>
      </c>
      <c r="D1004" s="9" t="n">
        <v>44134</v>
      </c>
      <c r="E1004" s="9" t="str">
        <f aca="false">TEXT(D1004,"MMM")</f>
        <v>out</v>
      </c>
      <c r="F1004" s="10" t="n">
        <v>154888.02</v>
      </c>
      <c r="G1004" s="8" t="s">
        <v>11</v>
      </c>
      <c r="H1004" s="8" t="s">
        <v>30</v>
      </c>
      <c r="I1004" s="11" t="s">
        <v>31</v>
      </c>
      <c r="J1004" s="8" t="s">
        <v>14</v>
      </c>
    </row>
    <row r="1005" customFormat="false" ht="14.25" hidden="false" customHeight="false" outlineLevel="0" collapsed="false">
      <c r="A1005" s="8" t="n">
        <v>1004</v>
      </c>
      <c r="B1005" s="8" t="s">
        <v>49</v>
      </c>
      <c r="C1005" s="8" t="s">
        <v>10</v>
      </c>
      <c r="D1005" s="9" t="n">
        <v>44134</v>
      </c>
      <c r="E1005" s="9" t="str">
        <f aca="false">TEXT(D1005,"MMM")</f>
        <v>out</v>
      </c>
      <c r="F1005" s="10" t="n">
        <v>148973.76</v>
      </c>
      <c r="G1005" s="8" t="s">
        <v>11</v>
      </c>
      <c r="H1005" s="8" t="s">
        <v>17</v>
      </c>
      <c r="I1005" s="11" t="s">
        <v>18</v>
      </c>
      <c r="J1005" s="8" t="s">
        <v>14</v>
      </c>
    </row>
    <row r="1006" customFormat="false" ht="14.25" hidden="false" customHeight="false" outlineLevel="0" collapsed="false">
      <c r="A1006" s="8" t="n">
        <v>1005</v>
      </c>
      <c r="B1006" s="8" t="s">
        <v>62</v>
      </c>
      <c r="C1006" s="8" t="s">
        <v>16</v>
      </c>
      <c r="D1006" s="9" t="n">
        <v>44134</v>
      </c>
      <c r="E1006" s="9" t="str">
        <f aca="false">TEXT(D1006,"MMM")</f>
        <v>out</v>
      </c>
      <c r="F1006" s="10" t="n">
        <v>129240.42</v>
      </c>
      <c r="G1006" s="8" t="s">
        <v>11</v>
      </c>
      <c r="H1006" s="8" t="s">
        <v>22</v>
      </c>
      <c r="I1006" s="11" t="s">
        <v>23</v>
      </c>
      <c r="J1006" s="8" t="s">
        <v>14</v>
      </c>
    </row>
    <row r="1007" customFormat="false" ht="14.25" hidden="false" customHeight="false" outlineLevel="0" collapsed="false">
      <c r="A1007" s="8" t="n">
        <v>1006</v>
      </c>
      <c r="B1007" s="8" t="s">
        <v>52</v>
      </c>
      <c r="C1007" s="8" t="s">
        <v>28</v>
      </c>
      <c r="D1007" s="9" t="n">
        <v>44134</v>
      </c>
      <c r="E1007" s="9" t="str">
        <f aca="false">TEXT(D1007,"MMM")</f>
        <v>out</v>
      </c>
      <c r="F1007" s="10" t="n">
        <v>-14987.63</v>
      </c>
      <c r="G1007" s="8" t="s">
        <v>34</v>
      </c>
      <c r="H1007" s="8" t="s">
        <v>12</v>
      </c>
      <c r="I1007" s="11" t="s">
        <v>13</v>
      </c>
      <c r="J1007" s="8" t="s">
        <v>26</v>
      </c>
    </row>
    <row r="1008" customFormat="false" ht="14.25" hidden="false" customHeight="false" outlineLevel="0" collapsed="false">
      <c r="A1008" s="8" t="n">
        <v>1007</v>
      </c>
      <c r="B1008" s="8" t="s">
        <v>52</v>
      </c>
      <c r="C1008" s="8" t="s">
        <v>28</v>
      </c>
      <c r="D1008" s="9" t="n">
        <v>44134</v>
      </c>
      <c r="E1008" s="9" t="str">
        <f aca="false">TEXT(D1008,"MMM")</f>
        <v>out</v>
      </c>
      <c r="F1008" s="10" t="n">
        <v>-6443.85</v>
      </c>
      <c r="G1008" s="8" t="s">
        <v>34</v>
      </c>
      <c r="H1008" s="8" t="s">
        <v>12</v>
      </c>
      <c r="I1008" s="11" t="s">
        <v>13</v>
      </c>
      <c r="J1008" s="8" t="s">
        <v>14</v>
      </c>
    </row>
    <row r="1009" customFormat="false" ht="14.25" hidden="false" customHeight="false" outlineLevel="0" collapsed="false">
      <c r="A1009" s="8" t="n">
        <v>1008</v>
      </c>
      <c r="B1009" s="8" t="s">
        <v>62</v>
      </c>
      <c r="C1009" s="8" t="s">
        <v>28</v>
      </c>
      <c r="D1009" s="9" t="n">
        <v>44134</v>
      </c>
      <c r="E1009" s="9" t="str">
        <f aca="false">TEXT(D1009,"MMM")</f>
        <v>out</v>
      </c>
      <c r="F1009" s="10" t="n">
        <v>-1476.55</v>
      </c>
      <c r="G1009" s="8" t="s">
        <v>34</v>
      </c>
      <c r="H1009" s="8" t="s">
        <v>12</v>
      </c>
      <c r="I1009" s="11" t="s">
        <v>13</v>
      </c>
      <c r="J1009" s="8" t="s">
        <v>26</v>
      </c>
    </row>
    <row r="1010" customFormat="false" ht="14.25" hidden="false" customHeight="false" outlineLevel="0" collapsed="false">
      <c r="A1010" s="8" t="n">
        <v>1009</v>
      </c>
      <c r="B1010" s="8" t="s">
        <v>86</v>
      </c>
      <c r="C1010" s="8" t="s">
        <v>28</v>
      </c>
      <c r="D1010" s="9" t="n">
        <v>44135</v>
      </c>
      <c r="E1010" s="9" t="str">
        <f aca="false">TEXT(D1010,"MMM")</f>
        <v>out</v>
      </c>
      <c r="F1010" s="10" t="n">
        <v>-761.46</v>
      </c>
      <c r="G1010" s="8" t="s">
        <v>34</v>
      </c>
      <c r="H1010" s="8" t="s">
        <v>36</v>
      </c>
      <c r="I1010" s="11" t="s">
        <v>37</v>
      </c>
      <c r="J1010" s="8" t="s">
        <v>26</v>
      </c>
    </row>
    <row r="1011" customFormat="false" ht="14.25" hidden="false" customHeight="false" outlineLevel="0" collapsed="false">
      <c r="A1011" s="8" t="n">
        <v>1010</v>
      </c>
      <c r="B1011" s="8" t="s">
        <v>15</v>
      </c>
      <c r="C1011" s="8" t="s">
        <v>10</v>
      </c>
      <c r="D1011" s="9" t="n">
        <v>44135</v>
      </c>
      <c r="E1011" s="9" t="str">
        <f aca="false">TEXT(D1011,"MMM")</f>
        <v>out</v>
      </c>
      <c r="F1011" s="10" t="n">
        <v>4921.42</v>
      </c>
      <c r="G1011" s="8" t="s">
        <v>11</v>
      </c>
      <c r="H1011" s="8" t="s">
        <v>12</v>
      </c>
      <c r="I1011" s="11" t="s">
        <v>13</v>
      </c>
      <c r="J1011" s="8" t="s">
        <v>14</v>
      </c>
    </row>
    <row r="1012" customFormat="false" ht="14.25" hidden="false" customHeight="false" outlineLevel="0" collapsed="false">
      <c r="A1012" s="8" t="n">
        <v>1011</v>
      </c>
      <c r="B1012" s="8" t="s">
        <v>73</v>
      </c>
      <c r="C1012" s="8" t="s">
        <v>21</v>
      </c>
      <c r="D1012" s="9" t="n">
        <v>44135</v>
      </c>
      <c r="E1012" s="9" t="str">
        <f aca="false">TEXT(D1012,"MMM")</f>
        <v>out</v>
      </c>
      <c r="F1012" s="10" t="n">
        <v>144576.27</v>
      </c>
      <c r="G1012" s="8" t="s">
        <v>11</v>
      </c>
      <c r="H1012" s="8" t="s">
        <v>36</v>
      </c>
      <c r="I1012" s="11" t="s">
        <v>37</v>
      </c>
      <c r="J1012" s="8" t="s">
        <v>24</v>
      </c>
    </row>
    <row r="1013" customFormat="false" ht="14.25" hidden="false" customHeight="false" outlineLevel="0" collapsed="false">
      <c r="A1013" s="8" t="n">
        <v>1012</v>
      </c>
      <c r="B1013" s="8" t="s">
        <v>73</v>
      </c>
      <c r="C1013" s="8" t="s">
        <v>10</v>
      </c>
      <c r="D1013" s="9" t="n">
        <v>44135</v>
      </c>
      <c r="E1013" s="9" t="str">
        <f aca="false">TEXT(D1013,"MMM")</f>
        <v>out</v>
      </c>
      <c r="F1013" s="10" t="n">
        <v>-1398.99</v>
      </c>
      <c r="G1013" s="8" t="s">
        <v>34</v>
      </c>
      <c r="H1013" s="8" t="s">
        <v>12</v>
      </c>
      <c r="I1013" s="11" t="s">
        <v>13</v>
      </c>
      <c r="J1013" s="8" t="s">
        <v>26</v>
      </c>
    </row>
    <row r="1014" customFormat="false" ht="14.25" hidden="false" customHeight="false" outlineLevel="0" collapsed="false">
      <c r="A1014" s="8" t="n">
        <v>1013</v>
      </c>
      <c r="B1014" s="8" t="s">
        <v>73</v>
      </c>
      <c r="C1014" s="8" t="s">
        <v>16</v>
      </c>
      <c r="D1014" s="9" t="n">
        <v>44135</v>
      </c>
      <c r="E1014" s="9" t="str">
        <f aca="false">TEXT(D1014,"MMM")</f>
        <v>out</v>
      </c>
      <c r="F1014" s="10" t="n">
        <v>-2997.86</v>
      </c>
      <c r="G1014" s="8" t="s">
        <v>34</v>
      </c>
      <c r="H1014" s="8" t="s">
        <v>17</v>
      </c>
      <c r="I1014" s="11" t="s">
        <v>18</v>
      </c>
      <c r="J1014" s="8" t="s">
        <v>14</v>
      </c>
    </row>
    <row r="1015" customFormat="false" ht="14.25" hidden="false" customHeight="false" outlineLevel="0" collapsed="false">
      <c r="A1015" s="8" t="n">
        <v>1014</v>
      </c>
      <c r="B1015" s="8" t="s">
        <v>73</v>
      </c>
      <c r="C1015" s="8" t="s">
        <v>21</v>
      </c>
      <c r="D1015" s="9" t="n">
        <v>44135</v>
      </c>
      <c r="E1015" s="9" t="str">
        <f aca="false">TEXT(D1015,"MMM")</f>
        <v>out</v>
      </c>
      <c r="F1015" s="10" t="n">
        <v>138511.1</v>
      </c>
      <c r="G1015" s="8" t="s">
        <v>11</v>
      </c>
      <c r="H1015" s="8" t="s">
        <v>17</v>
      </c>
      <c r="I1015" s="11" t="s">
        <v>18</v>
      </c>
      <c r="J1015" s="8" t="s">
        <v>26</v>
      </c>
    </row>
    <row r="1016" customFormat="false" ht="14.25" hidden="false" customHeight="false" outlineLevel="0" collapsed="false">
      <c r="A1016" s="8" t="n">
        <v>1015</v>
      </c>
      <c r="B1016" s="8" t="s">
        <v>39</v>
      </c>
      <c r="C1016" s="8" t="s">
        <v>28</v>
      </c>
      <c r="D1016" s="9" t="n">
        <v>44135</v>
      </c>
      <c r="E1016" s="9" t="str">
        <f aca="false">TEXT(D1016,"MMM")</f>
        <v>out</v>
      </c>
      <c r="F1016" s="10" t="n">
        <v>0</v>
      </c>
      <c r="G1016" s="8" t="s">
        <v>34</v>
      </c>
      <c r="H1016" s="8" t="s">
        <v>36</v>
      </c>
      <c r="I1016" s="11" t="s">
        <v>37</v>
      </c>
      <c r="J1016" s="8" t="s">
        <v>26</v>
      </c>
    </row>
    <row r="1017" customFormat="false" ht="14.25" hidden="false" customHeight="false" outlineLevel="0" collapsed="false">
      <c r="A1017" s="8" t="n">
        <v>1016</v>
      </c>
      <c r="B1017" s="8" t="s">
        <v>73</v>
      </c>
      <c r="C1017" s="8" t="s">
        <v>21</v>
      </c>
      <c r="D1017" s="9" t="n">
        <v>44135</v>
      </c>
      <c r="E1017" s="9" t="str">
        <f aca="false">TEXT(D1017,"MMM")</f>
        <v>out</v>
      </c>
      <c r="F1017" s="10" t="n">
        <v>0</v>
      </c>
      <c r="G1017" s="8" t="s">
        <v>34</v>
      </c>
      <c r="H1017" s="8" t="s">
        <v>22</v>
      </c>
      <c r="I1017" s="11" t="s">
        <v>23</v>
      </c>
      <c r="J1017" s="8" t="s">
        <v>14</v>
      </c>
    </row>
    <row r="1018" customFormat="false" ht="14.25" hidden="false" customHeight="false" outlineLevel="0" collapsed="false">
      <c r="A1018" s="8" t="n">
        <v>1017</v>
      </c>
      <c r="B1018" s="8" t="s">
        <v>73</v>
      </c>
      <c r="C1018" s="8" t="s">
        <v>21</v>
      </c>
      <c r="D1018" s="9" t="n">
        <v>44135</v>
      </c>
      <c r="E1018" s="9" t="str">
        <f aca="false">TEXT(D1018,"MMM")</f>
        <v>out</v>
      </c>
      <c r="F1018" s="10" t="n">
        <v>0</v>
      </c>
      <c r="G1018" s="8" t="s">
        <v>34</v>
      </c>
      <c r="H1018" s="8" t="s">
        <v>12</v>
      </c>
      <c r="I1018" s="11" t="s">
        <v>13</v>
      </c>
      <c r="J1018" s="8" t="s">
        <v>24</v>
      </c>
    </row>
    <row r="1019" customFormat="false" ht="14.25" hidden="false" customHeight="false" outlineLevel="0" collapsed="false">
      <c r="A1019" s="8" t="n">
        <v>1018</v>
      </c>
      <c r="B1019" s="8" t="s">
        <v>85</v>
      </c>
      <c r="C1019" s="8" t="s">
        <v>16</v>
      </c>
      <c r="D1019" s="9" t="n">
        <v>44141</v>
      </c>
      <c r="E1019" s="9" t="str">
        <f aca="false">TEXT(D1019,"MMM")</f>
        <v>nov</v>
      </c>
      <c r="F1019" s="10" t="n">
        <v>144106.09</v>
      </c>
      <c r="G1019" s="8" t="s">
        <v>11</v>
      </c>
      <c r="H1019" s="8" t="s">
        <v>12</v>
      </c>
      <c r="I1019" s="11" t="s">
        <v>13</v>
      </c>
      <c r="J1019" s="8" t="s">
        <v>26</v>
      </c>
    </row>
    <row r="1020" customFormat="false" ht="14.25" hidden="false" customHeight="false" outlineLevel="0" collapsed="false">
      <c r="A1020" s="8" t="n">
        <v>1019</v>
      </c>
      <c r="B1020" s="8" t="s">
        <v>85</v>
      </c>
      <c r="C1020" s="8" t="s">
        <v>21</v>
      </c>
      <c r="D1020" s="9" t="n">
        <v>44142</v>
      </c>
      <c r="E1020" s="9" t="str">
        <f aca="false">TEXT(D1020,"MMM")</f>
        <v>nov</v>
      </c>
      <c r="F1020" s="10" t="n">
        <v>58483.34</v>
      </c>
      <c r="G1020" s="8" t="s">
        <v>11</v>
      </c>
      <c r="H1020" s="8" t="s">
        <v>12</v>
      </c>
      <c r="I1020" s="11" t="s">
        <v>13</v>
      </c>
      <c r="J1020" s="8" t="s">
        <v>24</v>
      </c>
    </row>
    <row r="1021" customFormat="false" ht="14.25" hidden="false" customHeight="false" outlineLevel="0" collapsed="false">
      <c r="A1021" s="8" t="n">
        <v>1020</v>
      </c>
      <c r="B1021" s="8" t="s">
        <v>29</v>
      </c>
      <c r="C1021" s="8" t="s">
        <v>21</v>
      </c>
      <c r="D1021" s="9" t="n">
        <v>44143</v>
      </c>
      <c r="E1021" s="9" t="str">
        <f aca="false">TEXT(D1021,"MMM")</f>
        <v>nov</v>
      </c>
      <c r="F1021" s="10" t="n">
        <v>9443.32</v>
      </c>
      <c r="G1021" s="8" t="s">
        <v>11</v>
      </c>
      <c r="H1021" s="8" t="s">
        <v>36</v>
      </c>
      <c r="I1021" s="11" t="s">
        <v>37</v>
      </c>
      <c r="J1021" s="8" t="s">
        <v>14</v>
      </c>
    </row>
    <row r="1022" customFormat="false" ht="14.25" hidden="false" customHeight="false" outlineLevel="0" collapsed="false">
      <c r="A1022" s="8" t="n">
        <v>1021</v>
      </c>
      <c r="B1022" s="8" t="s">
        <v>101</v>
      </c>
      <c r="C1022" s="8" t="s">
        <v>10</v>
      </c>
      <c r="D1022" s="9" t="n">
        <v>44143</v>
      </c>
      <c r="E1022" s="9" t="str">
        <f aca="false">TEXT(D1022,"MMM")</f>
        <v>nov</v>
      </c>
      <c r="F1022" s="10" t="n">
        <v>127663.49</v>
      </c>
      <c r="G1022" s="8" t="s">
        <v>11</v>
      </c>
      <c r="H1022" s="8" t="s">
        <v>12</v>
      </c>
      <c r="I1022" s="11" t="s">
        <v>13</v>
      </c>
      <c r="J1022" s="8" t="s">
        <v>14</v>
      </c>
    </row>
    <row r="1023" customFormat="false" ht="14.25" hidden="false" customHeight="false" outlineLevel="0" collapsed="false">
      <c r="A1023" s="8" t="n">
        <v>1022</v>
      </c>
      <c r="B1023" s="8" t="s">
        <v>147</v>
      </c>
      <c r="C1023" s="8" t="s">
        <v>28</v>
      </c>
      <c r="D1023" s="9" t="n">
        <v>44144</v>
      </c>
      <c r="E1023" s="9" t="str">
        <f aca="false">TEXT(D1023,"MMM")</f>
        <v>nov</v>
      </c>
      <c r="F1023" s="10" t="n">
        <v>138142.4</v>
      </c>
      <c r="G1023" s="8" t="s">
        <v>11</v>
      </c>
      <c r="H1023" s="8" t="s">
        <v>12</v>
      </c>
      <c r="I1023" s="11" t="s">
        <v>13</v>
      </c>
      <c r="J1023" s="8" t="s">
        <v>19</v>
      </c>
    </row>
    <row r="1024" customFormat="false" ht="14.25" hidden="false" customHeight="false" outlineLevel="0" collapsed="false">
      <c r="A1024" s="8" t="n">
        <v>1023</v>
      </c>
      <c r="B1024" s="8" t="s">
        <v>44</v>
      </c>
      <c r="C1024" s="8" t="s">
        <v>10</v>
      </c>
      <c r="D1024" s="9" t="n">
        <v>44144</v>
      </c>
      <c r="E1024" s="9" t="str">
        <f aca="false">TEXT(D1024,"MMM")</f>
        <v>nov</v>
      </c>
      <c r="F1024" s="10" t="n">
        <v>9065.47</v>
      </c>
      <c r="G1024" s="8" t="s">
        <v>11</v>
      </c>
      <c r="H1024" s="8" t="s">
        <v>12</v>
      </c>
      <c r="I1024" s="11" t="s">
        <v>13</v>
      </c>
      <c r="J1024" s="8" t="s">
        <v>14</v>
      </c>
    </row>
    <row r="1025" customFormat="false" ht="14.25" hidden="false" customHeight="false" outlineLevel="0" collapsed="false">
      <c r="A1025" s="8" t="n">
        <v>1024</v>
      </c>
      <c r="B1025" s="8" t="s">
        <v>79</v>
      </c>
      <c r="C1025" s="8" t="s">
        <v>21</v>
      </c>
      <c r="D1025" s="9" t="n">
        <v>44144</v>
      </c>
      <c r="E1025" s="9" t="str">
        <f aca="false">TEXT(D1025,"MMM")</f>
        <v>nov</v>
      </c>
      <c r="F1025" s="10" t="n">
        <v>32545.27</v>
      </c>
      <c r="G1025" s="8" t="s">
        <v>11</v>
      </c>
      <c r="H1025" s="8" t="s">
        <v>12</v>
      </c>
      <c r="I1025" s="11" t="s">
        <v>13</v>
      </c>
      <c r="J1025" s="8" t="s">
        <v>14</v>
      </c>
    </row>
    <row r="1026" customFormat="false" ht="14.25" hidden="false" customHeight="false" outlineLevel="0" collapsed="false">
      <c r="A1026" s="8" t="n">
        <v>1025</v>
      </c>
      <c r="B1026" s="8" t="s">
        <v>44</v>
      </c>
      <c r="C1026" s="8" t="s">
        <v>28</v>
      </c>
      <c r="D1026" s="9" t="n">
        <v>44144</v>
      </c>
      <c r="E1026" s="9" t="str">
        <f aca="false">TEXT(D1026,"MMM")</f>
        <v>nov</v>
      </c>
      <c r="F1026" s="10" t="n">
        <v>36046.82</v>
      </c>
      <c r="G1026" s="8" t="s">
        <v>11</v>
      </c>
      <c r="H1026" s="8" t="s">
        <v>36</v>
      </c>
      <c r="I1026" s="11" t="s">
        <v>37</v>
      </c>
      <c r="J1026" s="8" t="s">
        <v>14</v>
      </c>
    </row>
    <row r="1027" customFormat="false" ht="14.25" hidden="false" customHeight="false" outlineLevel="0" collapsed="false">
      <c r="A1027" s="8" t="n">
        <v>1026</v>
      </c>
      <c r="B1027" s="8" t="s">
        <v>79</v>
      </c>
      <c r="C1027" s="8" t="s">
        <v>16</v>
      </c>
      <c r="D1027" s="9" t="n">
        <v>44144</v>
      </c>
      <c r="E1027" s="9" t="str">
        <f aca="false">TEXT(D1027,"MMM")</f>
        <v>nov</v>
      </c>
      <c r="F1027" s="10" t="n">
        <v>37443.87</v>
      </c>
      <c r="G1027" s="8" t="s">
        <v>11</v>
      </c>
      <c r="H1027" s="8" t="s">
        <v>22</v>
      </c>
      <c r="I1027" s="11" t="s">
        <v>23</v>
      </c>
      <c r="J1027" s="8" t="s">
        <v>19</v>
      </c>
    </row>
    <row r="1028" customFormat="false" ht="14.25" hidden="false" customHeight="false" outlineLevel="0" collapsed="false">
      <c r="A1028" s="8" t="n">
        <v>1027</v>
      </c>
      <c r="B1028" s="8" t="s">
        <v>86</v>
      </c>
      <c r="C1028" s="8" t="s">
        <v>28</v>
      </c>
      <c r="D1028" s="9" t="n">
        <v>44145</v>
      </c>
      <c r="E1028" s="9" t="str">
        <f aca="false">TEXT(D1028,"MMM")</f>
        <v>nov</v>
      </c>
      <c r="F1028" s="10" t="n">
        <v>3242.95</v>
      </c>
      <c r="G1028" s="8" t="s">
        <v>11</v>
      </c>
      <c r="H1028" s="8" t="s">
        <v>12</v>
      </c>
      <c r="I1028" s="11" t="s">
        <v>13</v>
      </c>
      <c r="J1028" s="8" t="s">
        <v>14</v>
      </c>
    </row>
    <row r="1029" customFormat="false" ht="14.25" hidden="false" customHeight="false" outlineLevel="0" collapsed="false">
      <c r="A1029" s="8" t="n">
        <v>1028</v>
      </c>
      <c r="B1029" s="8" t="s">
        <v>15</v>
      </c>
      <c r="C1029" s="8" t="s">
        <v>28</v>
      </c>
      <c r="D1029" s="9" t="n">
        <v>44145</v>
      </c>
      <c r="E1029" s="9" t="str">
        <f aca="false">TEXT(D1029,"MMM")</f>
        <v>nov</v>
      </c>
      <c r="F1029" s="10" t="n">
        <v>40552.67</v>
      </c>
      <c r="G1029" s="8" t="s">
        <v>11</v>
      </c>
      <c r="H1029" s="8" t="s">
        <v>17</v>
      </c>
      <c r="I1029" s="11" t="s">
        <v>18</v>
      </c>
      <c r="J1029" s="8" t="s">
        <v>14</v>
      </c>
    </row>
    <row r="1030" customFormat="false" ht="14.25" hidden="false" customHeight="false" outlineLevel="0" collapsed="false">
      <c r="A1030" s="8" t="n">
        <v>1029</v>
      </c>
      <c r="B1030" s="8" t="s">
        <v>45</v>
      </c>
      <c r="C1030" s="8" t="s">
        <v>21</v>
      </c>
      <c r="D1030" s="9" t="n">
        <v>44145</v>
      </c>
      <c r="E1030" s="9" t="str">
        <f aca="false">TEXT(D1030,"MMM")</f>
        <v>nov</v>
      </c>
      <c r="F1030" s="10" t="n">
        <v>3619.65</v>
      </c>
      <c r="G1030" s="8" t="s">
        <v>11</v>
      </c>
      <c r="H1030" s="8" t="s">
        <v>17</v>
      </c>
      <c r="I1030" s="11" t="s">
        <v>18</v>
      </c>
      <c r="J1030" s="8" t="s">
        <v>19</v>
      </c>
    </row>
    <row r="1031" customFormat="false" ht="14.25" hidden="false" customHeight="false" outlineLevel="0" collapsed="false">
      <c r="A1031" s="8" t="n">
        <v>1030</v>
      </c>
      <c r="B1031" s="8" t="s">
        <v>33</v>
      </c>
      <c r="C1031" s="8" t="s">
        <v>10</v>
      </c>
      <c r="D1031" s="9" t="n">
        <v>44145</v>
      </c>
      <c r="E1031" s="9" t="str">
        <f aca="false">TEXT(D1031,"MMM")</f>
        <v>nov</v>
      </c>
      <c r="F1031" s="10" t="n">
        <v>43144.62</v>
      </c>
      <c r="G1031" s="8" t="s">
        <v>11</v>
      </c>
      <c r="H1031" s="8" t="s">
        <v>12</v>
      </c>
      <c r="I1031" s="11" t="s">
        <v>13</v>
      </c>
      <c r="J1031" s="8" t="s">
        <v>26</v>
      </c>
    </row>
    <row r="1032" customFormat="false" ht="14.25" hidden="false" customHeight="false" outlineLevel="0" collapsed="false">
      <c r="A1032" s="8" t="n">
        <v>1031</v>
      </c>
      <c r="B1032" s="8" t="s">
        <v>57</v>
      </c>
      <c r="C1032" s="8" t="s">
        <v>21</v>
      </c>
      <c r="D1032" s="9" t="n">
        <v>44145</v>
      </c>
      <c r="E1032" s="9" t="str">
        <f aca="false">TEXT(D1032,"MMM")</f>
        <v>nov</v>
      </c>
      <c r="F1032" s="10" t="n">
        <v>31901.22</v>
      </c>
      <c r="G1032" s="8" t="s">
        <v>11</v>
      </c>
      <c r="H1032" s="8" t="s">
        <v>17</v>
      </c>
      <c r="I1032" s="11" t="s">
        <v>18</v>
      </c>
      <c r="J1032" s="8" t="s">
        <v>14</v>
      </c>
    </row>
    <row r="1033" customFormat="false" ht="14.25" hidden="false" customHeight="false" outlineLevel="0" collapsed="false">
      <c r="A1033" s="8" t="n">
        <v>1032</v>
      </c>
      <c r="B1033" s="8" t="s">
        <v>72</v>
      </c>
      <c r="C1033" s="8" t="s">
        <v>16</v>
      </c>
      <c r="D1033" s="9" t="n">
        <v>44145</v>
      </c>
      <c r="E1033" s="9" t="str">
        <f aca="false">TEXT(D1033,"MMM")</f>
        <v>nov</v>
      </c>
      <c r="F1033" s="10" t="n">
        <v>3182.12</v>
      </c>
      <c r="G1033" s="8" t="s">
        <v>11</v>
      </c>
      <c r="H1033" s="8" t="s">
        <v>36</v>
      </c>
      <c r="I1033" s="11" t="s">
        <v>37</v>
      </c>
      <c r="J1033" s="8" t="s">
        <v>14</v>
      </c>
    </row>
    <row r="1034" customFormat="false" ht="14.25" hidden="false" customHeight="false" outlineLevel="0" collapsed="false">
      <c r="A1034" s="8" t="n">
        <v>1033</v>
      </c>
      <c r="B1034" s="8" t="s">
        <v>45</v>
      </c>
      <c r="C1034" s="8" t="s">
        <v>28</v>
      </c>
      <c r="D1034" s="9" t="n">
        <v>44145</v>
      </c>
      <c r="E1034" s="9" t="str">
        <f aca="false">TEXT(D1034,"MMM")</f>
        <v>nov</v>
      </c>
      <c r="F1034" s="10" t="n">
        <v>41016.7</v>
      </c>
      <c r="G1034" s="8" t="s">
        <v>11</v>
      </c>
      <c r="H1034" s="8" t="s">
        <v>17</v>
      </c>
      <c r="I1034" s="11" t="s">
        <v>18</v>
      </c>
      <c r="J1034" s="8" t="s">
        <v>14</v>
      </c>
    </row>
    <row r="1035" customFormat="false" ht="14.25" hidden="false" customHeight="false" outlineLevel="0" collapsed="false">
      <c r="A1035" s="8" t="n">
        <v>1034</v>
      </c>
      <c r="B1035" s="8" t="s">
        <v>33</v>
      </c>
      <c r="C1035" s="8" t="s">
        <v>28</v>
      </c>
      <c r="D1035" s="9" t="n">
        <v>44145</v>
      </c>
      <c r="E1035" s="9" t="str">
        <f aca="false">TEXT(D1035,"MMM")</f>
        <v>nov</v>
      </c>
      <c r="F1035" s="10" t="n">
        <v>-29448.34</v>
      </c>
      <c r="G1035" s="8" t="s">
        <v>34</v>
      </c>
      <c r="H1035" s="8" t="s">
        <v>12</v>
      </c>
      <c r="I1035" s="11" t="s">
        <v>13</v>
      </c>
      <c r="J1035" s="8" t="s">
        <v>14</v>
      </c>
    </row>
    <row r="1036" customFormat="false" ht="14.25" hidden="false" customHeight="false" outlineLevel="0" collapsed="false">
      <c r="A1036" s="8" t="n">
        <v>1035</v>
      </c>
      <c r="B1036" s="8" t="s">
        <v>57</v>
      </c>
      <c r="C1036" s="8" t="s">
        <v>28</v>
      </c>
      <c r="D1036" s="9" t="n">
        <v>44145</v>
      </c>
      <c r="E1036" s="9" t="str">
        <f aca="false">TEXT(D1036,"MMM")</f>
        <v>nov</v>
      </c>
      <c r="F1036" s="10" t="n">
        <v>-18974.69</v>
      </c>
      <c r="G1036" s="8" t="s">
        <v>34</v>
      </c>
      <c r="H1036" s="8" t="s">
        <v>22</v>
      </c>
      <c r="I1036" s="11" t="s">
        <v>23</v>
      </c>
      <c r="J1036" s="8" t="s">
        <v>14</v>
      </c>
    </row>
    <row r="1037" customFormat="false" ht="14.25" hidden="false" customHeight="false" outlineLevel="0" collapsed="false">
      <c r="A1037" s="8" t="n">
        <v>1036</v>
      </c>
      <c r="B1037" s="8" t="s">
        <v>72</v>
      </c>
      <c r="C1037" s="8" t="s">
        <v>16</v>
      </c>
      <c r="D1037" s="9" t="n">
        <v>44145</v>
      </c>
      <c r="E1037" s="9" t="str">
        <f aca="false">TEXT(D1037,"MMM")</f>
        <v>nov</v>
      </c>
      <c r="F1037" s="10" t="n">
        <v>-25809.56</v>
      </c>
      <c r="G1037" s="8" t="s">
        <v>34</v>
      </c>
      <c r="H1037" s="8" t="s">
        <v>30</v>
      </c>
      <c r="I1037" s="11" t="s">
        <v>31</v>
      </c>
      <c r="J1037" s="8" t="s">
        <v>14</v>
      </c>
    </row>
    <row r="1038" customFormat="false" ht="14.25" hidden="false" customHeight="false" outlineLevel="0" collapsed="false">
      <c r="A1038" s="8" t="n">
        <v>1037</v>
      </c>
      <c r="B1038" s="8" t="s">
        <v>47</v>
      </c>
      <c r="C1038" s="8" t="s">
        <v>21</v>
      </c>
      <c r="D1038" s="9" t="n">
        <v>44145</v>
      </c>
      <c r="E1038" s="9" t="str">
        <f aca="false">TEXT(D1038,"MMM")</f>
        <v>nov</v>
      </c>
      <c r="F1038" s="10" t="n">
        <v>-21533.93</v>
      </c>
      <c r="G1038" s="8" t="s">
        <v>34</v>
      </c>
      <c r="H1038" s="8" t="s">
        <v>22</v>
      </c>
      <c r="I1038" s="11" t="s">
        <v>23</v>
      </c>
      <c r="J1038" s="8" t="s">
        <v>14</v>
      </c>
    </row>
    <row r="1039" customFormat="false" ht="14.25" hidden="false" customHeight="false" outlineLevel="0" collapsed="false">
      <c r="A1039" s="8" t="n">
        <v>1038</v>
      </c>
      <c r="B1039" s="8" t="s">
        <v>47</v>
      </c>
      <c r="C1039" s="8" t="s">
        <v>28</v>
      </c>
      <c r="D1039" s="9" t="n">
        <v>44145</v>
      </c>
      <c r="E1039" s="9" t="str">
        <f aca="false">TEXT(D1039,"MMM")</f>
        <v>nov</v>
      </c>
      <c r="F1039" s="10" t="n">
        <v>-16096.68</v>
      </c>
      <c r="G1039" s="8" t="s">
        <v>34</v>
      </c>
      <c r="H1039" s="8" t="s">
        <v>17</v>
      </c>
      <c r="I1039" s="11" t="s">
        <v>18</v>
      </c>
      <c r="J1039" s="8" t="s">
        <v>26</v>
      </c>
    </row>
    <row r="1040" customFormat="false" ht="14.25" hidden="false" customHeight="false" outlineLevel="0" collapsed="false">
      <c r="A1040" s="8" t="n">
        <v>1039</v>
      </c>
      <c r="B1040" s="8" t="s">
        <v>33</v>
      </c>
      <c r="C1040" s="8" t="s">
        <v>16</v>
      </c>
      <c r="D1040" s="9" t="n">
        <v>44145</v>
      </c>
      <c r="E1040" s="9" t="str">
        <f aca="false">TEXT(D1040,"MMM")</f>
        <v>nov</v>
      </c>
      <c r="F1040" s="10" t="n">
        <v>-42054.04</v>
      </c>
      <c r="G1040" s="8" t="s">
        <v>34</v>
      </c>
      <c r="H1040" s="8" t="s">
        <v>22</v>
      </c>
      <c r="I1040" s="11" t="s">
        <v>23</v>
      </c>
      <c r="J1040" s="8" t="s">
        <v>14</v>
      </c>
    </row>
    <row r="1041" customFormat="false" ht="14.25" hidden="false" customHeight="false" outlineLevel="0" collapsed="false">
      <c r="A1041" s="8" t="n">
        <v>1040</v>
      </c>
      <c r="B1041" s="8" t="s">
        <v>15</v>
      </c>
      <c r="C1041" s="8" t="s">
        <v>28</v>
      </c>
      <c r="D1041" s="9" t="n">
        <v>44145</v>
      </c>
      <c r="E1041" s="9" t="str">
        <f aca="false">TEXT(D1041,"MMM")</f>
        <v>nov</v>
      </c>
      <c r="F1041" s="10" t="n">
        <v>-13968.54</v>
      </c>
      <c r="G1041" s="8" t="s">
        <v>34</v>
      </c>
      <c r="H1041" s="8" t="s">
        <v>17</v>
      </c>
      <c r="I1041" s="11" t="s">
        <v>18</v>
      </c>
      <c r="J1041" s="8" t="s">
        <v>14</v>
      </c>
    </row>
    <row r="1042" customFormat="false" ht="14.25" hidden="false" customHeight="false" outlineLevel="0" collapsed="false">
      <c r="A1042" s="8" t="n">
        <v>1041</v>
      </c>
      <c r="B1042" s="8" t="s">
        <v>15</v>
      </c>
      <c r="C1042" s="8" t="s">
        <v>10</v>
      </c>
      <c r="D1042" s="9" t="n">
        <v>44145</v>
      </c>
      <c r="E1042" s="9" t="str">
        <f aca="false">TEXT(D1042,"MMM")</f>
        <v>nov</v>
      </c>
      <c r="F1042" s="10" t="n">
        <v>-35008.09</v>
      </c>
      <c r="G1042" s="8" t="s">
        <v>34</v>
      </c>
      <c r="H1042" s="8" t="s">
        <v>17</v>
      </c>
      <c r="I1042" s="11" t="s">
        <v>18</v>
      </c>
      <c r="J1042" s="8" t="s">
        <v>24</v>
      </c>
    </row>
    <row r="1043" customFormat="false" ht="14.25" hidden="false" customHeight="false" outlineLevel="0" collapsed="false">
      <c r="A1043" s="8" t="n">
        <v>1042</v>
      </c>
      <c r="B1043" s="8" t="s">
        <v>33</v>
      </c>
      <c r="C1043" s="8" t="s">
        <v>21</v>
      </c>
      <c r="D1043" s="9" t="n">
        <v>44145</v>
      </c>
      <c r="E1043" s="9" t="str">
        <f aca="false">TEXT(D1043,"MMM")</f>
        <v>nov</v>
      </c>
      <c r="F1043" s="10" t="n">
        <v>2828.48</v>
      </c>
      <c r="G1043" s="8" t="s">
        <v>11</v>
      </c>
      <c r="H1043" s="8" t="s">
        <v>12</v>
      </c>
      <c r="I1043" s="11" t="s">
        <v>13</v>
      </c>
      <c r="J1043" s="8" t="s">
        <v>26</v>
      </c>
    </row>
    <row r="1044" customFormat="false" ht="14.25" hidden="false" customHeight="false" outlineLevel="0" collapsed="false">
      <c r="A1044" s="8" t="n">
        <v>1043</v>
      </c>
      <c r="B1044" s="8" t="s">
        <v>33</v>
      </c>
      <c r="C1044" s="8" t="s">
        <v>10</v>
      </c>
      <c r="D1044" s="9" t="n">
        <v>44145</v>
      </c>
      <c r="E1044" s="9" t="str">
        <f aca="false">TEXT(D1044,"MMM")</f>
        <v>nov</v>
      </c>
      <c r="F1044" s="10" t="n">
        <v>68377.58</v>
      </c>
      <c r="G1044" s="8" t="s">
        <v>11</v>
      </c>
      <c r="H1044" s="8" t="s">
        <v>12</v>
      </c>
      <c r="I1044" s="11" t="s">
        <v>13</v>
      </c>
      <c r="J1044" s="8" t="s">
        <v>26</v>
      </c>
    </row>
    <row r="1045" customFormat="false" ht="14.25" hidden="false" customHeight="false" outlineLevel="0" collapsed="false">
      <c r="A1045" s="8" t="n">
        <v>1044</v>
      </c>
      <c r="B1045" s="8" t="s">
        <v>85</v>
      </c>
      <c r="C1045" s="8" t="s">
        <v>21</v>
      </c>
      <c r="D1045" s="9" t="n">
        <v>44146</v>
      </c>
      <c r="E1045" s="9" t="str">
        <f aca="false">TEXT(D1045,"MMM")</f>
        <v>nov</v>
      </c>
      <c r="F1045" s="10" t="n">
        <v>26464.83</v>
      </c>
      <c r="G1045" s="8" t="s">
        <v>11</v>
      </c>
      <c r="H1045" s="8" t="s">
        <v>17</v>
      </c>
      <c r="I1045" s="11" t="s">
        <v>18</v>
      </c>
      <c r="J1045" s="8" t="s">
        <v>14</v>
      </c>
    </row>
    <row r="1046" customFormat="false" ht="14.25" hidden="false" customHeight="false" outlineLevel="0" collapsed="false">
      <c r="A1046" s="8" t="n">
        <v>1045</v>
      </c>
      <c r="B1046" s="8" t="s">
        <v>145</v>
      </c>
      <c r="C1046" s="8" t="s">
        <v>16</v>
      </c>
      <c r="D1046" s="9" t="n">
        <v>44148</v>
      </c>
      <c r="E1046" s="9" t="str">
        <f aca="false">TEXT(D1046,"MMM")</f>
        <v>nov</v>
      </c>
      <c r="F1046" s="10" t="n">
        <v>25174.05</v>
      </c>
      <c r="G1046" s="8" t="s">
        <v>11</v>
      </c>
      <c r="H1046" s="8" t="s">
        <v>12</v>
      </c>
      <c r="I1046" s="11" t="s">
        <v>13</v>
      </c>
      <c r="J1046" s="8" t="s">
        <v>19</v>
      </c>
    </row>
    <row r="1047" customFormat="false" ht="14.25" hidden="false" customHeight="false" outlineLevel="0" collapsed="false">
      <c r="A1047" s="8" t="n">
        <v>1046</v>
      </c>
      <c r="B1047" s="8" t="s">
        <v>145</v>
      </c>
      <c r="C1047" s="8" t="s">
        <v>10</v>
      </c>
      <c r="D1047" s="9" t="n">
        <v>44148</v>
      </c>
      <c r="E1047" s="9" t="str">
        <f aca="false">TEXT(D1047,"MMM")</f>
        <v>nov</v>
      </c>
      <c r="F1047" s="10" t="n">
        <v>25456.65</v>
      </c>
      <c r="G1047" s="8" t="s">
        <v>11</v>
      </c>
      <c r="H1047" s="8" t="s">
        <v>17</v>
      </c>
      <c r="I1047" s="11" t="s">
        <v>18</v>
      </c>
      <c r="J1047" s="8" t="s">
        <v>26</v>
      </c>
    </row>
    <row r="1048" customFormat="false" ht="14.25" hidden="false" customHeight="false" outlineLevel="0" collapsed="false">
      <c r="A1048" s="8" t="n">
        <v>1047</v>
      </c>
      <c r="B1048" s="8" t="s">
        <v>145</v>
      </c>
      <c r="C1048" s="8" t="s">
        <v>21</v>
      </c>
      <c r="D1048" s="9" t="n">
        <v>44148</v>
      </c>
      <c r="E1048" s="9" t="str">
        <f aca="false">TEXT(D1048,"MMM")</f>
        <v>nov</v>
      </c>
      <c r="F1048" s="10" t="n">
        <v>24922.59</v>
      </c>
      <c r="G1048" s="8" t="s">
        <v>11</v>
      </c>
      <c r="H1048" s="8" t="s">
        <v>12</v>
      </c>
      <c r="I1048" s="11" t="s">
        <v>13</v>
      </c>
      <c r="J1048" s="8" t="s">
        <v>26</v>
      </c>
    </row>
    <row r="1049" customFormat="false" ht="14.25" hidden="false" customHeight="false" outlineLevel="0" collapsed="false">
      <c r="A1049" s="8" t="n">
        <v>1048</v>
      </c>
      <c r="B1049" s="8" t="s">
        <v>85</v>
      </c>
      <c r="C1049" s="8" t="s">
        <v>16</v>
      </c>
      <c r="D1049" s="9" t="n">
        <v>44148</v>
      </c>
      <c r="E1049" s="9" t="str">
        <f aca="false">TEXT(D1049,"MMM")</f>
        <v>nov</v>
      </c>
      <c r="F1049" s="10" t="n">
        <v>22795.77</v>
      </c>
      <c r="G1049" s="8" t="s">
        <v>11</v>
      </c>
      <c r="H1049" s="8" t="s">
        <v>36</v>
      </c>
      <c r="I1049" s="11" t="s">
        <v>37</v>
      </c>
      <c r="J1049" s="8" t="s">
        <v>24</v>
      </c>
    </row>
    <row r="1050" customFormat="false" ht="14.25" hidden="false" customHeight="false" outlineLevel="0" collapsed="false">
      <c r="A1050" s="8" t="n">
        <v>1049</v>
      </c>
      <c r="B1050" s="8" t="s">
        <v>39</v>
      </c>
      <c r="C1050" s="8" t="s">
        <v>16</v>
      </c>
      <c r="D1050" s="9" t="n">
        <v>44148</v>
      </c>
      <c r="E1050" s="9" t="str">
        <f aca="false">TEXT(D1050,"MMM")</f>
        <v>nov</v>
      </c>
      <c r="F1050" s="10" t="n">
        <v>-695.98</v>
      </c>
      <c r="G1050" s="8" t="s">
        <v>34</v>
      </c>
      <c r="H1050" s="8" t="s">
        <v>36</v>
      </c>
      <c r="I1050" s="11" t="s">
        <v>37</v>
      </c>
      <c r="J1050" s="8" t="s">
        <v>26</v>
      </c>
    </row>
    <row r="1051" customFormat="false" ht="14.25" hidden="false" customHeight="false" outlineLevel="0" collapsed="false">
      <c r="A1051" s="8" t="n">
        <v>1050</v>
      </c>
      <c r="B1051" s="8" t="s">
        <v>122</v>
      </c>
      <c r="C1051" s="8" t="s">
        <v>21</v>
      </c>
      <c r="D1051" s="9" t="n">
        <v>44149</v>
      </c>
      <c r="E1051" s="9" t="str">
        <f aca="false">TEXT(D1051,"MMM")</f>
        <v>nov</v>
      </c>
      <c r="F1051" s="10" t="n">
        <v>-2004</v>
      </c>
      <c r="G1051" s="8" t="s">
        <v>34</v>
      </c>
      <c r="H1051" s="8" t="s">
        <v>22</v>
      </c>
      <c r="I1051" s="11" t="s">
        <v>23</v>
      </c>
      <c r="J1051" s="8" t="s">
        <v>26</v>
      </c>
    </row>
    <row r="1052" customFormat="false" ht="14.25" hidden="false" customHeight="false" outlineLevel="0" collapsed="false">
      <c r="A1052" s="8" t="n">
        <v>1051</v>
      </c>
      <c r="B1052" s="8" t="s">
        <v>49</v>
      </c>
      <c r="C1052" s="8" t="s">
        <v>10</v>
      </c>
      <c r="D1052" s="9" t="n">
        <v>44149</v>
      </c>
      <c r="E1052" s="9" t="str">
        <f aca="false">TEXT(D1052,"MMM")</f>
        <v>nov</v>
      </c>
      <c r="F1052" s="10" t="n">
        <v>-1080.45</v>
      </c>
      <c r="G1052" s="8" t="s">
        <v>34</v>
      </c>
      <c r="H1052" s="8" t="s">
        <v>22</v>
      </c>
      <c r="I1052" s="11" t="s">
        <v>23</v>
      </c>
      <c r="J1052" s="8" t="s">
        <v>26</v>
      </c>
    </row>
    <row r="1053" customFormat="false" ht="14.25" hidden="false" customHeight="false" outlineLevel="0" collapsed="false">
      <c r="A1053" s="8" t="n">
        <v>1052</v>
      </c>
      <c r="B1053" s="8" t="s">
        <v>148</v>
      </c>
      <c r="C1053" s="8" t="s">
        <v>28</v>
      </c>
      <c r="D1053" s="9" t="n">
        <v>44151</v>
      </c>
      <c r="E1053" s="9" t="str">
        <f aca="false">TEXT(D1053,"MMM")</f>
        <v>nov</v>
      </c>
      <c r="F1053" s="10" t="n">
        <v>15131.57</v>
      </c>
      <c r="G1053" s="8" t="s">
        <v>11</v>
      </c>
      <c r="H1053" s="8" t="s">
        <v>12</v>
      </c>
      <c r="I1053" s="11" t="s">
        <v>13</v>
      </c>
      <c r="J1053" s="8" t="s">
        <v>26</v>
      </c>
    </row>
    <row r="1054" customFormat="false" ht="14.25" hidden="false" customHeight="false" outlineLevel="0" collapsed="false">
      <c r="A1054" s="8" t="n">
        <v>1053</v>
      </c>
      <c r="B1054" s="8" t="s">
        <v>41</v>
      </c>
      <c r="C1054" s="8" t="s">
        <v>21</v>
      </c>
      <c r="D1054" s="9" t="n">
        <v>44152</v>
      </c>
      <c r="E1054" s="9" t="str">
        <f aca="false">TEXT(D1054,"MMM")</f>
        <v>nov</v>
      </c>
      <c r="F1054" s="10" t="n">
        <v>15736.84</v>
      </c>
      <c r="G1054" s="8" t="s">
        <v>11</v>
      </c>
      <c r="H1054" s="8" t="s">
        <v>12</v>
      </c>
      <c r="I1054" s="11" t="s">
        <v>13</v>
      </c>
      <c r="J1054" s="8" t="s">
        <v>14</v>
      </c>
    </row>
    <row r="1055" customFormat="false" ht="14.25" hidden="false" customHeight="false" outlineLevel="0" collapsed="false">
      <c r="A1055" s="8" t="n">
        <v>1054</v>
      </c>
      <c r="B1055" s="8" t="s">
        <v>50</v>
      </c>
      <c r="C1055" s="8" t="s">
        <v>21</v>
      </c>
      <c r="D1055" s="9" t="n">
        <v>44152</v>
      </c>
      <c r="E1055" s="9" t="str">
        <f aca="false">TEXT(D1055,"MMM")</f>
        <v>nov</v>
      </c>
      <c r="F1055" s="10" t="n">
        <v>16361.62</v>
      </c>
      <c r="G1055" s="8" t="s">
        <v>11</v>
      </c>
      <c r="H1055" s="8" t="s">
        <v>17</v>
      </c>
      <c r="I1055" s="11" t="s">
        <v>18</v>
      </c>
      <c r="J1055" s="8" t="s">
        <v>14</v>
      </c>
    </row>
    <row r="1056" customFormat="false" ht="14.25" hidden="false" customHeight="false" outlineLevel="0" collapsed="false">
      <c r="A1056" s="8" t="n">
        <v>1055</v>
      </c>
      <c r="B1056" s="8" t="s">
        <v>15</v>
      </c>
      <c r="C1056" s="8" t="s">
        <v>28</v>
      </c>
      <c r="D1056" s="9" t="n">
        <v>44152</v>
      </c>
      <c r="E1056" s="9" t="str">
        <f aca="false">TEXT(D1056,"MMM")</f>
        <v>nov</v>
      </c>
      <c r="F1056" s="10" t="n">
        <v>14515.93</v>
      </c>
      <c r="G1056" s="8" t="s">
        <v>11</v>
      </c>
      <c r="H1056" s="8" t="s">
        <v>36</v>
      </c>
      <c r="I1056" s="11" t="s">
        <v>37</v>
      </c>
      <c r="J1056" s="8" t="s">
        <v>19</v>
      </c>
    </row>
    <row r="1057" customFormat="false" ht="14.25" hidden="false" customHeight="false" outlineLevel="0" collapsed="false">
      <c r="A1057" s="8" t="n">
        <v>1056</v>
      </c>
      <c r="B1057" s="8" t="s">
        <v>51</v>
      </c>
      <c r="C1057" s="8" t="s">
        <v>10</v>
      </c>
      <c r="D1057" s="9" t="n">
        <v>44152</v>
      </c>
      <c r="E1057" s="9" t="str">
        <f aca="false">TEXT(D1057,"MMM")</f>
        <v>nov</v>
      </c>
      <c r="F1057" s="10" t="n">
        <v>-1993.99</v>
      </c>
      <c r="G1057" s="8" t="s">
        <v>34</v>
      </c>
      <c r="H1057" s="8" t="s">
        <v>17</v>
      </c>
      <c r="I1057" s="11" t="s">
        <v>18</v>
      </c>
      <c r="J1057" s="8" t="s">
        <v>14</v>
      </c>
    </row>
    <row r="1058" customFormat="false" ht="14.25" hidden="false" customHeight="false" outlineLevel="0" collapsed="false">
      <c r="A1058" s="8" t="n">
        <v>1057</v>
      </c>
      <c r="B1058" s="8" t="s">
        <v>81</v>
      </c>
      <c r="C1058" s="8" t="s">
        <v>10</v>
      </c>
      <c r="D1058" s="9" t="n">
        <v>44153</v>
      </c>
      <c r="E1058" s="9" t="str">
        <f aca="false">TEXT(D1058,"MMM")</f>
        <v>nov</v>
      </c>
      <c r="F1058" s="10" t="n">
        <v>-2422</v>
      </c>
      <c r="G1058" s="8" t="s">
        <v>34</v>
      </c>
      <c r="H1058" s="8" t="s">
        <v>12</v>
      </c>
      <c r="I1058" s="11" t="s">
        <v>13</v>
      </c>
      <c r="J1058" s="8" t="s">
        <v>26</v>
      </c>
    </row>
    <row r="1059" customFormat="false" ht="14.25" hidden="false" customHeight="false" outlineLevel="0" collapsed="false">
      <c r="A1059" s="8" t="n">
        <v>1058</v>
      </c>
      <c r="B1059" s="8" t="s">
        <v>81</v>
      </c>
      <c r="C1059" s="8" t="s">
        <v>21</v>
      </c>
      <c r="D1059" s="9" t="n">
        <v>44153</v>
      </c>
      <c r="E1059" s="9" t="str">
        <f aca="false">TEXT(D1059,"MMM")</f>
        <v>nov</v>
      </c>
      <c r="F1059" s="10" t="n">
        <v>-2033.12</v>
      </c>
      <c r="G1059" s="8" t="s">
        <v>34</v>
      </c>
      <c r="H1059" s="8" t="s">
        <v>17</v>
      </c>
      <c r="I1059" s="11" t="s">
        <v>18</v>
      </c>
      <c r="J1059" s="8" t="s">
        <v>14</v>
      </c>
    </row>
    <row r="1060" customFormat="false" ht="14.25" hidden="false" customHeight="false" outlineLevel="0" collapsed="false">
      <c r="A1060" s="8" t="n">
        <v>1059</v>
      </c>
      <c r="B1060" s="8" t="s">
        <v>81</v>
      </c>
      <c r="C1060" s="8" t="s">
        <v>16</v>
      </c>
      <c r="D1060" s="9" t="n">
        <v>44153</v>
      </c>
      <c r="E1060" s="9" t="str">
        <f aca="false">TEXT(D1060,"MMM")</f>
        <v>nov</v>
      </c>
      <c r="F1060" s="10" t="n">
        <v>-8699.53</v>
      </c>
      <c r="G1060" s="8" t="s">
        <v>34</v>
      </c>
      <c r="H1060" s="8" t="s">
        <v>12</v>
      </c>
      <c r="I1060" s="11" t="s">
        <v>13</v>
      </c>
      <c r="J1060" s="8" t="s">
        <v>14</v>
      </c>
    </row>
    <row r="1061" customFormat="false" ht="14.25" hidden="false" customHeight="false" outlineLevel="0" collapsed="false">
      <c r="A1061" s="8" t="n">
        <v>1060</v>
      </c>
      <c r="B1061" s="8" t="s">
        <v>81</v>
      </c>
      <c r="C1061" s="8" t="s">
        <v>28</v>
      </c>
      <c r="D1061" s="9" t="n">
        <v>44153</v>
      </c>
      <c r="E1061" s="9" t="str">
        <f aca="false">TEXT(D1061,"MMM")</f>
        <v>nov</v>
      </c>
      <c r="F1061" s="10" t="n">
        <v>13228.75</v>
      </c>
      <c r="G1061" s="8" t="s">
        <v>11</v>
      </c>
      <c r="H1061" s="8" t="s">
        <v>12</v>
      </c>
      <c r="I1061" s="11" t="s">
        <v>13</v>
      </c>
      <c r="J1061" s="8" t="s">
        <v>14</v>
      </c>
    </row>
    <row r="1062" customFormat="false" ht="14.25" hidden="false" customHeight="false" outlineLevel="0" collapsed="false">
      <c r="A1062" s="8" t="n">
        <v>1061</v>
      </c>
      <c r="B1062" s="8" t="s">
        <v>81</v>
      </c>
      <c r="C1062" s="8" t="s">
        <v>21</v>
      </c>
      <c r="D1062" s="9" t="n">
        <v>44153</v>
      </c>
      <c r="E1062" s="9" t="str">
        <f aca="false">TEXT(D1062,"MMM")</f>
        <v>nov</v>
      </c>
      <c r="F1062" s="10" t="n">
        <v>13901.04</v>
      </c>
      <c r="G1062" s="8" t="s">
        <v>11</v>
      </c>
      <c r="H1062" s="8" t="s">
        <v>36</v>
      </c>
      <c r="I1062" s="11" t="s">
        <v>37</v>
      </c>
      <c r="J1062" s="8" t="s">
        <v>14</v>
      </c>
    </row>
    <row r="1063" customFormat="false" ht="14.25" hidden="false" customHeight="false" outlineLevel="0" collapsed="false">
      <c r="A1063" s="8" t="n">
        <v>1062</v>
      </c>
      <c r="B1063" s="8" t="s">
        <v>81</v>
      </c>
      <c r="C1063" s="8" t="s">
        <v>16</v>
      </c>
      <c r="D1063" s="9" t="n">
        <v>44153</v>
      </c>
      <c r="E1063" s="9" t="str">
        <f aca="false">TEXT(D1063,"MMM")</f>
        <v>nov</v>
      </c>
      <c r="F1063" s="10" t="n">
        <v>161996.88</v>
      </c>
      <c r="G1063" s="8" t="s">
        <v>11</v>
      </c>
      <c r="H1063" s="8" t="s">
        <v>12</v>
      </c>
      <c r="I1063" s="11" t="s">
        <v>13</v>
      </c>
      <c r="J1063" s="8" t="s">
        <v>19</v>
      </c>
    </row>
    <row r="1064" customFormat="false" ht="14.25" hidden="false" customHeight="false" outlineLevel="0" collapsed="false">
      <c r="A1064" s="8" t="n">
        <v>1063</v>
      </c>
      <c r="B1064" s="8" t="s">
        <v>39</v>
      </c>
      <c r="C1064" s="8" t="s">
        <v>21</v>
      </c>
      <c r="D1064" s="9" t="n">
        <v>44153</v>
      </c>
      <c r="E1064" s="9" t="str">
        <f aca="false">TEXT(D1064,"MMM")</f>
        <v>nov</v>
      </c>
      <c r="F1064" s="10" t="n">
        <v>102514.26</v>
      </c>
      <c r="G1064" s="8" t="s">
        <v>11</v>
      </c>
      <c r="H1064" s="8" t="s">
        <v>22</v>
      </c>
      <c r="I1064" s="11" t="s">
        <v>23</v>
      </c>
      <c r="J1064" s="8" t="s">
        <v>14</v>
      </c>
    </row>
    <row r="1065" customFormat="false" ht="14.25" hidden="false" customHeight="false" outlineLevel="0" collapsed="false">
      <c r="A1065" s="8" t="n">
        <v>1064</v>
      </c>
      <c r="B1065" s="8" t="s">
        <v>81</v>
      </c>
      <c r="C1065" s="8" t="s">
        <v>21</v>
      </c>
      <c r="D1065" s="9" t="n">
        <v>44153</v>
      </c>
      <c r="E1065" s="9" t="str">
        <f aca="false">TEXT(D1065,"MMM")</f>
        <v>nov</v>
      </c>
      <c r="F1065" s="10" t="n">
        <v>13636.41</v>
      </c>
      <c r="G1065" s="8" t="s">
        <v>11</v>
      </c>
      <c r="H1065" s="8" t="s">
        <v>17</v>
      </c>
      <c r="I1065" s="11" t="s">
        <v>18</v>
      </c>
      <c r="J1065" s="8" t="s">
        <v>14</v>
      </c>
    </row>
    <row r="1066" customFormat="false" ht="14.25" hidden="false" customHeight="false" outlineLevel="0" collapsed="false">
      <c r="A1066" s="8" t="n">
        <v>1065</v>
      </c>
      <c r="B1066" s="8" t="s">
        <v>81</v>
      </c>
      <c r="C1066" s="8" t="s">
        <v>10</v>
      </c>
      <c r="D1066" s="9" t="n">
        <v>44153</v>
      </c>
      <c r="E1066" s="9" t="str">
        <f aca="false">TEXT(D1066,"MMM")</f>
        <v>nov</v>
      </c>
      <c r="F1066" s="10" t="n">
        <v>13780.12</v>
      </c>
      <c r="G1066" s="8" t="s">
        <v>11</v>
      </c>
      <c r="H1066" s="8" t="s">
        <v>36</v>
      </c>
      <c r="I1066" s="11" t="s">
        <v>37</v>
      </c>
      <c r="J1066" s="8" t="s">
        <v>19</v>
      </c>
    </row>
    <row r="1067" customFormat="false" ht="14.25" hidden="false" customHeight="false" outlineLevel="0" collapsed="false">
      <c r="A1067" s="8" t="n">
        <v>1066</v>
      </c>
      <c r="B1067" s="8" t="s">
        <v>81</v>
      </c>
      <c r="C1067" s="8" t="s">
        <v>10</v>
      </c>
      <c r="D1067" s="9" t="n">
        <v>44153</v>
      </c>
      <c r="E1067" s="9" t="str">
        <f aca="false">TEXT(D1067,"MMM")</f>
        <v>nov</v>
      </c>
      <c r="F1067" s="10" t="n">
        <v>14931.12</v>
      </c>
      <c r="G1067" s="8" t="s">
        <v>11</v>
      </c>
      <c r="H1067" s="8" t="s">
        <v>17</v>
      </c>
      <c r="I1067" s="11" t="s">
        <v>18</v>
      </c>
      <c r="J1067" s="8" t="s">
        <v>26</v>
      </c>
    </row>
    <row r="1068" customFormat="false" ht="14.25" hidden="false" customHeight="false" outlineLevel="0" collapsed="false">
      <c r="A1068" s="8" t="n">
        <v>1067</v>
      </c>
      <c r="B1068" s="8" t="s">
        <v>81</v>
      </c>
      <c r="C1068" s="8" t="s">
        <v>10</v>
      </c>
      <c r="D1068" s="9" t="n">
        <v>44153</v>
      </c>
      <c r="E1068" s="9" t="str">
        <f aca="false">TEXT(D1068,"MMM")</f>
        <v>nov</v>
      </c>
      <c r="F1068" s="10" t="n">
        <v>21907.49</v>
      </c>
      <c r="G1068" s="8" t="s">
        <v>11</v>
      </c>
      <c r="H1068" s="8" t="s">
        <v>12</v>
      </c>
      <c r="I1068" s="11" t="s">
        <v>13</v>
      </c>
      <c r="J1068" s="8" t="s">
        <v>26</v>
      </c>
    </row>
    <row r="1069" customFormat="false" ht="14.25" hidden="false" customHeight="false" outlineLevel="0" collapsed="false">
      <c r="A1069" s="8" t="n">
        <v>1068</v>
      </c>
      <c r="B1069" s="8" t="s">
        <v>41</v>
      </c>
      <c r="C1069" s="8" t="s">
        <v>16</v>
      </c>
      <c r="D1069" s="9" t="n">
        <v>44155</v>
      </c>
      <c r="E1069" s="9" t="str">
        <f aca="false">TEXT(D1069,"MMM")</f>
        <v>nov</v>
      </c>
      <c r="F1069" s="10" t="n">
        <v>21052.64</v>
      </c>
      <c r="G1069" s="8" t="s">
        <v>11</v>
      </c>
      <c r="H1069" s="8" t="s">
        <v>12</v>
      </c>
      <c r="I1069" s="11" t="s">
        <v>13</v>
      </c>
      <c r="J1069" s="8" t="s">
        <v>14</v>
      </c>
    </row>
    <row r="1070" customFormat="false" ht="14.25" hidden="false" customHeight="false" outlineLevel="0" collapsed="false">
      <c r="A1070" s="8" t="n">
        <v>1069</v>
      </c>
      <c r="B1070" s="8" t="s">
        <v>63</v>
      </c>
      <c r="C1070" s="8" t="s">
        <v>16</v>
      </c>
      <c r="D1070" s="9" t="n">
        <v>44155</v>
      </c>
      <c r="E1070" s="9" t="str">
        <f aca="false">TEXT(D1070,"MMM")</f>
        <v>nov</v>
      </c>
      <c r="F1070" s="10" t="n">
        <v>19825.57</v>
      </c>
      <c r="G1070" s="8" t="s">
        <v>11</v>
      </c>
      <c r="H1070" s="8" t="s">
        <v>12</v>
      </c>
      <c r="I1070" s="11" t="s">
        <v>13</v>
      </c>
      <c r="J1070" s="8" t="s">
        <v>26</v>
      </c>
    </row>
    <row r="1071" customFormat="false" ht="14.25" hidden="false" customHeight="false" outlineLevel="0" collapsed="false">
      <c r="A1071" s="8" t="n">
        <v>1070</v>
      </c>
      <c r="B1071" s="8" t="s">
        <v>85</v>
      </c>
      <c r="C1071" s="8" t="s">
        <v>10</v>
      </c>
      <c r="D1071" s="9" t="n">
        <v>44155</v>
      </c>
      <c r="E1071" s="9" t="str">
        <f aca="false">TEXT(D1071,"MMM")</f>
        <v>nov</v>
      </c>
      <c r="F1071" s="10" t="n">
        <v>11787.39</v>
      </c>
      <c r="G1071" s="8" t="s">
        <v>11</v>
      </c>
      <c r="H1071" s="8" t="s">
        <v>22</v>
      </c>
      <c r="I1071" s="11" t="s">
        <v>23</v>
      </c>
      <c r="J1071" s="8" t="s">
        <v>26</v>
      </c>
    </row>
    <row r="1072" customFormat="false" ht="14.25" hidden="false" customHeight="false" outlineLevel="0" collapsed="false">
      <c r="A1072" s="8" t="n">
        <v>1071</v>
      </c>
      <c r="B1072" s="8" t="s">
        <v>85</v>
      </c>
      <c r="C1072" s="8" t="s">
        <v>28</v>
      </c>
      <c r="D1072" s="9" t="n">
        <v>44155</v>
      </c>
      <c r="E1072" s="9" t="str">
        <f aca="false">TEXT(D1072,"MMM")</f>
        <v>nov</v>
      </c>
      <c r="F1072" s="10" t="n">
        <v>11787.39</v>
      </c>
      <c r="G1072" s="8" t="s">
        <v>11</v>
      </c>
      <c r="H1072" s="8" t="s">
        <v>22</v>
      </c>
      <c r="I1072" s="11" t="s">
        <v>23</v>
      </c>
      <c r="J1072" s="8" t="s">
        <v>14</v>
      </c>
    </row>
    <row r="1073" customFormat="false" ht="14.25" hidden="false" customHeight="false" outlineLevel="0" collapsed="false">
      <c r="A1073" s="8" t="n">
        <v>1072</v>
      </c>
      <c r="B1073" s="8" t="s">
        <v>66</v>
      </c>
      <c r="C1073" s="8" t="s">
        <v>10</v>
      </c>
      <c r="D1073" s="9" t="n">
        <v>44155</v>
      </c>
      <c r="E1073" s="9" t="str">
        <f aca="false">TEXT(D1073,"MMM")</f>
        <v>nov</v>
      </c>
      <c r="F1073" s="10" t="n">
        <v>11787.39</v>
      </c>
      <c r="G1073" s="8" t="s">
        <v>11</v>
      </c>
      <c r="H1073" s="8" t="s">
        <v>30</v>
      </c>
      <c r="I1073" s="11" t="s">
        <v>31</v>
      </c>
      <c r="J1073" s="8" t="s">
        <v>14</v>
      </c>
    </row>
    <row r="1074" customFormat="false" ht="14.25" hidden="false" customHeight="false" outlineLevel="0" collapsed="false">
      <c r="A1074" s="8" t="n">
        <v>1073</v>
      </c>
      <c r="B1074" s="8" t="s">
        <v>66</v>
      </c>
      <c r="C1074" s="8" t="s">
        <v>21</v>
      </c>
      <c r="D1074" s="9" t="n">
        <v>44155</v>
      </c>
      <c r="E1074" s="9" t="str">
        <f aca="false">TEXT(D1074,"MMM")</f>
        <v>nov</v>
      </c>
      <c r="F1074" s="10" t="n">
        <v>177358.2</v>
      </c>
      <c r="G1074" s="8" t="s">
        <v>11</v>
      </c>
      <c r="H1074" s="8" t="s">
        <v>22</v>
      </c>
      <c r="I1074" s="11" t="s">
        <v>23</v>
      </c>
      <c r="J1074" s="8" t="s">
        <v>14</v>
      </c>
    </row>
    <row r="1075" customFormat="false" ht="14.25" hidden="false" customHeight="false" outlineLevel="0" collapsed="false">
      <c r="A1075" s="8" t="n">
        <v>1074</v>
      </c>
      <c r="B1075" s="8" t="s">
        <v>66</v>
      </c>
      <c r="C1075" s="8" t="s">
        <v>21</v>
      </c>
      <c r="D1075" s="9" t="n">
        <v>44155</v>
      </c>
      <c r="E1075" s="9" t="str">
        <f aca="false">TEXT(D1075,"MMM")</f>
        <v>nov</v>
      </c>
      <c r="F1075" s="10" t="n">
        <v>11787.39</v>
      </c>
      <c r="G1075" s="8" t="s">
        <v>11</v>
      </c>
      <c r="H1075" s="8" t="s">
        <v>36</v>
      </c>
      <c r="I1075" s="11" t="s">
        <v>37</v>
      </c>
      <c r="J1075" s="8" t="s">
        <v>26</v>
      </c>
    </row>
    <row r="1076" customFormat="false" ht="14.25" hidden="false" customHeight="false" outlineLevel="0" collapsed="false">
      <c r="A1076" s="8" t="n">
        <v>1075</v>
      </c>
      <c r="B1076" s="8" t="s">
        <v>66</v>
      </c>
      <c r="C1076" s="8" t="s">
        <v>10</v>
      </c>
      <c r="D1076" s="9" t="n">
        <v>44155</v>
      </c>
      <c r="E1076" s="9" t="str">
        <f aca="false">TEXT(D1076,"MMM")</f>
        <v>nov</v>
      </c>
      <c r="F1076" s="10" t="n">
        <v>11787.39</v>
      </c>
      <c r="G1076" s="8" t="s">
        <v>11</v>
      </c>
      <c r="H1076" s="8" t="s">
        <v>17</v>
      </c>
      <c r="I1076" s="11" t="s">
        <v>18</v>
      </c>
      <c r="J1076" s="8" t="s">
        <v>26</v>
      </c>
    </row>
    <row r="1077" customFormat="false" ht="14.25" hidden="false" customHeight="false" outlineLevel="0" collapsed="false">
      <c r="A1077" s="8" t="n">
        <v>1076</v>
      </c>
      <c r="B1077" s="8" t="s">
        <v>66</v>
      </c>
      <c r="C1077" s="8" t="s">
        <v>21</v>
      </c>
      <c r="D1077" s="9" t="n">
        <v>44155</v>
      </c>
      <c r="E1077" s="9" t="str">
        <f aca="false">TEXT(D1077,"MMM")</f>
        <v>nov</v>
      </c>
      <c r="F1077" s="10" t="n">
        <v>11787.36</v>
      </c>
      <c r="G1077" s="8" t="s">
        <v>11</v>
      </c>
      <c r="H1077" s="8" t="s">
        <v>12</v>
      </c>
      <c r="I1077" s="11" t="s">
        <v>13</v>
      </c>
      <c r="J1077" s="8" t="s">
        <v>26</v>
      </c>
    </row>
    <row r="1078" customFormat="false" ht="14.25" hidden="false" customHeight="false" outlineLevel="0" collapsed="false">
      <c r="A1078" s="8" t="n">
        <v>1077</v>
      </c>
      <c r="B1078" s="8" t="s">
        <v>66</v>
      </c>
      <c r="C1078" s="8" t="s">
        <v>28</v>
      </c>
      <c r="D1078" s="9" t="n">
        <v>44155</v>
      </c>
      <c r="E1078" s="9" t="str">
        <f aca="false">TEXT(D1078,"MMM")</f>
        <v>nov</v>
      </c>
      <c r="F1078" s="10" t="n">
        <v>83109.6</v>
      </c>
      <c r="G1078" s="8" t="s">
        <v>11</v>
      </c>
      <c r="H1078" s="8" t="s">
        <v>12</v>
      </c>
      <c r="I1078" s="11" t="s">
        <v>13</v>
      </c>
      <c r="J1078" s="8" t="s">
        <v>14</v>
      </c>
    </row>
    <row r="1079" customFormat="false" ht="14.25" hidden="false" customHeight="false" outlineLevel="0" collapsed="false">
      <c r="A1079" s="8" t="n">
        <v>1078</v>
      </c>
      <c r="B1079" s="8" t="s">
        <v>66</v>
      </c>
      <c r="C1079" s="8" t="s">
        <v>16</v>
      </c>
      <c r="D1079" s="9" t="n">
        <v>44155</v>
      </c>
      <c r="E1079" s="9" t="str">
        <f aca="false">TEXT(D1079,"MMM")</f>
        <v>nov</v>
      </c>
      <c r="F1079" s="10" t="n">
        <v>2788</v>
      </c>
      <c r="G1079" s="8" t="s">
        <v>11</v>
      </c>
      <c r="H1079" s="8" t="s">
        <v>17</v>
      </c>
      <c r="I1079" s="11" t="s">
        <v>18</v>
      </c>
      <c r="J1079" s="8" t="s">
        <v>24</v>
      </c>
    </row>
    <row r="1080" customFormat="false" ht="14.25" hidden="false" customHeight="false" outlineLevel="0" collapsed="false">
      <c r="A1080" s="8" t="n">
        <v>1079</v>
      </c>
      <c r="B1080" s="8" t="s">
        <v>66</v>
      </c>
      <c r="C1080" s="8" t="s">
        <v>28</v>
      </c>
      <c r="D1080" s="9" t="n">
        <v>44155</v>
      </c>
      <c r="E1080" s="9" t="str">
        <f aca="false">TEXT(D1080,"MMM")</f>
        <v>nov</v>
      </c>
      <c r="F1080" s="10" t="n">
        <v>2788</v>
      </c>
      <c r="G1080" s="8" t="s">
        <v>11</v>
      </c>
      <c r="H1080" s="8" t="s">
        <v>36</v>
      </c>
      <c r="I1080" s="11" t="s">
        <v>37</v>
      </c>
      <c r="J1080" s="8" t="s">
        <v>26</v>
      </c>
    </row>
    <row r="1081" customFormat="false" ht="14.25" hidden="false" customHeight="false" outlineLevel="0" collapsed="false">
      <c r="A1081" s="8" t="n">
        <v>1080</v>
      </c>
      <c r="B1081" s="8" t="s">
        <v>77</v>
      </c>
      <c r="C1081" s="8" t="s">
        <v>10</v>
      </c>
      <c r="D1081" s="9" t="n">
        <v>44156</v>
      </c>
      <c r="E1081" s="9" t="str">
        <f aca="false">TEXT(D1081,"MMM")</f>
        <v>nov</v>
      </c>
      <c r="F1081" s="10" t="n">
        <v>3214.87</v>
      </c>
      <c r="G1081" s="8" t="s">
        <v>11</v>
      </c>
      <c r="H1081" s="8" t="s">
        <v>22</v>
      </c>
      <c r="I1081" s="11" t="s">
        <v>23</v>
      </c>
      <c r="J1081" s="8" t="s">
        <v>19</v>
      </c>
    </row>
    <row r="1082" customFormat="false" ht="14.25" hidden="false" customHeight="false" outlineLevel="0" collapsed="false">
      <c r="A1082" s="8" t="n">
        <v>1081</v>
      </c>
      <c r="B1082" s="8" t="s">
        <v>32</v>
      </c>
      <c r="C1082" s="8" t="s">
        <v>10</v>
      </c>
      <c r="D1082" s="9" t="n">
        <v>44156</v>
      </c>
      <c r="E1082" s="9" t="str">
        <f aca="false">TEXT(D1082,"MMM")</f>
        <v>nov</v>
      </c>
      <c r="F1082" s="10" t="n">
        <v>172297.12</v>
      </c>
      <c r="G1082" s="8" t="s">
        <v>11</v>
      </c>
      <c r="H1082" s="8" t="s">
        <v>12</v>
      </c>
      <c r="I1082" s="11" t="s">
        <v>13</v>
      </c>
      <c r="J1082" s="8" t="s">
        <v>14</v>
      </c>
    </row>
    <row r="1083" customFormat="false" ht="14.25" hidden="false" customHeight="false" outlineLevel="0" collapsed="false">
      <c r="A1083" s="8" t="n">
        <v>1082</v>
      </c>
      <c r="B1083" s="8" t="s">
        <v>15</v>
      </c>
      <c r="C1083" s="8" t="s">
        <v>16</v>
      </c>
      <c r="D1083" s="9" t="n">
        <v>44158</v>
      </c>
      <c r="E1083" s="9" t="str">
        <f aca="false">TEXT(D1083,"MMM")</f>
        <v>nov</v>
      </c>
      <c r="F1083" s="10" t="n">
        <v>2788</v>
      </c>
      <c r="G1083" s="8" t="s">
        <v>11</v>
      </c>
      <c r="H1083" s="8" t="s">
        <v>12</v>
      </c>
      <c r="I1083" s="11" t="s">
        <v>13</v>
      </c>
      <c r="J1083" s="8" t="s">
        <v>14</v>
      </c>
    </row>
    <row r="1084" customFormat="false" ht="14.25" hidden="false" customHeight="false" outlineLevel="0" collapsed="false">
      <c r="A1084" s="8" t="n">
        <v>1083</v>
      </c>
      <c r="B1084" s="8" t="s">
        <v>15</v>
      </c>
      <c r="C1084" s="8" t="s">
        <v>21</v>
      </c>
      <c r="D1084" s="9" t="n">
        <v>44158</v>
      </c>
      <c r="E1084" s="9" t="str">
        <f aca="false">TEXT(D1084,"MMM")</f>
        <v>nov</v>
      </c>
      <c r="F1084" s="10" t="n">
        <v>2877.22</v>
      </c>
      <c r="G1084" s="8" t="s">
        <v>11</v>
      </c>
      <c r="H1084" s="8" t="s">
        <v>22</v>
      </c>
      <c r="I1084" s="11" t="s">
        <v>23</v>
      </c>
      <c r="J1084" s="8" t="s">
        <v>14</v>
      </c>
    </row>
    <row r="1085" customFormat="false" ht="14.25" hidden="false" customHeight="false" outlineLevel="0" collapsed="false">
      <c r="A1085" s="8" t="n">
        <v>1084</v>
      </c>
      <c r="B1085" s="8" t="s">
        <v>45</v>
      </c>
      <c r="C1085" s="8" t="s">
        <v>21</v>
      </c>
      <c r="D1085" s="9" t="n">
        <v>44158</v>
      </c>
      <c r="E1085" s="9" t="str">
        <f aca="false">TEXT(D1085,"MMM")</f>
        <v>nov</v>
      </c>
      <c r="F1085" s="10" t="n">
        <v>2864.5</v>
      </c>
      <c r="G1085" s="8" t="s">
        <v>11</v>
      </c>
      <c r="H1085" s="8" t="s">
        <v>22</v>
      </c>
      <c r="I1085" s="11" t="s">
        <v>23</v>
      </c>
      <c r="J1085" s="8" t="s">
        <v>14</v>
      </c>
    </row>
    <row r="1086" customFormat="false" ht="14.25" hidden="false" customHeight="false" outlineLevel="0" collapsed="false">
      <c r="A1086" s="8" t="n">
        <v>1085</v>
      </c>
      <c r="B1086" s="8" t="s">
        <v>72</v>
      </c>
      <c r="C1086" s="8" t="s">
        <v>16</v>
      </c>
      <c r="D1086" s="9" t="n">
        <v>44158</v>
      </c>
      <c r="E1086" s="9" t="str">
        <f aca="false">TEXT(D1086,"MMM")</f>
        <v>nov</v>
      </c>
      <c r="F1086" s="10" t="n">
        <v>3258.66</v>
      </c>
      <c r="G1086" s="8" t="s">
        <v>11</v>
      </c>
      <c r="H1086" s="8" t="s">
        <v>36</v>
      </c>
      <c r="I1086" s="11" t="s">
        <v>37</v>
      </c>
      <c r="J1086" s="8" t="s">
        <v>19</v>
      </c>
    </row>
    <row r="1087" customFormat="false" ht="14.25" hidden="false" customHeight="false" outlineLevel="0" collapsed="false">
      <c r="A1087" s="8" t="n">
        <v>1086</v>
      </c>
      <c r="B1087" s="8" t="s">
        <v>44</v>
      </c>
      <c r="C1087" s="8" t="s">
        <v>10</v>
      </c>
      <c r="D1087" s="9" t="n">
        <v>44158</v>
      </c>
      <c r="E1087" s="9" t="str">
        <f aca="false">TEXT(D1087,"MMM")</f>
        <v>nov</v>
      </c>
      <c r="F1087" s="10" t="n">
        <v>3239.89</v>
      </c>
      <c r="G1087" s="8" t="s">
        <v>11</v>
      </c>
      <c r="H1087" s="8" t="s">
        <v>22</v>
      </c>
      <c r="I1087" s="11" t="s">
        <v>23</v>
      </c>
      <c r="J1087" s="8" t="s">
        <v>24</v>
      </c>
    </row>
    <row r="1088" customFormat="false" ht="14.25" hidden="false" customHeight="false" outlineLevel="0" collapsed="false">
      <c r="A1088" s="8" t="n">
        <v>1087</v>
      </c>
      <c r="B1088" s="8" t="s">
        <v>44</v>
      </c>
      <c r="C1088" s="8" t="s">
        <v>16</v>
      </c>
      <c r="D1088" s="9" t="n">
        <v>44158</v>
      </c>
      <c r="E1088" s="9" t="str">
        <f aca="false">TEXT(D1088,"MMM")</f>
        <v>nov</v>
      </c>
      <c r="F1088" s="10" t="n">
        <v>2902.31</v>
      </c>
      <c r="G1088" s="8" t="s">
        <v>11</v>
      </c>
      <c r="H1088" s="8" t="s">
        <v>12</v>
      </c>
      <c r="I1088" s="11" t="s">
        <v>13</v>
      </c>
      <c r="J1088" s="8" t="s">
        <v>19</v>
      </c>
    </row>
    <row r="1089" customFormat="false" ht="14.25" hidden="false" customHeight="false" outlineLevel="0" collapsed="false">
      <c r="A1089" s="8" t="n">
        <v>1088</v>
      </c>
      <c r="B1089" s="8" t="s">
        <v>47</v>
      </c>
      <c r="C1089" s="8" t="s">
        <v>10</v>
      </c>
      <c r="D1089" s="9" t="n">
        <v>44158</v>
      </c>
      <c r="E1089" s="9" t="str">
        <f aca="false">TEXT(D1089,"MMM")</f>
        <v>nov</v>
      </c>
      <c r="F1089" s="10" t="n">
        <v>3252.41</v>
      </c>
      <c r="G1089" s="8" t="s">
        <v>11</v>
      </c>
      <c r="H1089" s="8" t="s">
        <v>12</v>
      </c>
      <c r="I1089" s="11" t="s">
        <v>13</v>
      </c>
      <c r="J1089" s="8" t="s">
        <v>26</v>
      </c>
    </row>
    <row r="1090" customFormat="false" ht="14.25" hidden="false" customHeight="false" outlineLevel="0" collapsed="false">
      <c r="A1090" s="8" t="n">
        <v>1089</v>
      </c>
      <c r="B1090" s="8" t="s">
        <v>45</v>
      </c>
      <c r="C1090" s="8" t="s">
        <v>21</v>
      </c>
      <c r="D1090" s="9" t="n">
        <v>44158</v>
      </c>
      <c r="E1090" s="9" t="str">
        <f aca="false">TEXT(D1090,"MMM")</f>
        <v>nov</v>
      </c>
      <c r="F1090" s="10" t="n">
        <v>-39599.21</v>
      </c>
      <c r="G1090" s="8" t="s">
        <v>34</v>
      </c>
      <c r="H1090" s="8" t="s">
        <v>12</v>
      </c>
      <c r="I1090" s="11" t="s">
        <v>13</v>
      </c>
      <c r="J1090" s="8" t="s">
        <v>24</v>
      </c>
    </row>
    <row r="1091" customFormat="false" ht="14.25" hidden="false" customHeight="false" outlineLevel="0" collapsed="false">
      <c r="A1091" s="8" t="n">
        <v>1090</v>
      </c>
      <c r="B1091" s="8" t="s">
        <v>72</v>
      </c>
      <c r="C1091" s="8" t="s">
        <v>28</v>
      </c>
      <c r="D1091" s="9" t="n">
        <v>44158</v>
      </c>
      <c r="E1091" s="9" t="str">
        <f aca="false">TEXT(D1091,"MMM")</f>
        <v>nov</v>
      </c>
      <c r="F1091" s="10" t="n">
        <v>-11416.34</v>
      </c>
      <c r="G1091" s="8" t="s">
        <v>34</v>
      </c>
      <c r="H1091" s="8" t="s">
        <v>17</v>
      </c>
      <c r="I1091" s="11" t="s">
        <v>18</v>
      </c>
      <c r="J1091" s="8" t="s">
        <v>14</v>
      </c>
    </row>
    <row r="1092" customFormat="false" ht="14.25" hidden="false" customHeight="false" outlineLevel="0" collapsed="false">
      <c r="A1092" s="8" t="n">
        <v>1091</v>
      </c>
      <c r="B1092" s="8" t="s">
        <v>47</v>
      </c>
      <c r="C1092" s="8" t="s">
        <v>10</v>
      </c>
      <c r="D1092" s="9" t="n">
        <v>44158</v>
      </c>
      <c r="E1092" s="9" t="str">
        <f aca="false">TEXT(D1092,"MMM")</f>
        <v>nov</v>
      </c>
      <c r="F1092" s="10" t="n">
        <v>146710.54</v>
      </c>
      <c r="G1092" s="8" t="s">
        <v>11</v>
      </c>
      <c r="H1092" s="8" t="s">
        <v>22</v>
      </c>
      <c r="I1092" s="11" t="s">
        <v>23</v>
      </c>
      <c r="J1092" s="8" t="s">
        <v>14</v>
      </c>
    </row>
    <row r="1093" customFormat="false" ht="14.25" hidden="false" customHeight="false" outlineLevel="0" collapsed="false">
      <c r="A1093" s="8" t="n">
        <v>1092</v>
      </c>
      <c r="B1093" s="8" t="s">
        <v>63</v>
      </c>
      <c r="C1093" s="8" t="s">
        <v>10</v>
      </c>
      <c r="D1093" s="9" t="n">
        <v>44159</v>
      </c>
      <c r="E1093" s="9" t="str">
        <f aca="false">TEXT(D1093,"MMM")</f>
        <v>nov</v>
      </c>
      <c r="F1093" s="10" t="n">
        <v>2564.45</v>
      </c>
      <c r="G1093" s="8" t="s">
        <v>11</v>
      </c>
      <c r="H1093" s="8" t="s">
        <v>22</v>
      </c>
      <c r="I1093" s="11" t="s">
        <v>23</v>
      </c>
      <c r="J1093" s="8" t="s">
        <v>14</v>
      </c>
    </row>
    <row r="1094" customFormat="false" ht="14.25" hidden="false" customHeight="false" outlineLevel="0" collapsed="false">
      <c r="A1094" s="8" t="n">
        <v>1093</v>
      </c>
      <c r="B1094" s="8" t="s">
        <v>39</v>
      </c>
      <c r="C1094" s="8" t="s">
        <v>28</v>
      </c>
      <c r="D1094" s="9" t="n">
        <v>44159</v>
      </c>
      <c r="E1094" s="9" t="str">
        <f aca="false">TEXT(D1094,"MMM")</f>
        <v>nov</v>
      </c>
      <c r="F1094" s="10" t="n">
        <v>2564.45</v>
      </c>
      <c r="G1094" s="8" t="s">
        <v>11</v>
      </c>
      <c r="H1094" s="8" t="s">
        <v>17</v>
      </c>
      <c r="I1094" s="11" t="s">
        <v>18</v>
      </c>
      <c r="J1094" s="8" t="s">
        <v>14</v>
      </c>
    </row>
    <row r="1095" customFormat="false" ht="14.25" hidden="false" customHeight="false" outlineLevel="0" collapsed="false">
      <c r="A1095" s="8" t="n">
        <v>1094</v>
      </c>
      <c r="B1095" s="8" t="s">
        <v>85</v>
      </c>
      <c r="C1095" s="8" t="s">
        <v>16</v>
      </c>
      <c r="D1095" s="9" t="n">
        <v>44162</v>
      </c>
      <c r="E1095" s="9" t="str">
        <f aca="false">TEXT(D1095,"MMM")</f>
        <v>nov</v>
      </c>
      <c r="F1095" s="10" t="n">
        <v>2564.45</v>
      </c>
      <c r="G1095" s="8" t="s">
        <v>11</v>
      </c>
      <c r="H1095" s="8" t="s">
        <v>22</v>
      </c>
      <c r="I1095" s="11" t="s">
        <v>23</v>
      </c>
      <c r="J1095" s="8" t="s">
        <v>24</v>
      </c>
    </row>
    <row r="1096" customFormat="false" ht="14.25" hidden="false" customHeight="false" outlineLevel="0" collapsed="false">
      <c r="A1096" s="8" t="n">
        <v>1095</v>
      </c>
      <c r="B1096" s="8" t="s">
        <v>85</v>
      </c>
      <c r="C1096" s="8" t="s">
        <v>16</v>
      </c>
      <c r="D1096" s="9" t="n">
        <v>44162</v>
      </c>
      <c r="E1096" s="9" t="str">
        <f aca="false">TEXT(D1096,"MMM")</f>
        <v>nov</v>
      </c>
      <c r="F1096" s="10" t="n">
        <v>2564.45</v>
      </c>
      <c r="G1096" s="8" t="s">
        <v>11</v>
      </c>
      <c r="H1096" s="8" t="s">
        <v>17</v>
      </c>
      <c r="I1096" s="11" t="s">
        <v>18</v>
      </c>
      <c r="J1096" s="8" t="s">
        <v>26</v>
      </c>
    </row>
    <row r="1097" customFormat="false" ht="14.25" hidden="false" customHeight="false" outlineLevel="0" collapsed="false">
      <c r="A1097" s="8" t="n">
        <v>1096</v>
      </c>
      <c r="B1097" s="8" t="s">
        <v>39</v>
      </c>
      <c r="C1097" s="8" t="s">
        <v>10</v>
      </c>
      <c r="D1097" s="9" t="n">
        <v>44162</v>
      </c>
      <c r="E1097" s="9" t="str">
        <f aca="false">TEXT(D1097,"MMM")</f>
        <v>nov</v>
      </c>
      <c r="F1097" s="10" t="n">
        <v>2564.45</v>
      </c>
      <c r="G1097" s="8" t="s">
        <v>11</v>
      </c>
      <c r="H1097" s="8" t="s">
        <v>22</v>
      </c>
      <c r="I1097" s="11" t="s">
        <v>23</v>
      </c>
      <c r="J1097" s="8" t="s">
        <v>19</v>
      </c>
    </row>
    <row r="1098" customFormat="false" ht="14.25" hidden="false" customHeight="false" outlineLevel="0" collapsed="false">
      <c r="A1098" s="8" t="n">
        <v>1097</v>
      </c>
      <c r="B1098" s="8" t="s">
        <v>50</v>
      </c>
      <c r="C1098" s="8" t="s">
        <v>10</v>
      </c>
      <c r="D1098" s="9" t="n">
        <v>44163</v>
      </c>
      <c r="E1098" s="9" t="str">
        <f aca="false">TEXT(D1098,"MMM")</f>
        <v>nov</v>
      </c>
      <c r="F1098" s="10" t="n">
        <v>2564.45</v>
      </c>
      <c r="G1098" s="8" t="s">
        <v>11</v>
      </c>
      <c r="H1098" s="8" t="s">
        <v>12</v>
      </c>
      <c r="I1098" s="11" t="s">
        <v>13</v>
      </c>
      <c r="J1098" s="8" t="s">
        <v>14</v>
      </c>
    </row>
    <row r="1099" customFormat="false" ht="14.25" hidden="false" customHeight="false" outlineLevel="0" collapsed="false">
      <c r="A1099" s="8" t="n">
        <v>1098</v>
      </c>
      <c r="B1099" s="8" t="s">
        <v>9</v>
      </c>
      <c r="C1099" s="8" t="s">
        <v>10</v>
      </c>
      <c r="D1099" s="9" t="n">
        <v>44164</v>
      </c>
      <c r="E1099" s="9" t="str">
        <f aca="false">TEXT(D1099,"MMM")</f>
        <v>nov</v>
      </c>
      <c r="F1099" s="10" t="n">
        <v>-107.21</v>
      </c>
      <c r="G1099" s="8" t="s">
        <v>34</v>
      </c>
      <c r="H1099" s="8" t="s">
        <v>30</v>
      </c>
      <c r="I1099" s="11" t="s">
        <v>31</v>
      </c>
      <c r="J1099" s="8" t="s">
        <v>26</v>
      </c>
    </row>
    <row r="1100" customFormat="false" ht="14.25" hidden="false" customHeight="false" outlineLevel="0" collapsed="false">
      <c r="A1100" s="8" t="n">
        <v>1099</v>
      </c>
      <c r="B1100" s="8" t="s">
        <v>39</v>
      </c>
      <c r="C1100" s="8" t="s">
        <v>10</v>
      </c>
      <c r="D1100" s="9" t="n">
        <v>44164</v>
      </c>
      <c r="E1100" s="9" t="str">
        <f aca="false">TEXT(D1100,"MMM")</f>
        <v>nov</v>
      </c>
      <c r="F1100" s="10" t="n">
        <v>-459.17</v>
      </c>
      <c r="G1100" s="8" t="s">
        <v>34</v>
      </c>
      <c r="H1100" s="8" t="s">
        <v>22</v>
      </c>
      <c r="I1100" s="11" t="s">
        <v>23</v>
      </c>
      <c r="J1100" s="8" t="s">
        <v>19</v>
      </c>
    </row>
    <row r="1101" customFormat="false" ht="14.25" hidden="false" customHeight="false" outlineLevel="0" collapsed="false">
      <c r="A1101" s="8" t="n">
        <v>1100</v>
      </c>
      <c r="B1101" s="8" t="s">
        <v>32</v>
      </c>
      <c r="C1101" s="8" t="s">
        <v>28</v>
      </c>
      <c r="D1101" s="9" t="n">
        <v>44165</v>
      </c>
      <c r="E1101" s="9" t="str">
        <f aca="false">TEXT(D1101,"MMM")</f>
        <v>nov</v>
      </c>
      <c r="F1101" s="10" t="n">
        <v>100399.54</v>
      </c>
      <c r="G1101" s="8" t="s">
        <v>11</v>
      </c>
      <c r="H1101" s="8" t="s">
        <v>12</v>
      </c>
      <c r="I1101" s="11" t="s">
        <v>13</v>
      </c>
      <c r="J1101" s="8" t="s">
        <v>26</v>
      </c>
    </row>
    <row r="1102" customFormat="false" ht="14.25" hidden="false" customHeight="false" outlineLevel="0" collapsed="false">
      <c r="A1102" s="8" t="n">
        <v>1101</v>
      </c>
      <c r="B1102" s="8" t="s">
        <v>51</v>
      </c>
      <c r="C1102" s="8" t="s">
        <v>28</v>
      </c>
      <c r="D1102" s="9" t="n">
        <v>44165</v>
      </c>
      <c r="E1102" s="9" t="str">
        <f aca="false">TEXT(D1102,"MMM")</f>
        <v>nov</v>
      </c>
      <c r="F1102" s="10" t="n">
        <v>152527.76</v>
      </c>
      <c r="G1102" s="8" t="s">
        <v>11</v>
      </c>
      <c r="H1102" s="8" t="s">
        <v>22</v>
      </c>
      <c r="I1102" s="11" t="s">
        <v>23</v>
      </c>
      <c r="J1102" s="8" t="s">
        <v>14</v>
      </c>
    </row>
    <row r="1103" customFormat="false" ht="14.25" hidden="false" customHeight="false" outlineLevel="0" collapsed="false">
      <c r="A1103" s="8" t="n">
        <v>1102</v>
      </c>
      <c r="B1103" s="8" t="s">
        <v>15</v>
      </c>
      <c r="C1103" s="8" t="s">
        <v>28</v>
      </c>
      <c r="D1103" s="9" t="n">
        <v>44165</v>
      </c>
      <c r="E1103" s="9" t="str">
        <f aca="false">TEXT(D1103,"MMM")</f>
        <v>nov</v>
      </c>
      <c r="F1103" s="10" t="n">
        <v>-4853.77</v>
      </c>
      <c r="G1103" s="8" t="s">
        <v>34</v>
      </c>
      <c r="H1103" s="8" t="s">
        <v>17</v>
      </c>
      <c r="I1103" s="11" t="s">
        <v>18</v>
      </c>
      <c r="J1103" s="8" t="s">
        <v>19</v>
      </c>
    </row>
    <row r="1104" customFormat="false" ht="14.25" hidden="false" customHeight="false" outlineLevel="0" collapsed="false">
      <c r="A1104" s="8" t="n">
        <v>1103</v>
      </c>
      <c r="B1104" s="8" t="s">
        <v>73</v>
      </c>
      <c r="C1104" s="8" t="s">
        <v>21</v>
      </c>
      <c r="D1104" s="9" t="n">
        <v>44165</v>
      </c>
      <c r="E1104" s="9" t="str">
        <f aca="false">TEXT(D1104,"MMM")</f>
        <v>nov</v>
      </c>
      <c r="F1104" s="10" t="n">
        <v>5449.39</v>
      </c>
      <c r="G1104" s="8" t="s">
        <v>11</v>
      </c>
      <c r="H1104" s="8" t="s">
        <v>12</v>
      </c>
      <c r="I1104" s="11" t="s">
        <v>13</v>
      </c>
      <c r="J1104" s="8" t="s">
        <v>19</v>
      </c>
    </row>
    <row r="1105" customFormat="false" ht="14.25" hidden="false" customHeight="false" outlineLevel="0" collapsed="false">
      <c r="A1105" s="8" t="n">
        <v>1104</v>
      </c>
      <c r="B1105" s="8" t="s">
        <v>49</v>
      </c>
      <c r="C1105" s="8" t="s">
        <v>10</v>
      </c>
      <c r="D1105" s="9" t="n">
        <v>44165</v>
      </c>
      <c r="E1105" s="9" t="str">
        <f aca="false">TEXT(D1105,"MMM")</f>
        <v>nov</v>
      </c>
      <c r="F1105" s="10" t="n">
        <v>61392.81</v>
      </c>
      <c r="G1105" s="8" t="s">
        <v>11</v>
      </c>
      <c r="H1105" s="8" t="s">
        <v>12</v>
      </c>
      <c r="I1105" s="11" t="s">
        <v>13</v>
      </c>
      <c r="J1105" s="8" t="s">
        <v>26</v>
      </c>
    </row>
    <row r="1106" customFormat="false" ht="14.25" hidden="false" customHeight="false" outlineLevel="0" collapsed="false">
      <c r="A1106" s="8" t="n">
        <v>1105</v>
      </c>
      <c r="B1106" s="8" t="s">
        <v>66</v>
      </c>
      <c r="C1106" s="8" t="s">
        <v>28</v>
      </c>
      <c r="D1106" s="9" t="n">
        <v>44165</v>
      </c>
      <c r="E1106" s="9" t="str">
        <f aca="false">TEXT(D1106,"MMM")</f>
        <v>nov</v>
      </c>
      <c r="F1106" s="10" t="n">
        <v>57697.6</v>
      </c>
      <c r="G1106" s="8" t="s">
        <v>11</v>
      </c>
      <c r="H1106" s="8" t="s">
        <v>12</v>
      </c>
      <c r="I1106" s="11" t="s">
        <v>13</v>
      </c>
      <c r="J1106" s="8" t="s">
        <v>26</v>
      </c>
    </row>
    <row r="1107" customFormat="false" ht="14.25" hidden="false" customHeight="false" outlineLevel="0" collapsed="false">
      <c r="A1107" s="8" t="n">
        <v>1106</v>
      </c>
      <c r="B1107" s="8" t="s">
        <v>62</v>
      </c>
      <c r="C1107" s="8" t="s">
        <v>21</v>
      </c>
      <c r="D1107" s="9" t="n">
        <v>44165</v>
      </c>
      <c r="E1107" s="9" t="str">
        <f aca="false">TEXT(D1107,"MMM")</f>
        <v>nov</v>
      </c>
      <c r="F1107" s="10" t="n">
        <v>60753.3</v>
      </c>
      <c r="G1107" s="8" t="s">
        <v>11</v>
      </c>
      <c r="H1107" s="8" t="s">
        <v>12</v>
      </c>
      <c r="I1107" s="11" t="s">
        <v>13</v>
      </c>
      <c r="J1107" s="8" t="s">
        <v>14</v>
      </c>
    </row>
    <row r="1108" customFormat="false" ht="14.25" hidden="false" customHeight="false" outlineLevel="0" collapsed="false">
      <c r="A1108" s="8" t="n">
        <v>1107</v>
      </c>
      <c r="B1108" s="8" t="s">
        <v>66</v>
      </c>
      <c r="C1108" s="8" t="s">
        <v>10</v>
      </c>
      <c r="D1108" s="9" t="n">
        <v>44165</v>
      </c>
      <c r="E1108" s="9" t="str">
        <f aca="false">TEXT(D1108,"MMM")</f>
        <v>nov</v>
      </c>
      <c r="F1108" s="10" t="n">
        <v>74903</v>
      </c>
      <c r="G1108" s="8" t="s">
        <v>11</v>
      </c>
      <c r="H1108" s="8" t="s">
        <v>17</v>
      </c>
      <c r="I1108" s="11" t="s">
        <v>18</v>
      </c>
      <c r="J1108" s="8" t="s">
        <v>19</v>
      </c>
    </row>
    <row r="1109" customFormat="false" ht="14.25" hidden="false" customHeight="false" outlineLevel="0" collapsed="false">
      <c r="A1109" s="8" t="n">
        <v>1108</v>
      </c>
      <c r="B1109" s="8" t="s">
        <v>73</v>
      </c>
      <c r="C1109" s="8" t="s">
        <v>16</v>
      </c>
      <c r="D1109" s="9" t="n">
        <v>44165</v>
      </c>
      <c r="E1109" s="9" t="str">
        <f aca="false">TEXT(D1109,"MMM")</f>
        <v>nov</v>
      </c>
      <c r="F1109" s="10" t="n">
        <v>6077.58</v>
      </c>
      <c r="G1109" s="8" t="s">
        <v>11</v>
      </c>
      <c r="H1109" s="8" t="s">
        <v>12</v>
      </c>
      <c r="I1109" s="11" t="s">
        <v>13</v>
      </c>
      <c r="J1109" s="8" t="s">
        <v>24</v>
      </c>
    </row>
    <row r="1110" customFormat="false" ht="14.25" hidden="false" customHeight="false" outlineLevel="0" collapsed="false">
      <c r="A1110" s="8" t="n">
        <v>1109</v>
      </c>
      <c r="B1110" s="8" t="s">
        <v>66</v>
      </c>
      <c r="C1110" s="8" t="s">
        <v>10</v>
      </c>
      <c r="D1110" s="9" t="n">
        <v>44165</v>
      </c>
      <c r="E1110" s="9" t="str">
        <f aca="false">TEXT(D1110,"MMM")</f>
        <v>nov</v>
      </c>
      <c r="F1110" s="10" t="n">
        <v>5611.12</v>
      </c>
      <c r="G1110" s="8" t="s">
        <v>11</v>
      </c>
      <c r="H1110" s="8" t="s">
        <v>12</v>
      </c>
      <c r="I1110" s="11" t="s">
        <v>13</v>
      </c>
      <c r="J1110" s="8" t="s">
        <v>26</v>
      </c>
    </row>
    <row r="1111" customFormat="false" ht="14.25" hidden="false" customHeight="false" outlineLevel="0" collapsed="false">
      <c r="A1111" s="8" t="n">
        <v>1110</v>
      </c>
      <c r="B1111" s="8" t="s">
        <v>73</v>
      </c>
      <c r="C1111" s="8" t="s">
        <v>21</v>
      </c>
      <c r="D1111" s="9" t="n">
        <v>44165</v>
      </c>
      <c r="E1111" s="9" t="str">
        <f aca="false">TEXT(D1111,"MMM")</f>
        <v>nov</v>
      </c>
      <c r="F1111" s="10" t="n">
        <v>72686.4</v>
      </c>
      <c r="G1111" s="8" t="s">
        <v>11</v>
      </c>
      <c r="H1111" s="8" t="s">
        <v>17</v>
      </c>
      <c r="I1111" s="11" t="s">
        <v>18</v>
      </c>
      <c r="J1111" s="8" t="s">
        <v>26</v>
      </c>
    </row>
    <row r="1112" customFormat="false" ht="14.25" hidden="false" customHeight="false" outlineLevel="0" collapsed="false">
      <c r="A1112" s="8" t="n">
        <v>1111</v>
      </c>
      <c r="B1112" s="8" t="s">
        <v>62</v>
      </c>
      <c r="C1112" s="8" t="s">
        <v>10</v>
      </c>
      <c r="D1112" s="9" t="n">
        <v>44165</v>
      </c>
      <c r="E1112" s="9" t="str">
        <f aca="false">TEXT(D1112,"MMM")</f>
        <v>nov</v>
      </c>
      <c r="F1112" s="10" t="n">
        <v>69749.57</v>
      </c>
      <c r="G1112" s="8" t="s">
        <v>11</v>
      </c>
      <c r="H1112" s="8" t="s">
        <v>12</v>
      </c>
      <c r="I1112" s="11" t="s">
        <v>13</v>
      </c>
      <c r="J1112" s="8" t="s">
        <v>26</v>
      </c>
    </row>
    <row r="1113" customFormat="false" ht="14.25" hidden="false" customHeight="false" outlineLevel="0" collapsed="false">
      <c r="A1113" s="8" t="n">
        <v>1112</v>
      </c>
      <c r="B1113" s="8" t="s">
        <v>66</v>
      </c>
      <c r="C1113" s="8" t="s">
        <v>28</v>
      </c>
      <c r="D1113" s="9" t="n">
        <v>44165</v>
      </c>
      <c r="E1113" s="9" t="str">
        <f aca="false">TEXT(D1113,"MMM")</f>
        <v>nov</v>
      </c>
      <c r="F1113" s="10" t="n">
        <v>67220.64</v>
      </c>
      <c r="G1113" s="8" t="s">
        <v>11</v>
      </c>
      <c r="H1113" s="8" t="s">
        <v>12</v>
      </c>
      <c r="I1113" s="11" t="s">
        <v>13</v>
      </c>
      <c r="J1113" s="8" t="s">
        <v>26</v>
      </c>
    </row>
    <row r="1114" customFormat="false" ht="14.25" hidden="false" customHeight="false" outlineLevel="0" collapsed="false">
      <c r="A1114" s="8" t="n">
        <v>1113</v>
      </c>
      <c r="B1114" s="8" t="s">
        <v>66</v>
      </c>
      <c r="C1114" s="8" t="s">
        <v>21</v>
      </c>
      <c r="D1114" s="9" t="n">
        <v>44165</v>
      </c>
      <c r="E1114" s="9" t="str">
        <f aca="false">TEXT(D1114,"MMM")</f>
        <v>nov</v>
      </c>
      <c r="F1114" s="10" t="n">
        <v>64435.32</v>
      </c>
      <c r="G1114" s="8" t="s">
        <v>11</v>
      </c>
      <c r="H1114" s="8" t="s">
        <v>36</v>
      </c>
      <c r="I1114" s="11" t="s">
        <v>37</v>
      </c>
      <c r="J1114" s="8" t="s">
        <v>14</v>
      </c>
    </row>
    <row r="1115" customFormat="false" ht="14.25" hidden="false" customHeight="false" outlineLevel="0" collapsed="false">
      <c r="A1115" s="8" t="n">
        <v>1114</v>
      </c>
      <c r="B1115" s="8" t="s">
        <v>66</v>
      </c>
      <c r="C1115" s="8" t="s">
        <v>21</v>
      </c>
      <c r="D1115" s="9" t="n">
        <v>44165</v>
      </c>
      <c r="E1115" s="9" t="str">
        <f aca="false">TEXT(D1115,"MMM")</f>
        <v>nov</v>
      </c>
      <c r="F1115" s="10" t="n">
        <v>62652.25</v>
      </c>
      <c r="G1115" s="8" t="s">
        <v>11</v>
      </c>
      <c r="H1115" s="8" t="s">
        <v>12</v>
      </c>
      <c r="I1115" s="11" t="s">
        <v>13</v>
      </c>
      <c r="J1115" s="8" t="s">
        <v>26</v>
      </c>
    </row>
    <row r="1116" customFormat="false" ht="14.25" hidden="false" customHeight="false" outlineLevel="0" collapsed="false">
      <c r="A1116" s="8" t="n">
        <v>1115</v>
      </c>
      <c r="B1116" s="8" t="s">
        <v>66</v>
      </c>
      <c r="C1116" s="8" t="s">
        <v>10</v>
      </c>
      <c r="D1116" s="9" t="n">
        <v>44165</v>
      </c>
      <c r="E1116" s="9" t="str">
        <f aca="false">TEXT(D1116,"MMM")</f>
        <v>nov</v>
      </c>
      <c r="F1116" s="10" t="n">
        <v>64570.97</v>
      </c>
      <c r="G1116" s="8" t="s">
        <v>11</v>
      </c>
      <c r="H1116" s="8" t="s">
        <v>12</v>
      </c>
      <c r="I1116" s="11" t="s">
        <v>13</v>
      </c>
      <c r="J1116" s="8" t="s">
        <v>14</v>
      </c>
    </row>
    <row r="1117" customFormat="false" ht="14.25" hidden="false" customHeight="false" outlineLevel="0" collapsed="false">
      <c r="A1117" s="8" t="n">
        <v>1116</v>
      </c>
      <c r="B1117" s="8" t="s">
        <v>66</v>
      </c>
      <c r="C1117" s="8" t="s">
        <v>21</v>
      </c>
      <c r="D1117" s="9" t="n">
        <v>44165</v>
      </c>
      <c r="E1117" s="9" t="str">
        <f aca="false">TEXT(D1117,"MMM")</f>
        <v>nov</v>
      </c>
      <c r="F1117" s="10" t="n">
        <v>66547.64</v>
      </c>
      <c r="G1117" s="8" t="s">
        <v>11</v>
      </c>
      <c r="H1117" s="8" t="s">
        <v>30</v>
      </c>
      <c r="I1117" s="11" t="s">
        <v>31</v>
      </c>
      <c r="J1117" s="8" t="s">
        <v>24</v>
      </c>
    </row>
    <row r="1118" customFormat="false" ht="14.25" hidden="false" customHeight="false" outlineLevel="0" collapsed="false">
      <c r="A1118" s="8" t="n">
        <v>1117</v>
      </c>
      <c r="B1118" s="8" t="s">
        <v>66</v>
      </c>
      <c r="C1118" s="8" t="s">
        <v>21</v>
      </c>
      <c r="D1118" s="9" t="n">
        <v>44165</v>
      </c>
      <c r="E1118" s="9" t="str">
        <f aca="false">TEXT(D1118,"MMM")</f>
        <v>nov</v>
      </c>
      <c r="F1118" s="10" t="n">
        <v>64557.4</v>
      </c>
      <c r="G1118" s="8" t="s">
        <v>11</v>
      </c>
      <c r="H1118" s="8" t="s">
        <v>12</v>
      </c>
      <c r="I1118" s="11" t="s">
        <v>13</v>
      </c>
      <c r="J1118" s="8" t="s">
        <v>19</v>
      </c>
    </row>
    <row r="1119" customFormat="false" ht="14.25" hidden="false" customHeight="false" outlineLevel="0" collapsed="false">
      <c r="A1119" s="8" t="n">
        <v>1118</v>
      </c>
      <c r="B1119" s="8" t="s">
        <v>66</v>
      </c>
      <c r="C1119" s="8" t="s">
        <v>21</v>
      </c>
      <c r="D1119" s="9" t="n">
        <v>44165</v>
      </c>
      <c r="E1119" s="9" t="str">
        <f aca="false">TEXT(D1119,"MMM")</f>
        <v>nov</v>
      </c>
      <c r="F1119" s="10" t="n">
        <v>60772.69</v>
      </c>
      <c r="G1119" s="8" t="s">
        <v>11</v>
      </c>
      <c r="H1119" s="8" t="s">
        <v>17</v>
      </c>
      <c r="I1119" s="11" t="s">
        <v>18</v>
      </c>
      <c r="J1119" s="8" t="s">
        <v>26</v>
      </c>
    </row>
    <row r="1120" customFormat="false" ht="14.25" hidden="false" customHeight="false" outlineLevel="0" collapsed="false">
      <c r="A1120" s="8" t="n">
        <v>1119</v>
      </c>
      <c r="B1120" s="8" t="s">
        <v>101</v>
      </c>
      <c r="C1120" s="8" t="s">
        <v>28</v>
      </c>
      <c r="D1120" s="9" t="n">
        <v>44166</v>
      </c>
      <c r="E1120" s="9" t="str">
        <f aca="false">TEXT(D1120,"MMM")</f>
        <v>dez</v>
      </c>
      <c r="F1120" s="10" t="n">
        <v>74189.65</v>
      </c>
      <c r="G1120" s="8" t="s">
        <v>11</v>
      </c>
      <c r="H1120" s="8" t="s">
        <v>12</v>
      </c>
      <c r="I1120" s="11" t="s">
        <v>13</v>
      </c>
      <c r="J1120" s="8" t="s">
        <v>14</v>
      </c>
    </row>
    <row r="1121" customFormat="false" ht="14.25" hidden="false" customHeight="false" outlineLevel="0" collapsed="false">
      <c r="A1121" s="8" t="n">
        <v>1120</v>
      </c>
      <c r="B1121" s="8" t="s">
        <v>15</v>
      </c>
      <c r="C1121" s="8" t="s">
        <v>28</v>
      </c>
      <c r="D1121" s="9" t="n">
        <v>44166</v>
      </c>
      <c r="E1121" s="9" t="str">
        <f aca="false">TEXT(D1121,"MMM")</f>
        <v>dez</v>
      </c>
      <c r="F1121" s="10" t="n">
        <v>72056.49</v>
      </c>
      <c r="G1121" s="8" t="s">
        <v>11</v>
      </c>
      <c r="H1121" s="8" t="s">
        <v>36</v>
      </c>
      <c r="I1121" s="11" t="s">
        <v>37</v>
      </c>
      <c r="J1121" s="8" t="s">
        <v>14</v>
      </c>
    </row>
    <row r="1122" customFormat="false" ht="14.25" hidden="false" customHeight="false" outlineLevel="0" collapsed="false">
      <c r="A1122" s="8" t="n">
        <v>1121</v>
      </c>
      <c r="B1122" s="8" t="s">
        <v>39</v>
      </c>
      <c r="C1122" s="8" t="s">
        <v>21</v>
      </c>
      <c r="D1122" s="9" t="n">
        <v>44170</v>
      </c>
      <c r="E1122" s="9" t="str">
        <f aca="false">TEXT(D1122,"MMM")</f>
        <v>dez</v>
      </c>
      <c r="F1122" s="10" t="n">
        <v>17258.54</v>
      </c>
      <c r="G1122" s="8" t="s">
        <v>11</v>
      </c>
      <c r="H1122" s="8" t="s">
        <v>17</v>
      </c>
      <c r="I1122" s="11" t="s">
        <v>18</v>
      </c>
      <c r="J1122" s="8" t="s">
        <v>14</v>
      </c>
    </row>
    <row r="1123" customFormat="false" ht="14.25" hidden="false" customHeight="false" outlineLevel="0" collapsed="false">
      <c r="A1123" s="8" t="n">
        <v>1122</v>
      </c>
      <c r="B1123" s="8" t="s">
        <v>50</v>
      </c>
      <c r="C1123" s="8" t="s">
        <v>10</v>
      </c>
      <c r="D1123" s="9" t="n">
        <v>44171</v>
      </c>
      <c r="E1123" s="9" t="str">
        <f aca="false">TEXT(D1123,"MMM")</f>
        <v>dez</v>
      </c>
      <c r="F1123" s="10" t="n">
        <v>14790</v>
      </c>
      <c r="G1123" s="8" t="s">
        <v>11</v>
      </c>
      <c r="H1123" s="8" t="s">
        <v>36</v>
      </c>
      <c r="I1123" s="11" t="s">
        <v>37</v>
      </c>
      <c r="J1123" s="8" t="s">
        <v>26</v>
      </c>
    </row>
    <row r="1124" customFormat="false" ht="14.25" hidden="false" customHeight="false" outlineLevel="0" collapsed="false">
      <c r="A1124" s="8" t="n">
        <v>1123</v>
      </c>
      <c r="B1124" s="8" t="s">
        <v>85</v>
      </c>
      <c r="C1124" s="8" t="s">
        <v>21</v>
      </c>
      <c r="D1124" s="9" t="n">
        <v>44171</v>
      </c>
      <c r="E1124" s="9" t="str">
        <f aca="false">TEXT(D1124,"MMM")</f>
        <v>dez</v>
      </c>
      <c r="F1124" s="10" t="n">
        <v>15794.69</v>
      </c>
      <c r="G1124" s="8" t="s">
        <v>11</v>
      </c>
      <c r="H1124" s="8" t="s">
        <v>17</v>
      </c>
      <c r="I1124" s="11" t="s">
        <v>18</v>
      </c>
      <c r="J1124" s="8" t="s">
        <v>14</v>
      </c>
    </row>
    <row r="1125" customFormat="false" ht="14.25" hidden="false" customHeight="false" outlineLevel="0" collapsed="false">
      <c r="A1125" s="8" t="n">
        <v>1124</v>
      </c>
      <c r="B1125" s="8" t="s">
        <v>144</v>
      </c>
      <c r="C1125" s="8" t="s">
        <v>16</v>
      </c>
      <c r="D1125" s="9" t="n">
        <v>44172</v>
      </c>
      <c r="E1125" s="9" t="str">
        <f aca="false">TEXT(D1125,"MMM")</f>
        <v>dez</v>
      </c>
      <c r="F1125" s="10" t="n">
        <v>16482.1</v>
      </c>
      <c r="G1125" s="8" t="s">
        <v>11</v>
      </c>
      <c r="H1125" s="8" t="s">
        <v>12</v>
      </c>
      <c r="I1125" s="11" t="s">
        <v>13</v>
      </c>
      <c r="J1125" s="8" t="s">
        <v>14</v>
      </c>
    </row>
    <row r="1126" customFormat="false" ht="14.25" hidden="false" customHeight="false" outlineLevel="0" collapsed="false">
      <c r="A1126" s="8" t="n">
        <v>1125</v>
      </c>
      <c r="B1126" s="8" t="s">
        <v>144</v>
      </c>
      <c r="C1126" s="8" t="s">
        <v>10</v>
      </c>
      <c r="D1126" s="9" t="n">
        <v>44172</v>
      </c>
      <c r="E1126" s="9" t="str">
        <f aca="false">TEXT(D1126,"MMM")</f>
        <v>dez</v>
      </c>
      <c r="F1126" s="10" t="n">
        <v>14790</v>
      </c>
      <c r="G1126" s="8" t="s">
        <v>11</v>
      </c>
      <c r="H1126" s="8" t="s">
        <v>36</v>
      </c>
      <c r="I1126" s="11" t="s">
        <v>37</v>
      </c>
      <c r="J1126" s="8" t="s">
        <v>19</v>
      </c>
    </row>
    <row r="1127" customFormat="false" ht="14.25" hidden="false" customHeight="false" outlineLevel="0" collapsed="false">
      <c r="A1127" s="8" t="n">
        <v>1126</v>
      </c>
      <c r="B1127" s="8" t="s">
        <v>144</v>
      </c>
      <c r="C1127" s="8" t="s">
        <v>16</v>
      </c>
      <c r="D1127" s="9" t="n">
        <v>44172</v>
      </c>
      <c r="E1127" s="9" t="str">
        <f aca="false">TEXT(D1127,"MMM")</f>
        <v>dez</v>
      </c>
      <c r="F1127" s="10" t="n">
        <v>16481.62</v>
      </c>
      <c r="G1127" s="8" t="s">
        <v>11</v>
      </c>
      <c r="H1127" s="8" t="s">
        <v>17</v>
      </c>
      <c r="I1127" s="11" t="s">
        <v>18</v>
      </c>
      <c r="J1127" s="8" t="s">
        <v>24</v>
      </c>
    </row>
    <row r="1128" customFormat="false" ht="14.25" hidden="false" customHeight="false" outlineLevel="0" collapsed="false">
      <c r="A1128" s="8" t="n">
        <v>1127</v>
      </c>
      <c r="B1128" s="8" t="s">
        <v>15</v>
      </c>
      <c r="C1128" s="8" t="s">
        <v>10</v>
      </c>
      <c r="D1128" s="9" t="n">
        <v>44173</v>
      </c>
      <c r="E1128" s="9" t="str">
        <f aca="false">TEXT(D1128,"MMM")</f>
        <v>dez</v>
      </c>
      <c r="F1128" s="10" t="n">
        <v>14790</v>
      </c>
      <c r="G1128" s="8" t="s">
        <v>11</v>
      </c>
      <c r="H1128" s="8" t="s">
        <v>36</v>
      </c>
      <c r="I1128" s="11" t="s">
        <v>37</v>
      </c>
      <c r="J1128" s="8" t="s">
        <v>14</v>
      </c>
    </row>
    <row r="1129" customFormat="false" ht="14.25" hidden="false" customHeight="false" outlineLevel="0" collapsed="false">
      <c r="A1129" s="8" t="n">
        <v>1128</v>
      </c>
      <c r="B1129" s="8" t="s">
        <v>39</v>
      </c>
      <c r="C1129" s="8" t="s">
        <v>16</v>
      </c>
      <c r="D1129" s="9" t="n">
        <v>44174</v>
      </c>
      <c r="E1129" s="9" t="str">
        <f aca="false">TEXT(D1129,"MMM")</f>
        <v>dez</v>
      </c>
      <c r="F1129" s="10" t="n">
        <v>15527.92</v>
      </c>
      <c r="G1129" s="8" t="s">
        <v>11</v>
      </c>
      <c r="H1129" s="8" t="s">
        <v>36</v>
      </c>
      <c r="I1129" s="11" t="s">
        <v>37</v>
      </c>
      <c r="J1129" s="8" t="s">
        <v>26</v>
      </c>
    </row>
    <row r="1130" customFormat="false" ht="14.25" hidden="false" customHeight="false" outlineLevel="0" collapsed="false">
      <c r="A1130" s="8" t="n">
        <v>1129</v>
      </c>
      <c r="B1130" s="8" t="s">
        <v>85</v>
      </c>
      <c r="C1130" s="8" t="s">
        <v>21</v>
      </c>
      <c r="D1130" s="9" t="n">
        <v>44176</v>
      </c>
      <c r="E1130" s="9" t="str">
        <f aca="false">TEXT(D1130,"MMM")</f>
        <v>dez</v>
      </c>
      <c r="F1130" s="10" t="n">
        <v>16863.98</v>
      </c>
      <c r="G1130" s="8" t="s">
        <v>11</v>
      </c>
      <c r="H1130" s="8" t="s">
        <v>30</v>
      </c>
      <c r="I1130" s="11" t="s">
        <v>31</v>
      </c>
      <c r="J1130" s="8" t="s">
        <v>19</v>
      </c>
    </row>
    <row r="1131" customFormat="false" ht="14.25" hidden="false" customHeight="false" outlineLevel="0" collapsed="false">
      <c r="A1131" s="8" t="n">
        <v>1130</v>
      </c>
      <c r="B1131" s="8" t="s">
        <v>85</v>
      </c>
      <c r="C1131" s="8" t="s">
        <v>16</v>
      </c>
      <c r="D1131" s="9" t="n">
        <v>44176</v>
      </c>
      <c r="E1131" s="9" t="str">
        <f aca="false">TEXT(D1131,"MMM")</f>
        <v>dez</v>
      </c>
      <c r="F1131" s="10" t="n">
        <v>17159.86</v>
      </c>
      <c r="G1131" s="8" t="s">
        <v>11</v>
      </c>
      <c r="H1131" s="8" t="s">
        <v>12</v>
      </c>
      <c r="I1131" s="11" t="s">
        <v>13</v>
      </c>
      <c r="J1131" s="8" t="s">
        <v>14</v>
      </c>
    </row>
    <row r="1132" customFormat="false" ht="14.25" hidden="false" customHeight="false" outlineLevel="0" collapsed="false">
      <c r="A1132" s="8" t="n">
        <v>1131</v>
      </c>
      <c r="B1132" s="8" t="s">
        <v>49</v>
      </c>
      <c r="C1132" s="8" t="s">
        <v>21</v>
      </c>
      <c r="D1132" s="9" t="n">
        <v>44176</v>
      </c>
      <c r="E1132" s="9" t="str">
        <f aca="false">TEXT(D1132,"MMM")</f>
        <v>dez</v>
      </c>
      <c r="F1132" s="10" t="n">
        <v>15810.16</v>
      </c>
      <c r="G1132" s="8" t="s">
        <v>11</v>
      </c>
      <c r="H1132" s="8" t="s">
        <v>36</v>
      </c>
      <c r="I1132" s="11" t="s">
        <v>37</v>
      </c>
      <c r="J1132" s="8" t="s">
        <v>14</v>
      </c>
    </row>
    <row r="1133" customFormat="false" ht="14.25" hidden="false" customHeight="false" outlineLevel="0" collapsed="false">
      <c r="A1133" s="8" t="n">
        <v>1132</v>
      </c>
      <c r="B1133" s="8" t="s">
        <v>101</v>
      </c>
      <c r="C1133" s="8" t="s">
        <v>21</v>
      </c>
      <c r="D1133" s="9" t="n">
        <v>44177</v>
      </c>
      <c r="E1133" s="9" t="str">
        <f aca="false">TEXT(D1133,"MMM")</f>
        <v>dez</v>
      </c>
      <c r="F1133" s="10" t="n">
        <v>17134.86</v>
      </c>
      <c r="G1133" s="8" t="s">
        <v>11</v>
      </c>
      <c r="H1133" s="8" t="s">
        <v>17</v>
      </c>
      <c r="I1133" s="11" t="s">
        <v>18</v>
      </c>
      <c r="J1133" s="8" t="s">
        <v>14</v>
      </c>
    </row>
    <row r="1134" customFormat="false" ht="14.25" hidden="false" customHeight="false" outlineLevel="0" collapsed="false">
      <c r="A1134" s="8" t="n">
        <v>1133</v>
      </c>
      <c r="B1134" s="8" t="s">
        <v>41</v>
      </c>
      <c r="C1134" s="8" t="s">
        <v>16</v>
      </c>
      <c r="D1134" s="9" t="n">
        <v>44177</v>
      </c>
      <c r="E1134" s="9" t="str">
        <f aca="false">TEXT(D1134,"MMM")</f>
        <v>dez</v>
      </c>
      <c r="F1134" s="10" t="n">
        <v>16513.81</v>
      </c>
      <c r="G1134" s="8" t="s">
        <v>11</v>
      </c>
      <c r="H1134" s="8" t="s">
        <v>30</v>
      </c>
      <c r="I1134" s="11" t="s">
        <v>31</v>
      </c>
      <c r="J1134" s="8" t="s">
        <v>14</v>
      </c>
    </row>
    <row r="1135" customFormat="false" ht="14.25" hidden="false" customHeight="false" outlineLevel="0" collapsed="false">
      <c r="A1135" s="8" t="n">
        <v>1134</v>
      </c>
      <c r="B1135" s="8" t="s">
        <v>29</v>
      </c>
      <c r="C1135" s="8" t="s">
        <v>28</v>
      </c>
      <c r="D1135" s="9" t="n">
        <v>44177</v>
      </c>
      <c r="E1135" s="9" t="str">
        <f aca="false">TEXT(D1135,"MMM")</f>
        <v>dez</v>
      </c>
      <c r="F1135" s="10" t="n">
        <v>-344551.62</v>
      </c>
      <c r="G1135" s="8" t="s">
        <v>34</v>
      </c>
      <c r="H1135" s="8" t="s">
        <v>12</v>
      </c>
      <c r="I1135" s="11" t="s">
        <v>13</v>
      </c>
      <c r="J1135" s="8" t="s">
        <v>14</v>
      </c>
    </row>
    <row r="1136" customFormat="false" ht="14.25" hidden="false" customHeight="false" outlineLevel="0" collapsed="false">
      <c r="A1136" s="8" t="n">
        <v>1135</v>
      </c>
      <c r="B1136" s="8" t="s">
        <v>15</v>
      </c>
      <c r="C1136" s="8" t="s">
        <v>16</v>
      </c>
      <c r="D1136" s="9" t="n">
        <v>44179</v>
      </c>
      <c r="E1136" s="9" t="str">
        <f aca="false">TEXT(D1136,"MMM")</f>
        <v>dez</v>
      </c>
      <c r="F1136" s="10" t="n">
        <v>-9150.37</v>
      </c>
      <c r="G1136" s="8" t="s">
        <v>34</v>
      </c>
      <c r="H1136" s="8" t="s">
        <v>30</v>
      </c>
      <c r="I1136" s="11" t="s">
        <v>31</v>
      </c>
      <c r="J1136" s="8" t="s">
        <v>14</v>
      </c>
    </row>
    <row r="1137" customFormat="false" ht="14.25" hidden="false" customHeight="false" outlineLevel="0" collapsed="false">
      <c r="A1137" s="8" t="n">
        <v>1136</v>
      </c>
      <c r="B1137" s="8" t="s">
        <v>145</v>
      </c>
      <c r="C1137" s="8" t="s">
        <v>10</v>
      </c>
      <c r="D1137" s="9" t="n">
        <v>44180</v>
      </c>
      <c r="E1137" s="9" t="str">
        <f aca="false">TEXT(D1137,"MMM")</f>
        <v>dez</v>
      </c>
      <c r="F1137" s="10" t="n">
        <v>130600.8</v>
      </c>
      <c r="G1137" s="8" t="s">
        <v>11</v>
      </c>
      <c r="H1137" s="8" t="s">
        <v>17</v>
      </c>
      <c r="I1137" s="11" t="s">
        <v>18</v>
      </c>
      <c r="J1137" s="8" t="s">
        <v>26</v>
      </c>
    </row>
    <row r="1138" customFormat="false" ht="14.25" hidden="false" customHeight="false" outlineLevel="0" collapsed="false">
      <c r="A1138" s="8" t="n">
        <v>1137</v>
      </c>
      <c r="B1138" s="8" t="s">
        <v>84</v>
      </c>
      <c r="C1138" s="8" t="s">
        <v>10</v>
      </c>
      <c r="D1138" s="9" t="n">
        <v>44180</v>
      </c>
      <c r="E1138" s="9" t="str">
        <f aca="false">TEXT(D1138,"MMM")</f>
        <v>dez</v>
      </c>
      <c r="F1138" s="10" t="n">
        <v>9064.4</v>
      </c>
      <c r="G1138" s="8" t="s">
        <v>11</v>
      </c>
      <c r="H1138" s="8" t="s">
        <v>12</v>
      </c>
      <c r="I1138" s="11" t="s">
        <v>13</v>
      </c>
      <c r="J1138" s="8" t="s">
        <v>14</v>
      </c>
    </row>
    <row r="1139" customFormat="false" ht="14.25" hidden="false" customHeight="false" outlineLevel="0" collapsed="false">
      <c r="A1139" s="8" t="n">
        <v>1138</v>
      </c>
      <c r="B1139" s="8" t="s">
        <v>15</v>
      </c>
      <c r="C1139" s="8" t="s">
        <v>10</v>
      </c>
      <c r="D1139" s="9" t="n">
        <v>44180</v>
      </c>
      <c r="E1139" s="9" t="str">
        <f aca="false">TEXT(D1139,"MMM")</f>
        <v>dez</v>
      </c>
      <c r="F1139" s="10" t="n">
        <v>9064.4</v>
      </c>
      <c r="G1139" s="8" t="s">
        <v>11</v>
      </c>
      <c r="H1139" s="8" t="s">
        <v>12</v>
      </c>
      <c r="I1139" s="11" t="s">
        <v>13</v>
      </c>
      <c r="J1139" s="8" t="s">
        <v>26</v>
      </c>
    </row>
    <row r="1140" customFormat="false" ht="14.25" hidden="false" customHeight="false" outlineLevel="0" collapsed="false">
      <c r="A1140" s="8" t="n">
        <v>1139</v>
      </c>
      <c r="B1140" s="8" t="s">
        <v>15</v>
      </c>
      <c r="C1140" s="8" t="s">
        <v>16</v>
      </c>
      <c r="D1140" s="9" t="n">
        <v>44180</v>
      </c>
      <c r="E1140" s="9" t="str">
        <f aca="false">TEXT(D1140,"MMM")</f>
        <v>dez</v>
      </c>
      <c r="F1140" s="10" t="n">
        <v>9064.4</v>
      </c>
      <c r="G1140" s="8" t="s">
        <v>11</v>
      </c>
      <c r="H1140" s="8" t="s">
        <v>12</v>
      </c>
      <c r="I1140" s="11" t="s">
        <v>13</v>
      </c>
      <c r="J1140" s="8" t="s">
        <v>14</v>
      </c>
    </row>
    <row r="1141" customFormat="false" ht="14.25" hidden="false" customHeight="false" outlineLevel="0" collapsed="false">
      <c r="A1141" s="8" t="n">
        <v>1140</v>
      </c>
      <c r="B1141" s="8" t="s">
        <v>15</v>
      </c>
      <c r="C1141" s="8" t="s">
        <v>10</v>
      </c>
      <c r="D1141" s="9" t="n">
        <v>44180</v>
      </c>
      <c r="E1141" s="9" t="str">
        <f aca="false">TEXT(D1141,"MMM")</f>
        <v>dez</v>
      </c>
      <c r="F1141" s="10" t="n">
        <v>179293.43</v>
      </c>
      <c r="G1141" s="8" t="s">
        <v>11</v>
      </c>
      <c r="H1141" s="8" t="s">
        <v>12</v>
      </c>
      <c r="I1141" s="11" t="s">
        <v>13</v>
      </c>
      <c r="J1141" s="8" t="s">
        <v>14</v>
      </c>
    </row>
    <row r="1142" customFormat="false" ht="14.25" hidden="false" customHeight="false" outlineLevel="0" collapsed="false">
      <c r="A1142" s="8" t="n">
        <v>1141</v>
      </c>
      <c r="B1142" s="8" t="s">
        <v>32</v>
      </c>
      <c r="C1142" s="8" t="s">
        <v>28</v>
      </c>
      <c r="D1142" s="9" t="n">
        <v>44180</v>
      </c>
      <c r="E1142" s="9" t="str">
        <f aca="false">TEXT(D1142,"MMM")</f>
        <v>dez</v>
      </c>
      <c r="F1142" s="10" t="n">
        <v>9064.4</v>
      </c>
      <c r="G1142" s="8" t="s">
        <v>11</v>
      </c>
      <c r="H1142" s="8" t="s">
        <v>12</v>
      </c>
      <c r="I1142" s="11" t="s">
        <v>13</v>
      </c>
      <c r="J1142" s="8" t="s">
        <v>14</v>
      </c>
    </row>
    <row r="1143" customFormat="false" ht="14.25" hidden="false" customHeight="false" outlineLevel="0" collapsed="false">
      <c r="A1143" s="8" t="n">
        <v>1142</v>
      </c>
      <c r="B1143" s="8" t="s">
        <v>39</v>
      </c>
      <c r="C1143" s="8" t="s">
        <v>10</v>
      </c>
      <c r="D1143" s="9" t="n">
        <v>44180</v>
      </c>
      <c r="E1143" s="9" t="str">
        <f aca="false">TEXT(D1143,"MMM")</f>
        <v>dez</v>
      </c>
      <c r="F1143" s="10" t="n">
        <v>9064.4</v>
      </c>
      <c r="G1143" s="8" t="s">
        <v>11</v>
      </c>
      <c r="H1143" s="8" t="s">
        <v>12</v>
      </c>
      <c r="I1143" s="11" t="s">
        <v>13</v>
      </c>
      <c r="J1143" s="8" t="s">
        <v>26</v>
      </c>
    </row>
    <row r="1144" customFormat="false" ht="14.25" hidden="false" customHeight="false" outlineLevel="0" collapsed="false">
      <c r="A1144" s="8" t="n">
        <v>1143</v>
      </c>
      <c r="B1144" s="8" t="s">
        <v>39</v>
      </c>
      <c r="C1144" s="8" t="s">
        <v>28</v>
      </c>
      <c r="D1144" s="9" t="n">
        <v>44181</v>
      </c>
      <c r="E1144" s="9" t="str">
        <f aca="false">TEXT(D1144,"MMM")</f>
        <v>dez</v>
      </c>
      <c r="F1144" s="10" t="n">
        <v>-4747.61</v>
      </c>
      <c r="G1144" s="8" t="s">
        <v>34</v>
      </c>
      <c r="H1144" s="8" t="s">
        <v>22</v>
      </c>
      <c r="I1144" s="11" t="s">
        <v>23</v>
      </c>
      <c r="J1144" s="8" t="s">
        <v>14</v>
      </c>
    </row>
    <row r="1145" customFormat="false" ht="14.25" hidden="false" customHeight="false" outlineLevel="0" collapsed="false">
      <c r="A1145" s="8" t="n">
        <v>1144</v>
      </c>
      <c r="B1145" s="8" t="s">
        <v>57</v>
      </c>
      <c r="C1145" s="8" t="s">
        <v>16</v>
      </c>
      <c r="D1145" s="9" t="n">
        <v>44182</v>
      </c>
      <c r="E1145" s="9" t="str">
        <f aca="false">TEXT(D1145,"MMM")</f>
        <v>dez</v>
      </c>
      <c r="F1145" s="10" t="n">
        <v>-2981.06</v>
      </c>
      <c r="G1145" s="8" t="s">
        <v>34</v>
      </c>
      <c r="H1145" s="8" t="s">
        <v>22</v>
      </c>
      <c r="I1145" s="11" t="s">
        <v>23</v>
      </c>
      <c r="J1145" s="8" t="s">
        <v>14</v>
      </c>
    </row>
    <row r="1146" customFormat="false" ht="14.25" hidden="false" customHeight="false" outlineLevel="0" collapsed="false">
      <c r="A1146" s="8" t="n">
        <v>1145</v>
      </c>
      <c r="B1146" s="8" t="s">
        <v>72</v>
      </c>
      <c r="C1146" s="8" t="s">
        <v>10</v>
      </c>
      <c r="D1146" s="9" t="n">
        <v>44182</v>
      </c>
      <c r="E1146" s="9" t="str">
        <f aca="false">TEXT(D1146,"MMM")</f>
        <v>dez</v>
      </c>
      <c r="F1146" s="10" t="n">
        <v>-1269.91</v>
      </c>
      <c r="G1146" s="8" t="s">
        <v>34</v>
      </c>
      <c r="H1146" s="8" t="s">
        <v>22</v>
      </c>
      <c r="I1146" s="11" t="s">
        <v>23</v>
      </c>
      <c r="J1146" s="8" t="s">
        <v>14</v>
      </c>
    </row>
    <row r="1147" customFormat="false" ht="14.25" hidden="false" customHeight="false" outlineLevel="0" collapsed="false">
      <c r="A1147" s="8" t="n">
        <v>1146</v>
      </c>
      <c r="B1147" s="8" t="s">
        <v>45</v>
      </c>
      <c r="C1147" s="8" t="s">
        <v>28</v>
      </c>
      <c r="D1147" s="9" t="n">
        <v>44182</v>
      </c>
      <c r="E1147" s="9" t="str">
        <f aca="false">TEXT(D1147,"MMM")</f>
        <v>dez</v>
      </c>
      <c r="F1147" s="10" t="n">
        <v>-428.09</v>
      </c>
      <c r="G1147" s="8" t="s">
        <v>34</v>
      </c>
      <c r="H1147" s="8" t="s">
        <v>17</v>
      </c>
      <c r="I1147" s="11" t="s">
        <v>18</v>
      </c>
      <c r="J1147" s="8" t="s">
        <v>26</v>
      </c>
    </row>
    <row r="1148" customFormat="false" ht="14.25" hidden="false" customHeight="false" outlineLevel="0" collapsed="false">
      <c r="A1148" s="8" t="n">
        <v>1147</v>
      </c>
      <c r="B1148" s="8" t="s">
        <v>47</v>
      </c>
      <c r="C1148" s="8" t="s">
        <v>28</v>
      </c>
      <c r="D1148" s="9" t="n">
        <v>44182</v>
      </c>
      <c r="E1148" s="9" t="str">
        <f aca="false">TEXT(D1148,"MMM")</f>
        <v>dez</v>
      </c>
      <c r="F1148" s="10" t="n">
        <v>-7028.42</v>
      </c>
      <c r="G1148" s="8" t="s">
        <v>34</v>
      </c>
      <c r="H1148" s="8" t="s">
        <v>12</v>
      </c>
      <c r="I1148" s="11" t="s">
        <v>13</v>
      </c>
      <c r="J1148" s="8" t="s">
        <v>14</v>
      </c>
    </row>
    <row r="1149" customFormat="false" ht="14.25" hidden="false" customHeight="false" outlineLevel="0" collapsed="false">
      <c r="A1149" s="8" t="n">
        <v>1148</v>
      </c>
      <c r="B1149" s="8" t="s">
        <v>72</v>
      </c>
      <c r="C1149" s="8" t="s">
        <v>28</v>
      </c>
      <c r="D1149" s="9" t="n">
        <v>44182</v>
      </c>
      <c r="E1149" s="9" t="str">
        <f aca="false">TEXT(D1149,"MMM")</f>
        <v>dez</v>
      </c>
      <c r="F1149" s="10" t="n">
        <v>-12209.12</v>
      </c>
      <c r="G1149" s="8" t="s">
        <v>34</v>
      </c>
      <c r="H1149" s="8" t="s">
        <v>12</v>
      </c>
      <c r="I1149" s="11" t="s">
        <v>13</v>
      </c>
      <c r="J1149" s="8" t="s">
        <v>26</v>
      </c>
    </row>
    <row r="1150" customFormat="false" ht="14.25" hidden="false" customHeight="false" outlineLevel="0" collapsed="false">
      <c r="A1150" s="8" t="n">
        <v>1149</v>
      </c>
      <c r="B1150" s="8" t="s">
        <v>45</v>
      </c>
      <c r="C1150" s="8" t="s">
        <v>21</v>
      </c>
      <c r="D1150" s="9" t="n">
        <v>44182</v>
      </c>
      <c r="E1150" s="9" t="str">
        <f aca="false">TEXT(D1150,"MMM")</f>
        <v>dez</v>
      </c>
      <c r="F1150" s="10" t="n">
        <v>-613.34</v>
      </c>
      <c r="G1150" s="8" t="s">
        <v>34</v>
      </c>
      <c r="H1150" s="8" t="s">
        <v>22</v>
      </c>
      <c r="I1150" s="11" t="s">
        <v>23</v>
      </c>
      <c r="J1150" s="8" t="s">
        <v>14</v>
      </c>
    </row>
    <row r="1151" customFormat="false" ht="14.25" hidden="false" customHeight="false" outlineLevel="0" collapsed="false">
      <c r="A1151" s="8" t="n">
        <v>1150</v>
      </c>
      <c r="B1151" s="8" t="s">
        <v>57</v>
      </c>
      <c r="C1151" s="8" t="s">
        <v>28</v>
      </c>
      <c r="D1151" s="9" t="n">
        <v>44182</v>
      </c>
      <c r="E1151" s="9" t="str">
        <f aca="false">TEXT(D1151,"MMM")</f>
        <v>dez</v>
      </c>
      <c r="F1151" s="10" t="n">
        <v>-4485.57</v>
      </c>
      <c r="G1151" s="8" t="s">
        <v>34</v>
      </c>
      <c r="H1151" s="8" t="s">
        <v>12</v>
      </c>
      <c r="I1151" s="11" t="s">
        <v>13</v>
      </c>
      <c r="J1151" s="8" t="s">
        <v>26</v>
      </c>
    </row>
    <row r="1152" customFormat="false" ht="14.25" hidden="false" customHeight="false" outlineLevel="0" collapsed="false">
      <c r="A1152" s="8" t="n">
        <v>1151</v>
      </c>
      <c r="B1152" s="8" t="s">
        <v>47</v>
      </c>
      <c r="C1152" s="8" t="s">
        <v>16</v>
      </c>
      <c r="D1152" s="9" t="n">
        <v>44182</v>
      </c>
      <c r="E1152" s="9" t="str">
        <f aca="false">TEXT(D1152,"MMM")</f>
        <v>dez</v>
      </c>
      <c r="F1152" s="10" t="n">
        <v>-1644.86</v>
      </c>
      <c r="G1152" s="8" t="s">
        <v>34</v>
      </c>
      <c r="H1152" s="8" t="s">
        <v>36</v>
      </c>
      <c r="I1152" s="11" t="s">
        <v>37</v>
      </c>
      <c r="J1152" s="8" t="s">
        <v>26</v>
      </c>
    </row>
    <row r="1153" customFormat="false" ht="14.25" hidden="false" customHeight="false" outlineLevel="0" collapsed="false">
      <c r="A1153" s="8" t="n">
        <v>1152</v>
      </c>
      <c r="B1153" s="8" t="s">
        <v>145</v>
      </c>
      <c r="C1153" s="8" t="s">
        <v>28</v>
      </c>
      <c r="D1153" s="9" t="n">
        <v>44183</v>
      </c>
      <c r="E1153" s="9" t="str">
        <f aca="false">TEXT(D1153,"MMM")</f>
        <v>dez</v>
      </c>
      <c r="F1153" s="10" t="n">
        <v>-784.49</v>
      </c>
      <c r="G1153" s="8" t="s">
        <v>34</v>
      </c>
      <c r="H1153" s="8" t="s">
        <v>17</v>
      </c>
      <c r="I1153" s="11" t="s">
        <v>18</v>
      </c>
      <c r="J1153" s="8" t="s">
        <v>14</v>
      </c>
    </row>
    <row r="1154" customFormat="false" ht="14.25" hidden="false" customHeight="false" outlineLevel="0" collapsed="false">
      <c r="A1154" s="8" t="n">
        <v>1153</v>
      </c>
      <c r="B1154" s="8" t="s">
        <v>122</v>
      </c>
      <c r="C1154" s="8" t="s">
        <v>16</v>
      </c>
      <c r="D1154" s="9" t="n">
        <v>44183</v>
      </c>
      <c r="E1154" s="9" t="str">
        <f aca="false">TEXT(D1154,"MMM")</f>
        <v>dez</v>
      </c>
      <c r="F1154" s="10" t="n">
        <v>-10058.79</v>
      </c>
      <c r="G1154" s="8" t="s">
        <v>34</v>
      </c>
      <c r="H1154" s="8" t="s">
        <v>12</v>
      </c>
      <c r="I1154" s="11" t="s">
        <v>13</v>
      </c>
      <c r="J1154" s="8" t="s">
        <v>24</v>
      </c>
    </row>
    <row r="1155" customFormat="false" ht="14.25" hidden="false" customHeight="false" outlineLevel="0" collapsed="false">
      <c r="A1155" s="8" t="n">
        <v>1154</v>
      </c>
      <c r="B1155" s="8" t="s">
        <v>77</v>
      </c>
      <c r="C1155" s="8" t="s">
        <v>28</v>
      </c>
      <c r="D1155" s="9" t="n">
        <v>44184</v>
      </c>
      <c r="E1155" s="9" t="str">
        <f aca="false">TEXT(D1155,"MMM")</f>
        <v>dez</v>
      </c>
      <c r="F1155" s="10" t="n">
        <v>155713.93</v>
      </c>
      <c r="G1155" s="8" t="s">
        <v>11</v>
      </c>
      <c r="H1155" s="8" t="s">
        <v>17</v>
      </c>
      <c r="I1155" s="11" t="s">
        <v>18</v>
      </c>
      <c r="J1155" s="8" t="s">
        <v>26</v>
      </c>
    </row>
    <row r="1156" customFormat="false" ht="14.25" hidden="false" customHeight="false" outlineLevel="0" collapsed="false">
      <c r="A1156" s="8" t="n">
        <v>1155</v>
      </c>
      <c r="B1156" s="8" t="s">
        <v>149</v>
      </c>
      <c r="C1156" s="8" t="s">
        <v>28</v>
      </c>
      <c r="D1156" s="9" t="n">
        <v>44185</v>
      </c>
      <c r="E1156" s="9" t="str">
        <f aca="false">TEXT(D1156,"MMM")</f>
        <v>dez</v>
      </c>
      <c r="F1156" s="10" t="n">
        <v>168414.75</v>
      </c>
      <c r="G1156" s="8" t="s">
        <v>11</v>
      </c>
      <c r="H1156" s="8" t="s">
        <v>12</v>
      </c>
      <c r="I1156" s="11" t="s">
        <v>13</v>
      </c>
      <c r="J1156" s="8" t="s">
        <v>14</v>
      </c>
    </row>
    <row r="1157" customFormat="false" ht="14.25" hidden="false" customHeight="false" outlineLevel="0" collapsed="false">
      <c r="A1157" s="8" t="n">
        <v>1156</v>
      </c>
      <c r="B1157" s="8" t="s">
        <v>50</v>
      </c>
      <c r="C1157" s="8" t="s">
        <v>16</v>
      </c>
      <c r="D1157" s="9" t="n">
        <v>44185</v>
      </c>
      <c r="E1157" s="9" t="str">
        <f aca="false">TEXT(D1157,"MMM")</f>
        <v>dez</v>
      </c>
      <c r="F1157" s="10" t="n">
        <v>180570.43</v>
      </c>
      <c r="G1157" s="8" t="s">
        <v>11</v>
      </c>
      <c r="H1157" s="8" t="s">
        <v>22</v>
      </c>
      <c r="I1157" s="11" t="s">
        <v>23</v>
      </c>
      <c r="J1157" s="8" t="s">
        <v>26</v>
      </c>
    </row>
    <row r="1158" customFormat="false" ht="14.25" hidden="false" customHeight="false" outlineLevel="0" collapsed="false">
      <c r="A1158" s="8" t="n">
        <v>1157</v>
      </c>
      <c r="B1158" s="8" t="s">
        <v>145</v>
      </c>
      <c r="C1158" s="8" t="s">
        <v>10</v>
      </c>
      <c r="D1158" s="9" t="n">
        <v>44185</v>
      </c>
      <c r="E1158" s="9" t="str">
        <f aca="false">TEXT(D1158,"MMM")</f>
        <v>dez</v>
      </c>
      <c r="F1158" s="10" t="n">
        <v>180181.98</v>
      </c>
      <c r="G1158" s="8" t="s">
        <v>11</v>
      </c>
      <c r="H1158" s="8" t="s">
        <v>30</v>
      </c>
      <c r="I1158" s="11" t="s">
        <v>31</v>
      </c>
      <c r="J1158" s="8" t="s">
        <v>19</v>
      </c>
    </row>
    <row r="1159" customFormat="false" ht="14.25" hidden="false" customHeight="false" outlineLevel="0" collapsed="false">
      <c r="A1159" s="8" t="n">
        <v>1158</v>
      </c>
      <c r="B1159" s="8" t="s">
        <v>85</v>
      </c>
      <c r="C1159" s="8" t="s">
        <v>28</v>
      </c>
      <c r="D1159" s="9" t="n">
        <v>44185</v>
      </c>
      <c r="E1159" s="9" t="str">
        <f aca="false">TEXT(D1159,"MMM")</f>
        <v>dez</v>
      </c>
      <c r="F1159" s="10" t="n">
        <v>-1148.35</v>
      </c>
      <c r="G1159" s="8" t="s">
        <v>34</v>
      </c>
      <c r="H1159" s="8" t="s">
        <v>12</v>
      </c>
      <c r="I1159" s="11" t="s">
        <v>13</v>
      </c>
      <c r="J1159" s="8" t="s">
        <v>26</v>
      </c>
    </row>
    <row r="1160" customFormat="false" ht="14.25" hidden="false" customHeight="false" outlineLevel="0" collapsed="false">
      <c r="A1160" s="8" t="n">
        <v>1159</v>
      </c>
      <c r="B1160" s="8" t="s">
        <v>81</v>
      </c>
      <c r="C1160" s="8" t="s">
        <v>28</v>
      </c>
      <c r="D1160" s="9" t="n">
        <v>44185</v>
      </c>
      <c r="E1160" s="9" t="str">
        <f aca="false">TEXT(D1160,"MMM")</f>
        <v>dez</v>
      </c>
      <c r="F1160" s="10" t="n">
        <v>-8011.78</v>
      </c>
      <c r="G1160" s="8" t="s">
        <v>34</v>
      </c>
      <c r="H1160" s="8" t="s">
        <v>12</v>
      </c>
      <c r="I1160" s="11" t="s">
        <v>13</v>
      </c>
      <c r="J1160" s="8" t="s">
        <v>14</v>
      </c>
    </row>
    <row r="1161" customFormat="false" ht="14.25" hidden="false" customHeight="false" outlineLevel="0" collapsed="false">
      <c r="A1161" s="8" t="n">
        <v>1160</v>
      </c>
      <c r="B1161" s="8" t="s">
        <v>81</v>
      </c>
      <c r="C1161" s="8" t="s">
        <v>28</v>
      </c>
      <c r="D1161" s="9" t="n">
        <v>44185</v>
      </c>
      <c r="E1161" s="9" t="str">
        <f aca="false">TEXT(D1161,"MMM")</f>
        <v>dez</v>
      </c>
      <c r="F1161" s="10" t="n">
        <v>-70156.7</v>
      </c>
      <c r="G1161" s="8" t="s">
        <v>34</v>
      </c>
      <c r="H1161" s="8" t="s">
        <v>22</v>
      </c>
      <c r="I1161" s="11" t="s">
        <v>23</v>
      </c>
      <c r="J1161" s="8" t="s">
        <v>14</v>
      </c>
    </row>
    <row r="1162" customFormat="false" ht="14.25" hidden="false" customHeight="false" outlineLevel="0" collapsed="false">
      <c r="A1162" s="8" t="n">
        <v>1161</v>
      </c>
      <c r="B1162" s="8" t="s">
        <v>81</v>
      </c>
      <c r="C1162" s="8" t="s">
        <v>28</v>
      </c>
      <c r="D1162" s="9" t="n">
        <v>44185</v>
      </c>
      <c r="E1162" s="9" t="str">
        <f aca="false">TEXT(D1162,"MMM")</f>
        <v>dez</v>
      </c>
      <c r="F1162" s="10" t="n">
        <v>6576.79</v>
      </c>
      <c r="G1162" s="8" t="s">
        <v>11</v>
      </c>
      <c r="H1162" s="8" t="s">
        <v>12</v>
      </c>
      <c r="I1162" s="11" t="s">
        <v>13</v>
      </c>
      <c r="J1162" s="8" t="s">
        <v>24</v>
      </c>
    </row>
    <row r="1163" customFormat="false" ht="14.25" hidden="false" customHeight="false" outlineLevel="0" collapsed="false">
      <c r="A1163" s="8" t="n">
        <v>1162</v>
      </c>
      <c r="B1163" s="8" t="s">
        <v>81</v>
      </c>
      <c r="C1163" s="8" t="s">
        <v>21</v>
      </c>
      <c r="D1163" s="9" t="n">
        <v>44185</v>
      </c>
      <c r="E1163" s="9" t="str">
        <f aca="false">TEXT(D1163,"MMM")</f>
        <v>dez</v>
      </c>
      <c r="F1163" s="10" t="n">
        <v>16223.23</v>
      </c>
      <c r="G1163" s="8" t="s">
        <v>11</v>
      </c>
      <c r="H1163" s="8" t="s">
        <v>22</v>
      </c>
      <c r="I1163" s="11" t="s">
        <v>23</v>
      </c>
      <c r="J1163" s="8" t="s">
        <v>14</v>
      </c>
    </row>
    <row r="1164" customFormat="false" ht="14.25" hidden="false" customHeight="false" outlineLevel="0" collapsed="false">
      <c r="A1164" s="8" t="n">
        <v>1163</v>
      </c>
      <c r="B1164" s="8" t="s">
        <v>81</v>
      </c>
      <c r="C1164" s="8" t="s">
        <v>21</v>
      </c>
      <c r="D1164" s="9" t="n">
        <v>44185</v>
      </c>
      <c r="E1164" s="9" t="str">
        <f aca="false">TEXT(D1164,"MMM")</f>
        <v>dez</v>
      </c>
      <c r="F1164" s="10" t="n">
        <v>98900.42</v>
      </c>
      <c r="G1164" s="8" t="s">
        <v>11</v>
      </c>
      <c r="H1164" s="8" t="s">
        <v>12</v>
      </c>
      <c r="I1164" s="11" t="s">
        <v>13</v>
      </c>
      <c r="J1164" s="8" t="s">
        <v>14</v>
      </c>
    </row>
    <row r="1165" customFormat="false" ht="14.25" hidden="false" customHeight="false" outlineLevel="0" collapsed="false">
      <c r="A1165" s="8" t="n">
        <v>1164</v>
      </c>
      <c r="B1165" s="8" t="s">
        <v>81</v>
      </c>
      <c r="C1165" s="8" t="s">
        <v>10</v>
      </c>
      <c r="D1165" s="9" t="n">
        <v>44185</v>
      </c>
      <c r="E1165" s="9" t="str">
        <f aca="false">TEXT(D1165,"MMM")</f>
        <v>dez</v>
      </c>
      <c r="F1165" s="10" t="n">
        <v>7128.57</v>
      </c>
      <c r="G1165" s="8" t="s">
        <v>11</v>
      </c>
      <c r="H1165" s="8" t="s">
        <v>17</v>
      </c>
      <c r="I1165" s="11" t="s">
        <v>18</v>
      </c>
      <c r="J1165" s="8" t="s">
        <v>14</v>
      </c>
    </row>
    <row r="1166" customFormat="false" ht="14.25" hidden="false" customHeight="false" outlineLevel="0" collapsed="false">
      <c r="A1166" s="8" t="n">
        <v>1165</v>
      </c>
      <c r="B1166" s="8" t="s">
        <v>52</v>
      </c>
      <c r="C1166" s="8" t="s">
        <v>16</v>
      </c>
      <c r="D1166" s="9" t="n">
        <v>44185</v>
      </c>
      <c r="E1166" s="9" t="str">
        <f aca="false">TEXT(D1166,"MMM")</f>
        <v>dez</v>
      </c>
      <c r="F1166" s="10" t="n">
        <v>16199.38</v>
      </c>
      <c r="G1166" s="8" t="s">
        <v>11</v>
      </c>
      <c r="H1166" s="8" t="s">
        <v>36</v>
      </c>
      <c r="I1166" s="11" t="s">
        <v>37</v>
      </c>
      <c r="J1166" s="8" t="s">
        <v>26</v>
      </c>
    </row>
    <row r="1167" customFormat="false" ht="14.25" hidden="false" customHeight="false" outlineLevel="0" collapsed="false">
      <c r="A1167" s="8" t="n">
        <v>1166</v>
      </c>
      <c r="B1167" s="8" t="s">
        <v>81</v>
      </c>
      <c r="C1167" s="8" t="s">
        <v>28</v>
      </c>
      <c r="D1167" s="9" t="n">
        <v>44185</v>
      </c>
      <c r="E1167" s="9" t="str">
        <f aca="false">TEXT(D1167,"MMM")</f>
        <v>dez</v>
      </c>
      <c r="F1167" s="10" t="n">
        <v>6515.79</v>
      </c>
      <c r="G1167" s="8" t="s">
        <v>11</v>
      </c>
      <c r="H1167" s="8" t="s">
        <v>17</v>
      </c>
      <c r="I1167" s="11" t="s">
        <v>18</v>
      </c>
      <c r="J1167" s="8" t="s">
        <v>26</v>
      </c>
    </row>
    <row r="1168" customFormat="false" ht="14.25" hidden="false" customHeight="false" outlineLevel="0" collapsed="false">
      <c r="A1168" s="8" t="n">
        <v>1167</v>
      </c>
      <c r="B1168" s="8" t="s">
        <v>81</v>
      </c>
      <c r="C1168" s="8" t="s">
        <v>10</v>
      </c>
      <c r="D1168" s="9" t="n">
        <v>44185</v>
      </c>
      <c r="E1168" s="9" t="str">
        <f aca="false">TEXT(D1168,"MMM")</f>
        <v>dez</v>
      </c>
      <c r="F1168" s="10" t="n">
        <v>15431.16</v>
      </c>
      <c r="G1168" s="8" t="s">
        <v>11</v>
      </c>
      <c r="H1168" s="8" t="s">
        <v>22</v>
      </c>
      <c r="I1168" s="11" t="s">
        <v>23</v>
      </c>
      <c r="J1168" s="8" t="s">
        <v>24</v>
      </c>
    </row>
    <row r="1169" customFormat="false" ht="14.25" hidden="false" customHeight="false" outlineLevel="0" collapsed="false">
      <c r="A1169" s="8" t="n">
        <v>1168</v>
      </c>
      <c r="B1169" s="8" t="s">
        <v>81</v>
      </c>
      <c r="C1169" s="8" t="s">
        <v>21</v>
      </c>
      <c r="D1169" s="9" t="n">
        <v>44185</v>
      </c>
      <c r="E1169" s="9" t="str">
        <f aca="false">TEXT(D1169,"MMM")</f>
        <v>dez</v>
      </c>
      <c r="F1169" s="10" t="n">
        <v>-5416.22</v>
      </c>
      <c r="G1169" s="8" t="s">
        <v>34</v>
      </c>
      <c r="H1169" s="8" t="s">
        <v>12</v>
      </c>
      <c r="I1169" s="11" t="s">
        <v>13</v>
      </c>
      <c r="J1169" s="8" t="s">
        <v>14</v>
      </c>
    </row>
    <row r="1170" customFormat="false" ht="14.25" hidden="false" customHeight="false" outlineLevel="0" collapsed="false">
      <c r="A1170" s="8" t="n">
        <v>1169</v>
      </c>
      <c r="B1170" s="8" t="s">
        <v>39</v>
      </c>
      <c r="C1170" s="8" t="s">
        <v>10</v>
      </c>
      <c r="D1170" s="9" t="n">
        <v>44185</v>
      </c>
      <c r="E1170" s="9" t="str">
        <f aca="false">TEXT(D1170,"MMM")</f>
        <v>dez</v>
      </c>
      <c r="F1170" s="10" t="n">
        <v>-7596.82</v>
      </c>
      <c r="G1170" s="8" t="s">
        <v>34</v>
      </c>
      <c r="H1170" s="8" t="s">
        <v>36</v>
      </c>
      <c r="I1170" s="11" t="s">
        <v>37</v>
      </c>
      <c r="J1170" s="8" t="s">
        <v>26</v>
      </c>
    </row>
    <row r="1171" customFormat="false" ht="14.25" hidden="false" customHeight="false" outlineLevel="0" collapsed="false">
      <c r="A1171" s="8" t="n">
        <v>1170</v>
      </c>
      <c r="B1171" s="8" t="s">
        <v>52</v>
      </c>
      <c r="C1171" s="8" t="s">
        <v>28</v>
      </c>
      <c r="D1171" s="9" t="n">
        <v>44185</v>
      </c>
      <c r="E1171" s="9" t="str">
        <f aca="false">TEXT(D1171,"MMM")</f>
        <v>dez</v>
      </c>
      <c r="F1171" s="10" t="n">
        <v>-2062.97</v>
      </c>
      <c r="G1171" s="8" t="s">
        <v>34</v>
      </c>
      <c r="H1171" s="8" t="s">
        <v>36</v>
      </c>
      <c r="I1171" s="11" t="s">
        <v>37</v>
      </c>
      <c r="J1171" s="8" t="s">
        <v>19</v>
      </c>
    </row>
    <row r="1172" customFormat="false" ht="14.25" hidden="false" customHeight="false" outlineLevel="0" collapsed="false">
      <c r="A1172" s="8" t="n">
        <v>1171</v>
      </c>
      <c r="B1172" s="8" t="s">
        <v>81</v>
      </c>
      <c r="C1172" s="8" t="s">
        <v>28</v>
      </c>
      <c r="D1172" s="9" t="n">
        <v>44185</v>
      </c>
      <c r="E1172" s="9" t="str">
        <f aca="false">TEXT(D1172,"MMM")</f>
        <v>dez</v>
      </c>
      <c r="F1172" s="10" t="n">
        <v>-735.7</v>
      </c>
      <c r="G1172" s="8" t="s">
        <v>34</v>
      </c>
      <c r="H1172" s="8" t="s">
        <v>30</v>
      </c>
      <c r="I1172" s="11" t="s">
        <v>31</v>
      </c>
      <c r="J1172" s="8" t="s">
        <v>14</v>
      </c>
    </row>
    <row r="1173" customFormat="false" ht="14.25" hidden="false" customHeight="false" outlineLevel="0" collapsed="false">
      <c r="A1173" s="8" t="n">
        <v>1172</v>
      </c>
      <c r="B1173" s="8" t="s">
        <v>81</v>
      </c>
      <c r="C1173" s="8" t="s">
        <v>21</v>
      </c>
      <c r="D1173" s="9" t="n">
        <v>44185</v>
      </c>
      <c r="E1173" s="9" t="str">
        <f aca="false">TEXT(D1173,"MMM")</f>
        <v>dez</v>
      </c>
      <c r="F1173" s="10" t="n">
        <v>-182.84</v>
      </c>
      <c r="G1173" s="8" t="s">
        <v>34</v>
      </c>
      <c r="H1173" s="8" t="s">
        <v>12</v>
      </c>
      <c r="I1173" s="11" t="s">
        <v>13</v>
      </c>
      <c r="J1173" s="8" t="s">
        <v>14</v>
      </c>
    </row>
    <row r="1174" customFormat="false" ht="14.25" hidden="false" customHeight="false" outlineLevel="0" collapsed="false">
      <c r="A1174" s="8" t="n">
        <v>1173</v>
      </c>
      <c r="B1174" s="8" t="s">
        <v>81</v>
      </c>
      <c r="C1174" s="8" t="s">
        <v>28</v>
      </c>
      <c r="D1174" s="9" t="n">
        <v>44185</v>
      </c>
      <c r="E1174" s="9" t="str">
        <f aca="false">TEXT(D1174,"MMM")</f>
        <v>dez</v>
      </c>
      <c r="F1174" s="10" t="n">
        <v>46328.66</v>
      </c>
      <c r="G1174" s="8" t="s">
        <v>11</v>
      </c>
      <c r="H1174" s="8" t="s">
        <v>12</v>
      </c>
      <c r="I1174" s="11" t="s">
        <v>13</v>
      </c>
      <c r="J1174" s="8" t="s">
        <v>26</v>
      </c>
    </row>
    <row r="1175" customFormat="false" ht="14.25" hidden="false" customHeight="false" outlineLevel="0" collapsed="false">
      <c r="A1175" s="8" t="n">
        <v>1174</v>
      </c>
      <c r="B1175" s="8" t="s">
        <v>52</v>
      </c>
      <c r="C1175" s="8" t="s">
        <v>28</v>
      </c>
      <c r="D1175" s="9" t="n">
        <v>44185</v>
      </c>
      <c r="E1175" s="9" t="str">
        <f aca="false">TEXT(D1175,"MMM")</f>
        <v>dez</v>
      </c>
      <c r="F1175" s="10" t="n">
        <v>3119.73</v>
      </c>
      <c r="G1175" s="8" t="s">
        <v>11</v>
      </c>
      <c r="H1175" s="8" t="s">
        <v>22</v>
      </c>
      <c r="I1175" s="11" t="s">
        <v>23</v>
      </c>
      <c r="J1175" s="8" t="s">
        <v>19</v>
      </c>
    </row>
    <row r="1176" customFormat="false" ht="14.25" hidden="false" customHeight="false" outlineLevel="0" collapsed="false">
      <c r="A1176" s="8" t="n">
        <v>1175</v>
      </c>
      <c r="B1176" s="8" t="s">
        <v>81</v>
      </c>
      <c r="C1176" s="8" t="s">
        <v>21</v>
      </c>
      <c r="D1176" s="9" t="n">
        <v>44185</v>
      </c>
      <c r="E1176" s="9" t="str">
        <f aca="false">TEXT(D1176,"MMM")</f>
        <v>dez</v>
      </c>
      <c r="F1176" s="10" t="n">
        <v>3480.44</v>
      </c>
      <c r="G1176" s="8" t="s">
        <v>11</v>
      </c>
      <c r="H1176" s="8" t="s">
        <v>17</v>
      </c>
      <c r="I1176" s="11" t="s">
        <v>18</v>
      </c>
      <c r="J1176" s="8" t="s">
        <v>14</v>
      </c>
    </row>
    <row r="1177" customFormat="false" ht="14.25" hidden="false" customHeight="false" outlineLevel="0" collapsed="false">
      <c r="A1177" s="8" t="n">
        <v>1176</v>
      </c>
      <c r="B1177" s="8" t="s">
        <v>81</v>
      </c>
      <c r="C1177" s="8" t="s">
        <v>21</v>
      </c>
      <c r="D1177" s="9" t="n">
        <v>44185</v>
      </c>
      <c r="E1177" s="9" t="str">
        <f aca="false">TEXT(D1177,"MMM")</f>
        <v>dez</v>
      </c>
      <c r="F1177" s="10" t="n">
        <v>-44458.43</v>
      </c>
      <c r="G1177" s="8" t="s">
        <v>34</v>
      </c>
      <c r="H1177" s="8" t="s">
        <v>12</v>
      </c>
      <c r="I1177" s="11" t="s">
        <v>13</v>
      </c>
      <c r="J1177" s="8" t="s">
        <v>14</v>
      </c>
    </row>
    <row r="1178" customFormat="false" ht="14.25" hidden="false" customHeight="false" outlineLevel="0" collapsed="false">
      <c r="A1178" s="8" t="n">
        <v>1177</v>
      </c>
      <c r="B1178" s="8" t="s">
        <v>81</v>
      </c>
      <c r="C1178" s="8" t="s">
        <v>16</v>
      </c>
      <c r="D1178" s="9" t="n">
        <v>44185</v>
      </c>
      <c r="E1178" s="9" t="str">
        <f aca="false">TEXT(D1178,"MMM")</f>
        <v>dez</v>
      </c>
      <c r="F1178" s="10" t="n">
        <v>2904.46</v>
      </c>
      <c r="G1178" s="8" t="s">
        <v>11</v>
      </c>
      <c r="H1178" s="8" t="s">
        <v>12</v>
      </c>
      <c r="I1178" s="11" t="s">
        <v>13</v>
      </c>
      <c r="J1178" s="8" t="s">
        <v>14</v>
      </c>
    </row>
    <row r="1179" customFormat="false" ht="14.25" hidden="false" customHeight="false" outlineLevel="0" collapsed="false">
      <c r="A1179" s="8" t="n">
        <v>1178</v>
      </c>
      <c r="B1179" s="8" t="s">
        <v>101</v>
      </c>
      <c r="C1179" s="8" t="s">
        <v>16</v>
      </c>
      <c r="D1179" s="9" t="n">
        <v>44186</v>
      </c>
      <c r="E1179" s="9" t="str">
        <f aca="false">TEXT(D1179,"MMM")</f>
        <v>dez</v>
      </c>
      <c r="F1179" s="10" t="n">
        <v>-46305.94</v>
      </c>
      <c r="G1179" s="8" t="s">
        <v>34</v>
      </c>
      <c r="H1179" s="8" t="s">
        <v>12</v>
      </c>
      <c r="I1179" s="11" t="s">
        <v>13</v>
      </c>
      <c r="J1179" s="8" t="s">
        <v>26</v>
      </c>
    </row>
    <row r="1180" customFormat="false" ht="14.25" hidden="false" customHeight="false" outlineLevel="0" collapsed="false">
      <c r="A1180" s="8" t="n">
        <v>1179</v>
      </c>
      <c r="B1180" s="8" t="s">
        <v>150</v>
      </c>
      <c r="C1180" s="8" t="s">
        <v>28</v>
      </c>
      <c r="D1180" s="9" t="n">
        <v>44186</v>
      </c>
      <c r="E1180" s="9" t="str">
        <f aca="false">TEXT(D1180,"MMM")</f>
        <v>dez</v>
      </c>
      <c r="F1180" s="10" t="n">
        <v>-18159.23</v>
      </c>
      <c r="G1180" s="8" t="s">
        <v>34</v>
      </c>
      <c r="H1180" s="8" t="s">
        <v>12</v>
      </c>
      <c r="I1180" s="11" t="s">
        <v>13</v>
      </c>
      <c r="J1180" s="8" t="s">
        <v>14</v>
      </c>
    </row>
    <row r="1181" customFormat="false" ht="14.25" hidden="false" customHeight="false" outlineLevel="0" collapsed="false">
      <c r="A1181" s="8" t="n">
        <v>1180</v>
      </c>
      <c r="B1181" s="8" t="s">
        <v>15</v>
      </c>
      <c r="C1181" s="8" t="s">
        <v>10</v>
      </c>
      <c r="D1181" s="9" t="n">
        <v>44186</v>
      </c>
      <c r="E1181" s="9" t="str">
        <f aca="false">TEXT(D1181,"MMM")</f>
        <v>dez</v>
      </c>
      <c r="F1181" s="10" t="n">
        <v>-10292.59</v>
      </c>
      <c r="G1181" s="8" t="s">
        <v>34</v>
      </c>
      <c r="H1181" s="8" t="s">
        <v>36</v>
      </c>
      <c r="I1181" s="11" t="s">
        <v>37</v>
      </c>
      <c r="J1181" s="8" t="s">
        <v>14</v>
      </c>
    </row>
    <row r="1182" customFormat="false" ht="14.25" hidden="false" customHeight="false" outlineLevel="0" collapsed="false">
      <c r="A1182" s="8" t="n">
        <v>1181</v>
      </c>
      <c r="B1182" s="8" t="s">
        <v>15</v>
      </c>
      <c r="C1182" s="8" t="s">
        <v>10</v>
      </c>
      <c r="D1182" s="9" t="n">
        <v>44186</v>
      </c>
      <c r="E1182" s="9" t="str">
        <f aca="false">TEXT(D1182,"MMM")</f>
        <v>dez</v>
      </c>
      <c r="F1182" s="10" t="n">
        <v>-45217.55</v>
      </c>
      <c r="G1182" s="8" t="s">
        <v>34</v>
      </c>
      <c r="H1182" s="8" t="s">
        <v>30</v>
      </c>
      <c r="I1182" s="11" t="s">
        <v>31</v>
      </c>
      <c r="J1182" s="8" t="s">
        <v>24</v>
      </c>
    </row>
    <row r="1183" customFormat="false" ht="14.25" hidden="false" customHeight="false" outlineLevel="0" collapsed="false">
      <c r="A1183" s="8" t="n">
        <v>1182</v>
      </c>
      <c r="B1183" s="8" t="s">
        <v>100</v>
      </c>
      <c r="C1183" s="8" t="s">
        <v>10</v>
      </c>
      <c r="D1183" s="9" t="n">
        <v>44186</v>
      </c>
      <c r="E1183" s="9" t="str">
        <f aca="false">TEXT(D1183,"MMM")</f>
        <v>dez</v>
      </c>
      <c r="F1183" s="10" t="n">
        <v>-21087.85</v>
      </c>
      <c r="G1183" s="8" t="s">
        <v>34</v>
      </c>
      <c r="H1183" s="8" t="s">
        <v>17</v>
      </c>
      <c r="I1183" s="11" t="s">
        <v>18</v>
      </c>
      <c r="J1183" s="8" t="s">
        <v>14</v>
      </c>
    </row>
    <row r="1184" customFormat="false" ht="14.25" hidden="false" customHeight="false" outlineLevel="0" collapsed="false">
      <c r="A1184" s="8" t="n">
        <v>1183</v>
      </c>
      <c r="B1184" s="8" t="s">
        <v>100</v>
      </c>
      <c r="C1184" s="8" t="s">
        <v>10</v>
      </c>
      <c r="D1184" s="9" t="n">
        <v>44186</v>
      </c>
      <c r="E1184" s="9" t="str">
        <f aca="false">TEXT(D1184,"MMM")</f>
        <v>dez</v>
      </c>
      <c r="F1184" s="10" t="n">
        <v>-28487.94</v>
      </c>
      <c r="G1184" s="8" t="s">
        <v>34</v>
      </c>
      <c r="H1184" s="8" t="s">
        <v>17</v>
      </c>
      <c r="I1184" s="11" t="s">
        <v>18</v>
      </c>
      <c r="J1184" s="8" t="s">
        <v>14</v>
      </c>
    </row>
    <row r="1185" customFormat="false" ht="14.25" hidden="false" customHeight="false" outlineLevel="0" collapsed="false">
      <c r="A1185" s="8" t="n">
        <v>1184</v>
      </c>
      <c r="B1185" s="8" t="s">
        <v>100</v>
      </c>
      <c r="C1185" s="8" t="s">
        <v>21</v>
      </c>
      <c r="D1185" s="9" t="n">
        <v>44186</v>
      </c>
      <c r="E1185" s="9" t="str">
        <f aca="false">TEXT(D1185,"MMM")</f>
        <v>dez</v>
      </c>
      <c r="F1185" s="10" t="n">
        <v>-15272.11</v>
      </c>
      <c r="G1185" s="8" t="s">
        <v>34</v>
      </c>
      <c r="H1185" s="8" t="s">
        <v>17</v>
      </c>
      <c r="I1185" s="11" t="s">
        <v>18</v>
      </c>
      <c r="J1185" s="8" t="s">
        <v>14</v>
      </c>
    </row>
    <row r="1186" customFormat="false" ht="14.25" hidden="false" customHeight="false" outlineLevel="0" collapsed="false">
      <c r="A1186" s="8" t="n">
        <v>1185</v>
      </c>
      <c r="B1186" s="8" t="s">
        <v>100</v>
      </c>
      <c r="C1186" s="8" t="s">
        <v>28</v>
      </c>
      <c r="D1186" s="9" t="n">
        <v>44186</v>
      </c>
      <c r="E1186" s="9" t="str">
        <f aca="false">TEXT(D1186,"MMM")</f>
        <v>dez</v>
      </c>
      <c r="F1186" s="10" t="n">
        <v>-17051.06</v>
      </c>
      <c r="G1186" s="8" t="s">
        <v>34</v>
      </c>
      <c r="H1186" s="8" t="s">
        <v>22</v>
      </c>
      <c r="I1186" s="11" t="s">
        <v>23</v>
      </c>
      <c r="J1186" s="8" t="s">
        <v>26</v>
      </c>
    </row>
    <row r="1187" customFormat="false" ht="14.25" hidden="false" customHeight="false" outlineLevel="0" collapsed="false">
      <c r="A1187" s="8" t="n">
        <v>1186</v>
      </c>
      <c r="B1187" s="8" t="s">
        <v>100</v>
      </c>
      <c r="C1187" s="8" t="s">
        <v>21</v>
      </c>
      <c r="D1187" s="9" t="n">
        <v>44186</v>
      </c>
      <c r="E1187" s="9" t="str">
        <f aca="false">TEXT(D1187,"MMM")</f>
        <v>dez</v>
      </c>
      <c r="F1187" s="10" t="n">
        <v>-13908.79</v>
      </c>
      <c r="G1187" s="8" t="s">
        <v>34</v>
      </c>
      <c r="H1187" s="8" t="s">
        <v>22</v>
      </c>
      <c r="I1187" s="11" t="s">
        <v>23</v>
      </c>
      <c r="J1187" s="8" t="s">
        <v>26</v>
      </c>
    </row>
    <row r="1188" customFormat="false" ht="14.25" hidden="false" customHeight="false" outlineLevel="0" collapsed="false">
      <c r="A1188" s="8" t="n">
        <v>1187</v>
      </c>
      <c r="B1188" s="8" t="s">
        <v>100</v>
      </c>
      <c r="C1188" s="8" t="s">
        <v>10</v>
      </c>
      <c r="D1188" s="9" t="n">
        <v>44186</v>
      </c>
      <c r="E1188" s="9" t="str">
        <f aca="false">TEXT(D1188,"MMM")</f>
        <v>dez</v>
      </c>
      <c r="F1188" s="10" t="n">
        <v>-10201.98</v>
      </c>
      <c r="G1188" s="8" t="s">
        <v>34</v>
      </c>
      <c r="H1188" s="8" t="s">
        <v>17</v>
      </c>
      <c r="I1188" s="11" t="s">
        <v>18</v>
      </c>
      <c r="J1188" s="8" t="s">
        <v>19</v>
      </c>
    </row>
    <row r="1189" customFormat="false" ht="14.25" hidden="false" customHeight="false" outlineLevel="0" collapsed="false">
      <c r="A1189" s="8" t="n">
        <v>1188</v>
      </c>
      <c r="B1189" s="8" t="s">
        <v>147</v>
      </c>
      <c r="C1189" s="8" t="s">
        <v>28</v>
      </c>
      <c r="D1189" s="9" t="n">
        <v>44187</v>
      </c>
      <c r="E1189" s="9" t="str">
        <f aca="false">TEXT(D1189,"MMM")</f>
        <v>dez</v>
      </c>
      <c r="F1189" s="10" t="n">
        <v>-16526.41</v>
      </c>
      <c r="G1189" s="8" t="s">
        <v>34</v>
      </c>
      <c r="H1189" s="8" t="s">
        <v>36</v>
      </c>
      <c r="I1189" s="11" t="s">
        <v>37</v>
      </c>
      <c r="J1189" s="8" t="s">
        <v>14</v>
      </c>
    </row>
    <row r="1190" customFormat="false" ht="14.25" hidden="false" customHeight="false" outlineLevel="0" collapsed="false">
      <c r="A1190" s="8" t="n">
        <v>1189</v>
      </c>
      <c r="B1190" s="8" t="s">
        <v>145</v>
      </c>
      <c r="C1190" s="8" t="s">
        <v>21</v>
      </c>
      <c r="D1190" s="9" t="n">
        <v>44187</v>
      </c>
      <c r="E1190" s="9" t="str">
        <f aca="false">TEXT(D1190,"MMM")</f>
        <v>dez</v>
      </c>
      <c r="F1190" s="10" t="n">
        <v>-16479.02</v>
      </c>
      <c r="G1190" s="8" t="s">
        <v>34</v>
      </c>
      <c r="H1190" s="8" t="s">
        <v>36</v>
      </c>
      <c r="I1190" s="11" t="s">
        <v>37</v>
      </c>
      <c r="J1190" s="8" t="s">
        <v>19</v>
      </c>
    </row>
    <row r="1191" customFormat="false" ht="14.25" hidden="false" customHeight="false" outlineLevel="0" collapsed="false">
      <c r="A1191" s="8" t="n">
        <v>1190</v>
      </c>
      <c r="B1191" s="8" t="s">
        <v>40</v>
      </c>
      <c r="C1191" s="8" t="s">
        <v>10</v>
      </c>
      <c r="D1191" s="9" t="n">
        <v>44187</v>
      </c>
      <c r="E1191" s="9" t="str">
        <f aca="false">TEXT(D1191,"MMM")</f>
        <v>dez</v>
      </c>
      <c r="F1191" s="10" t="n">
        <v>-12705.14</v>
      </c>
      <c r="G1191" s="8" t="s">
        <v>34</v>
      </c>
      <c r="H1191" s="8" t="s">
        <v>17</v>
      </c>
      <c r="I1191" s="11" t="s">
        <v>18</v>
      </c>
      <c r="J1191" s="8" t="s">
        <v>14</v>
      </c>
    </row>
    <row r="1192" customFormat="false" ht="14.25" hidden="false" customHeight="false" outlineLevel="0" collapsed="false">
      <c r="A1192" s="8" t="n">
        <v>1191</v>
      </c>
      <c r="B1192" s="8" t="s">
        <v>151</v>
      </c>
      <c r="C1192" s="8" t="s">
        <v>16</v>
      </c>
      <c r="D1192" s="9" t="n">
        <v>44191</v>
      </c>
      <c r="E1192" s="9" t="str">
        <f aca="false">TEXT(D1192,"MMM")</f>
        <v>dez</v>
      </c>
      <c r="F1192" s="10" t="n">
        <v>-11286.59</v>
      </c>
      <c r="G1192" s="8" t="s">
        <v>34</v>
      </c>
      <c r="H1192" s="8" t="s">
        <v>36</v>
      </c>
      <c r="I1192" s="11" t="s">
        <v>37</v>
      </c>
      <c r="J1192" s="8" t="s">
        <v>19</v>
      </c>
    </row>
    <row r="1193" customFormat="false" ht="14.25" hidden="false" customHeight="false" outlineLevel="0" collapsed="false">
      <c r="A1193" s="8" t="n">
        <v>1192</v>
      </c>
      <c r="B1193" s="8" t="s">
        <v>40</v>
      </c>
      <c r="C1193" s="8" t="s">
        <v>16</v>
      </c>
      <c r="D1193" s="9" t="n">
        <v>44192</v>
      </c>
      <c r="E1193" s="9" t="str">
        <f aca="false">TEXT(D1193,"MMM")</f>
        <v>dez</v>
      </c>
      <c r="F1193" s="10" t="n">
        <v>-20228.53</v>
      </c>
      <c r="G1193" s="8" t="s">
        <v>34</v>
      </c>
      <c r="H1193" s="8" t="s">
        <v>12</v>
      </c>
      <c r="I1193" s="11" t="s">
        <v>13</v>
      </c>
      <c r="J1193" s="8" t="s">
        <v>26</v>
      </c>
    </row>
    <row r="1194" customFormat="false" ht="14.25" hidden="false" customHeight="false" outlineLevel="0" collapsed="false">
      <c r="A1194" s="8" t="n">
        <v>1193</v>
      </c>
      <c r="B1194" s="8" t="s">
        <v>15</v>
      </c>
      <c r="C1194" s="8" t="s">
        <v>10</v>
      </c>
      <c r="D1194" s="9" t="n">
        <v>44192</v>
      </c>
      <c r="E1194" s="9" t="str">
        <f aca="false">TEXT(D1194,"MMM")</f>
        <v>dez</v>
      </c>
      <c r="F1194" s="10" t="n">
        <v>-47473.16</v>
      </c>
      <c r="G1194" s="8" t="s">
        <v>34</v>
      </c>
      <c r="H1194" s="8" t="s">
        <v>17</v>
      </c>
      <c r="I1194" s="11" t="s">
        <v>18</v>
      </c>
      <c r="J1194" s="8" t="s">
        <v>26</v>
      </c>
    </row>
    <row r="1195" customFormat="false" ht="14.25" hidden="false" customHeight="false" outlineLevel="0" collapsed="false">
      <c r="A1195" s="8" t="n">
        <v>1194</v>
      </c>
      <c r="B1195" s="8" t="s">
        <v>15</v>
      </c>
      <c r="C1195" s="8" t="s">
        <v>21</v>
      </c>
      <c r="D1195" s="9" t="n">
        <v>44192</v>
      </c>
      <c r="E1195" s="9" t="str">
        <f aca="false">TEXT(D1195,"MMM")</f>
        <v>dez</v>
      </c>
      <c r="F1195" s="10" t="n">
        <v>-12823.09</v>
      </c>
      <c r="G1195" s="8" t="s">
        <v>34</v>
      </c>
      <c r="H1195" s="8" t="s">
        <v>12</v>
      </c>
      <c r="I1195" s="11" t="s">
        <v>13</v>
      </c>
      <c r="J1195" s="8" t="s">
        <v>26</v>
      </c>
    </row>
    <row r="1196" customFormat="false" ht="14.25" hidden="false" customHeight="false" outlineLevel="0" collapsed="false">
      <c r="A1196" s="8" t="n">
        <v>1195</v>
      </c>
      <c r="B1196" s="8" t="s">
        <v>49</v>
      </c>
      <c r="C1196" s="8" t="s">
        <v>28</v>
      </c>
      <c r="D1196" s="9" t="n">
        <v>44192</v>
      </c>
      <c r="E1196" s="9" t="str">
        <f aca="false">TEXT(D1196,"MMM")</f>
        <v>dez</v>
      </c>
      <c r="F1196" s="10" t="n">
        <v>-16507.58</v>
      </c>
      <c r="G1196" s="8" t="s">
        <v>34</v>
      </c>
      <c r="H1196" s="8" t="s">
        <v>17</v>
      </c>
      <c r="I1196" s="11" t="s">
        <v>18</v>
      </c>
      <c r="J1196" s="8" t="s">
        <v>26</v>
      </c>
    </row>
    <row r="1197" customFormat="false" ht="14.25" hidden="false" customHeight="false" outlineLevel="0" collapsed="false">
      <c r="A1197" s="8" t="n">
        <v>1196</v>
      </c>
      <c r="B1197" s="8" t="s">
        <v>152</v>
      </c>
      <c r="C1197" s="8" t="s">
        <v>28</v>
      </c>
      <c r="D1197" s="9" t="n">
        <v>44192</v>
      </c>
      <c r="E1197" s="9" t="str">
        <f aca="false">TEXT(D1197,"MMM")</f>
        <v>dez</v>
      </c>
      <c r="F1197" s="10" t="n">
        <v>-20577.87</v>
      </c>
      <c r="G1197" s="8" t="s">
        <v>34</v>
      </c>
      <c r="H1197" s="8" t="s">
        <v>12</v>
      </c>
      <c r="I1197" s="11" t="s">
        <v>13</v>
      </c>
      <c r="J1197" s="8" t="s">
        <v>26</v>
      </c>
    </row>
    <row r="1198" customFormat="false" ht="14.25" hidden="false" customHeight="false" outlineLevel="0" collapsed="false">
      <c r="A1198" s="8" t="n">
        <v>1197</v>
      </c>
      <c r="B1198" s="8" t="s">
        <v>152</v>
      </c>
      <c r="C1198" s="8" t="s">
        <v>16</v>
      </c>
      <c r="D1198" s="9" t="n">
        <v>44192</v>
      </c>
      <c r="E1198" s="9" t="str">
        <f aca="false">TEXT(D1198,"MMM")</f>
        <v>dez</v>
      </c>
      <c r="F1198" s="10" t="n">
        <v>-25319.95</v>
      </c>
      <c r="G1198" s="8" t="s">
        <v>34</v>
      </c>
      <c r="H1198" s="8" t="s">
        <v>12</v>
      </c>
      <c r="I1198" s="11" t="s">
        <v>13</v>
      </c>
      <c r="J1198" s="8" t="s">
        <v>14</v>
      </c>
    </row>
    <row r="1199" customFormat="false" ht="14.25" hidden="false" customHeight="false" outlineLevel="0" collapsed="false">
      <c r="A1199" s="8" t="n">
        <v>1198</v>
      </c>
      <c r="B1199" s="8" t="s">
        <v>152</v>
      </c>
      <c r="C1199" s="8" t="s">
        <v>16</v>
      </c>
      <c r="D1199" s="9" t="n">
        <v>44192</v>
      </c>
      <c r="E1199" s="9" t="str">
        <f aca="false">TEXT(D1199,"MMM")</f>
        <v>dez</v>
      </c>
      <c r="F1199" s="10" t="n">
        <v>-72793.81</v>
      </c>
      <c r="G1199" s="8" t="s">
        <v>34</v>
      </c>
      <c r="H1199" s="8" t="s">
        <v>36</v>
      </c>
      <c r="I1199" s="11" t="s">
        <v>37</v>
      </c>
      <c r="J1199" s="8" t="s">
        <v>26</v>
      </c>
    </row>
    <row r="1200" customFormat="false" ht="14.25" hidden="false" customHeight="false" outlineLevel="0" collapsed="false">
      <c r="A1200" s="8" t="n">
        <v>1199</v>
      </c>
      <c r="B1200" s="8" t="s">
        <v>152</v>
      </c>
      <c r="C1200" s="8" t="s">
        <v>21</v>
      </c>
      <c r="D1200" s="9" t="n">
        <v>44192</v>
      </c>
      <c r="E1200" s="9" t="str">
        <f aca="false">TEXT(D1200,"MMM")</f>
        <v>dez</v>
      </c>
      <c r="F1200" s="10" t="n">
        <v>-87633.56</v>
      </c>
      <c r="G1200" s="8" t="s">
        <v>34</v>
      </c>
      <c r="H1200" s="8" t="s">
        <v>12</v>
      </c>
      <c r="I1200" s="11" t="s">
        <v>13</v>
      </c>
      <c r="J1200" s="8" t="s">
        <v>26</v>
      </c>
    </row>
    <row r="1201" customFormat="false" ht="14.25" hidden="false" customHeight="false" outlineLevel="0" collapsed="false">
      <c r="A1201" s="8" t="n">
        <v>1200</v>
      </c>
      <c r="B1201" s="8" t="s">
        <v>20</v>
      </c>
      <c r="C1201" s="8" t="s">
        <v>28</v>
      </c>
      <c r="D1201" s="9" t="n">
        <v>44193</v>
      </c>
      <c r="E1201" s="9" t="str">
        <f aca="false">TEXT(D1201,"MMM")</f>
        <v>dez</v>
      </c>
      <c r="F1201" s="10" t="n">
        <v>-27944.63</v>
      </c>
      <c r="G1201" s="8" t="s">
        <v>34</v>
      </c>
      <c r="H1201" s="8" t="s">
        <v>12</v>
      </c>
      <c r="I1201" s="11" t="s">
        <v>13</v>
      </c>
      <c r="J1201" s="8" t="s">
        <v>24</v>
      </c>
    </row>
    <row r="1202" customFormat="false" ht="14.25" hidden="false" customHeight="false" outlineLevel="0" collapsed="false">
      <c r="A1202" s="8" t="n">
        <v>1201</v>
      </c>
      <c r="B1202" s="8" t="s">
        <v>20</v>
      </c>
      <c r="C1202" s="8" t="s">
        <v>16</v>
      </c>
      <c r="D1202" s="9" t="n">
        <v>44193</v>
      </c>
      <c r="E1202" s="9" t="str">
        <f aca="false">TEXT(D1202,"MMM")</f>
        <v>dez</v>
      </c>
      <c r="F1202" s="10" t="n">
        <v>-13287.51</v>
      </c>
      <c r="G1202" s="8" t="s">
        <v>34</v>
      </c>
      <c r="H1202" s="8" t="s">
        <v>12</v>
      </c>
      <c r="I1202" s="11" t="s">
        <v>13</v>
      </c>
      <c r="J1202" s="8" t="s">
        <v>14</v>
      </c>
    </row>
    <row r="1203" customFormat="false" ht="14.25" hidden="false" customHeight="false" outlineLevel="0" collapsed="false">
      <c r="A1203" s="8" t="n">
        <v>1202</v>
      </c>
      <c r="B1203" s="8" t="s">
        <v>20</v>
      </c>
      <c r="C1203" s="8" t="s">
        <v>21</v>
      </c>
      <c r="D1203" s="9" t="n">
        <v>44193</v>
      </c>
      <c r="E1203" s="9" t="str">
        <f aca="false">TEXT(D1203,"MMM")</f>
        <v>dez</v>
      </c>
      <c r="F1203" s="10" t="n">
        <v>-16889.18</v>
      </c>
      <c r="G1203" s="8" t="s">
        <v>34</v>
      </c>
      <c r="H1203" s="8" t="s">
        <v>12</v>
      </c>
      <c r="I1203" s="11" t="s">
        <v>13</v>
      </c>
      <c r="J1203" s="8" t="s">
        <v>26</v>
      </c>
    </row>
    <row r="1204" customFormat="false" ht="14.25" hidden="false" customHeight="false" outlineLevel="0" collapsed="false">
      <c r="A1204" s="8" t="n">
        <v>1203</v>
      </c>
      <c r="B1204" s="8" t="s">
        <v>39</v>
      </c>
      <c r="C1204" s="8" t="s">
        <v>10</v>
      </c>
      <c r="D1204" s="9" t="n">
        <v>44193</v>
      </c>
      <c r="E1204" s="9" t="str">
        <f aca="false">TEXT(D1204,"MMM")</f>
        <v>dez</v>
      </c>
      <c r="F1204" s="10" t="n">
        <v>-22964.55</v>
      </c>
      <c r="G1204" s="8" t="s">
        <v>34</v>
      </c>
      <c r="H1204" s="8" t="s">
        <v>17</v>
      </c>
      <c r="I1204" s="11" t="s">
        <v>18</v>
      </c>
      <c r="J1204" s="8" t="s">
        <v>14</v>
      </c>
    </row>
    <row r="1205" customFormat="false" ht="14.25" hidden="false" customHeight="false" outlineLevel="0" collapsed="false">
      <c r="A1205" s="8" t="n">
        <v>1204</v>
      </c>
      <c r="B1205" s="8" t="s">
        <v>54</v>
      </c>
      <c r="C1205" s="8" t="s">
        <v>28</v>
      </c>
      <c r="D1205" s="9" t="n">
        <v>44194</v>
      </c>
      <c r="E1205" s="9" t="str">
        <f aca="false">TEXT(D1205,"MMM")</f>
        <v>dez</v>
      </c>
      <c r="F1205" s="10" t="n">
        <v>-7365</v>
      </c>
      <c r="G1205" s="8" t="s">
        <v>34</v>
      </c>
      <c r="H1205" s="8" t="s">
        <v>36</v>
      </c>
      <c r="I1205" s="11" t="s">
        <v>37</v>
      </c>
      <c r="J1205" s="8" t="s">
        <v>14</v>
      </c>
    </row>
    <row r="1206" customFormat="false" ht="14.25" hidden="false" customHeight="false" outlineLevel="0" collapsed="false">
      <c r="A1206" s="8" t="n">
        <v>1205</v>
      </c>
      <c r="B1206" s="8" t="s">
        <v>54</v>
      </c>
      <c r="C1206" s="8" t="s">
        <v>16</v>
      </c>
      <c r="D1206" s="9" t="n">
        <v>44194</v>
      </c>
      <c r="E1206" s="9" t="str">
        <f aca="false">TEXT(D1206,"MMM")</f>
        <v>dez</v>
      </c>
      <c r="F1206" s="10" t="n">
        <v>-27764.73</v>
      </c>
      <c r="G1206" s="8" t="s">
        <v>34</v>
      </c>
      <c r="H1206" s="8" t="s">
        <v>12</v>
      </c>
      <c r="I1206" s="11" t="s">
        <v>13</v>
      </c>
      <c r="J1206" s="8" t="s">
        <v>26</v>
      </c>
    </row>
    <row r="1207" customFormat="false" ht="14.25" hidden="false" customHeight="false" outlineLevel="0" collapsed="false">
      <c r="A1207" s="8" t="n">
        <v>1206</v>
      </c>
      <c r="B1207" s="8" t="s">
        <v>32</v>
      </c>
      <c r="C1207" s="8" t="s">
        <v>21</v>
      </c>
      <c r="D1207" s="9" t="n">
        <v>44195</v>
      </c>
      <c r="E1207" s="9" t="str">
        <f aca="false">TEXT(D1207,"MMM")</f>
        <v>dez</v>
      </c>
      <c r="F1207" s="10" t="n">
        <v>15186.66</v>
      </c>
      <c r="G1207" s="8" t="s">
        <v>11</v>
      </c>
      <c r="H1207" s="8" t="s">
        <v>36</v>
      </c>
      <c r="I1207" s="11" t="s">
        <v>37</v>
      </c>
      <c r="J1207" s="8" t="s">
        <v>14</v>
      </c>
    </row>
    <row r="1208" customFormat="false" ht="14.25" hidden="false" customHeight="false" outlineLevel="0" collapsed="false">
      <c r="A1208" s="8" t="n">
        <v>1207</v>
      </c>
      <c r="B1208" s="8" t="s">
        <v>61</v>
      </c>
      <c r="C1208" s="8" t="s">
        <v>28</v>
      </c>
      <c r="D1208" s="9" t="n">
        <v>44195</v>
      </c>
      <c r="E1208" s="9" t="str">
        <f aca="false">TEXT(D1208,"MMM")</f>
        <v>dez</v>
      </c>
      <c r="F1208" s="10" t="n">
        <v>15186.66</v>
      </c>
      <c r="G1208" s="8" t="s">
        <v>11</v>
      </c>
      <c r="H1208" s="8" t="s">
        <v>17</v>
      </c>
      <c r="I1208" s="11" t="s">
        <v>18</v>
      </c>
      <c r="J1208" s="8" t="s">
        <v>19</v>
      </c>
    </row>
    <row r="1209" customFormat="false" ht="14.25" hidden="false" customHeight="false" outlineLevel="0" collapsed="false">
      <c r="A1209" s="8" t="n">
        <v>1208</v>
      </c>
      <c r="B1209" s="8" t="s">
        <v>62</v>
      </c>
      <c r="C1209" s="8" t="s">
        <v>21</v>
      </c>
      <c r="D1209" s="9" t="n">
        <v>44195</v>
      </c>
      <c r="E1209" s="9" t="str">
        <f aca="false">TEXT(D1209,"MMM")</f>
        <v>dez</v>
      </c>
      <c r="F1209" s="10" t="n">
        <v>15186.68</v>
      </c>
      <c r="G1209" s="8" t="s">
        <v>11</v>
      </c>
      <c r="H1209" s="8" t="s">
        <v>36</v>
      </c>
      <c r="I1209" s="11" t="s">
        <v>37</v>
      </c>
      <c r="J1209" s="8" t="s">
        <v>14</v>
      </c>
    </row>
    <row r="1210" customFormat="false" ht="14.25" hidden="false" customHeight="false" outlineLevel="0" collapsed="false">
      <c r="A1210" s="8" t="n">
        <v>1209</v>
      </c>
      <c r="B1210" s="8" t="s">
        <v>61</v>
      </c>
      <c r="C1210" s="8" t="s">
        <v>16</v>
      </c>
      <c r="D1210" s="9" t="n">
        <v>44195</v>
      </c>
      <c r="E1210" s="9" t="str">
        <f aca="false">TEXT(D1210,"MMM")</f>
        <v>dez</v>
      </c>
      <c r="F1210" s="10" t="n">
        <v>-6144.29</v>
      </c>
      <c r="G1210" s="8" t="s">
        <v>34</v>
      </c>
      <c r="H1210" s="8" t="s">
        <v>17</v>
      </c>
      <c r="I1210" s="11" t="s">
        <v>18</v>
      </c>
      <c r="J1210" s="8" t="s">
        <v>24</v>
      </c>
    </row>
    <row r="1211" customFormat="false" ht="14.25" hidden="false" customHeight="false" outlineLevel="0" collapsed="false">
      <c r="A1211" s="8" t="n">
        <v>1210</v>
      </c>
      <c r="B1211" s="8" t="s">
        <v>62</v>
      </c>
      <c r="C1211" s="8" t="s">
        <v>28</v>
      </c>
      <c r="D1211" s="9" t="n">
        <v>44195</v>
      </c>
      <c r="E1211" s="9" t="str">
        <f aca="false">TEXT(D1211,"MMM")</f>
        <v>dez</v>
      </c>
      <c r="F1211" s="10" t="n">
        <v>-21333.41</v>
      </c>
      <c r="G1211" s="8" t="s">
        <v>34</v>
      </c>
      <c r="H1211" s="8" t="s">
        <v>12</v>
      </c>
      <c r="I1211" s="11" t="s">
        <v>13</v>
      </c>
      <c r="J1211" s="8" t="s">
        <v>26</v>
      </c>
    </row>
    <row r="1212" customFormat="false" ht="14.25" hidden="false" customHeight="false" outlineLevel="0" collapsed="false">
      <c r="A1212" s="8" t="n">
        <v>1211</v>
      </c>
      <c r="B1212" s="8" t="s">
        <v>62</v>
      </c>
      <c r="C1212" s="8" t="s">
        <v>10</v>
      </c>
      <c r="D1212" s="9" t="n">
        <v>44195</v>
      </c>
      <c r="E1212" s="9" t="str">
        <f aca="false">TEXT(D1212,"MMM")</f>
        <v>dez</v>
      </c>
      <c r="F1212" s="10" t="n">
        <v>-2841.93</v>
      </c>
      <c r="G1212" s="8" t="s">
        <v>34</v>
      </c>
      <c r="H1212" s="8" t="s">
        <v>36</v>
      </c>
      <c r="I1212" s="11" t="s">
        <v>37</v>
      </c>
      <c r="J1212" s="8" t="s">
        <v>24</v>
      </c>
    </row>
    <row r="1213" customFormat="false" ht="14.25" hidden="false" customHeight="false" outlineLevel="0" collapsed="false">
      <c r="A1213" s="8" t="n">
        <v>1212</v>
      </c>
      <c r="B1213" s="8" t="s">
        <v>61</v>
      </c>
      <c r="C1213" s="8" t="s">
        <v>21</v>
      </c>
      <c r="D1213" s="9" t="n">
        <v>44195</v>
      </c>
      <c r="E1213" s="9" t="str">
        <f aca="false">TEXT(D1213,"MMM")</f>
        <v>dez</v>
      </c>
      <c r="F1213" s="10" t="n">
        <v>-910.42</v>
      </c>
      <c r="G1213" s="8" t="s">
        <v>34</v>
      </c>
      <c r="H1213" s="8" t="s">
        <v>36</v>
      </c>
      <c r="I1213" s="11" t="s">
        <v>37</v>
      </c>
      <c r="J1213" s="8" t="s">
        <v>24</v>
      </c>
    </row>
    <row r="1214" customFormat="false" ht="14.25" hidden="false" customHeight="false" outlineLevel="0" collapsed="false">
      <c r="A1214" s="8" t="n">
        <v>1213</v>
      </c>
      <c r="B1214" s="8" t="s">
        <v>62</v>
      </c>
      <c r="C1214" s="8" t="s">
        <v>28</v>
      </c>
      <c r="D1214" s="9" t="n">
        <v>44196</v>
      </c>
      <c r="E1214" s="9" t="str">
        <f aca="false">TEXT(D1214,"MMM")</f>
        <v>dez</v>
      </c>
      <c r="F1214" s="10" t="n">
        <v>-10955.21</v>
      </c>
      <c r="G1214" s="8" t="s">
        <v>34</v>
      </c>
      <c r="H1214" s="8" t="s">
        <v>12</v>
      </c>
      <c r="I1214" s="11" t="s">
        <v>13</v>
      </c>
      <c r="J1214" s="8" t="s">
        <v>14</v>
      </c>
    </row>
    <row r="1215" customFormat="false" ht="14.25" hidden="false" customHeight="false" outlineLevel="0" collapsed="false">
      <c r="A1215" s="8" t="n">
        <v>1214</v>
      </c>
      <c r="B1215" s="8" t="s">
        <v>62</v>
      </c>
      <c r="C1215" s="8" t="s">
        <v>16</v>
      </c>
      <c r="D1215" s="9" t="n">
        <v>44196</v>
      </c>
      <c r="E1215" s="9" t="str">
        <f aca="false">TEXT(D1215,"MMM")</f>
        <v>dez</v>
      </c>
      <c r="F1215" s="10" t="n">
        <v>-13149.08</v>
      </c>
      <c r="G1215" s="8" t="s">
        <v>34</v>
      </c>
      <c r="H1215" s="8" t="s">
        <v>36</v>
      </c>
      <c r="I1215" s="11" t="s">
        <v>37</v>
      </c>
      <c r="J1215" s="8" t="s">
        <v>14</v>
      </c>
    </row>
    <row r="1216" customFormat="false" ht="14.25" hidden="false" customHeight="false" outlineLevel="0" collapsed="false">
      <c r="A1216" s="8" t="n">
        <v>1215</v>
      </c>
      <c r="B1216" s="8" t="s">
        <v>62</v>
      </c>
      <c r="C1216" s="8" t="s">
        <v>16</v>
      </c>
      <c r="D1216" s="9" t="n">
        <v>44196</v>
      </c>
      <c r="E1216" s="9" t="str">
        <f aca="false">TEXT(D1216,"MMM")</f>
        <v>dez</v>
      </c>
      <c r="F1216" s="10" t="n">
        <v>-15964.69</v>
      </c>
      <c r="G1216" s="8" t="s">
        <v>34</v>
      </c>
      <c r="H1216" s="8" t="s">
        <v>12</v>
      </c>
      <c r="I1216" s="11" t="s">
        <v>13</v>
      </c>
      <c r="J1216" s="8" t="s">
        <v>14</v>
      </c>
    </row>
    <row r="1217" customFormat="false" ht="14.25" hidden="false" customHeight="false" outlineLevel="0" collapsed="false">
      <c r="A1217" s="8" t="n">
        <v>1216</v>
      </c>
      <c r="B1217" s="8" t="s">
        <v>39</v>
      </c>
      <c r="C1217" s="8" t="s">
        <v>21</v>
      </c>
      <c r="D1217" s="9" t="n">
        <v>44198</v>
      </c>
      <c r="E1217" s="9" t="str">
        <f aca="false">TEXT(D1217,"MMM")</f>
        <v>jan</v>
      </c>
      <c r="F1217" s="10" t="n">
        <v>106399.17</v>
      </c>
      <c r="G1217" s="8" t="s">
        <v>11</v>
      </c>
      <c r="H1217" s="8" t="s">
        <v>36</v>
      </c>
      <c r="I1217" s="11" t="s">
        <v>37</v>
      </c>
      <c r="J1217" s="8" t="s">
        <v>19</v>
      </c>
    </row>
    <row r="1218" customFormat="false" ht="14.25" hidden="false" customHeight="false" outlineLevel="0" collapsed="false">
      <c r="A1218" s="8" t="n">
        <v>1217</v>
      </c>
      <c r="B1218" s="8" t="s">
        <v>66</v>
      </c>
      <c r="C1218" s="8" t="s">
        <v>10</v>
      </c>
      <c r="D1218" s="9" t="n">
        <v>44199</v>
      </c>
      <c r="E1218" s="9" t="str">
        <f aca="false">TEXT(D1218,"MMM")</f>
        <v>jan</v>
      </c>
      <c r="F1218" s="10" t="n">
        <v>42279.35</v>
      </c>
      <c r="G1218" s="8" t="s">
        <v>11</v>
      </c>
      <c r="H1218" s="8" t="s">
        <v>36</v>
      </c>
      <c r="I1218" s="11" t="s">
        <v>37</v>
      </c>
      <c r="J1218" s="8" t="s">
        <v>19</v>
      </c>
    </row>
    <row r="1219" customFormat="false" ht="14.25" hidden="false" customHeight="false" outlineLevel="0" collapsed="false">
      <c r="A1219" s="8" t="n">
        <v>1218</v>
      </c>
      <c r="B1219" s="8" t="s">
        <v>66</v>
      </c>
      <c r="C1219" s="8" t="s">
        <v>16</v>
      </c>
      <c r="D1219" s="9" t="n">
        <v>44199</v>
      </c>
      <c r="E1219" s="9" t="str">
        <f aca="false">TEXT(D1219,"MMM")</f>
        <v>jan</v>
      </c>
      <c r="F1219" s="10" t="n">
        <v>2564.45</v>
      </c>
      <c r="G1219" s="8" t="s">
        <v>11</v>
      </c>
      <c r="H1219" s="8" t="s">
        <v>17</v>
      </c>
      <c r="I1219" s="11" t="s">
        <v>18</v>
      </c>
      <c r="J1219" s="8" t="s">
        <v>26</v>
      </c>
    </row>
    <row r="1220" customFormat="false" ht="14.25" hidden="false" customHeight="false" outlineLevel="0" collapsed="false">
      <c r="A1220" s="8" t="n">
        <v>1219</v>
      </c>
      <c r="B1220" s="8" t="s">
        <v>66</v>
      </c>
      <c r="C1220" s="8" t="s">
        <v>21</v>
      </c>
      <c r="D1220" s="9" t="n">
        <v>44199</v>
      </c>
      <c r="E1220" s="9" t="str">
        <f aca="false">TEXT(D1220,"MMM")</f>
        <v>jan</v>
      </c>
      <c r="F1220" s="10" t="n">
        <v>5861.6</v>
      </c>
      <c r="G1220" s="8" t="s">
        <v>11</v>
      </c>
      <c r="H1220" s="8" t="s">
        <v>12</v>
      </c>
      <c r="I1220" s="11" t="s">
        <v>13</v>
      </c>
      <c r="J1220" s="8" t="s">
        <v>26</v>
      </c>
    </row>
    <row r="1221" customFormat="false" ht="14.25" hidden="false" customHeight="false" outlineLevel="0" collapsed="false">
      <c r="A1221" s="8" t="n">
        <v>1220</v>
      </c>
      <c r="B1221" s="8" t="s">
        <v>66</v>
      </c>
      <c r="C1221" s="8" t="s">
        <v>16</v>
      </c>
      <c r="D1221" s="9" t="n">
        <v>44199</v>
      </c>
      <c r="E1221" s="9" t="str">
        <f aca="false">TEXT(D1221,"MMM")</f>
        <v>jan</v>
      </c>
      <c r="F1221" s="10" t="n">
        <v>2564.45</v>
      </c>
      <c r="G1221" s="8" t="s">
        <v>11</v>
      </c>
      <c r="H1221" s="8" t="s">
        <v>12</v>
      </c>
      <c r="I1221" s="11" t="s">
        <v>13</v>
      </c>
      <c r="J1221" s="8" t="s">
        <v>19</v>
      </c>
    </row>
    <row r="1222" customFormat="false" ht="14.25" hidden="false" customHeight="false" outlineLevel="0" collapsed="false">
      <c r="A1222" s="8" t="n">
        <v>1221</v>
      </c>
      <c r="B1222" s="8" t="s">
        <v>66</v>
      </c>
      <c r="C1222" s="8" t="s">
        <v>28</v>
      </c>
      <c r="D1222" s="9" t="n">
        <v>44199</v>
      </c>
      <c r="E1222" s="9" t="str">
        <f aca="false">TEXT(D1222,"MMM")</f>
        <v>jan</v>
      </c>
      <c r="F1222" s="10" t="n">
        <v>2564.45</v>
      </c>
      <c r="G1222" s="8" t="s">
        <v>11</v>
      </c>
      <c r="H1222" s="8" t="s">
        <v>12</v>
      </c>
      <c r="I1222" s="11" t="s">
        <v>13</v>
      </c>
      <c r="J1222" s="8" t="s">
        <v>14</v>
      </c>
    </row>
    <row r="1223" customFormat="false" ht="14.25" hidden="false" customHeight="false" outlineLevel="0" collapsed="false">
      <c r="A1223" s="8" t="n">
        <v>1222</v>
      </c>
      <c r="B1223" s="8" t="s">
        <v>66</v>
      </c>
      <c r="C1223" s="8" t="s">
        <v>16</v>
      </c>
      <c r="D1223" s="9" t="n">
        <v>44199</v>
      </c>
      <c r="E1223" s="9" t="str">
        <f aca="false">TEXT(D1223,"MMM")</f>
        <v>jan</v>
      </c>
      <c r="F1223" s="10" t="n">
        <v>500861.6</v>
      </c>
      <c r="G1223" s="8" t="s">
        <v>11</v>
      </c>
      <c r="H1223" s="8" t="s">
        <v>22</v>
      </c>
      <c r="I1223" s="11" t="s">
        <v>23</v>
      </c>
      <c r="J1223" s="8" t="s">
        <v>26</v>
      </c>
    </row>
    <row r="1224" customFormat="false" ht="14.25" hidden="false" customHeight="false" outlineLevel="0" collapsed="false">
      <c r="A1224" s="8" t="n">
        <v>1223</v>
      </c>
      <c r="B1224" s="8" t="s">
        <v>66</v>
      </c>
      <c r="C1224" s="8" t="s">
        <v>28</v>
      </c>
      <c r="D1224" s="9" t="n">
        <v>44199</v>
      </c>
      <c r="E1224" s="9" t="str">
        <f aca="false">TEXT(D1224,"MMM")</f>
        <v>jan</v>
      </c>
      <c r="F1224" s="10" t="n">
        <v>2564.45</v>
      </c>
      <c r="G1224" s="8" t="s">
        <v>11</v>
      </c>
      <c r="H1224" s="8" t="s">
        <v>36</v>
      </c>
      <c r="I1224" s="11" t="s">
        <v>37</v>
      </c>
      <c r="J1224" s="8" t="s">
        <v>24</v>
      </c>
    </row>
    <row r="1225" customFormat="false" ht="14.25" hidden="false" customHeight="false" outlineLevel="0" collapsed="false">
      <c r="A1225" s="8" t="n">
        <v>1224</v>
      </c>
      <c r="B1225" s="8" t="s">
        <v>66</v>
      </c>
      <c r="C1225" s="8" t="s">
        <v>21</v>
      </c>
      <c r="D1225" s="9" t="n">
        <v>44199</v>
      </c>
      <c r="E1225" s="9" t="str">
        <f aca="false">TEXT(D1225,"MMM")</f>
        <v>jan</v>
      </c>
      <c r="F1225" s="10" t="n">
        <v>181633.05</v>
      </c>
      <c r="G1225" s="8" t="s">
        <v>11</v>
      </c>
      <c r="H1225" s="8" t="s">
        <v>12</v>
      </c>
      <c r="I1225" s="11" t="s">
        <v>13</v>
      </c>
      <c r="J1225" s="8" t="s">
        <v>14</v>
      </c>
    </row>
    <row r="1226" customFormat="false" ht="14.25" hidden="false" customHeight="false" outlineLevel="0" collapsed="false">
      <c r="A1226" s="8" t="n">
        <v>1225</v>
      </c>
      <c r="B1226" s="8" t="s">
        <v>66</v>
      </c>
      <c r="C1226" s="8" t="s">
        <v>28</v>
      </c>
      <c r="D1226" s="9" t="n">
        <v>44199</v>
      </c>
      <c r="E1226" s="9" t="str">
        <f aca="false">TEXT(D1226,"MMM")</f>
        <v>jan</v>
      </c>
      <c r="F1226" s="10" t="n">
        <v>-2071.44</v>
      </c>
      <c r="G1226" s="8" t="s">
        <v>34</v>
      </c>
      <c r="H1226" s="8" t="s">
        <v>17</v>
      </c>
      <c r="I1226" s="11" t="s">
        <v>18</v>
      </c>
      <c r="J1226" s="8" t="s">
        <v>14</v>
      </c>
    </row>
    <row r="1227" customFormat="false" ht="14.25" hidden="false" customHeight="false" outlineLevel="0" collapsed="false">
      <c r="A1227" s="8" t="n">
        <v>1226</v>
      </c>
      <c r="B1227" s="8" t="s">
        <v>66</v>
      </c>
      <c r="C1227" s="8" t="s">
        <v>16</v>
      </c>
      <c r="D1227" s="9" t="n">
        <v>44199</v>
      </c>
      <c r="E1227" s="9" t="str">
        <f aca="false">TEXT(D1227,"MMM")</f>
        <v>jan</v>
      </c>
      <c r="F1227" s="10" t="n">
        <v>4530.5</v>
      </c>
      <c r="G1227" s="8" t="s">
        <v>11</v>
      </c>
      <c r="H1227" s="8" t="s">
        <v>17</v>
      </c>
      <c r="I1227" s="11" t="s">
        <v>18</v>
      </c>
      <c r="J1227" s="8" t="s">
        <v>26</v>
      </c>
    </row>
    <row r="1228" customFormat="false" ht="14.25" hidden="false" customHeight="false" outlineLevel="0" collapsed="false">
      <c r="A1228" s="8" t="n">
        <v>1227</v>
      </c>
      <c r="B1228" s="8" t="s">
        <v>15</v>
      </c>
      <c r="C1228" s="8" t="s">
        <v>21</v>
      </c>
      <c r="D1228" s="9" t="n">
        <v>44200</v>
      </c>
      <c r="E1228" s="9" t="str">
        <f aca="false">TEXT(D1228,"MMM")</f>
        <v>jan</v>
      </c>
      <c r="F1228" s="10" t="n">
        <v>4530.5</v>
      </c>
      <c r="G1228" s="8" t="s">
        <v>11</v>
      </c>
      <c r="H1228" s="8" t="s">
        <v>12</v>
      </c>
      <c r="I1228" s="11" t="s">
        <v>13</v>
      </c>
      <c r="J1228" s="8" t="s">
        <v>14</v>
      </c>
    </row>
    <row r="1229" customFormat="false" ht="14.25" hidden="false" customHeight="false" outlineLevel="0" collapsed="false">
      <c r="A1229" s="8" t="n">
        <v>1228</v>
      </c>
      <c r="B1229" s="8" t="s">
        <v>85</v>
      </c>
      <c r="C1229" s="8" t="s">
        <v>16</v>
      </c>
      <c r="D1229" s="9" t="n">
        <v>44202</v>
      </c>
      <c r="E1229" s="9" t="str">
        <f aca="false">TEXT(D1229,"MMM")</f>
        <v>jan</v>
      </c>
      <c r="F1229" s="10" t="n">
        <v>2439.5</v>
      </c>
      <c r="G1229" s="8" t="s">
        <v>11</v>
      </c>
      <c r="H1229" s="8" t="s">
        <v>22</v>
      </c>
      <c r="I1229" s="11" t="s">
        <v>23</v>
      </c>
      <c r="J1229" s="8" t="s">
        <v>14</v>
      </c>
    </row>
    <row r="1230" customFormat="false" ht="14.25" hidden="false" customHeight="false" outlineLevel="0" collapsed="false">
      <c r="A1230" s="8" t="n">
        <v>1229</v>
      </c>
      <c r="B1230" s="8" t="s">
        <v>39</v>
      </c>
      <c r="C1230" s="8" t="s">
        <v>28</v>
      </c>
      <c r="D1230" s="9" t="n">
        <v>44202</v>
      </c>
      <c r="E1230" s="9" t="str">
        <f aca="false">TEXT(D1230,"MMM")</f>
        <v>jan</v>
      </c>
      <c r="F1230" s="10" t="n">
        <v>2439.5</v>
      </c>
      <c r="G1230" s="8" t="s">
        <v>11</v>
      </c>
      <c r="H1230" s="8" t="s">
        <v>12</v>
      </c>
      <c r="I1230" s="11" t="s">
        <v>13</v>
      </c>
      <c r="J1230" s="8" t="s">
        <v>14</v>
      </c>
    </row>
    <row r="1231" customFormat="false" ht="14.25" hidden="false" customHeight="false" outlineLevel="0" collapsed="false">
      <c r="A1231" s="8" t="n">
        <v>1230</v>
      </c>
      <c r="B1231" s="8" t="s">
        <v>39</v>
      </c>
      <c r="C1231" s="8" t="s">
        <v>16</v>
      </c>
      <c r="D1231" s="9" t="n">
        <v>44202</v>
      </c>
      <c r="E1231" s="9" t="str">
        <f aca="false">TEXT(D1231,"MMM")</f>
        <v>jan</v>
      </c>
      <c r="F1231" s="10" t="n">
        <v>3948.59</v>
      </c>
      <c r="G1231" s="8" t="s">
        <v>11</v>
      </c>
      <c r="H1231" s="8" t="s">
        <v>12</v>
      </c>
      <c r="I1231" s="11" t="s">
        <v>13</v>
      </c>
      <c r="J1231" s="8" t="s">
        <v>14</v>
      </c>
    </row>
    <row r="1232" customFormat="false" ht="14.25" hidden="false" customHeight="false" outlineLevel="0" collapsed="false">
      <c r="A1232" s="8" t="n">
        <v>1231</v>
      </c>
      <c r="B1232" s="8" t="s">
        <v>50</v>
      </c>
      <c r="C1232" s="8" t="s">
        <v>16</v>
      </c>
      <c r="D1232" s="9" t="n">
        <v>44204</v>
      </c>
      <c r="E1232" s="9" t="str">
        <f aca="false">TEXT(D1232,"MMM")</f>
        <v>jan</v>
      </c>
      <c r="F1232" s="10" t="n">
        <v>3937.06</v>
      </c>
      <c r="G1232" s="8" t="s">
        <v>11</v>
      </c>
      <c r="H1232" s="8" t="s">
        <v>17</v>
      </c>
      <c r="I1232" s="11" t="s">
        <v>18</v>
      </c>
      <c r="J1232" s="8" t="s">
        <v>14</v>
      </c>
    </row>
    <row r="1233" customFormat="false" ht="14.25" hidden="false" customHeight="false" outlineLevel="0" collapsed="false">
      <c r="A1233" s="8" t="n">
        <v>1232</v>
      </c>
      <c r="B1233" s="8" t="s">
        <v>85</v>
      </c>
      <c r="C1233" s="8" t="s">
        <v>21</v>
      </c>
      <c r="D1233" s="9" t="n">
        <v>44204</v>
      </c>
      <c r="E1233" s="9" t="str">
        <f aca="false">TEXT(D1233,"MMM")</f>
        <v>jan</v>
      </c>
      <c r="F1233" s="10" t="n">
        <v>-28993.69</v>
      </c>
      <c r="G1233" s="8" t="s">
        <v>34</v>
      </c>
      <c r="H1233" s="8" t="s">
        <v>12</v>
      </c>
      <c r="I1233" s="11" t="s">
        <v>13</v>
      </c>
      <c r="J1233" s="8" t="s">
        <v>14</v>
      </c>
    </row>
    <row r="1234" customFormat="false" ht="14.25" hidden="false" customHeight="false" outlineLevel="0" collapsed="false">
      <c r="A1234" s="8" t="n">
        <v>1233</v>
      </c>
      <c r="B1234" s="8" t="s">
        <v>85</v>
      </c>
      <c r="C1234" s="8" t="s">
        <v>28</v>
      </c>
      <c r="D1234" s="9" t="n">
        <v>44204</v>
      </c>
      <c r="E1234" s="9" t="str">
        <f aca="false">TEXT(D1234,"MMM")</f>
        <v>jan</v>
      </c>
      <c r="F1234" s="10" t="n">
        <v>-775500.39</v>
      </c>
      <c r="G1234" s="8" t="s">
        <v>34</v>
      </c>
      <c r="H1234" s="8" t="s">
        <v>17</v>
      </c>
      <c r="I1234" s="11" t="s">
        <v>18</v>
      </c>
      <c r="J1234" s="8" t="s">
        <v>14</v>
      </c>
    </row>
    <row r="1235" customFormat="false" ht="14.25" hidden="false" customHeight="false" outlineLevel="0" collapsed="false">
      <c r="A1235" s="8" t="n">
        <v>1234</v>
      </c>
      <c r="B1235" s="8" t="s">
        <v>86</v>
      </c>
      <c r="C1235" s="8" t="s">
        <v>21</v>
      </c>
      <c r="D1235" s="9" t="n">
        <v>44205</v>
      </c>
      <c r="E1235" s="9" t="str">
        <f aca="false">TEXT(D1235,"MMM")</f>
        <v>jan</v>
      </c>
      <c r="F1235" s="10" t="n">
        <v>2872.26</v>
      </c>
      <c r="G1235" s="8" t="s">
        <v>11</v>
      </c>
      <c r="H1235" s="8" t="s">
        <v>30</v>
      </c>
      <c r="I1235" s="11" t="s">
        <v>31</v>
      </c>
      <c r="J1235" s="8" t="s">
        <v>14</v>
      </c>
    </row>
    <row r="1236" customFormat="false" ht="14.25" hidden="false" customHeight="false" outlineLevel="0" collapsed="false">
      <c r="A1236" s="8" t="n">
        <v>1235</v>
      </c>
      <c r="B1236" s="8" t="s">
        <v>72</v>
      </c>
      <c r="C1236" s="8" t="s">
        <v>28</v>
      </c>
      <c r="D1236" s="9" t="n">
        <v>44205</v>
      </c>
      <c r="E1236" s="9" t="str">
        <f aca="false">TEXT(D1236,"MMM")</f>
        <v>jan</v>
      </c>
      <c r="F1236" s="10" t="n">
        <v>-16072.04</v>
      </c>
      <c r="G1236" s="8" t="s">
        <v>34</v>
      </c>
      <c r="H1236" s="8" t="s">
        <v>30</v>
      </c>
      <c r="I1236" s="11" t="s">
        <v>31</v>
      </c>
      <c r="J1236" s="8" t="s">
        <v>14</v>
      </c>
    </row>
    <row r="1237" customFormat="false" ht="14.25" hidden="false" customHeight="false" outlineLevel="0" collapsed="false">
      <c r="A1237" s="8" t="n">
        <v>1236</v>
      </c>
      <c r="B1237" s="8" t="s">
        <v>44</v>
      </c>
      <c r="C1237" s="8" t="s">
        <v>16</v>
      </c>
      <c r="D1237" s="9" t="n">
        <v>44205</v>
      </c>
      <c r="E1237" s="9" t="str">
        <f aca="false">TEXT(D1237,"MMM")</f>
        <v>jan</v>
      </c>
      <c r="F1237" s="10" t="n">
        <v>3309.87</v>
      </c>
      <c r="G1237" s="8" t="s">
        <v>11</v>
      </c>
      <c r="H1237" s="8" t="s">
        <v>36</v>
      </c>
      <c r="I1237" s="11" t="s">
        <v>37</v>
      </c>
      <c r="J1237" s="8" t="s">
        <v>24</v>
      </c>
    </row>
    <row r="1238" customFormat="false" ht="14.25" hidden="false" customHeight="false" outlineLevel="0" collapsed="false">
      <c r="A1238" s="8" t="n">
        <v>1237</v>
      </c>
      <c r="B1238" s="8" t="s">
        <v>44</v>
      </c>
      <c r="C1238" s="8" t="s">
        <v>21</v>
      </c>
      <c r="D1238" s="9" t="n">
        <v>44205</v>
      </c>
      <c r="E1238" s="9" t="str">
        <f aca="false">TEXT(D1238,"MMM")</f>
        <v>jan</v>
      </c>
      <c r="F1238" s="10" t="n">
        <v>16632.96</v>
      </c>
      <c r="G1238" s="8" t="s">
        <v>11</v>
      </c>
      <c r="H1238" s="8" t="s">
        <v>17</v>
      </c>
      <c r="I1238" s="11" t="s">
        <v>18</v>
      </c>
      <c r="J1238" s="8" t="s">
        <v>26</v>
      </c>
    </row>
    <row r="1239" customFormat="false" ht="14.25" hidden="false" customHeight="false" outlineLevel="0" collapsed="false">
      <c r="A1239" s="8" t="n">
        <v>1238</v>
      </c>
      <c r="B1239" s="8" t="s">
        <v>72</v>
      </c>
      <c r="C1239" s="8" t="s">
        <v>21</v>
      </c>
      <c r="D1239" s="9" t="n">
        <v>44205</v>
      </c>
      <c r="E1239" s="9" t="str">
        <f aca="false">TEXT(D1239,"MMM")</f>
        <v>jan</v>
      </c>
      <c r="F1239" s="10" t="n">
        <v>3761.99</v>
      </c>
      <c r="G1239" s="8" t="s">
        <v>11</v>
      </c>
      <c r="H1239" s="8" t="s">
        <v>17</v>
      </c>
      <c r="I1239" s="11" t="s">
        <v>18</v>
      </c>
      <c r="J1239" s="8" t="s">
        <v>14</v>
      </c>
    </row>
    <row r="1240" customFormat="false" ht="14.25" hidden="false" customHeight="false" outlineLevel="0" collapsed="false">
      <c r="A1240" s="8" t="n">
        <v>1239</v>
      </c>
      <c r="B1240" s="8" t="s">
        <v>47</v>
      </c>
      <c r="C1240" s="8" t="s">
        <v>21</v>
      </c>
      <c r="D1240" s="9" t="n">
        <v>44205</v>
      </c>
      <c r="E1240" s="9" t="str">
        <f aca="false">TEXT(D1240,"MMM")</f>
        <v>jan</v>
      </c>
      <c r="F1240" s="10" t="n">
        <v>16893.06</v>
      </c>
      <c r="G1240" s="8" t="s">
        <v>11</v>
      </c>
      <c r="H1240" s="8" t="s">
        <v>36</v>
      </c>
      <c r="I1240" s="11" t="s">
        <v>37</v>
      </c>
      <c r="J1240" s="8" t="s">
        <v>26</v>
      </c>
    </row>
    <row r="1241" customFormat="false" ht="14.25" hidden="false" customHeight="false" outlineLevel="0" collapsed="false">
      <c r="A1241" s="8" t="n">
        <v>1240</v>
      </c>
      <c r="B1241" s="8" t="s">
        <v>47</v>
      </c>
      <c r="C1241" s="8" t="s">
        <v>16</v>
      </c>
      <c r="D1241" s="9" t="n">
        <v>44205</v>
      </c>
      <c r="E1241" s="9" t="str">
        <f aca="false">TEXT(D1241,"MMM")</f>
        <v>jan</v>
      </c>
      <c r="F1241" s="10" t="n">
        <v>2962.97</v>
      </c>
      <c r="G1241" s="8" t="s">
        <v>11</v>
      </c>
      <c r="H1241" s="8" t="s">
        <v>30</v>
      </c>
      <c r="I1241" s="11" t="s">
        <v>31</v>
      </c>
      <c r="J1241" s="8" t="s">
        <v>14</v>
      </c>
    </row>
    <row r="1242" customFormat="false" ht="14.25" hidden="false" customHeight="false" outlineLevel="0" collapsed="false">
      <c r="A1242" s="8" t="n">
        <v>1241</v>
      </c>
      <c r="B1242" s="8" t="s">
        <v>145</v>
      </c>
      <c r="C1242" s="8" t="s">
        <v>10</v>
      </c>
      <c r="D1242" s="9" t="n">
        <v>44206</v>
      </c>
      <c r="E1242" s="9" t="str">
        <f aca="false">TEXT(D1242,"MMM")</f>
        <v>jan</v>
      </c>
      <c r="F1242" s="10" t="n">
        <v>16091.45</v>
      </c>
      <c r="G1242" s="8" t="s">
        <v>11</v>
      </c>
      <c r="H1242" s="8" t="s">
        <v>12</v>
      </c>
      <c r="I1242" s="11" t="s">
        <v>13</v>
      </c>
      <c r="J1242" s="8" t="s">
        <v>19</v>
      </c>
    </row>
    <row r="1243" customFormat="false" ht="14.25" hidden="false" customHeight="false" outlineLevel="0" collapsed="false">
      <c r="A1243" s="8" t="n">
        <v>1242</v>
      </c>
      <c r="B1243" s="8" t="s">
        <v>79</v>
      </c>
      <c r="C1243" s="8" t="s">
        <v>28</v>
      </c>
      <c r="D1243" s="9" t="n">
        <v>44206</v>
      </c>
      <c r="E1243" s="9" t="str">
        <f aca="false">TEXT(D1243,"MMM")</f>
        <v>jan</v>
      </c>
      <c r="F1243" s="10" t="n">
        <v>3654.5</v>
      </c>
      <c r="G1243" s="8" t="s">
        <v>11</v>
      </c>
      <c r="H1243" s="8" t="s">
        <v>22</v>
      </c>
      <c r="I1243" s="11" t="s">
        <v>23</v>
      </c>
      <c r="J1243" s="8" t="s">
        <v>14</v>
      </c>
    </row>
    <row r="1244" customFormat="false" ht="14.25" hidden="false" customHeight="false" outlineLevel="0" collapsed="false">
      <c r="A1244" s="8" t="n">
        <v>1243</v>
      </c>
      <c r="B1244" s="8" t="s">
        <v>57</v>
      </c>
      <c r="C1244" s="8" t="s">
        <v>16</v>
      </c>
      <c r="D1244" s="9" t="n">
        <v>44206</v>
      </c>
      <c r="E1244" s="9" t="str">
        <f aca="false">TEXT(D1244,"MMM")</f>
        <v>jan</v>
      </c>
      <c r="F1244" s="10" t="n">
        <v>16917.94</v>
      </c>
      <c r="G1244" s="8" t="s">
        <v>11</v>
      </c>
      <c r="H1244" s="8" t="s">
        <v>12</v>
      </c>
      <c r="I1244" s="11" t="s">
        <v>13</v>
      </c>
      <c r="J1244" s="8" t="s">
        <v>19</v>
      </c>
    </row>
    <row r="1245" customFormat="false" ht="14.25" hidden="false" customHeight="false" outlineLevel="0" collapsed="false">
      <c r="A1245" s="8" t="n">
        <v>1244</v>
      </c>
      <c r="B1245" s="8" t="s">
        <v>45</v>
      </c>
      <c r="C1245" s="8" t="s">
        <v>10</v>
      </c>
      <c r="D1245" s="9" t="n">
        <v>44206</v>
      </c>
      <c r="E1245" s="9" t="str">
        <f aca="false">TEXT(D1245,"MMM")</f>
        <v>jan</v>
      </c>
      <c r="F1245" s="10" t="n">
        <v>158494.97</v>
      </c>
      <c r="G1245" s="8" t="s">
        <v>11</v>
      </c>
      <c r="H1245" s="8" t="s">
        <v>22</v>
      </c>
      <c r="I1245" s="11" t="s">
        <v>23</v>
      </c>
      <c r="J1245" s="8" t="s">
        <v>24</v>
      </c>
    </row>
    <row r="1246" customFormat="false" ht="14.25" hidden="false" customHeight="false" outlineLevel="0" collapsed="false">
      <c r="A1246" s="8" t="n">
        <v>1245</v>
      </c>
      <c r="B1246" s="8" t="s">
        <v>57</v>
      </c>
      <c r="C1246" s="8" t="s">
        <v>28</v>
      </c>
      <c r="D1246" s="9" t="n">
        <v>44206</v>
      </c>
      <c r="E1246" s="9" t="str">
        <f aca="false">TEXT(D1246,"MMM")</f>
        <v>jan</v>
      </c>
      <c r="F1246" s="10" t="n">
        <v>-5731.08</v>
      </c>
      <c r="G1246" s="8" t="s">
        <v>34</v>
      </c>
      <c r="H1246" s="8" t="s">
        <v>12</v>
      </c>
      <c r="I1246" s="11" t="s">
        <v>13</v>
      </c>
      <c r="J1246" s="8" t="s">
        <v>19</v>
      </c>
    </row>
    <row r="1247" customFormat="false" ht="14.25" hidden="false" customHeight="false" outlineLevel="0" collapsed="false">
      <c r="A1247" s="8" t="n">
        <v>1246</v>
      </c>
      <c r="B1247" s="8" t="s">
        <v>79</v>
      </c>
      <c r="C1247" s="8" t="s">
        <v>28</v>
      </c>
      <c r="D1247" s="9" t="n">
        <v>44206</v>
      </c>
      <c r="E1247" s="9" t="str">
        <f aca="false">TEXT(D1247,"MMM")</f>
        <v>jan</v>
      </c>
      <c r="F1247" s="10" t="n">
        <v>-515.69</v>
      </c>
      <c r="G1247" s="8" t="s">
        <v>34</v>
      </c>
      <c r="H1247" s="8" t="s">
        <v>17</v>
      </c>
      <c r="I1247" s="11" t="s">
        <v>18</v>
      </c>
      <c r="J1247" s="8" t="s">
        <v>14</v>
      </c>
    </row>
    <row r="1248" customFormat="false" ht="14.25" hidden="false" customHeight="false" outlineLevel="0" collapsed="false">
      <c r="A1248" s="8" t="n">
        <v>1247</v>
      </c>
      <c r="B1248" s="8" t="s">
        <v>45</v>
      </c>
      <c r="C1248" s="8" t="s">
        <v>21</v>
      </c>
      <c r="D1248" s="9" t="n">
        <v>44206</v>
      </c>
      <c r="E1248" s="9" t="str">
        <f aca="false">TEXT(D1248,"MMM")</f>
        <v>jan</v>
      </c>
      <c r="F1248" s="10" t="n">
        <v>-749.21</v>
      </c>
      <c r="G1248" s="8" t="s">
        <v>34</v>
      </c>
      <c r="H1248" s="8" t="s">
        <v>12</v>
      </c>
      <c r="I1248" s="11" t="s">
        <v>13</v>
      </c>
      <c r="J1248" s="8" t="s">
        <v>14</v>
      </c>
    </row>
    <row r="1249" customFormat="false" ht="14.25" hidden="false" customHeight="false" outlineLevel="0" collapsed="false">
      <c r="A1249" s="8" t="n">
        <v>1248</v>
      </c>
      <c r="B1249" s="8" t="s">
        <v>15</v>
      </c>
      <c r="C1249" s="8" t="s">
        <v>16</v>
      </c>
      <c r="D1249" s="9" t="n">
        <v>44207</v>
      </c>
      <c r="E1249" s="9" t="str">
        <f aca="false">TEXT(D1249,"MMM")</f>
        <v>jan</v>
      </c>
      <c r="F1249" s="10" t="n">
        <v>-6850.83</v>
      </c>
      <c r="G1249" s="8" t="s">
        <v>34</v>
      </c>
      <c r="H1249" s="8" t="s">
        <v>36</v>
      </c>
      <c r="I1249" s="11" t="s">
        <v>37</v>
      </c>
      <c r="J1249" s="8" t="s">
        <v>14</v>
      </c>
    </row>
    <row r="1250" customFormat="false" ht="14.25" hidden="false" customHeight="false" outlineLevel="0" collapsed="false">
      <c r="A1250" s="8" t="n">
        <v>1249</v>
      </c>
      <c r="B1250" s="8" t="s">
        <v>33</v>
      </c>
      <c r="C1250" s="8" t="s">
        <v>28</v>
      </c>
      <c r="D1250" s="9" t="n">
        <v>44208</v>
      </c>
      <c r="E1250" s="9" t="str">
        <f aca="false">TEXT(D1250,"MMM")</f>
        <v>jan</v>
      </c>
      <c r="F1250" s="10" t="n">
        <v>-54094.78</v>
      </c>
      <c r="G1250" s="8" t="s">
        <v>34</v>
      </c>
      <c r="H1250" s="8" t="s">
        <v>36</v>
      </c>
      <c r="I1250" s="11" t="s">
        <v>37</v>
      </c>
      <c r="J1250" s="8" t="s">
        <v>14</v>
      </c>
    </row>
    <row r="1251" customFormat="false" ht="14.25" hidden="false" customHeight="false" outlineLevel="0" collapsed="false">
      <c r="A1251" s="8" t="n">
        <v>1250</v>
      </c>
      <c r="B1251" s="8" t="s">
        <v>33</v>
      </c>
      <c r="C1251" s="8" t="s">
        <v>28</v>
      </c>
      <c r="D1251" s="9" t="n">
        <v>44208</v>
      </c>
      <c r="E1251" s="9" t="str">
        <f aca="false">TEXT(D1251,"MMM")</f>
        <v>jan</v>
      </c>
      <c r="F1251" s="10" t="n">
        <v>4937.31</v>
      </c>
      <c r="G1251" s="8" t="s">
        <v>11</v>
      </c>
      <c r="H1251" s="8" t="s">
        <v>12</v>
      </c>
      <c r="I1251" s="11" t="s">
        <v>13</v>
      </c>
      <c r="J1251" s="8" t="s">
        <v>26</v>
      </c>
    </row>
    <row r="1252" customFormat="false" ht="14.25" hidden="false" customHeight="false" outlineLevel="0" collapsed="false">
      <c r="A1252" s="8" t="n">
        <v>1251</v>
      </c>
      <c r="B1252" s="8" t="s">
        <v>33</v>
      </c>
      <c r="C1252" s="8" t="s">
        <v>10</v>
      </c>
      <c r="D1252" s="9" t="n">
        <v>44208</v>
      </c>
      <c r="E1252" s="9" t="str">
        <f aca="false">TEXT(D1252,"MMM")</f>
        <v>jan</v>
      </c>
      <c r="F1252" s="10" t="n">
        <v>148265.85</v>
      </c>
      <c r="G1252" s="8" t="s">
        <v>11</v>
      </c>
      <c r="H1252" s="8" t="s">
        <v>36</v>
      </c>
      <c r="I1252" s="11" t="s">
        <v>37</v>
      </c>
      <c r="J1252" s="8" t="s">
        <v>26</v>
      </c>
    </row>
    <row r="1253" customFormat="false" ht="14.25" hidden="false" customHeight="false" outlineLevel="0" collapsed="false">
      <c r="A1253" s="8" t="n">
        <v>1252</v>
      </c>
      <c r="B1253" s="8" t="s">
        <v>33</v>
      </c>
      <c r="C1253" s="8" t="s">
        <v>21</v>
      </c>
      <c r="D1253" s="9" t="n">
        <v>44208</v>
      </c>
      <c r="E1253" s="9" t="str">
        <f aca="false">TEXT(D1253,"MMM")</f>
        <v>jan</v>
      </c>
      <c r="F1253" s="10" t="n">
        <v>16392.99</v>
      </c>
      <c r="G1253" s="8" t="s">
        <v>11</v>
      </c>
      <c r="H1253" s="8" t="s">
        <v>12</v>
      </c>
      <c r="I1253" s="11" t="s">
        <v>13</v>
      </c>
      <c r="J1253" s="8" t="s">
        <v>14</v>
      </c>
    </row>
    <row r="1254" customFormat="false" ht="14.25" hidden="false" customHeight="false" outlineLevel="0" collapsed="false">
      <c r="A1254" s="8" t="n">
        <v>1253</v>
      </c>
      <c r="B1254" s="8" t="s">
        <v>33</v>
      </c>
      <c r="C1254" s="8" t="s">
        <v>10</v>
      </c>
      <c r="D1254" s="9" t="n">
        <v>44208</v>
      </c>
      <c r="E1254" s="9" t="str">
        <f aca="false">TEXT(D1254,"MMM")</f>
        <v>jan</v>
      </c>
      <c r="F1254" s="10" t="n">
        <v>14717.48</v>
      </c>
      <c r="G1254" s="8" t="s">
        <v>11</v>
      </c>
      <c r="H1254" s="8" t="s">
        <v>12</v>
      </c>
      <c r="I1254" s="11" t="s">
        <v>13</v>
      </c>
      <c r="J1254" s="8" t="s">
        <v>19</v>
      </c>
    </row>
    <row r="1255" customFormat="false" ht="14.25" hidden="false" customHeight="false" outlineLevel="0" collapsed="false">
      <c r="A1255" s="8" t="n">
        <v>1254</v>
      </c>
      <c r="B1255" s="8" t="s">
        <v>39</v>
      </c>
      <c r="C1255" s="8" t="s">
        <v>10</v>
      </c>
      <c r="D1255" s="9" t="n">
        <v>44209</v>
      </c>
      <c r="E1255" s="9" t="str">
        <f aca="false">TEXT(D1255,"MMM")</f>
        <v>jan</v>
      </c>
      <c r="F1255" s="10" t="n">
        <v>166763.62</v>
      </c>
      <c r="G1255" s="8" t="s">
        <v>11</v>
      </c>
      <c r="H1255" s="8" t="s">
        <v>17</v>
      </c>
      <c r="I1255" s="11" t="s">
        <v>18</v>
      </c>
      <c r="J1255" s="8" t="s">
        <v>14</v>
      </c>
    </row>
    <row r="1256" customFormat="false" ht="14.25" hidden="false" customHeight="false" outlineLevel="0" collapsed="false">
      <c r="A1256" s="8" t="n">
        <v>1255</v>
      </c>
      <c r="B1256" s="8" t="s">
        <v>58</v>
      </c>
      <c r="C1256" s="8" t="s">
        <v>28</v>
      </c>
      <c r="D1256" s="9" t="n">
        <v>44211</v>
      </c>
      <c r="E1256" s="9" t="str">
        <f aca="false">TEXT(D1256,"MMM")</f>
        <v>jan</v>
      </c>
      <c r="F1256" s="10" t="n">
        <v>147956.52</v>
      </c>
      <c r="G1256" s="8" t="s">
        <v>11</v>
      </c>
      <c r="H1256" s="8" t="s">
        <v>12</v>
      </c>
      <c r="I1256" s="11" t="s">
        <v>13</v>
      </c>
      <c r="J1256" s="8" t="s">
        <v>24</v>
      </c>
    </row>
    <row r="1257" customFormat="false" ht="14.25" hidden="false" customHeight="false" outlineLevel="0" collapsed="false">
      <c r="A1257" s="8" t="n">
        <v>1256</v>
      </c>
      <c r="B1257" s="8" t="s">
        <v>58</v>
      </c>
      <c r="C1257" s="8" t="s">
        <v>10</v>
      </c>
      <c r="D1257" s="9" t="n">
        <v>44211</v>
      </c>
      <c r="E1257" s="9" t="str">
        <f aca="false">TEXT(D1257,"MMM")</f>
        <v>jan</v>
      </c>
      <c r="F1257" s="10" t="n">
        <v>13993.22</v>
      </c>
      <c r="G1257" s="8" t="s">
        <v>11</v>
      </c>
      <c r="H1257" s="8" t="s">
        <v>12</v>
      </c>
      <c r="I1257" s="11" t="s">
        <v>13</v>
      </c>
      <c r="J1257" s="8" t="s">
        <v>14</v>
      </c>
    </row>
    <row r="1258" customFormat="false" ht="14.25" hidden="false" customHeight="false" outlineLevel="0" collapsed="false">
      <c r="A1258" s="8" t="n">
        <v>1257</v>
      </c>
      <c r="B1258" s="8" t="s">
        <v>58</v>
      </c>
      <c r="C1258" s="8" t="s">
        <v>16</v>
      </c>
      <c r="D1258" s="9" t="n">
        <v>44211</v>
      </c>
      <c r="E1258" s="9" t="str">
        <f aca="false">TEXT(D1258,"MMM")</f>
        <v>jan</v>
      </c>
      <c r="F1258" s="10" t="n">
        <v>-36989.86</v>
      </c>
      <c r="G1258" s="8" t="s">
        <v>34</v>
      </c>
      <c r="H1258" s="8" t="s">
        <v>36</v>
      </c>
      <c r="I1258" s="11" t="s">
        <v>37</v>
      </c>
      <c r="J1258" s="8" t="s">
        <v>14</v>
      </c>
    </row>
    <row r="1259" customFormat="false" ht="14.25" hidden="false" customHeight="false" outlineLevel="0" collapsed="false">
      <c r="A1259" s="8" t="n">
        <v>1258</v>
      </c>
      <c r="B1259" s="8" t="s">
        <v>58</v>
      </c>
      <c r="C1259" s="8" t="s">
        <v>21</v>
      </c>
      <c r="D1259" s="9" t="n">
        <v>44211</v>
      </c>
      <c r="E1259" s="9" t="str">
        <f aca="false">TEXT(D1259,"MMM")</f>
        <v>jan</v>
      </c>
      <c r="F1259" s="10" t="n">
        <v>-58333.24</v>
      </c>
      <c r="G1259" s="8" t="s">
        <v>34</v>
      </c>
      <c r="H1259" s="8" t="s">
        <v>12</v>
      </c>
      <c r="I1259" s="11" t="s">
        <v>13</v>
      </c>
      <c r="J1259" s="8" t="s">
        <v>14</v>
      </c>
    </row>
    <row r="1260" customFormat="false" ht="14.25" hidden="false" customHeight="false" outlineLevel="0" collapsed="false">
      <c r="A1260" s="8" t="n">
        <v>1259</v>
      </c>
      <c r="B1260" s="8" t="s">
        <v>39</v>
      </c>
      <c r="C1260" s="8" t="s">
        <v>10</v>
      </c>
      <c r="D1260" s="9" t="n">
        <v>44211</v>
      </c>
      <c r="E1260" s="9" t="str">
        <f aca="false">TEXT(D1260,"MMM")</f>
        <v>jan</v>
      </c>
      <c r="F1260" s="10" t="n">
        <v>-25832.59</v>
      </c>
      <c r="G1260" s="8" t="s">
        <v>34</v>
      </c>
      <c r="H1260" s="8" t="s">
        <v>17</v>
      </c>
      <c r="I1260" s="11" t="s">
        <v>18</v>
      </c>
      <c r="J1260" s="8" t="s">
        <v>19</v>
      </c>
    </row>
    <row r="1261" customFormat="false" ht="14.25" hidden="false" customHeight="false" outlineLevel="0" collapsed="false">
      <c r="A1261" s="8" t="n">
        <v>1260</v>
      </c>
      <c r="B1261" s="8" t="s">
        <v>58</v>
      </c>
      <c r="C1261" s="8" t="s">
        <v>16</v>
      </c>
      <c r="D1261" s="9" t="n">
        <v>44211</v>
      </c>
      <c r="E1261" s="9" t="str">
        <f aca="false">TEXT(D1261,"MMM")</f>
        <v>jan</v>
      </c>
      <c r="F1261" s="10" t="n">
        <v>-11882.92</v>
      </c>
      <c r="G1261" s="8" t="s">
        <v>34</v>
      </c>
      <c r="H1261" s="8" t="s">
        <v>12</v>
      </c>
      <c r="I1261" s="11" t="s">
        <v>13</v>
      </c>
      <c r="J1261" s="8" t="s">
        <v>14</v>
      </c>
    </row>
    <row r="1262" customFormat="false" ht="14.25" hidden="false" customHeight="false" outlineLevel="0" collapsed="false">
      <c r="A1262" s="8" t="n">
        <v>1261</v>
      </c>
      <c r="B1262" s="8" t="s">
        <v>58</v>
      </c>
      <c r="C1262" s="8" t="s">
        <v>28</v>
      </c>
      <c r="D1262" s="9" t="n">
        <v>44211</v>
      </c>
      <c r="E1262" s="9" t="str">
        <f aca="false">TEXT(D1262,"MMM")</f>
        <v>jan</v>
      </c>
      <c r="F1262" s="10" t="n">
        <v>-23030.18</v>
      </c>
      <c r="G1262" s="8" t="s">
        <v>34</v>
      </c>
      <c r="H1262" s="8" t="s">
        <v>12</v>
      </c>
      <c r="I1262" s="11" t="s">
        <v>13</v>
      </c>
      <c r="J1262" s="8" t="s">
        <v>24</v>
      </c>
    </row>
    <row r="1263" customFormat="false" ht="14.25" hidden="false" customHeight="false" outlineLevel="0" collapsed="false">
      <c r="A1263" s="8" t="n">
        <v>1262</v>
      </c>
      <c r="B1263" s="8" t="s">
        <v>40</v>
      </c>
      <c r="C1263" s="8" t="s">
        <v>21</v>
      </c>
      <c r="D1263" s="9" t="n">
        <v>44212</v>
      </c>
      <c r="E1263" s="9" t="str">
        <f aca="false">TEXT(D1263,"MMM")</f>
        <v>jan</v>
      </c>
      <c r="F1263" s="10" t="n">
        <v>-11606.49</v>
      </c>
      <c r="G1263" s="8" t="s">
        <v>34</v>
      </c>
      <c r="H1263" s="8" t="s">
        <v>12</v>
      </c>
      <c r="I1263" s="11" t="s">
        <v>13</v>
      </c>
      <c r="J1263" s="8" t="s">
        <v>26</v>
      </c>
    </row>
    <row r="1264" customFormat="false" ht="14.25" hidden="false" customHeight="false" outlineLevel="0" collapsed="false">
      <c r="A1264" s="8" t="n">
        <v>1263</v>
      </c>
      <c r="B1264" s="8" t="s">
        <v>61</v>
      </c>
      <c r="C1264" s="8" t="s">
        <v>21</v>
      </c>
      <c r="D1264" s="9" t="n">
        <v>44212</v>
      </c>
      <c r="E1264" s="9" t="str">
        <f aca="false">TEXT(D1264,"MMM")</f>
        <v>jan</v>
      </c>
      <c r="F1264" s="10" t="n">
        <v>-563.26</v>
      </c>
      <c r="G1264" s="8" t="s">
        <v>34</v>
      </c>
      <c r="H1264" s="8" t="s">
        <v>17</v>
      </c>
      <c r="I1264" s="11" t="s">
        <v>18</v>
      </c>
      <c r="J1264" s="8" t="s">
        <v>26</v>
      </c>
    </row>
    <row r="1265" customFormat="false" ht="14.25" hidden="false" customHeight="false" outlineLevel="0" collapsed="false">
      <c r="A1265" s="8" t="n">
        <v>1264</v>
      </c>
      <c r="B1265" s="8" t="s">
        <v>62</v>
      </c>
      <c r="C1265" s="8" t="s">
        <v>21</v>
      </c>
      <c r="D1265" s="9" t="n">
        <v>44212</v>
      </c>
      <c r="E1265" s="9" t="str">
        <f aca="false">TEXT(D1265,"MMM")</f>
        <v>jan</v>
      </c>
      <c r="F1265" s="10" t="n">
        <v>185531.75</v>
      </c>
      <c r="G1265" s="8" t="s">
        <v>11</v>
      </c>
      <c r="H1265" s="8" t="s">
        <v>36</v>
      </c>
      <c r="I1265" s="11" t="s">
        <v>37</v>
      </c>
      <c r="J1265" s="8" t="s">
        <v>26</v>
      </c>
    </row>
    <row r="1266" customFormat="false" ht="14.25" hidden="false" customHeight="false" outlineLevel="0" collapsed="false">
      <c r="A1266" s="8" t="n">
        <v>1265</v>
      </c>
      <c r="B1266" s="8" t="s">
        <v>61</v>
      </c>
      <c r="C1266" s="8" t="s">
        <v>10</v>
      </c>
      <c r="D1266" s="9" t="n">
        <v>44212</v>
      </c>
      <c r="E1266" s="9" t="str">
        <f aca="false">TEXT(D1266,"MMM")</f>
        <v>jan</v>
      </c>
      <c r="F1266" s="10" t="n">
        <v>-32026.82</v>
      </c>
      <c r="G1266" s="8" t="s">
        <v>34</v>
      </c>
      <c r="H1266" s="8" t="s">
        <v>17</v>
      </c>
      <c r="I1266" s="11" t="s">
        <v>18</v>
      </c>
      <c r="J1266" s="8" t="s">
        <v>14</v>
      </c>
    </row>
    <row r="1267" customFormat="false" ht="14.25" hidden="false" customHeight="false" outlineLevel="0" collapsed="false">
      <c r="A1267" s="8" t="n">
        <v>1266</v>
      </c>
      <c r="B1267" s="8" t="s">
        <v>62</v>
      </c>
      <c r="C1267" s="8" t="s">
        <v>28</v>
      </c>
      <c r="D1267" s="9" t="n">
        <v>44212</v>
      </c>
      <c r="E1267" s="9" t="str">
        <f aca="false">TEXT(D1267,"MMM")</f>
        <v>jan</v>
      </c>
      <c r="F1267" s="10" t="n">
        <v>-2512.51</v>
      </c>
      <c r="G1267" s="8" t="s">
        <v>34</v>
      </c>
      <c r="H1267" s="8" t="s">
        <v>17</v>
      </c>
      <c r="I1267" s="11" t="s">
        <v>18</v>
      </c>
      <c r="J1267" s="8" t="s">
        <v>14</v>
      </c>
    </row>
    <row r="1268" customFormat="false" ht="14.25" hidden="false" customHeight="false" outlineLevel="0" collapsed="false">
      <c r="A1268" s="8" t="n">
        <v>1267</v>
      </c>
      <c r="B1268" s="8" t="s">
        <v>49</v>
      </c>
      <c r="C1268" s="8" t="s">
        <v>21</v>
      </c>
      <c r="D1268" s="9" t="n">
        <v>44212</v>
      </c>
      <c r="E1268" s="9" t="str">
        <f aca="false">TEXT(D1268,"MMM")</f>
        <v>jan</v>
      </c>
      <c r="F1268" s="10" t="n">
        <v>-587.13</v>
      </c>
      <c r="G1268" s="8" t="s">
        <v>34</v>
      </c>
      <c r="H1268" s="8" t="s">
        <v>12</v>
      </c>
      <c r="I1268" s="11" t="s">
        <v>13</v>
      </c>
      <c r="J1268" s="8" t="s">
        <v>19</v>
      </c>
    </row>
    <row r="1269" customFormat="false" ht="14.25" hidden="false" customHeight="false" outlineLevel="0" collapsed="false">
      <c r="A1269" s="8" t="n">
        <v>1268</v>
      </c>
      <c r="B1269" s="8" t="s">
        <v>61</v>
      </c>
      <c r="C1269" s="8" t="s">
        <v>21</v>
      </c>
      <c r="D1269" s="9" t="n">
        <v>44212</v>
      </c>
      <c r="E1269" s="9" t="str">
        <f aca="false">TEXT(D1269,"MMM")</f>
        <v>jan</v>
      </c>
      <c r="F1269" s="10" t="n">
        <v>-6505.56</v>
      </c>
      <c r="G1269" s="8" t="s">
        <v>34</v>
      </c>
      <c r="H1269" s="8" t="s">
        <v>12</v>
      </c>
      <c r="I1269" s="11" t="s">
        <v>13</v>
      </c>
      <c r="J1269" s="8" t="s">
        <v>14</v>
      </c>
    </row>
    <row r="1270" customFormat="false" ht="14.25" hidden="false" customHeight="false" outlineLevel="0" collapsed="false">
      <c r="A1270" s="8" t="n">
        <v>1269</v>
      </c>
      <c r="B1270" s="8" t="s">
        <v>62</v>
      </c>
      <c r="C1270" s="8" t="s">
        <v>10</v>
      </c>
      <c r="D1270" s="9" t="n">
        <v>44212</v>
      </c>
      <c r="E1270" s="9" t="str">
        <f aca="false">TEXT(D1270,"MMM")</f>
        <v>jan</v>
      </c>
      <c r="F1270" s="10" t="n">
        <v>-7068.6</v>
      </c>
      <c r="G1270" s="8" t="s">
        <v>34</v>
      </c>
      <c r="H1270" s="8" t="s">
        <v>17</v>
      </c>
      <c r="I1270" s="11" t="s">
        <v>18</v>
      </c>
      <c r="J1270" s="8" t="s">
        <v>14</v>
      </c>
    </row>
    <row r="1271" customFormat="false" ht="14.25" hidden="false" customHeight="false" outlineLevel="0" collapsed="false">
      <c r="A1271" s="8" t="n">
        <v>1270</v>
      </c>
      <c r="B1271" s="8" t="s">
        <v>51</v>
      </c>
      <c r="C1271" s="8" t="s">
        <v>16</v>
      </c>
      <c r="D1271" s="9" t="n">
        <v>44213</v>
      </c>
      <c r="E1271" s="9" t="str">
        <f aca="false">TEXT(D1271,"MMM")</f>
        <v>jan</v>
      </c>
      <c r="F1271" s="10" t="n">
        <v>-8019.62</v>
      </c>
      <c r="G1271" s="8" t="s">
        <v>34</v>
      </c>
      <c r="H1271" s="8" t="s">
        <v>30</v>
      </c>
      <c r="I1271" s="11" t="s">
        <v>31</v>
      </c>
      <c r="J1271" s="8" t="s">
        <v>26</v>
      </c>
    </row>
    <row r="1272" customFormat="false" ht="14.25" hidden="false" customHeight="false" outlineLevel="0" collapsed="false">
      <c r="A1272" s="8" t="n">
        <v>1271</v>
      </c>
      <c r="B1272" s="8" t="s">
        <v>39</v>
      </c>
      <c r="C1272" s="8" t="s">
        <v>10</v>
      </c>
      <c r="D1272" s="9" t="n">
        <v>44213</v>
      </c>
      <c r="E1272" s="9" t="str">
        <f aca="false">TEXT(D1272,"MMM")</f>
        <v>jan</v>
      </c>
      <c r="F1272" s="10" t="n">
        <v>4684.62</v>
      </c>
      <c r="G1272" s="8" t="s">
        <v>11</v>
      </c>
      <c r="H1272" s="8" t="s">
        <v>12</v>
      </c>
      <c r="I1272" s="11" t="s">
        <v>13</v>
      </c>
      <c r="J1272" s="8" t="s">
        <v>24</v>
      </c>
    </row>
    <row r="1273" customFormat="false" ht="14.25" hidden="false" customHeight="false" outlineLevel="0" collapsed="false">
      <c r="A1273" s="8" t="n">
        <v>1272</v>
      </c>
      <c r="B1273" s="8" t="s">
        <v>58</v>
      </c>
      <c r="C1273" s="8" t="s">
        <v>10</v>
      </c>
      <c r="D1273" s="9" t="n">
        <v>44213</v>
      </c>
      <c r="E1273" s="9" t="str">
        <f aca="false">TEXT(D1273,"MMM")</f>
        <v>jan</v>
      </c>
      <c r="F1273" s="10" t="n">
        <v>37824.02</v>
      </c>
      <c r="G1273" s="8" t="s">
        <v>11</v>
      </c>
      <c r="H1273" s="8" t="s">
        <v>12</v>
      </c>
      <c r="I1273" s="11" t="s">
        <v>13</v>
      </c>
      <c r="J1273" s="8" t="s">
        <v>14</v>
      </c>
    </row>
    <row r="1274" customFormat="false" ht="14.25" hidden="false" customHeight="false" outlineLevel="0" collapsed="false">
      <c r="A1274" s="8" t="n">
        <v>1273</v>
      </c>
      <c r="B1274" s="8" t="s">
        <v>58</v>
      </c>
      <c r="C1274" s="8" t="s">
        <v>28</v>
      </c>
      <c r="D1274" s="9" t="n">
        <v>44213</v>
      </c>
      <c r="E1274" s="9" t="str">
        <f aca="false">TEXT(D1274,"MMM")</f>
        <v>jan</v>
      </c>
      <c r="F1274" s="10" t="n">
        <v>37049.79</v>
      </c>
      <c r="G1274" s="8" t="s">
        <v>11</v>
      </c>
      <c r="H1274" s="8" t="s">
        <v>12</v>
      </c>
      <c r="I1274" s="11" t="s">
        <v>13</v>
      </c>
      <c r="J1274" s="8" t="s">
        <v>14</v>
      </c>
    </row>
    <row r="1275" customFormat="false" ht="14.25" hidden="false" customHeight="false" outlineLevel="0" collapsed="false">
      <c r="A1275" s="8" t="n">
        <v>1274</v>
      </c>
      <c r="B1275" s="8" t="s">
        <v>58</v>
      </c>
      <c r="C1275" s="8" t="s">
        <v>16</v>
      </c>
      <c r="D1275" s="9" t="n">
        <v>44213</v>
      </c>
      <c r="E1275" s="9" t="str">
        <f aca="false">TEXT(D1275,"MMM")</f>
        <v>jan</v>
      </c>
      <c r="F1275" s="10" t="n">
        <v>35956.33</v>
      </c>
      <c r="G1275" s="8" t="s">
        <v>11</v>
      </c>
      <c r="H1275" s="8" t="s">
        <v>17</v>
      </c>
      <c r="I1275" s="11" t="s">
        <v>18</v>
      </c>
      <c r="J1275" s="8" t="s">
        <v>26</v>
      </c>
    </row>
    <row r="1276" customFormat="false" ht="14.25" hidden="false" customHeight="false" outlineLevel="0" collapsed="false">
      <c r="A1276" s="8" t="n">
        <v>1275</v>
      </c>
      <c r="B1276" s="8" t="s">
        <v>58</v>
      </c>
      <c r="C1276" s="8" t="s">
        <v>16</v>
      </c>
      <c r="D1276" s="9" t="n">
        <v>44213</v>
      </c>
      <c r="E1276" s="9" t="str">
        <f aca="false">TEXT(D1276,"MMM")</f>
        <v>jan</v>
      </c>
      <c r="F1276" s="10" t="n">
        <v>35244.33</v>
      </c>
      <c r="G1276" s="8" t="s">
        <v>11</v>
      </c>
      <c r="H1276" s="8" t="s">
        <v>36</v>
      </c>
      <c r="I1276" s="11" t="s">
        <v>37</v>
      </c>
      <c r="J1276" s="8" t="s">
        <v>26</v>
      </c>
    </row>
    <row r="1277" customFormat="false" ht="14.25" hidden="false" customHeight="false" outlineLevel="0" collapsed="false">
      <c r="A1277" s="8" t="n">
        <v>1276</v>
      </c>
      <c r="B1277" s="8" t="s">
        <v>58</v>
      </c>
      <c r="C1277" s="8" t="s">
        <v>21</v>
      </c>
      <c r="D1277" s="9" t="n">
        <v>44213</v>
      </c>
      <c r="E1277" s="9" t="str">
        <f aca="false">TEXT(D1277,"MMM")</f>
        <v>jan</v>
      </c>
      <c r="F1277" s="10" t="n">
        <v>21086.08</v>
      </c>
      <c r="G1277" s="8" t="s">
        <v>11</v>
      </c>
      <c r="H1277" s="8" t="s">
        <v>12</v>
      </c>
      <c r="I1277" s="11" t="s">
        <v>13</v>
      </c>
      <c r="J1277" s="8" t="s">
        <v>14</v>
      </c>
    </row>
    <row r="1278" customFormat="false" ht="14.25" hidden="false" customHeight="false" outlineLevel="0" collapsed="false">
      <c r="A1278" s="8" t="n">
        <v>1277</v>
      </c>
      <c r="B1278" s="8" t="s">
        <v>29</v>
      </c>
      <c r="C1278" s="8" t="s">
        <v>28</v>
      </c>
      <c r="D1278" s="9" t="n">
        <v>44215</v>
      </c>
      <c r="E1278" s="9" t="str">
        <f aca="false">TEXT(D1278,"MMM")</f>
        <v>jan</v>
      </c>
      <c r="F1278" s="10" t="n">
        <v>21899.03</v>
      </c>
      <c r="G1278" s="8" t="s">
        <v>11</v>
      </c>
      <c r="H1278" s="8" t="s">
        <v>17</v>
      </c>
      <c r="I1278" s="11" t="s">
        <v>18</v>
      </c>
      <c r="J1278" s="8" t="s">
        <v>24</v>
      </c>
    </row>
    <row r="1279" customFormat="false" ht="14.25" hidden="false" customHeight="false" outlineLevel="0" collapsed="false">
      <c r="A1279" s="8" t="n">
        <v>1278</v>
      </c>
      <c r="B1279" s="8" t="s">
        <v>101</v>
      </c>
      <c r="C1279" s="8" t="s">
        <v>16</v>
      </c>
      <c r="D1279" s="9" t="n">
        <v>44215</v>
      </c>
      <c r="E1279" s="9" t="str">
        <f aca="false">TEXT(D1279,"MMM")</f>
        <v>jan</v>
      </c>
      <c r="F1279" s="10" t="n">
        <v>20029.82</v>
      </c>
      <c r="G1279" s="8" t="s">
        <v>11</v>
      </c>
      <c r="H1279" s="8" t="s">
        <v>12</v>
      </c>
      <c r="I1279" s="11" t="s">
        <v>13</v>
      </c>
      <c r="J1279" s="8" t="s">
        <v>26</v>
      </c>
    </row>
    <row r="1280" customFormat="false" ht="14.25" hidden="false" customHeight="false" outlineLevel="0" collapsed="false">
      <c r="A1280" s="8" t="n">
        <v>1279</v>
      </c>
      <c r="B1280" s="8" t="s">
        <v>151</v>
      </c>
      <c r="C1280" s="8" t="s">
        <v>21</v>
      </c>
      <c r="D1280" s="9" t="n">
        <v>44215</v>
      </c>
      <c r="E1280" s="9" t="str">
        <f aca="false">TEXT(D1280,"MMM")</f>
        <v>jan</v>
      </c>
      <c r="F1280" s="10" t="n">
        <v>143942.4</v>
      </c>
      <c r="G1280" s="8" t="s">
        <v>11</v>
      </c>
      <c r="H1280" s="8" t="s">
        <v>36</v>
      </c>
      <c r="I1280" s="11" t="s">
        <v>37</v>
      </c>
      <c r="J1280" s="8" t="s">
        <v>24</v>
      </c>
    </row>
    <row r="1281" customFormat="false" ht="14.25" hidden="false" customHeight="false" outlineLevel="0" collapsed="false">
      <c r="A1281" s="8" t="n">
        <v>1280</v>
      </c>
      <c r="B1281" s="8" t="s">
        <v>15</v>
      </c>
      <c r="C1281" s="8" t="s">
        <v>21</v>
      </c>
      <c r="D1281" s="9" t="n">
        <v>44215</v>
      </c>
      <c r="E1281" s="9" t="str">
        <f aca="false">TEXT(D1281,"MMM")</f>
        <v>jan</v>
      </c>
      <c r="F1281" s="10" t="n">
        <v>154791.99</v>
      </c>
      <c r="G1281" s="8" t="s">
        <v>11</v>
      </c>
      <c r="H1281" s="8" t="s">
        <v>17</v>
      </c>
      <c r="I1281" s="11" t="s">
        <v>18</v>
      </c>
      <c r="J1281" s="8" t="s">
        <v>26</v>
      </c>
    </row>
    <row r="1282" customFormat="false" ht="14.25" hidden="false" customHeight="false" outlineLevel="0" collapsed="false">
      <c r="A1282" s="8" t="n">
        <v>1281</v>
      </c>
      <c r="B1282" s="8" t="s">
        <v>39</v>
      </c>
      <c r="C1282" s="8" t="s">
        <v>10</v>
      </c>
      <c r="D1282" s="9" t="n">
        <v>44216</v>
      </c>
      <c r="E1282" s="9" t="str">
        <f aca="false">TEXT(D1282,"MMM")</f>
        <v>jan</v>
      </c>
      <c r="F1282" s="10" t="n">
        <v>74090.45</v>
      </c>
      <c r="G1282" s="8" t="s">
        <v>11</v>
      </c>
      <c r="H1282" s="8" t="s">
        <v>12</v>
      </c>
      <c r="I1282" s="11" t="s">
        <v>13</v>
      </c>
      <c r="J1282" s="8" t="s">
        <v>14</v>
      </c>
    </row>
    <row r="1283" customFormat="false" ht="14.25" hidden="false" customHeight="false" outlineLevel="0" collapsed="false">
      <c r="A1283" s="8" t="n">
        <v>1282</v>
      </c>
      <c r="B1283" s="8" t="s">
        <v>145</v>
      </c>
      <c r="C1283" s="8" t="s">
        <v>10</v>
      </c>
      <c r="D1283" s="9" t="n">
        <v>44218</v>
      </c>
      <c r="E1283" s="9" t="str">
        <f aca="false">TEXT(D1283,"MMM")</f>
        <v>jan</v>
      </c>
      <c r="F1283" s="10" t="n">
        <v>3784.2</v>
      </c>
      <c r="G1283" s="8" t="s">
        <v>11</v>
      </c>
      <c r="H1283" s="8" t="s">
        <v>12</v>
      </c>
      <c r="I1283" s="11" t="s">
        <v>13</v>
      </c>
      <c r="J1283" s="8" t="s">
        <v>14</v>
      </c>
    </row>
    <row r="1284" customFormat="false" ht="14.25" hidden="false" customHeight="false" outlineLevel="0" collapsed="false">
      <c r="A1284" s="8" t="n">
        <v>1283</v>
      </c>
      <c r="B1284" s="8" t="s">
        <v>85</v>
      </c>
      <c r="C1284" s="8" t="s">
        <v>21</v>
      </c>
      <c r="D1284" s="9" t="n">
        <v>44218</v>
      </c>
      <c r="E1284" s="9" t="str">
        <f aca="false">TEXT(D1284,"MMM")</f>
        <v>jan</v>
      </c>
      <c r="F1284" s="10" t="n">
        <v>148809.22</v>
      </c>
      <c r="G1284" s="8" t="s">
        <v>11</v>
      </c>
      <c r="H1284" s="8" t="s">
        <v>12</v>
      </c>
      <c r="I1284" s="11" t="s">
        <v>13</v>
      </c>
      <c r="J1284" s="8" t="s">
        <v>26</v>
      </c>
    </row>
    <row r="1285" customFormat="false" ht="14.25" hidden="false" customHeight="false" outlineLevel="0" collapsed="false">
      <c r="A1285" s="8" t="n">
        <v>1284</v>
      </c>
      <c r="B1285" s="8" t="s">
        <v>86</v>
      </c>
      <c r="C1285" s="8" t="s">
        <v>28</v>
      </c>
      <c r="D1285" s="9" t="n">
        <v>44219</v>
      </c>
      <c r="E1285" s="9" t="str">
        <f aca="false">TEXT(D1285,"MMM")</f>
        <v>jan</v>
      </c>
      <c r="F1285" s="10" t="n">
        <v>9822.6</v>
      </c>
      <c r="G1285" s="8" t="s">
        <v>11</v>
      </c>
      <c r="H1285" s="8" t="s">
        <v>12</v>
      </c>
      <c r="I1285" s="11" t="s">
        <v>13</v>
      </c>
      <c r="J1285" s="8" t="s">
        <v>14</v>
      </c>
    </row>
    <row r="1286" customFormat="false" ht="14.25" hidden="false" customHeight="false" outlineLevel="0" collapsed="false">
      <c r="A1286" s="8" t="n">
        <v>1285</v>
      </c>
      <c r="B1286" s="8" t="s">
        <v>20</v>
      </c>
      <c r="C1286" s="8" t="s">
        <v>16</v>
      </c>
      <c r="D1286" s="9" t="n">
        <v>44219</v>
      </c>
      <c r="E1286" s="9" t="str">
        <f aca="false">TEXT(D1286,"MMM")</f>
        <v>jan</v>
      </c>
      <c r="F1286" s="10" t="n">
        <v>140765.74</v>
      </c>
      <c r="G1286" s="8" t="s">
        <v>11</v>
      </c>
      <c r="H1286" s="8" t="s">
        <v>17</v>
      </c>
      <c r="I1286" s="11" t="s">
        <v>18</v>
      </c>
      <c r="J1286" s="8" t="s">
        <v>14</v>
      </c>
    </row>
    <row r="1287" customFormat="false" ht="14.25" hidden="false" customHeight="false" outlineLevel="0" collapsed="false">
      <c r="A1287" s="8" t="n">
        <v>1286</v>
      </c>
      <c r="B1287" s="8" t="s">
        <v>20</v>
      </c>
      <c r="C1287" s="8" t="s">
        <v>21</v>
      </c>
      <c r="D1287" s="9" t="n">
        <v>44219</v>
      </c>
      <c r="E1287" s="9" t="str">
        <f aca="false">TEXT(D1287,"MMM")</f>
        <v>jan</v>
      </c>
      <c r="F1287" s="10" t="n">
        <v>9822.6</v>
      </c>
      <c r="G1287" s="8" t="s">
        <v>11</v>
      </c>
      <c r="H1287" s="8" t="s">
        <v>17</v>
      </c>
      <c r="I1287" s="11" t="s">
        <v>18</v>
      </c>
      <c r="J1287" s="8" t="s">
        <v>14</v>
      </c>
    </row>
    <row r="1288" customFormat="false" ht="14.25" hidden="false" customHeight="false" outlineLevel="0" collapsed="false">
      <c r="A1288" s="8" t="n">
        <v>1287</v>
      </c>
      <c r="B1288" s="8" t="s">
        <v>20</v>
      </c>
      <c r="C1288" s="8" t="s">
        <v>28</v>
      </c>
      <c r="D1288" s="9" t="n">
        <v>44219</v>
      </c>
      <c r="E1288" s="9" t="str">
        <f aca="false">TEXT(D1288,"MMM")</f>
        <v>jan</v>
      </c>
      <c r="F1288" s="10" t="n">
        <v>9822.6</v>
      </c>
      <c r="G1288" s="8" t="s">
        <v>11</v>
      </c>
      <c r="H1288" s="8" t="s">
        <v>17</v>
      </c>
      <c r="I1288" s="11" t="s">
        <v>18</v>
      </c>
      <c r="J1288" s="8" t="s">
        <v>24</v>
      </c>
    </row>
    <row r="1289" customFormat="false" ht="14.25" hidden="false" customHeight="false" outlineLevel="0" collapsed="false">
      <c r="A1289" s="8" t="n">
        <v>1288</v>
      </c>
      <c r="B1289" s="8" t="s">
        <v>49</v>
      </c>
      <c r="C1289" s="8" t="s">
        <v>28</v>
      </c>
      <c r="D1289" s="9" t="n">
        <v>44219</v>
      </c>
      <c r="E1289" s="9" t="str">
        <f aca="false">TEXT(D1289,"MMM")</f>
        <v>jan</v>
      </c>
      <c r="F1289" s="10" t="n">
        <v>9822.6</v>
      </c>
      <c r="G1289" s="8" t="s">
        <v>11</v>
      </c>
      <c r="H1289" s="8" t="s">
        <v>22</v>
      </c>
      <c r="I1289" s="11" t="s">
        <v>23</v>
      </c>
      <c r="J1289" s="8" t="s">
        <v>26</v>
      </c>
    </row>
    <row r="1290" customFormat="false" ht="14.25" hidden="false" customHeight="false" outlineLevel="0" collapsed="false">
      <c r="A1290" s="8" t="n">
        <v>1289</v>
      </c>
      <c r="B1290" s="8" t="s">
        <v>40</v>
      </c>
      <c r="C1290" s="8" t="s">
        <v>10</v>
      </c>
      <c r="D1290" s="9" t="n">
        <v>44220</v>
      </c>
      <c r="E1290" s="9" t="str">
        <f aca="false">TEXT(D1290,"MMM")</f>
        <v>jan</v>
      </c>
      <c r="F1290" s="10" t="n">
        <v>9822.6</v>
      </c>
      <c r="G1290" s="8" t="s">
        <v>11</v>
      </c>
      <c r="H1290" s="8" t="s">
        <v>30</v>
      </c>
      <c r="I1290" s="11" t="s">
        <v>31</v>
      </c>
      <c r="J1290" s="8" t="s">
        <v>14</v>
      </c>
    </row>
    <row r="1291" customFormat="false" ht="14.25" hidden="false" customHeight="false" outlineLevel="0" collapsed="false">
      <c r="A1291" s="8" t="n">
        <v>1290</v>
      </c>
      <c r="B1291" s="8" t="s">
        <v>15</v>
      </c>
      <c r="C1291" s="8" t="s">
        <v>21</v>
      </c>
      <c r="D1291" s="9" t="n">
        <v>44220</v>
      </c>
      <c r="E1291" s="9" t="str">
        <f aca="false">TEXT(D1291,"MMM")</f>
        <v>jan</v>
      </c>
      <c r="F1291" s="10" t="n">
        <v>-7796.88</v>
      </c>
      <c r="G1291" s="8" t="s">
        <v>34</v>
      </c>
      <c r="H1291" s="8" t="s">
        <v>30</v>
      </c>
      <c r="I1291" s="11" t="s">
        <v>31</v>
      </c>
      <c r="J1291" s="8" t="s">
        <v>26</v>
      </c>
    </row>
    <row r="1292" customFormat="false" ht="14.25" hidden="false" customHeight="false" outlineLevel="0" collapsed="false">
      <c r="A1292" s="8" t="n">
        <v>1291</v>
      </c>
      <c r="B1292" s="8" t="s">
        <v>79</v>
      </c>
      <c r="C1292" s="8" t="s">
        <v>10</v>
      </c>
      <c r="D1292" s="9" t="n">
        <v>44220</v>
      </c>
      <c r="E1292" s="9" t="str">
        <f aca="false">TEXT(D1292,"MMM")</f>
        <v>jan</v>
      </c>
      <c r="F1292" s="10" t="n">
        <v>-459.87</v>
      </c>
      <c r="G1292" s="8" t="s">
        <v>34</v>
      </c>
      <c r="H1292" s="8" t="s">
        <v>12</v>
      </c>
      <c r="I1292" s="11" t="s">
        <v>13</v>
      </c>
      <c r="J1292" s="8" t="s">
        <v>26</v>
      </c>
    </row>
    <row r="1293" customFormat="false" ht="14.25" hidden="false" customHeight="false" outlineLevel="0" collapsed="false">
      <c r="A1293" s="8" t="n">
        <v>1292</v>
      </c>
      <c r="B1293" s="8" t="s">
        <v>44</v>
      </c>
      <c r="C1293" s="8" t="s">
        <v>28</v>
      </c>
      <c r="D1293" s="9" t="n">
        <v>44220</v>
      </c>
      <c r="E1293" s="9" t="str">
        <f aca="false">TEXT(D1293,"MMM")</f>
        <v>jan</v>
      </c>
      <c r="F1293" s="10" t="n">
        <v>-5023.27</v>
      </c>
      <c r="G1293" s="8" t="s">
        <v>34</v>
      </c>
      <c r="H1293" s="8" t="s">
        <v>36</v>
      </c>
      <c r="I1293" s="11" t="s">
        <v>37</v>
      </c>
      <c r="J1293" s="8" t="s">
        <v>24</v>
      </c>
    </row>
    <row r="1294" customFormat="false" ht="14.25" hidden="false" customHeight="false" outlineLevel="0" collapsed="false">
      <c r="A1294" s="8" t="n">
        <v>1293</v>
      </c>
      <c r="B1294" s="8" t="s">
        <v>45</v>
      </c>
      <c r="C1294" s="8" t="s">
        <v>21</v>
      </c>
      <c r="D1294" s="9" t="n">
        <v>44220</v>
      </c>
      <c r="E1294" s="9" t="str">
        <f aca="false">TEXT(D1294,"MMM")</f>
        <v>jan</v>
      </c>
      <c r="F1294" s="10" t="n">
        <v>-261.35</v>
      </c>
      <c r="G1294" s="8" t="s">
        <v>34</v>
      </c>
      <c r="H1294" s="8" t="s">
        <v>12</v>
      </c>
      <c r="I1294" s="11" t="s">
        <v>13</v>
      </c>
      <c r="J1294" s="8" t="s">
        <v>26</v>
      </c>
    </row>
    <row r="1295" customFormat="false" ht="14.25" hidden="false" customHeight="false" outlineLevel="0" collapsed="false">
      <c r="A1295" s="8" t="n">
        <v>1294</v>
      </c>
      <c r="B1295" s="8" t="s">
        <v>39</v>
      </c>
      <c r="C1295" s="8" t="s">
        <v>21</v>
      </c>
      <c r="D1295" s="9" t="n">
        <v>44220</v>
      </c>
      <c r="E1295" s="9" t="str">
        <f aca="false">TEXT(D1295,"MMM")</f>
        <v>jan</v>
      </c>
      <c r="F1295" s="10" t="n">
        <v>-3105.48</v>
      </c>
      <c r="G1295" s="8" t="s">
        <v>34</v>
      </c>
      <c r="H1295" s="8" t="s">
        <v>36</v>
      </c>
      <c r="I1295" s="11" t="s">
        <v>37</v>
      </c>
      <c r="J1295" s="8" t="s">
        <v>26</v>
      </c>
    </row>
    <row r="1296" customFormat="false" ht="14.25" hidden="false" customHeight="false" outlineLevel="0" collapsed="false">
      <c r="A1296" s="8" t="n">
        <v>1295</v>
      </c>
      <c r="B1296" s="8" t="s">
        <v>44</v>
      </c>
      <c r="C1296" s="8" t="s">
        <v>28</v>
      </c>
      <c r="D1296" s="9" t="n">
        <v>44220</v>
      </c>
      <c r="E1296" s="9" t="str">
        <f aca="false">TEXT(D1296,"MMM")</f>
        <v>jan</v>
      </c>
      <c r="F1296" s="10" t="n">
        <v>-2130.1</v>
      </c>
      <c r="G1296" s="8" t="s">
        <v>34</v>
      </c>
      <c r="H1296" s="8" t="s">
        <v>12</v>
      </c>
      <c r="I1296" s="11" t="s">
        <v>13</v>
      </c>
      <c r="J1296" s="8" t="s">
        <v>14</v>
      </c>
    </row>
    <row r="1297" customFormat="false" ht="14.25" hidden="false" customHeight="false" outlineLevel="0" collapsed="false">
      <c r="A1297" s="8" t="n">
        <v>1296</v>
      </c>
      <c r="B1297" s="8" t="s">
        <v>45</v>
      </c>
      <c r="C1297" s="8" t="s">
        <v>28</v>
      </c>
      <c r="D1297" s="9" t="n">
        <v>44220</v>
      </c>
      <c r="E1297" s="9" t="str">
        <f aca="false">TEXT(D1297,"MMM")</f>
        <v>jan</v>
      </c>
      <c r="F1297" s="10" t="n">
        <v>-129.99</v>
      </c>
      <c r="G1297" s="8" t="s">
        <v>34</v>
      </c>
      <c r="H1297" s="8" t="s">
        <v>12</v>
      </c>
      <c r="I1297" s="11" t="s">
        <v>13</v>
      </c>
      <c r="J1297" s="8" t="s">
        <v>19</v>
      </c>
    </row>
    <row r="1298" customFormat="false" ht="14.25" hidden="false" customHeight="false" outlineLevel="0" collapsed="false">
      <c r="A1298" s="8" t="n">
        <v>1297</v>
      </c>
      <c r="B1298" s="8" t="s">
        <v>79</v>
      </c>
      <c r="C1298" s="8" t="s">
        <v>21</v>
      </c>
      <c r="D1298" s="9" t="n">
        <v>44220</v>
      </c>
      <c r="E1298" s="9" t="str">
        <f aca="false">TEXT(D1298,"MMM")</f>
        <v>jan</v>
      </c>
      <c r="F1298" s="10" t="n">
        <v>-34553.61</v>
      </c>
      <c r="G1298" s="8" t="s">
        <v>34</v>
      </c>
      <c r="H1298" s="8" t="s">
        <v>36</v>
      </c>
      <c r="I1298" s="11" t="s">
        <v>37</v>
      </c>
      <c r="J1298" s="8" t="s">
        <v>14</v>
      </c>
    </row>
    <row r="1299" customFormat="false" ht="14.25" hidden="false" customHeight="false" outlineLevel="0" collapsed="false">
      <c r="A1299" s="8" t="n">
        <v>1298</v>
      </c>
      <c r="B1299" s="8" t="s">
        <v>145</v>
      </c>
      <c r="C1299" s="8" t="s">
        <v>28</v>
      </c>
      <c r="D1299" s="9" t="n">
        <v>44221</v>
      </c>
      <c r="E1299" s="9" t="str">
        <f aca="false">TEXT(D1299,"MMM")</f>
        <v>jan</v>
      </c>
      <c r="F1299" s="10" t="n">
        <v>-1768.41</v>
      </c>
      <c r="G1299" s="8" t="s">
        <v>34</v>
      </c>
      <c r="H1299" s="8" t="s">
        <v>12</v>
      </c>
      <c r="I1299" s="11" t="s">
        <v>13</v>
      </c>
      <c r="J1299" s="8" t="s">
        <v>19</v>
      </c>
    </row>
    <row r="1300" customFormat="false" ht="14.25" hidden="false" customHeight="false" outlineLevel="0" collapsed="false">
      <c r="A1300" s="8" t="n">
        <v>1299</v>
      </c>
      <c r="B1300" s="8" t="s">
        <v>50</v>
      </c>
      <c r="C1300" s="8" t="s">
        <v>21</v>
      </c>
      <c r="D1300" s="9" t="n">
        <v>44222</v>
      </c>
      <c r="E1300" s="9" t="str">
        <f aca="false">TEXT(D1300,"MMM")</f>
        <v>jan</v>
      </c>
      <c r="F1300" s="10" t="n">
        <v>-4663.33</v>
      </c>
      <c r="G1300" s="8" t="s">
        <v>34</v>
      </c>
      <c r="H1300" s="8" t="s">
        <v>17</v>
      </c>
      <c r="I1300" s="11" t="s">
        <v>18</v>
      </c>
      <c r="J1300" s="8" t="s">
        <v>14</v>
      </c>
    </row>
    <row r="1301" customFormat="false" ht="14.25" hidden="false" customHeight="false" outlineLevel="0" collapsed="false">
      <c r="A1301" s="8" t="n">
        <v>1300</v>
      </c>
      <c r="B1301" s="8" t="s">
        <v>40</v>
      </c>
      <c r="C1301" s="8" t="s">
        <v>10</v>
      </c>
      <c r="D1301" s="9" t="n">
        <v>44222</v>
      </c>
      <c r="E1301" s="9" t="str">
        <f aca="false">TEXT(D1301,"MMM")</f>
        <v>jan</v>
      </c>
      <c r="F1301" s="10" t="n">
        <v>-291.87</v>
      </c>
      <c r="G1301" s="8" t="s">
        <v>34</v>
      </c>
      <c r="H1301" s="8" t="s">
        <v>22</v>
      </c>
      <c r="I1301" s="11" t="s">
        <v>23</v>
      </c>
      <c r="J1301" s="8" t="s">
        <v>14</v>
      </c>
    </row>
    <row r="1302" customFormat="false" ht="14.25" hidden="false" customHeight="false" outlineLevel="0" collapsed="false">
      <c r="A1302" s="8" t="n">
        <v>1301</v>
      </c>
      <c r="B1302" s="8" t="s">
        <v>32</v>
      </c>
      <c r="C1302" s="8" t="s">
        <v>28</v>
      </c>
      <c r="D1302" s="9" t="n">
        <v>44222</v>
      </c>
      <c r="E1302" s="9" t="str">
        <f aca="false">TEXT(D1302,"MMM")</f>
        <v>jan</v>
      </c>
      <c r="F1302" s="10" t="n">
        <v>-4239.97</v>
      </c>
      <c r="G1302" s="8" t="s">
        <v>34</v>
      </c>
      <c r="H1302" s="8" t="s">
        <v>12</v>
      </c>
      <c r="I1302" s="11" t="s">
        <v>13</v>
      </c>
      <c r="J1302" s="8" t="s">
        <v>19</v>
      </c>
    </row>
    <row r="1303" customFormat="false" ht="14.25" hidden="false" customHeight="false" outlineLevel="0" collapsed="false">
      <c r="A1303" s="8" t="n">
        <v>1302</v>
      </c>
      <c r="B1303" s="8" t="s">
        <v>39</v>
      </c>
      <c r="C1303" s="8" t="s">
        <v>16</v>
      </c>
      <c r="D1303" s="9" t="n">
        <v>44222</v>
      </c>
      <c r="E1303" s="9" t="str">
        <f aca="false">TEXT(D1303,"MMM")</f>
        <v>jan</v>
      </c>
      <c r="F1303" s="10" t="n">
        <v>-3995.67</v>
      </c>
      <c r="G1303" s="8" t="s">
        <v>34</v>
      </c>
      <c r="H1303" s="8" t="s">
        <v>17</v>
      </c>
      <c r="I1303" s="11" t="s">
        <v>18</v>
      </c>
      <c r="J1303" s="8" t="s">
        <v>19</v>
      </c>
    </row>
    <row r="1304" customFormat="false" ht="14.25" hidden="false" customHeight="false" outlineLevel="0" collapsed="false">
      <c r="A1304" s="8" t="n">
        <v>1303</v>
      </c>
      <c r="B1304" s="8" t="s">
        <v>144</v>
      </c>
      <c r="C1304" s="8" t="s">
        <v>28</v>
      </c>
      <c r="D1304" s="9" t="n">
        <v>44225</v>
      </c>
      <c r="E1304" s="9" t="str">
        <f aca="false">TEXT(D1304,"MMM")</f>
        <v>jan</v>
      </c>
      <c r="F1304" s="10" t="n">
        <v>-2264.47</v>
      </c>
      <c r="G1304" s="8" t="s">
        <v>34</v>
      </c>
      <c r="H1304" s="8" t="s">
        <v>12</v>
      </c>
      <c r="I1304" s="11" t="s">
        <v>13</v>
      </c>
      <c r="J1304" s="8" t="s">
        <v>26</v>
      </c>
    </row>
    <row r="1305" customFormat="false" ht="14.25" hidden="false" customHeight="false" outlineLevel="0" collapsed="false">
      <c r="A1305" s="8" t="n">
        <v>1304</v>
      </c>
      <c r="B1305" s="8" t="s">
        <v>144</v>
      </c>
      <c r="C1305" s="8" t="s">
        <v>28</v>
      </c>
      <c r="D1305" s="9" t="n">
        <v>44225</v>
      </c>
      <c r="E1305" s="9" t="str">
        <f aca="false">TEXT(D1305,"MMM")</f>
        <v>jan</v>
      </c>
      <c r="F1305" s="10" t="n">
        <v>-1823.64</v>
      </c>
      <c r="G1305" s="8" t="s">
        <v>34</v>
      </c>
      <c r="H1305" s="8" t="s">
        <v>12</v>
      </c>
      <c r="I1305" s="11" t="s">
        <v>13</v>
      </c>
      <c r="J1305" s="8" t="s">
        <v>26</v>
      </c>
    </row>
    <row r="1306" customFormat="false" ht="14.25" hidden="false" customHeight="false" outlineLevel="0" collapsed="false">
      <c r="A1306" s="8" t="n">
        <v>1305</v>
      </c>
      <c r="B1306" s="8" t="s">
        <v>15</v>
      </c>
      <c r="C1306" s="8" t="s">
        <v>21</v>
      </c>
      <c r="D1306" s="9" t="n">
        <v>44225</v>
      </c>
      <c r="E1306" s="9" t="str">
        <f aca="false">TEXT(D1306,"MMM")</f>
        <v>jan</v>
      </c>
      <c r="F1306" s="10" t="n">
        <v>-1077900.9</v>
      </c>
      <c r="G1306" s="8" t="s">
        <v>34</v>
      </c>
      <c r="H1306" s="8" t="s">
        <v>12</v>
      </c>
      <c r="I1306" s="11" t="s">
        <v>13</v>
      </c>
      <c r="J1306" s="8" t="s">
        <v>14</v>
      </c>
    </row>
    <row r="1307" customFormat="false" ht="14.25" hidden="false" customHeight="false" outlineLevel="0" collapsed="false">
      <c r="A1307" s="8" t="n">
        <v>1306</v>
      </c>
      <c r="B1307" s="8" t="s">
        <v>49</v>
      </c>
      <c r="C1307" s="8" t="s">
        <v>10</v>
      </c>
      <c r="D1307" s="9" t="n">
        <v>44225</v>
      </c>
      <c r="E1307" s="9" t="str">
        <f aca="false">TEXT(D1307,"MMM")</f>
        <v>jan</v>
      </c>
      <c r="F1307" s="10" t="n">
        <v>14431.38</v>
      </c>
      <c r="G1307" s="8" t="s">
        <v>11</v>
      </c>
      <c r="H1307" s="8" t="s">
        <v>36</v>
      </c>
      <c r="I1307" s="11" t="s">
        <v>37</v>
      </c>
      <c r="J1307" s="8" t="s">
        <v>26</v>
      </c>
    </row>
    <row r="1308" customFormat="false" ht="14.25" hidden="false" customHeight="false" outlineLevel="0" collapsed="false">
      <c r="A1308" s="8" t="n">
        <v>1307</v>
      </c>
      <c r="B1308" s="8" t="s">
        <v>145</v>
      </c>
      <c r="C1308" s="8" t="s">
        <v>21</v>
      </c>
      <c r="D1308" s="9" t="n">
        <v>44226</v>
      </c>
      <c r="E1308" s="9" t="str">
        <f aca="false">TEXT(D1308,"MMM")</f>
        <v>jan</v>
      </c>
      <c r="F1308" s="10" t="n">
        <v>13579.56</v>
      </c>
      <c r="G1308" s="8" t="s">
        <v>11</v>
      </c>
      <c r="H1308" s="8" t="s">
        <v>36</v>
      </c>
      <c r="I1308" s="11" t="s">
        <v>37</v>
      </c>
      <c r="J1308" s="8" t="s">
        <v>14</v>
      </c>
    </row>
    <row r="1309" customFormat="false" ht="14.25" hidden="false" customHeight="false" outlineLevel="0" collapsed="false">
      <c r="A1309" s="8" t="n">
        <v>1308</v>
      </c>
      <c r="B1309" s="8" t="s">
        <v>101</v>
      </c>
      <c r="C1309" s="8" t="s">
        <v>21</v>
      </c>
      <c r="D1309" s="9" t="n">
        <v>44227</v>
      </c>
      <c r="E1309" s="9" t="str">
        <f aca="false">TEXT(D1309,"MMM")</f>
        <v>jan</v>
      </c>
      <c r="F1309" s="10" t="n">
        <v>14590.2</v>
      </c>
      <c r="G1309" s="8" t="s">
        <v>11</v>
      </c>
      <c r="H1309" s="8" t="s">
        <v>17</v>
      </c>
      <c r="I1309" s="11" t="s">
        <v>18</v>
      </c>
      <c r="J1309" s="8" t="s">
        <v>14</v>
      </c>
    </row>
    <row r="1310" customFormat="false" ht="14.25" hidden="false" customHeight="false" outlineLevel="0" collapsed="false">
      <c r="A1310" s="8" t="n">
        <v>1309</v>
      </c>
      <c r="B1310" s="8" t="s">
        <v>148</v>
      </c>
      <c r="C1310" s="8" t="s">
        <v>21</v>
      </c>
      <c r="D1310" s="9" t="n">
        <v>44227</v>
      </c>
      <c r="E1310" s="9" t="str">
        <f aca="false">TEXT(D1310,"MMM")</f>
        <v>jan</v>
      </c>
      <c r="F1310" s="10" t="n">
        <v>168997.37</v>
      </c>
      <c r="G1310" s="8" t="s">
        <v>11</v>
      </c>
      <c r="H1310" s="8" t="s">
        <v>12</v>
      </c>
      <c r="I1310" s="11" t="s">
        <v>13</v>
      </c>
      <c r="J1310" s="8" t="s">
        <v>19</v>
      </c>
    </row>
    <row r="1311" customFormat="false" ht="14.25" hidden="false" customHeight="false" outlineLevel="0" collapsed="false">
      <c r="A1311" s="8" t="n">
        <v>1310</v>
      </c>
      <c r="B1311" s="8" t="s">
        <v>153</v>
      </c>
      <c r="C1311" s="8" t="s">
        <v>28</v>
      </c>
      <c r="D1311" s="9" t="n">
        <v>44227</v>
      </c>
      <c r="E1311" s="9" t="str">
        <f aca="false">TEXT(D1311,"MMM")</f>
        <v>jan</v>
      </c>
      <c r="F1311" s="10" t="n">
        <v>13451.88</v>
      </c>
      <c r="G1311" s="8" t="s">
        <v>11</v>
      </c>
      <c r="H1311" s="8" t="s">
        <v>17</v>
      </c>
      <c r="I1311" s="11" t="s">
        <v>18</v>
      </c>
      <c r="J1311" s="8" t="s">
        <v>19</v>
      </c>
    </row>
    <row r="1312" customFormat="false" ht="14.25" hidden="false" customHeight="false" outlineLevel="0" collapsed="false">
      <c r="A1312" s="8" t="n">
        <v>1311</v>
      </c>
      <c r="B1312" s="8" t="s">
        <v>32</v>
      </c>
      <c r="C1312" s="8" t="s">
        <v>10</v>
      </c>
      <c r="D1312" s="9" t="n">
        <v>44227</v>
      </c>
      <c r="E1312" s="9" t="str">
        <f aca="false">TEXT(D1312,"MMM")</f>
        <v>jan</v>
      </c>
      <c r="F1312" s="10" t="n">
        <v>-9351.93</v>
      </c>
      <c r="G1312" s="8" t="s">
        <v>34</v>
      </c>
      <c r="H1312" s="8" t="s">
        <v>12</v>
      </c>
      <c r="I1312" s="11" t="s">
        <v>13</v>
      </c>
      <c r="J1312" s="8" t="s">
        <v>26</v>
      </c>
    </row>
    <row r="1313" customFormat="false" ht="14.25" hidden="false" customHeight="false" outlineLevel="0" collapsed="false">
      <c r="A1313" s="8" t="n">
        <v>1312</v>
      </c>
      <c r="B1313" s="8" t="s">
        <v>52</v>
      </c>
      <c r="C1313" s="8" t="s">
        <v>10</v>
      </c>
      <c r="D1313" s="9" t="n">
        <v>44227</v>
      </c>
      <c r="E1313" s="9" t="str">
        <f aca="false">TEXT(D1313,"MMM")</f>
        <v>jan</v>
      </c>
      <c r="F1313" s="10" t="n">
        <v>-1371.44</v>
      </c>
      <c r="G1313" s="8" t="s">
        <v>34</v>
      </c>
      <c r="H1313" s="8" t="s">
        <v>12</v>
      </c>
      <c r="I1313" s="11" t="s">
        <v>13</v>
      </c>
      <c r="J1313" s="8" t="s">
        <v>26</v>
      </c>
    </row>
    <row r="1314" customFormat="false" ht="14.25" hidden="false" customHeight="false" outlineLevel="0" collapsed="false">
      <c r="A1314" s="8" t="n">
        <v>1313</v>
      </c>
      <c r="B1314" s="8" t="s">
        <v>52</v>
      </c>
      <c r="C1314" s="8" t="s">
        <v>10</v>
      </c>
      <c r="D1314" s="9" t="n">
        <v>44227</v>
      </c>
      <c r="E1314" s="9" t="str">
        <f aca="false">TEXT(D1314,"MMM")</f>
        <v>jan</v>
      </c>
      <c r="F1314" s="10" t="n">
        <v>16667.85</v>
      </c>
      <c r="G1314" s="8" t="s">
        <v>11</v>
      </c>
      <c r="H1314" s="8" t="s">
        <v>17</v>
      </c>
      <c r="I1314" s="11" t="s">
        <v>18</v>
      </c>
      <c r="J1314" s="8" t="s">
        <v>26</v>
      </c>
    </row>
    <row r="1315" customFormat="false" ht="14.25" hidden="false" customHeight="false" outlineLevel="0" collapsed="false">
      <c r="A1315" s="8" t="n">
        <v>1314</v>
      </c>
      <c r="B1315" s="8" t="s">
        <v>52</v>
      </c>
      <c r="C1315" s="8" t="s">
        <v>28</v>
      </c>
      <c r="D1315" s="9" t="n">
        <v>44227</v>
      </c>
      <c r="E1315" s="9" t="str">
        <f aca="false">TEXT(D1315,"MMM")</f>
        <v>jan</v>
      </c>
      <c r="F1315" s="10" t="n">
        <v>17172.93</v>
      </c>
      <c r="G1315" s="8" t="s">
        <v>11</v>
      </c>
      <c r="H1315" s="8" t="s">
        <v>12</v>
      </c>
      <c r="I1315" s="11" t="s">
        <v>13</v>
      </c>
      <c r="J1315" s="8" t="s">
        <v>14</v>
      </c>
    </row>
    <row r="1316" customFormat="false" ht="14.25" hidden="false" customHeight="false" outlineLevel="0" collapsed="false">
      <c r="A1316" s="8" t="n">
        <v>1315</v>
      </c>
      <c r="B1316" s="8" t="s">
        <v>64</v>
      </c>
      <c r="C1316" s="8" t="s">
        <v>10</v>
      </c>
      <c r="D1316" s="9" t="n">
        <v>44228</v>
      </c>
      <c r="E1316" s="9" t="str">
        <f aca="false">TEXT(D1316,"MMM")</f>
        <v>fev</v>
      </c>
      <c r="F1316" s="10" t="n">
        <v>2788</v>
      </c>
      <c r="G1316" s="8" t="s">
        <v>11</v>
      </c>
      <c r="H1316" s="8" t="s">
        <v>17</v>
      </c>
      <c r="I1316" s="11" t="s">
        <v>18</v>
      </c>
      <c r="J1316" s="8" t="s">
        <v>24</v>
      </c>
    </row>
    <row r="1317" customFormat="false" ht="14.25" hidden="false" customHeight="false" outlineLevel="0" collapsed="false">
      <c r="A1317" s="8" t="n">
        <v>1316</v>
      </c>
      <c r="B1317" s="8" t="s">
        <v>51</v>
      </c>
      <c r="C1317" s="8" t="s">
        <v>16</v>
      </c>
      <c r="D1317" s="9" t="n">
        <v>44228</v>
      </c>
      <c r="E1317" s="9" t="str">
        <f aca="false">TEXT(D1317,"MMM")</f>
        <v>fev</v>
      </c>
      <c r="F1317" s="10" t="n">
        <v>2439.5</v>
      </c>
      <c r="G1317" s="8" t="s">
        <v>11</v>
      </c>
      <c r="H1317" s="8" t="s">
        <v>17</v>
      </c>
      <c r="I1317" s="11" t="s">
        <v>18</v>
      </c>
      <c r="J1317" s="8" t="s">
        <v>26</v>
      </c>
    </row>
    <row r="1318" customFormat="false" ht="14.25" hidden="false" customHeight="false" outlineLevel="0" collapsed="false">
      <c r="A1318" s="8" t="n">
        <v>1317</v>
      </c>
      <c r="B1318" s="8" t="s">
        <v>39</v>
      </c>
      <c r="C1318" s="8" t="s">
        <v>16</v>
      </c>
      <c r="D1318" s="9" t="n">
        <v>44230</v>
      </c>
      <c r="E1318" s="9" t="str">
        <f aca="false">TEXT(D1318,"MMM")</f>
        <v>fev</v>
      </c>
      <c r="F1318" s="10" t="n">
        <v>2439.5</v>
      </c>
      <c r="G1318" s="8" t="s">
        <v>11</v>
      </c>
      <c r="H1318" s="8" t="s">
        <v>12</v>
      </c>
      <c r="I1318" s="11" t="s">
        <v>13</v>
      </c>
      <c r="J1318" s="8" t="s">
        <v>14</v>
      </c>
    </row>
    <row r="1319" customFormat="false" ht="14.25" hidden="false" customHeight="false" outlineLevel="0" collapsed="false">
      <c r="A1319" s="8" t="n">
        <v>1318</v>
      </c>
      <c r="B1319" s="8" t="s">
        <v>144</v>
      </c>
      <c r="C1319" s="8" t="s">
        <v>16</v>
      </c>
      <c r="D1319" s="9" t="n">
        <v>44233</v>
      </c>
      <c r="E1319" s="9" t="str">
        <f aca="false">TEXT(D1319,"MMM")</f>
        <v>fev</v>
      </c>
      <c r="F1319" s="10" t="n">
        <v>2439.5</v>
      </c>
      <c r="G1319" s="8" t="s">
        <v>11</v>
      </c>
      <c r="H1319" s="8" t="s">
        <v>17</v>
      </c>
      <c r="I1319" s="11" t="s">
        <v>18</v>
      </c>
      <c r="J1319" s="8" t="s">
        <v>14</v>
      </c>
    </row>
    <row r="1320" customFormat="false" ht="14.25" hidden="false" customHeight="false" outlineLevel="0" collapsed="false">
      <c r="A1320" s="8" t="n">
        <v>1319</v>
      </c>
      <c r="B1320" s="8" t="s">
        <v>66</v>
      </c>
      <c r="C1320" s="8" t="s">
        <v>21</v>
      </c>
      <c r="D1320" s="9" t="n">
        <v>44233</v>
      </c>
      <c r="E1320" s="9" t="str">
        <f aca="false">TEXT(D1320,"MMM")</f>
        <v>fev</v>
      </c>
      <c r="F1320" s="10" t="n">
        <v>145647.67</v>
      </c>
      <c r="G1320" s="8" t="s">
        <v>11</v>
      </c>
      <c r="H1320" s="8" t="s">
        <v>12</v>
      </c>
      <c r="I1320" s="11" t="s">
        <v>13</v>
      </c>
      <c r="J1320" s="8" t="s">
        <v>26</v>
      </c>
    </row>
    <row r="1321" customFormat="false" ht="14.25" hidden="false" customHeight="false" outlineLevel="0" collapsed="false">
      <c r="A1321" s="8" t="n">
        <v>1320</v>
      </c>
      <c r="B1321" s="8" t="s">
        <v>66</v>
      </c>
      <c r="C1321" s="8" t="s">
        <v>28</v>
      </c>
      <c r="D1321" s="9" t="n">
        <v>44233</v>
      </c>
      <c r="E1321" s="9" t="str">
        <f aca="false">TEXT(D1321,"MMM")</f>
        <v>fev</v>
      </c>
      <c r="F1321" s="10" t="n">
        <v>117829.67</v>
      </c>
      <c r="G1321" s="8" t="s">
        <v>11</v>
      </c>
      <c r="H1321" s="8" t="s">
        <v>30</v>
      </c>
      <c r="I1321" s="11" t="s">
        <v>31</v>
      </c>
      <c r="J1321" s="8" t="s">
        <v>19</v>
      </c>
    </row>
    <row r="1322" customFormat="false" ht="14.25" hidden="false" customHeight="false" outlineLevel="0" collapsed="false">
      <c r="A1322" s="8" t="n">
        <v>1321</v>
      </c>
      <c r="B1322" s="8" t="s">
        <v>66</v>
      </c>
      <c r="C1322" s="8" t="s">
        <v>21</v>
      </c>
      <c r="D1322" s="9" t="n">
        <v>44233</v>
      </c>
      <c r="E1322" s="9" t="str">
        <f aca="false">TEXT(D1322,"MMM")</f>
        <v>fev</v>
      </c>
      <c r="F1322" s="10" t="n">
        <v>2788</v>
      </c>
      <c r="G1322" s="8" t="s">
        <v>11</v>
      </c>
      <c r="H1322" s="8" t="s">
        <v>30</v>
      </c>
      <c r="I1322" s="11" t="s">
        <v>31</v>
      </c>
      <c r="J1322" s="8" t="s">
        <v>26</v>
      </c>
    </row>
    <row r="1323" customFormat="false" ht="14.25" hidden="false" customHeight="false" outlineLevel="0" collapsed="false">
      <c r="A1323" s="8" t="n">
        <v>1322</v>
      </c>
      <c r="B1323" s="8" t="s">
        <v>66</v>
      </c>
      <c r="C1323" s="8" t="s">
        <v>28</v>
      </c>
      <c r="D1323" s="9" t="n">
        <v>44233</v>
      </c>
      <c r="E1323" s="9" t="str">
        <f aca="false">TEXT(D1323,"MMM")</f>
        <v>fev</v>
      </c>
      <c r="F1323" s="10" t="n">
        <v>2439.5</v>
      </c>
      <c r="G1323" s="8" t="s">
        <v>11</v>
      </c>
      <c r="H1323" s="8" t="s">
        <v>30</v>
      </c>
      <c r="I1323" s="11" t="s">
        <v>31</v>
      </c>
      <c r="J1323" s="8" t="s">
        <v>26</v>
      </c>
    </row>
    <row r="1324" customFormat="false" ht="14.25" hidden="false" customHeight="false" outlineLevel="0" collapsed="false">
      <c r="A1324" s="8" t="n">
        <v>1323</v>
      </c>
      <c r="B1324" s="8" t="s">
        <v>66</v>
      </c>
      <c r="C1324" s="8" t="s">
        <v>10</v>
      </c>
      <c r="D1324" s="9" t="n">
        <v>44233</v>
      </c>
      <c r="E1324" s="9" t="str">
        <f aca="false">TEXT(D1324,"MMM")</f>
        <v>fev</v>
      </c>
      <c r="F1324" s="10" t="n">
        <v>2522.56</v>
      </c>
      <c r="G1324" s="8" t="s">
        <v>11</v>
      </c>
      <c r="H1324" s="8" t="s">
        <v>12</v>
      </c>
      <c r="I1324" s="11" t="s">
        <v>13</v>
      </c>
      <c r="J1324" s="8" t="s">
        <v>26</v>
      </c>
    </row>
    <row r="1325" customFormat="false" ht="14.25" hidden="false" customHeight="false" outlineLevel="0" collapsed="false">
      <c r="A1325" s="8" t="n">
        <v>1324</v>
      </c>
      <c r="B1325" s="8" t="s">
        <v>66</v>
      </c>
      <c r="C1325" s="8" t="s">
        <v>21</v>
      </c>
      <c r="D1325" s="9" t="n">
        <v>44233</v>
      </c>
      <c r="E1325" s="9" t="str">
        <f aca="false">TEXT(D1325,"MMM")</f>
        <v>fev</v>
      </c>
      <c r="F1325" s="10" t="n">
        <v>2505.43</v>
      </c>
      <c r="G1325" s="8" t="s">
        <v>11</v>
      </c>
      <c r="H1325" s="8" t="s">
        <v>12</v>
      </c>
      <c r="I1325" s="11" t="s">
        <v>13</v>
      </c>
      <c r="J1325" s="8" t="s">
        <v>14</v>
      </c>
    </row>
    <row r="1326" customFormat="false" ht="14.25" hidden="false" customHeight="false" outlineLevel="0" collapsed="false">
      <c r="A1326" s="8" t="n">
        <v>1325</v>
      </c>
      <c r="B1326" s="8" t="s">
        <v>66</v>
      </c>
      <c r="C1326" s="8" t="s">
        <v>16</v>
      </c>
      <c r="D1326" s="9" t="n">
        <v>44233</v>
      </c>
      <c r="E1326" s="9" t="str">
        <f aca="false">TEXT(D1326,"MMM")</f>
        <v>fev</v>
      </c>
      <c r="F1326" s="10" t="n">
        <v>-7733.22</v>
      </c>
      <c r="G1326" s="8" t="s">
        <v>34</v>
      </c>
      <c r="H1326" s="8" t="s">
        <v>36</v>
      </c>
      <c r="I1326" s="11" t="s">
        <v>37</v>
      </c>
      <c r="J1326" s="8" t="s">
        <v>24</v>
      </c>
    </row>
    <row r="1327" customFormat="false" ht="14.25" hidden="false" customHeight="false" outlineLevel="0" collapsed="false">
      <c r="A1327" s="8" t="n">
        <v>1326</v>
      </c>
      <c r="B1327" s="8" t="s">
        <v>66</v>
      </c>
      <c r="C1327" s="8" t="s">
        <v>28</v>
      </c>
      <c r="D1327" s="9" t="n">
        <v>44233</v>
      </c>
      <c r="E1327" s="9" t="str">
        <f aca="false">TEXT(D1327,"MMM")</f>
        <v>fev</v>
      </c>
      <c r="F1327" s="10" t="n">
        <v>-346054.56</v>
      </c>
      <c r="G1327" s="8" t="s">
        <v>34</v>
      </c>
      <c r="H1327" s="8" t="s">
        <v>12</v>
      </c>
      <c r="I1327" s="11" t="s">
        <v>13</v>
      </c>
      <c r="J1327" s="8" t="s">
        <v>26</v>
      </c>
    </row>
    <row r="1328" customFormat="false" ht="14.25" hidden="false" customHeight="false" outlineLevel="0" collapsed="false">
      <c r="A1328" s="8" t="n">
        <v>1327</v>
      </c>
      <c r="B1328" s="8" t="s">
        <v>66</v>
      </c>
      <c r="C1328" s="8" t="s">
        <v>21</v>
      </c>
      <c r="D1328" s="9" t="n">
        <v>44233</v>
      </c>
      <c r="E1328" s="9" t="str">
        <f aca="false">TEXT(D1328,"MMM")</f>
        <v>fev</v>
      </c>
      <c r="F1328" s="10" t="n">
        <v>-13976.34</v>
      </c>
      <c r="G1328" s="8" t="s">
        <v>34</v>
      </c>
      <c r="H1328" s="8" t="s">
        <v>12</v>
      </c>
      <c r="I1328" s="11" t="s">
        <v>13</v>
      </c>
      <c r="J1328" s="8" t="s">
        <v>14</v>
      </c>
    </row>
    <row r="1329" customFormat="false" ht="14.25" hidden="false" customHeight="false" outlineLevel="0" collapsed="false">
      <c r="A1329" s="8" t="n">
        <v>1328</v>
      </c>
      <c r="B1329" s="8" t="s">
        <v>66</v>
      </c>
      <c r="C1329" s="8" t="s">
        <v>10</v>
      </c>
      <c r="D1329" s="9" t="n">
        <v>44233</v>
      </c>
      <c r="E1329" s="9" t="str">
        <f aca="false">TEXT(D1329,"MMM")</f>
        <v>fev</v>
      </c>
      <c r="F1329" s="10" t="n">
        <v>-197.26</v>
      </c>
      <c r="G1329" s="8" t="s">
        <v>34</v>
      </c>
      <c r="H1329" s="8" t="s">
        <v>36</v>
      </c>
      <c r="I1329" s="11" t="s">
        <v>37</v>
      </c>
      <c r="J1329" s="8" t="s">
        <v>14</v>
      </c>
    </row>
    <row r="1330" customFormat="false" ht="14.25" hidden="false" customHeight="false" outlineLevel="0" collapsed="false">
      <c r="A1330" s="8" t="n">
        <v>1329</v>
      </c>
      <c r="B1330" s="8" t="s">
        <v>154</v>
      </c>
      <c r="C1330" s="8" t="s">
        <v>28</v>
      </c>
      <c r="D1330" s="9" t="n">
        <v>44234</v>
      </c>
      <c r="E1330" s="9" t="str">
        <f aca="false">TEXT(D1330,"MMM")</f>
        <v>fev</v>
      </c>
      <c r="F1330" s="10" t="n">
        <v>-7067.17</v>
      </c>
      <c r="G1330" s="8" t="s">
        <v>34</v>
      </c>
      <c r="H1330" s="8" t="s">
        <v>30</v>
      </c>
      <c r="I1330" s="11" t="s">
        <v>31</v>
      </c>
      <c r="J1330" s="8" t="s">
        <v>19</v>
      </c>
    </row>
    <row r="1331" customFormat="false" ht="14.25" hidden="false" customHeight="false" outlineLevel="0" collapsed="false">
      <c r="A1331" s="8" t="n">
        <v>1330</v>
      </c>
      <c r="B1331" s="8" t="s">
        <v>149</v>
      </c>
      <c r="C1331" s="8" t="s">
        <v>16</v>
      </c>
      <c r="D1331" s="9" t="n">
        <v>44234</v>
      </c>
      <c r="E1331" s="9" t="str">
        <f aca="false">TEXT(D1331,"MMM")</f>
        <v>fev</v>
      </c>
      <c r="F1331" s="10" t="n">
        <v>-22555.79</v>
      </c>
      <c r="G1331" s="8" t="s">
        <v>34</v>
      </c>
      <c r="H1331" s="8" t="s">
        <v>12</v>
      </c>
      <c r="I1331" s="11" t="s">
        <v>13</v>
      </c>
      <c r="J1331" s="8" t="s">
        <v>26</v>
      </c>
    </row>
    <row r="1332" customFormat="false" ht="14.25" hidden="false" customHeight="false" outlineLevel="0" collapsed="false">
      <c r="A1332" s="8" t="n">
        <v>1331</v>
      </c>
      <c r="B1332" s="8" t="s">
        <v>85</v>
      </c>
      <c r="C1332" s="8" t="s">
        <v>16</v>
      </c>
      <c r="D1332" s="9" t="n">
        <v>44234</v>
      </c>
      <c r="E1332" s="9" t="str">
        <f aca="false">TEXT(D1332,"MMM")</f>
        <v>fev</v>
      </c>
      <c r="F1332" s="10" t="n">
        <v>47466.89</v>
      </c>
      <c r="G1332" s="8" t="s">
        <v>11</v>
      </c>
      <c r="H1332" s="8" t="s">
        <v>12</v>
      </c>
      <c r="I1332" s="11" t="s">
        <v>13</v>
      </c>
      <c r="J1332" s="8" t="s">
        <v>19</v>
      </c>
    </row>
    <row r="1333" customFormat="false" ht="14.25" hidden="false" customHeight="false" outlineLevel="0" collapsed="false">
      <c r="A1333" s="8" t="n">
        <v>1332</v>
      </c>
      <c r="B1333" s="8" t="s">
        <v>64</v>
      </c>
      <c r="C1333" s="8" t="s">
        <v>21</v>
      </c>
      <c r="D1333" s="9" t="n">
        <v>44234</v>
      </c>
      <c r="E1333" s="9" t="str">
        <f aca="false">TEXT(D1333,"MMM")</f>
        <v>fev</v>
      </c>
      <c r="F1333" s="10" t="n">
        <v>3189.86</v>
      </c>
      <c r="G1333" s="8" t="s">
        <v>11</v>
      </c>
      <c r="H1333" s="8" t="s">
        <v>17</v>
      </c>
      <c r="I1333" s="11" t="s">
        <v>18</v>
      </c>
      <c r="J1333" s="8" t="s">
        <v>14</v>
      </c>
    </row>
    <row r="1334" customFormat="false" ht="14.25" hidden="false" customHeight="false" outlineLevel="0" collapsed="false">
      <c r="A1334" s="8" t="n">
        <v>1333</v>
      </c>
      <c r="B1334" s="8" t="s">
        <v>15</v>
      </c>
      <c r="C1334" s="8" t="s">
        <v>21</v>
      </c>
      <c r="D1334" s="9" t="n">
        <v>44234</v>
      </c>
      <c r="E1334" s="9" t="str">
        <f aca="false">TEXT(D1334,"MMM")</f>
        <v>fev</v>
      </c>
      <c r="F1334" s="10" t="n">
        <v>46483.35</v>
      </c>
      <c r="G1334" s="8" t="s">
        <v>11</v>
      </c>
      <c r="H1334" s="8" t="s">
        <v>12</v>
      </c>
      <c r="I1334" s="11" t="s">
        <v>13</v>
      </c>
      <c r="J1334" s="8" t="s">
        <v>26</v>
      </c>
    </row>
    <row r="1335" customFormat="false" ht="14.25" hidden="false" customHeight="false" outlineLevel="0" collapsed="false">
      <c r="A1335" s="8" t="n">
        <v>1334</v>
      </c>
      <c r="B1335" s="8" t="s">
        <v>72</v>
      </c>
      <c r="C1335" s="8" t="s">
        <v>16</v>
      </c>
      <c r="D1335" s="9" t="n">
        <v>44234</v>
      </c>
      <c r="E1335" s="9" t="str">
        <f aca="false">TEXT(D1335,"MMM")</f>
        <v>fev</v>
      </c>
      <c r="F1335" s="10" t="n">
        <v>2970.95</v>
      </c>
      <c r="G1335" s="8" t="s">
        <v>11</v>
      </c>
      <c r="H1335" s="8" t="s">
        <v>36</v>
      </c>
      <c r="I1335" s="11" t="s">
        <v>37</v>
      </c>
      <c r="J1335" s="8" t="s">
        <v>14</v>
      </c>
    </row>
    <row r="1336" customFormat="false" ht="14.25" hidden="false" customHeight="false" outlineLevel="0" collapsed="false">
      <c r="A1336" s="8" t="n">
        <v>1335</v>
      </c>
      <c r="B1336" s="8" t="s">
        <v>44</v>
      </c>
      <c r="C1336" s="8" t="s">
        <v>16</v>
      </c>
      <c r="D1336" s="9" t="n">
        <v>44234</v>
      </c>
      <c r="E1336" s="9" t="str">
        <f aca="false">TEXT(D1336,"MMM")</f>
        <v>fev</v>
      </c>
      <c r="F1336" s="10" t="n">
        <v>2883.03</v>
      </c>
      <c r="G1336" s="8" t="s">
        <v>11</v>
      </c>
      <c r="H1336" s="8" t="s">
        <v>17</v>
      </c>
      <c r="I1336" s="11" t="s">
        <v>18</v>
      </c>
      <c r="J1336" s="8" t="s">
        <v>19</v>
      </c>
    </row>
    <row r="1337" customFormat="false" ht="14.25" hidden="false" customHeight="false" outlineLevel="0" collapsed="false">
      <c r="A1337" s="8" t="n">
        <v>1336</v>
      </c>
      <c r="B1337" s="8" t="s">
        <v>79</v>
      </c>
      <c r="C1337" s="8" t="s">
        <v>28</v>
      </c>
      <c r="D1337" s="9" t="n">
        <v>44234</v>
      </c>
      <c r="E1337" s="9" t="str">
        <f aca="false">TEXT(D1337,"MMM")</f>
        <v>fev</v>
      </c>
      <c r="F1337" s="10" t="n">
        <v>52449.43</v>
      </c>
      <c r="G1337" s="8" t="s">
        <v>11</v>
      </c>
      <c r="H1337" s="8" t="s">
        <v>17</v>
      </c>
      <c r="I1337" s="11" t="s">
        <v>18</v>
      </c>
      <c r="J1337" s="8" t="s">
        <v>19</v>
      </c>
    </row>
    <row r="1338" customFormat="false" ht="14.25" hidden="false" customHeight="false" outlineLevel="0" collapsed="false">
      <c r="A1338" s="8" t="n">
        <v>1337</v>
      </c>
      <c r="B1338" s="8" t="s">
        <v>72</v>
      </c>
      <c r="C1338" s="8" t="s">
        <v>28</v>
      </c>
      <c r="D1338" s="9" t="n">
        <v>44234</v>
      </c>
      <c r="E1338" s="9" t="str">
        <f aca="false">TEXT(D1338,"MMM")</f>
        <v>fev</v>
      </c>
      <c r="F1338" s="10" t="n">
        <v>-9237.83</v>
      </c>
      <c r="G1338" s="8" t="s">
        <v>34</v>
      </c>
      <c r="H1338" s="8" t="s">
        <v>36</v>
      </c>
      <c r="I1338" s="11" t="s">
        <v>37</v>
      </c>
      <c r="J1338" s="8" t="s">
        <v>14</v>
      </c>
    </row>
    <row r="1339" customFormat="false" ht="14.25" hidden="false" customHeight="false" outlineLevel="0" collapsed="false">
      <c r="A1339" s="8" t="n">
        <v>1338</v>
      </c>
      <c r="B1339" s="8" t="s">
        <v>44</v>
      </c>
      <c r="C1339" s="8" t="s">
        <v>10</v>
      </c>
      <c r="D1339" s="9" t="n">
        <v>44234</v>
      </c>
      <c r="E1339" s="9" t="str">
        <f aca="false">TEXT(D1339,"MMM")</f>
        <v>fev</v>
      </c>
      <c r="F1339" s="10" t="n">
        <v>-1679.48</v>
      </c>
      <c r="G1339" s="8" t="s">
        <v>34</v>
      </c>
      <c r="H1339" s="8" t="s">
        <v>36</v>
      </c>
      <c r="I1339" s="11" t="s">
        <v>37</v>
      </c>
      <c r="J1339" s="8" t="s">
        <v>14</v>
      </c>
    </row>
    <row r="1340" customFormat="false" ht="14.25" hidden="false" customHeight="false" outlineLevel="0" collapsed="false">
      <c r="A1340" s="8" t="n">
        <v>1339</v>
      </c>
      <c r="B1340" s="8" t="s">
        <v>79</v>
      </c>
      <c r="C1340" s="8" t="s">
        <v>16</v>
      </c>
      <c r="D1340" s="9" t="n">
        <v>44234</v>
      </c>
      <c r="E1340" s="9" t="str">
        <f aca="false">TEXT(D1340,"MMM")</f>
        <v>fev</v>
      </c>
      <c r="F1340" s="10" t="n">
        <v>-2132.76</v>
      </c>
      <c r="G1340" s="8" t="s">
        <v>34</v>
      </c>
      <c r="H1340" s="8" t="s">
        <v>12</v>
      </c>
      <c r="I1340" s="11" t="s">
        <v>13</v>
      </c>
      <c r="J1340" s="8" t="s">
        <v>14</v>
      </c>
    </row>
    <row r="1341" customFormat="false" ht="14.25" hidden="false" customHeight="false" outlineLevel="0" collapsed="false">
      <c r="A1341" s="8" t="n">
        <v>1340</v>
      </c>
      <c r="B1341" s="8" t="s">
        <v>47</v>
      </c>
      <c r="C1341" s="8" t="s">
        <v>16</v>
      </c>
      <c r="D1341" s="9" t="n">
        <v>44234</v>
      </c>
      <c r="E1341" s="9" t="str">
        <f aca="false">TEXT(D1341,"MMM")</f>
        <v>fev</v>
      </c>
      <c r="F1341" s="10" t="n">
        <v>-1923.11</v>
      </c>
      <c r="G1341" s="8" t="s">
        <v>34</v>
      </c>
      <c r="H1341" s="8" t="s">
        <v>12</v>
      </c>
      <c r="I1341" s="11" t="s">
        <v>13</v>
      </c>
      <c r="J1341" s="8" t="s">
        <v>19</v>
      </c>
    </row>
    <row r="1342" customFormat="false" ht="14.25" hidden="false" customHeight="false" outlineLevel="0" collapsed="false">
      <c r="A1342" s="8" t="n">
        <v>1341</v>
      </c>
      <c r="B1342" s="8" t="s">
        <v>47</v>
      </c>
      <c r="C1342" s="8" t="s">
        <v>21</v>
      </c>
      <c r="D1342" s="9" t="n">
        <v>44234</v>
      </c>
      <c r="E1342" s="9" t="str">
        <f aca="false">TEXT(D1342,"MMM")</f>
        <v>fev</v>
      </c>
      <c r="F1342" s="10" t="n">
        <v>-233.14</v>
      </c>
      <c r="G1342" s="8" t="s">
        <v>34</v>
      </c>
      <c r="H1342" s="8" t="s">
        <v>22</v>
      </c>
      <c r="I1342" s="11" t="s">
        <v>23</v>
      </c>
      <c r="J1342" s="8" t="s">
        <v>26</v>
      </c>
    </row>
    <row r="1343" customFormat="false" ht="14.25" hidden="false" customHeight="false" outlineLevel="0" collapsed="false">
      <c r="A1343" s="8" t="n">
        <v>1342</v>
      </c>
      <c r="B1343" s="8" t="s">
        <v>85</v>
      </c>
      <c r="C1343" s="8" t="s">
        <v>10</v>
      </c>
      <c r="D1343" s="9" t="n">
        <v>44235</v>
      </c>
      <c r="E1343" s="9" t="str">
        <f aca="false">TEXT(D1343,"MMM")</f>
        <v>fev</v>
      </c>
      <c r="F1343" s="10" t="n">
        <v>-54.22</v>
      </c>
      <c r="G1343" s="8" t="s">
        <v>34</v>
      </c>
      <c r="H1343" s="8" t="s">
        <v>17</v>
      </c>
      <c r="I1343" s="11" t="s">
        <v>18</v>
      </c>
      <c r="J1343" s="8" t="s">
        <v>14</v>
      </c>
    </row>
    <row r="1344" customFormat="false" ht="14.25" hidden="false" customHeight="false" outlineLevel="0" collapsed="false">
      <c r="A1344" s="8" t="n">
        <v>1343</v>
      </c>
      <c r="B1344" s="8" t="s">
        <v>85</v>
      </c>
      <c r="C1344" s="8" t="s">
        <v>16</v>
      </c>
      <c r="D1344" s="9" t="n">
        <v>44235</v>
      </c>
      <c r="E1344" s="9" t="str">
        <f aca="false">TEXT(D1344,"MMM")</f>
        <v>fev</v>
      </c>
      <c r="F1344" s="10" t="n">
        <v>-108749.49</v>
      </c>
      <c r="G1344" s="8" t="s">
        <v>34</v>
      </c>
      <c r="H1344" s="8" t="s">
        <v>36</v>
      </c>
      <c r="I1344" s="11" t="s">
        <v>37</v>
      </c>
      <c r="J1344" s="8" t="s">
        <v>14</v>
      </c>
    </row>
    <row r="1345" customFormat="false" ht="14.25" hidden="false" customHeight="false" outlineLevel="0" collapsed="false">
      <c r="A1345" s="8" t="n">
        <v>1344</v>
      </c>
      <c r="B1345" s="8" t="s">
        <v>85</v>
      </c>
      <c r="C1345" s="8" t="s">
        <v>10</v>
      </c>
      <c r="D1345" s="9" t="n">
        <v>44235</v>
      </c>
      <c r="E1345" s="9" t="str">
        <f aca="false">TEXT(D1345,"MMM")</f>
        <v>fev</v>
      </c>
      <c r="F1345" s="10" t="n">
        <v>16642.84</v>
      </c>
      <c r="G1345" s="8" t="s">
        <v>11</v>
      </c>
      <c r="H1345" s="8" t="s">
        <v>22</v>
      </c>
      <c r="I1345" s="11" t="s">
        <v>23</v>
      </c>
      <c r="J1345" s="8" t="s">
        <v>14</v>
      </c>
    </row>
    <row r="1346" customFormat="false" ht="14.25" hidden="false" customHeight="false" outlineLevel="0" collapsed="false">
      <c r="A1346" s="8" t="n">
        <v>1345</v>
      </c>
      <c r="B1346" s="8" t="s">
        <v>45</v>
      </c>
      <c r="C1346" s="8" t="s">
        <v>28</v>
      </c>
      <c r="D1346" s="9" t="n">
        <v>44235</v>
      </c>
      <c r="E1346" s="9" t="str">
        <f aca="false">TEXT(D1346,"MMM")</f>
        <v>fev</v>
      </c>
      <c r="F1346" s="10" t="n">
        <v>-18144</v>
      </c>
      <c r="G1346" s="8" t="s">
        <v>34</v>
      </c>
      <c r="H1346" s="8" t="s">
        <v>30</v>
      </c>
      <c r="I1346" s="11" t="s">
        <v>31</v>
      </c>
      <c r="J1346" s="8" t="s">
        <v>19</v>
      </c>
    </row>
    <row r="1347" customFormat="false" ht="14.25" hidden="false" customHeight="false" outlineLevel="0" collapsed="false">
      <c r="A1347" s="8" t="n">
        <v>1346</v>
      </c>
      <c r="B1347" s="8" t="s">
        <v>39</v>
      </c>
      <c r="C1347" s="8" t="s">
        <v>16</v>
      </c>
      <c r="D1347" s="9" t="n">
        <v>44235</v>
      </c>
      <c r="E1347" s="9" t="str">
        <f aca="false">TEXT(D1347,"MMM")</f>
        <v>fev</v>
      </c>
      <c r="F1347" s="10" t="n">
        <v>-36915.03</v>
      </c>
      <c r="G1347" s="8" t="s">
        <v>34</v>
      </c>
      <c r="H1347" s="8" t="s">
        <v>12</v>
      </c>
      <c r="I1347" s="11" t="s">
        <v>13</v>
      </c>
      <c r="J1347" s="8" t="s">
        <v>14</v>
      </c>
    </row>
    <row r="1348" customFormat="false" ht="14.25" hidden="false" customHeight="false" outlineLevel="0" collapsed="false">
      <c r="A1348" s="8" t="n">
        <v>1347</v>
      </c>
      <c r="B1348" s="8" t="s">
        <v>45</v>
      </c>
      <c r="C1348" s="8" t="s">
        <v>10</v>
      </c>
      <c r="D1348" s="9" t="n">
        <v>44235</v>
      </c>
      <c r="E1348" s="9" t="str">
        <f aca="false">TEXT(D1348,"MMM")</f>
        <v>fev</v>
      </c>
      <c r="F1348" s="10" t="n">
        <v>-601700.34</v>
      </c>
      <c r="G1348" s="8" t="s">
        <v>34</v>
      </c>
      <c r="H1348" s="8" t="s">
        <v>12</v>
      </c>
      <c r="I1348" s="11" t="s">
        <v>13</v>
      </c>
      <c r="J1348" s="8" t="s">
        <v>26</v>
      </c>
    </row>
    <row r="1349" customFormat="false" ht="14.25" hidden="false" customHeight="false" outlineLevel="0" collapsed="false">
      <c r="A1349" s="8" t="n">
        <v>1348</v>
      </c>
      <c r="B1349" s="8" t="s">
        <v>145</v>
      </c>
      <c r="C1349" s="8" t="s">
        <v>21</v>
      </c>
      <c r="D1349" s="9" t="n">
        <v>44236</v>
      </c>
      <c r="E1349" s="9" t="str">
        <f aca="false">TEXT(D1349,"MMM")</f>
        <v>fev</v>
      </c>
      <c r="F1349" s="10" t="n">
        <v>-14026.88</v>
      </c>
      <c r="G1349" s="8" t="s">
        <v>34</v>
      </c>
      <c r="H1349" s="8" t="s">
        <v>36</v>
      </c>
      <c r="I1349" s="11" t="s">
        <v>37</v>
      </c>
      <c r="J1349" s="8" t="s">
        <v>14</v>
      </c>
    </row>
    <row r="1350" customFormat="false" ht="14.25" hidden="false" customHeight="false" outlineLevel="0" collapsed="false">
      <c r="A1350" s="8" t="n">
        <v>1349</v>
      </c>
      <c r="B1350" s="8" t="s">
        <v>147</v>
      </c>
      <c r="C1350" s="8" t="s">
        <v>10</v>
      </c>
      <c r="D1350" s="9" t="n">
        <v>44241</v>
      </c>
      <c r="E1350" s="9" t="str">
        <f aca="false">TEXT(D1350,"MMM")</f>
        <v>fev</v>
      </c>
      <c r="F1350" s="10" t="n">
        <v>-17412.01</v>
      </c>
      <c r="G1350" s="8" t="s">
        <v>34</v>
      </c>
      <c r="H1350" s="8" t="s">
        <v>36</v>
      </c>
      <c r="I1350" s="11" t="s">
        <v>37</v>
      </c>
      <c r="J1350" s="8" t="s">
        <v>24</v>
      </c>
    </row>
    <row r="1351" customFormat="false" ht="14.25" hidden="false" customHeight="false" outlineLevel="0" collapsed="false">
      <c r="A1351" s="8" t="n">
        <v>1350</v>
      </c>
      <c r="B1351" s="8" t="s">
        <v>85</v>
      </c>
      <c r="C1351" s="8" t="s">
        <v>16</v>
      </c>
      <c r="D1351" s="9" t="n">
        <v>44241</v>
      </c>
      <c r="E1351" s="9" t="str">
        <f aca="false">TEXT(D1351,"MMM")</f>
        <v>fev</v>
      </c>
      <c r="F1351" s="10" t="n">
        <v>-14021.98</v>
      </c>
      <c r="G1351" s="8" t="s">
        <v>34</v>
      </c>
      <c r="H1351" s="8" t="s">
        <v>22</v>
      </c>
      <c r="I1351" s="11" t="s">
        <v>23</v>
      </c>
      <c r="J1351" s="8" t="s">
        <v>14</v>
      </c>
    </row>
    <row r="1352" customFormat="false" ht="14.25" hidden="false" customHeight="false" outlineLevel="0" collapsed="false">
      <c r="A1352" s="8" t="n">
        <v>1351</v>
      </c>
      <c r="B1352" s="8" t="s">
        <v>15</v>
      </c>
      <c r="C1352" s="8" t="s">
        <v>10</v>
      </c>
      <c r="D1352" s="9" t="n">
        <v>44241</v>
      </c>
      <c r="E1352" s="9" t="str">
        <f aca="false">TEXT(D1352,"MMM")</f>
        <v>fev</v>
      </c>
      <c r="F1352" s="10" t="n">
        <v>59446.56</v>
      </c>
      <c r="G1352" s="8" t="s">
        <v>11</v>
      </c>
      <c r="H1352" s="8" t="s">
        <v>12</v>
      </c>
      <c r="I1352" s="11" t="s">
        <v>13</v>
      </c>
      <c r="J1352" s="8" t="s">
        <v>14</v>
      </c>
    </row>
    <row r="1353" customFormat="false" ht="14.25" hidden="false" customHeight="false" outlineLevel="0" collapsed="false">
      <c r="A1353" s="8" t="n">
        <v>1352</v>
      </c>
      <c r="B1353" s="8" t="s">
        <v>62</v>
      </c>
      <c r="C1353" s="8" t="s">
        <v>21</v>
      </c>
      <c r="D1353" s="9" t="n">
        <v>44242</v>
      </c>
      <c r="E1353" s="9" t="str">
        <f aca="false">TEXT(D1353,"MMM")</f>
        <v>fev</v>
      </c>
      <c r="F1353" s="10" t="n">
        <v>95943.76</v>
      </c>
      <c r="G1353" s="8" t="s">
        <v>11</v>
      </c>
      <c r="H1353" s="8" t="s">
        <v>12</v>
      </c>
      <c r="I1353" s="11" t="s">
        <v>13</v>
      </c>
      <c r="J1353" s="8" t="s">
        <v>14</v>
      </c>
    </row>
    <row r="1354" customFormat="false" ht="14.25" hidden="false" customHeight="false" outlineLevel="0" collapsed="false">
      <c r="A1354" s="8" t="n">
        <v>1353</v>
      </c>
      <c r="B1354" s="8" t="s">
        <v>61</v>
      </c>
      <c r="C1354" s="8" t="s">
        <v>28</v>
      </c>
      <c r="D1354" s="9" t="n">
        <v>44242</v>
      </c>
      <c r="E1354" s="9" t="str">
        <f aca="false">TEXT(D1354,"MMM")</f>
        <v>fev</v>
      </c>
      <c r="F1354" s="10" t="n">
        <v>14612.2</v>
      </c>
      <c r="G1354" s="8" t="s">
        <v>11</v>
      </c>
      <c r="H1354" s="8" t="s">
        <v>22</v>
      </c>
      <c r="I1354" s="11" t="s">
        <v>23</v>
      </c>
      <c r="J1354" s="8" t="s">
        <v>26</v>
      </c>
    </row>
    <row r="1355" customFormat="false" ht="14.25" hidden="false" customHeight="false" outlineLevel="0" collapsed="false">
      <c r="A1355" s="8" t="n">
        <v>1354</v>
      </c>
      <c r="B1355" s="8" t="s">
        <v>61</v>
      </c>
      <c r="C1355" s="8" t="s">
        <v>10</v>
      </c>
      <c r="D1355" s="9" t="n">
        <v>44242</v>
      </c>
      <c r="E1355" s="9" t="str">
        <f aca="false">TEXT(D1355,"MMM")</f>
        <v>fev</v>
      </c>
      <c r="F1355" s="10" t="n">
        <v>15842.71</v>
      </c>
      <c r="G1355" s="8" t="s">
        <v>11</v>
      </c>
      <c r="H1355" s="8" t="s">
        <v>17</v>
      </c>
      <c r="I1355" s="11" t="s">
        <v>18</v>
      </c>
      <c r="J1355" s="8" t="s">
        <v>26</v>
      </c>
    </row>
    <row r="1356" customFormat="false" ht="14.25" hidden="false" customHeight="false" outlineLevel="0" collapsed="false">
      <c r="A1356" s="8" t="n">
        <v>1355</v>
      </c>
      <c r="B1356" s="8" t="s">
        <v>62</v>
      </c>
      <c r="C1356" s="8" t="s">
        <v>21</v>
      </c>
      <c r="D1356" s="9" t="n">
        <v>44242</v>
      </c>
      <c r="E1356" s="9" t="str">
        <f aca="false">TEXT(D1356,"MMM")</f>
        <v>fev</v>
      </c>
      <c r="F1356" s="10" t="n">
        <v>4906.48</v>
      </c>
      <c r="G1356" s="8" t="s">
        <v>11</v>
      </c>
      <c r="H1356" s="8" t="s">
        <v>17</v>
      </c>
      <c r="I1356" s="11" t="s">
        <v>18</v>
      </c>
      <c r="J1356" s="8" t="s">
        <v>19</v>
      </c>
    </row>
    <row r="1357" customFormat="false" ht="14.25" hidden="false" customHeight="false" outlineLevel="0" collapsed="false">
      <c r="A1357" s="8" t="n">
        <v>1356</v>
      </c>
      <c r="B1357" s="8" t="s">
        <v>61</v>
      </c>
      <c r="C1357" s="8" t="s">
        <v>28</v>
      </c>
      <c r="D1357" s="9" t="n">
        <v>44242</v>
      </c>
      <c r="E1357" s="9" t="str">
        <f aca="false">TEXT(D1357,"MMM")</f>
        <v>fev</v>
      </c>
      <c r="F1357" s="10" t="n">
        <v>16565.59</v>
      </c>
      <c r="G1357" s="8" t="s">
        <v>11</v>
      </c>
      <c r="H1357" s="8" t="s">
        <v>22</v>
      </c>
      <c r="I1357" s="11" t="s">
        <v>23</v>
      </c>
      <c r="J1357" s="8" t="s">
        <v>14</v>
      </c>
    </row>
    <row r="1358" customFormat="false" ht="14.25" hidden="false" customHeight="false" outlineLevel="0" collapsed="false">
      <c r="A1358" s="8" t="n">
        <v>1357</v>
      </c>
      <c r="B1358" s="8" t="s">
        <v>122</v>
      </c>
      <c r="C1358" s="8" t="s">
        <v>16</v>
      </c>
      <c r="D1358" s="9" t="n">
        <v>44243</v>
      </c>
      <c r="E1358" s="9" t="str">
        <f aca="false">TEXT(D1358,"MMM")</f>
        <v>fev</v>
      </c>
      <c r="F1358" s="10" t="n">
        <v>3213</v>
      </c>
      <c r="G1358" s="8" t="s">
        <v>11</v>
      </c>
      <c r="H1358" s="8" t="s">
        <v>30</v>
      </c>
      <c r="I1358" s="11" t="s">
        <v>31</v>
      </c>
      <c r="J1358" s="8" t="s">
        <v>26</v>
      </c>
    </row>
    <row r="1359" customFormat="false" ht="14.25" hidden="false" customHeight="false" outlineLevel="0" collapsed="false">
      <c r="A1359" s="8" t="n">
        <v>1358</v>
      </c>
      <c r="B1359" s="8" t="s">
        <v>15</v>
      </c>
      <c r="C1359" s="8" t="s">
        <v>16</v>
      </c>
      <c r="D1359" s="9" t="n">
        <v>44244</v>
      </c>
      <c r="E1359" s="9" t="str">
        <f aca="false">TEXT(D1359,"MMM")</f>
        <v>fev</v>
      </c>
      <c r="F1359" s="10" t="n">
        <v>133415.02</v>
      </c>
      <c r="G1359" s="8" t="s">
        <v>11</v>
      </c>
      <c r="H1359" s="8" t="s">
        <v>17</v>
      </c>
      <c r="I1359" s="11" t="s">
        <v>18</v>
      </c>
      <c r="J1359" s="8" t="s">
        <v>14</v>
      </c>
    </row>
    <row r="1360" customFormat="false" ht="14.25" hidden="false" customHeight="false" outlineLevel="0" collapsed="false">
      <c r="A1360" s="8" t="n">
        <v>1359</v>
      </c>
      <c r="B1360" s="8" t="s">
        <v>39</v>
      </c>
      <c r="C1360" s="8" t="s">
        <v>21</v>
      </c>
      <c r="D1360" s="9" t="n">
        <v>44244</v>
      </c>
      <c r="E1360" s="9" t="str">
        <f aca="false">TEXT(D1360,"MMM")</f>
        <v>fev</v>
      </c>
      <c r="F1360" s="10" t="n">
        <v>160711.2</v>
      </c>
      <c r="G1360" s="8" t="s">
        <v>11</v>
      </c>
      <c r="H1360" s="8" t="s">
        <v>36</v>
      </c>
      <c r="I1360" s="11" t="s">
        <v>37</v>
      </c>
      <c r="J1360" s="8" t="s">
        <v>24</v>
      </c>
    </row>
    <row r="1361" customFormat="false" ht="14.25" hidden="false" customHeight="false" outlineLevel="0" collapsed="false">
      <c r="A1361" s="8" t="n">
        <v>1360</v>
      </c>
      <c r="B1361" s="8" t="s">
        <v>39</v>
      </c>
      <c r="C1361" s="8" t="s">
        <v>28</v>
      </c>
      <c r="D1361" s="9" t="n">
        <v>44244</v>
      </c>
      <c r="E1361" s="9" t="str">
        <f aca="false">TEXT(D1361,"MMM")</f>
        <v>fev</v>
      </c>
      <c r="F1361" s="10" t="n">
        <v>5006.68</v>
      </c>
      <c r="G1361" s="8" t="s">
        <v>11</v>
      </c>
      <c r="H1361" s="8" t="s">
        <v>12</v>
      </c>
      <c r="I1361" s="11" t="s">
        <v>13</v>
      </c>
      <c r="J1361" s="8" t="s">
        <v>26</v>
      </c>
    </row>
    <row r="1362" customFormat="false" ht="14.25" hidden="false" customHeight="false" outlineLevel="0" collapsed="false">
      <c r="A1362" s="8" t="n">
        <v>1361</v>
      </c>
      <c r="B1362" s="8" t="s">
        <v>39</v>
      </c>
      <c r="C1362" s="8" t="s">
        <v>21</v>
      </c>
      <c r="D1362" s="9" t="n">
        <v>44244</v>
      </c>
      <c r="E1362" s="9" t="str">
        <f aca="false">TEXT(D1362,"MMM")</f>
        <v>fev</v>
      </c>
      <c r="F1362" s="10" t="n">
        <v>16574.32</v>
      </c>
      <c r="G1362" s="8" t="s">
        <v>11</v>
      </c>
      <c r="H1362" s="8" t="s">
        <v>17</v>
      </c>
      <c r="I1362" s="11" t="s">
        <v>18</v>
      </c>
      <c r="J1362" s="8" t="s">
        <v>14</v>
      </c>
    </row>
    <row r="1363" customFormat="false" ht="14.25" hidden="false" customHeight="false" outlineLevel="0" collapsed="false">
      <c r="A1363" s="8" t="n">
        <v>1362</v>
      </c>
      <c r="B1363" s="8" t="s">
        <v>40</v>
      </c>
      <c r="C1363" s="8" t="s">
        <v>10</v>
      </c>
      <c r="D1363" s="9" t="n">
        <v>44246</v>
      </c>
      <c r="E1363" s="9" t="str">
        <f aca="false">TEXT(D1363,"MMM")</f>
        <v>fev</v>
      </c>
      <c r="F1363" s="10" t="n">
        <v>3213</v>
      </c>
      <c r="G1363" s="8" t="s">
        <v>11</v>
      </c>
      <c r="H1363" s="8" t="s">
        <v>12</v>
      </c>
      <c r="I1363" s="11" t="s">
        <v>13</v>
      </c>
      <c r="J1363" s="8" t="s">
        <v>14</v>
      </c>
    </row>
    <row r="1364" customFormat="false" ht="14.25" hidden="false" customHeight="false" outlineLevel="0" collapsed="false">
      <c r="A1364" s="8" t="n">
        <v>1363</v>
      </c>
      <c r="B1364" s="8" t="s">
        <v>51</v>
      </c>
      <c r="C1364" s="8" t="s">
        <v>21</v>
      </c>
      <c r="D1364" s="9" t="n">
        <v>44246</v>
      </c>
      <c r="E1364" s="9" t="str">
        <f aca="false">TEXT(D1364,"MMM")</f>
        <v>fev</v>
      </c>
      <c r="F1364" s="10" t="n">
        <v>5379.39</v>
      </c>
      <c r="G1364" s="8" t="s">
        <v>11</v>
      </c>
      <c r="H1364" s="8" t="s">
        <v>12</v>
      </c>
      <c r="I1364" s="11" t="s">
        <v>13</v>
      </c>
      <c r="J1364" s="8" t="s">
        <v>14</v>
      </c>
    </row>
    <row r="1365" customFormat="false" ht="14.25" hidden="false" customHeight="false" outlineLevel="0" collapsed="false">
      <c r="A1365" s="8" t="n">
        <v>1364</v>
      </c>
      <c r="B1365" s="8" t="s">
        <v>74</v>
      </c>
      <c r="C1365" s="8" t="s">
        <v>21</v>
      </c>
      <c r="D1365" s="9" t="n">
        <v>44247</v>
      </c>
      <c r="E1365" s="9" t="str">
        <f aca="false">TEXT(D1365,"MMM")</f>
        <v>fev</v>
      </c>
      <c r="F1365" s="10" t="n">
        <v>19441.4</v>
      </c>
      <c r="G1365" s="8" t="s">
        <v>11</v>
      </c>
      <c r="H1365" s="8" t="s">
        <v>12</v>
      </c>
      <c r="I1365" s="11" t="s">
        <v>13</v>
      </c>
      <c r="J1365" s="8" t="s">
        <v>14</v>
      </c>
    </row>
    <row r="1366" customFormat="false" ht="14.25" hidden="false" customHeight="false" outlineLevel="0" collapsed="false">
      <c r="A1366" s="8" t="n">
        <v>1365</v>
      </c>
      <c r="B1366" s="8" t="s">
        <v>20</v>
      </c>
      <c r="C1366" s="8" t="s">
        <v>21</v>
      </c>
      <c r="D1366" s="9" t="n">
        <v>44247</v>
      </c>
      <c r="E1366" s="9" t="str">
        <f aca="false">TEXT(D1366,"MMM")</f>
        <v>fev</v>
      </c>
      <c r="F1366" s="10" t="n">
        <v>3213</v>
      </c>
      <c r="G1366" s="8" t="s">
        <v>11</v>
      </c>
      <c r="H1366" s="8" t="s">
        <v>22</v>
      </c>
      <c r="I1366" s="11" t="s">
        <v>23</v>
      </c>
      <c r="J1366" s="8" t="s">
        <v>14</v>
      </c>
    </row>
    <row r="1367" customFormat="false" ht="14.25" hidden="false" customHeight="false" outlineLevel="0" collapsed="false">
      <c r="A1367" s="8" t="n">
        <v>1366</v>
      </c>
      <c r="B1367" s="8" t="s">
        <v>20</v>
      </c>
      <c r="C1367" s="8" t="s">
        <v>21</v>
      </c>
      <c r="D1367" s="9" t="n">
        <v>44247</v>
      </c>
      <c r="E1367" s="9" t="str">
        <f aca="false">TEXT(D1367,"MMM")</f>
        <v>fev</v>
      </c>
      <c r="F1367" s="10" t="n">
        <v>3213</v>
      </c>
      <c r="G1367" s="8" t="s">
        <v>11</v>
      </c>
      <c r="H1367" s="8" t="s">
        <v>17</v>
      </c>
      <c r="I1367" s="11" t="s">
        <v>18</v>
      </c>
      <c r="J1367" s="8" t="s">
        <v>14</v>
      </c>
    </row>
    <row r="1368" customFormat="false" ht="14.25" hidden="false" customHeight="false" outlineLevel="0" collapsed="false">
      <c r="A1368" s="8" t="n">
        <v>1367</v>
      </c>
      <c r="B1368" s="8" t="s">
        <v>20</v>
      </c>
      <c r="C1368" s="8" t="s">
        <v>16</v>
      </c>
      <c r="D1368" s="9" t="n">
        <v>44247</v>
      </c>
      <c r="E1368" s="9" t="str">
        <f aca="false">TEXT(D1368,"MMM")</f>
        <v>fev</v>
      </c>
      <c r="F1368" s="10" t="n">
        <v>3213</v>
      </c>
      <c r="G1368" s="8" t="s">
        <v>11</v>
      </c>
      <c r="H1368" s="8" t="s">
        <v>12</v>
      </c>
      <c r="I1368" s="11" t="s">
        <v>13</v>
      </c>
      <c r="J1368" s="8" t="s">
        <v>14</v>
      </c>
    </row>
    <row r="1369" customFormat="false" ht="14.25" hidden="false" customHeight="false" outlineLevel="0" collapsed="false">
      <c r="A1369" s="8" t="n">
        <v>1368</v>
      </c>
      <c r="B1369" s="8" t="s">
        <v>58</v>
      </c>
      <c r="C1369" s="8" t="s">
        <v>28</v>
      </c>
      <c r="D1369" s="9" t="n">
        <v>44247</v>
      </c>
      <c r="E1369" s="9" t="str">
        <f aca="false">TEXT(D1369,"MMM")</f>
        <v>fev</v>
      </c>
      <c r="F1369" s="10" t="n">
        <v>-1179.92</v>
      </c>
      <c r="G1369" s="8" t="s">
        <v>34</v>
      </c>
      <c r="H1369" s="8" t="s">
        <v>30</v>
      </c>
      <c r="I1369" s="11" t="s">
        <v>31</v>
      </c>
      <c r="J1369" s="8" t="s">
        <v>24</v>
      </c>
    </row>
    <row r="1370" customFormat="false" ht="14.25" hidden="false" customHeight="false" outlineLevel="0" collapsed="false">
      <c r="A1370" s="8" t="n">
        <v>1369</v>
      </c>
      <c r="B1370" s="8" t="s">
        <v>58</v>
      </c>
      <c r="C1370" s="8" t="s">
        <v>16</v>
      </c>
      <c r="D1370" s="9" t="n">
        <v>44247</v>
      </c>
      <c r="E1370" s="9" t="str">
        <f aca="false">TEXT(D1370,"MMM")</f>
        <v>fev</v>
      </c>
      <c r="F1370" s="10" t="n">
        <v>-25981.66</v>
      </c>
      <c r="G1370" s="8" t="s">
        <v>34</v>
      </c>
      <c r="H1370" s="8" t="s">
        <v>12</v>
      </c>
      <c r="I1370" s="11" t="s">
        <v>13</v>
      </c>
      <c r="J1370" s="8" t="s">
        <v>26</v>
      </c>
    </row>
    <row r="1371" customFormat="false" ht="14.25" hidden="false" customHeight="false" outlineLevel="0" collapsed="false">
      <c r="A1371" s="8" t="n">
        <v>1370</v>
      </c>
      <c r="B1371" s="8" t="s">
        <v>58</v>
      </c>
      <c r="C1371" s="8" t="s">
        <v>28</v>
      </c>
      <c r="D1371" s="9" t="n">
        <v>44247</v>
      </c>
      <c r="E1371" s="9" t="str">
        <f aca="false">TEXT(D1371,"MMM")</f>
        <v>fev</v>
      </c>
      <c r="F1371" s="10" t="n">
        <v>-15033.97</v>
      </c>
      <c r="G1371" s="8" t="s">
        <v>34</v>
      </c>
      <c r="H1371" s="8" t="s">
        <v>17</v>
      </c>
      <c r="I1371" s="11" t="s">
        <v>18</v>
      </c>
      <c r="J1371" s="8" t="s">
        <v>26</v>
      </c>
    </row>
    <row r="1372" customFormat="false" ht="14.25" hidden="false" customHeight="false" outlineLevel="0" collapsed="false">
      <c r="A1372" s="8" t="n">
        <v>1371</v>
      </c>
      <c r="B1372" s="8" t="s">
        <v>58</v>
      </c>
      <c r="C1372" s="8" t="s">
        <v>10</v>
      </c>
      <c r="D1372" s="9" t="n">
        <v>44247</v>
      </c>
      <c r="E1372" s="9" t="str">
        <f aca="false">TEXT(D1372,"MMM")</f>
        <v>fev</v>
      </c>
      <c r="F1372" s="10" t="n">
        <v>-20571.6</v>
      </c>
      <c r="G1372" s="8" t="s">
        <v>34</v>
      </c>
      <c r="H1372" s="8" t="s">
        <v>12</v>
      </c>
      <c r="I1372" s="11" t="s">
        <v>13</v>
      </c>
      <c r="J1372" s="8" t="s">
        <v>26</v>
      </c>
    </row>
    <row r="1373" customFormat="false" ht="14.25" hidden="false" customHeight="false" outlineLevel="0" collapsed="false">
      <c r="A1373" s="8" t="n">
        <v>1372</v>
      </c>
      <c r="B1373" s="8" t="s">
        <v>145</v>
      </c>
      <c r="C1373" s="8" t="s">
        <v>28</v>
      </c>
      <c r="D1373" s="9" t="n">
        <v>44248</v>
      </c>
      <c r="E1373" s="9" t="str">
        <f aca="false">TEXT(D1373,"MMM")</f>
        <v>fev</v>
      </c>
      <c r="F1373" s="10" t="n">
        <v>-10510.85</v>
      </c>
      <c r="G1373" s="8" t="s">
        <v>34</v>
      </c>
      <c r="H1373" s="8" t="s">
        <v>22</v>
      </c>
      <c r="I1373" s="11" t="s">
        <v>23</v>
      </c>
      <c r="J1373" s="8" t="s">
        <v>26</v>
      </c>
    </row>
    <row r="1374" customFormat="false" ht="14.25" hidden="false" customHeight="false" outlineLevel="0" collapsed="false">
      <c r="A1374" s="8" t="n">
        <v>1373</v>
      </c>
      <c r="B1374" s="8" t="s">
        <v>85</v>
      </c>
      <c r="C1374" s="8" t="s">
        <v>16</v>
      </c>
      <c r="D1374" s="9" t="n">
        <v>44249</v>
      </c>
      <c r="E1374" s="9" t="str">
        <f aca="false">TEXT(D1374,"MMM")</f>
        <v>fev</v>
      </c>
      <c r="F1374" s="10" t="n">
        <v>-13427.61</v>
      </c>
      <c r="G1374" s="8" t="s">
        <v>34</v>
      </c>
      <c r="H1374" s="8" t="s">
        <v>17</v>
      </c>
      <c r="I1374" s="11" t="s">
        <v>18</v>
      </c>
      <c r="J1374" s="8" t="s">
        <v>26</v>
      </c>
    </row>
    <row r="1375" customFormat="false" ht="14.25" hidden="false" customHeight="false" outlineLevel="0" collapsed="false">
      <c r="A1375" s="8" t="n">
        <v>1374</v>
      </c>
      <c r="B1375" s="8" t="s">
        <v>86</v>
      </c>
      <c r="C1375" s="8" t="s">
        <v>21</v>
      </c>
      <c r="D1375" s="9" t="n">
        <v>44249</v>
      </c>
      <c r="E1375" s="9" t="str">
        <f aca="false">TEXT(D1375,"MMM")</f>
        <v>fev</v>
      </c>
      <c r="F1375" s="10" t="n">
        <v>-10209.96</v>
      </c>
      <c r="G1375" s="8" t="s">
        <v>34</v>
      </c>
      <c r="H1375" s="8" t="s">
        <v>12</v>
      </c>
      <c r="I1375" s="11" t="s">
        <v>13</v>
      </c>
      <c r="J1375" s="8" t="s">
        <v>26</v>
      </c>
    </row>
    <row r="1376" customFormat="false" ht="14.25" hidden="false" customHeight="false" outlineLevel="0" collapsed="false">
      <c r="A1376" s="8" t="n">
        <v>1375</v>
      </c>
      <c r="B1376" s="8" t="s">
        <v>40</v>
      </c>
      <c r="C1376" s="8" t="s">
        <v>16</v>
      </c>
      <c r="D1376" s="9" t="n">
        <v>44249</v>
      </c>
      <c r="E1376" s="9" t="str">
        <f aca="false">TEXT(D1376,"MMM")</f>
        <v>fev</v>
      </c>
      <c r="F1376" s="10" t="n">
        <v>-19869.92</v>
      </c>
      <c r="G1376" s="8" t="s">
        <v>34</v>
      </c>
      <c r="H1376" s="8" t="s">
        <v>12</v>
      </c>
      <c r="I1376" s="11" t="s">
        <v>13</v>
      </c>
      <c r="J1376" s="8" t="s">
        <v>14</v>
      </c>
    </row>
    <row r="1377" customFormat="false" ht="14.25" hidden="false" customHeight="false" outlineLevel="0" collapsed="false">
      <c r="A1377" s="8" t="n">
        <v>1376</v>
      </c>
      <c r="B1377" s="8" t="s">
        <v>57</v>
      </c>
      <c r="C1377" s="8" t="s">
        <v>21</v>
      </c>
      <c r="D1377" s="9" t="n">
        <v>44249</v>
      </c>
      <c r="E1377" s="9" t="str">
        <f aca="false">TEXT(D1377,"MMM")</f>
        <v>fev</v>
      </c>
      <c r="F1377" s="10" t="n">
        <v>-14145.29</v>
      </c>
      <c r="G1377" s="8" t="s">
        <v>34</v>
      </c>
      <c r="H1377" s="8" t="s">
        <v>30</v>
      </c>
      <c r="I1377" s="11" t="s">
        <v>31</v>
      </c>
      <c r="J1377" s="8" t="s">
        <v>14</v>
      </c>
    </row>
    <row r="1378" customFormat="false" ht="14.25" hidden="false" customHeight="false" outlineLevel="0" collapsed="false">
      <c r="A1378" s="8" t="n">
        <v>1377</v>
      </c>
      <c r="B1378" s="8" t="s">
        <v>44</v>
      </c>
      <c r="C1378" s="8" t="s">
        <v>10</v>
      </c>
      <c r="D1378" s="9" t="n">
        <v>44249</v>
      </c>
      <c r="E1378" s="9" t="str">
        <f aca="false">TEXT(D1378,"MMM")</f>
        <v>fev</v>
      </c>
      <c r="F1378" s="10" t="n">
        <v>-12996.24</v>
      </c>
      <c r="G1378" s="8" t="s">
        <v>34</v>
      </c>
      <c r="H1378" s="8" t="s">
        <v>12</v>
      </c>
      <c r="I1378" s="11" t="s">
        <v>13</v>
      </c>
      <c r="J1378" s="8" t="s">
        <v>19</v>
      </c>
    </row>
    <row r="1379" customFormat="false" ht="14.25" hidden="false" customHeight="false" outlineLevel="0" collapsed="false">
      <c r="A1379" s="8" t="n">
        <v>1378</v>
      </c>
      <c r="B1379" s="8" t="s">
        <v>57</v>
      </c>
      <c r="C1379" s="8" t="s">
        <v>28</v>
      </c>
      <c r="D1379" s="9" t="n">
        <v>44249</v>
      </c>
      <c r="E1379" s="9" t="str">
        <f aca="false">TEXT(D1379,"MMM")</f>
        <v>fev</v>
      </c>
      <c r="F1379" s="10" t="n">
        <v>-14655.52</v>
      </c>
      <c r="G1379" s="8" t="s">
        <v>34</v>
      </c>
      <c r="H1379" s="8" t="s">
        <v>12</v>
      </c>
      <c r="I1379" s="11" t="s">
        <v>13</v>
      </c>
      <c r="J1379" s="8" t="s">
        <v>14</v>
      </c>
    </row>
    <row r="1380" customFormat="false" ht="14.25" hidden="false" customHeight="false" outlineLevel="0" collapsed="false">
      <c r="A1380" s="8" t="n">
        <v>1379</v>
      </c>
      <c r="B1380" s="8" t="s">
        <v>44</v>
      </c>
      <c r="C1380" s="8" t="s">
        <v>21</v>
      </c>
      <c r="D1380" s="9" t="n">
        <v>44249</v>
      </c>
      <c r="E1380" s="9" t="str">
        <f aca="false">TEXT(D1380,"MMM")</f>
        <v>fev</v>
      </c>
      <c r="F1380" s="10" t="n">
        <v>-22411.24</v>
      </c>
      <c r="G1380" s="8" t="s">
        <v>34</v>
      </c>
      <c r="H1380" s="8" t="s">
        <v>30</v>
      </c>
      <c r="I1380" s="11" t="s">
        <v>31</v>
      </c>
      <c r="J1380" s="8" t="s">
        <v>14</v>
      </c>
    </row>
    <row r="1381" customFormat="false" ht="14.25" hidden="false" customHeight="false" outlineLevel="0" collapsed="false">
      <c r="A1381" s="8" t="n">
        <v>1380</v>
      </c>
      <c r="B1381" s="8" t="s">
        <v>47</v>
      </c>
      <c r="C1381" s="8" t="s">
        <v>21</v>
      </c>
      <c r="D1381" s="9" t="n">
        <v>44249</v>
      </c>
      <c r="E1381" s="9" t="str">
        <f aca="false">TEXT(D1381,"MMM")</f>
        <v>fev</v>
      </c>
      <c r="F1381" s="10" t="n">
        <v>17159.73</v>
      </c>
      <c r="G1381" s="8" t="s">
        <v>11</v>
      </c>
      <c r="H1381" s="8" t="s">
        <v>12</v>
      </c>
      <c r="I1381" s="11" t="s">
        <v>13</v>
      </c>
      <c r="J1381" s="8" t="s">
        <v>19</v>
      </c>
    </row>
    <row r="1382" customFormat="false" ht="14.25" hidden="false" customHeight="false" outlineLevel="0" collapsed="false">
      <c r="A1382" s="8" t="n">
        <v>1381</v>
      </c>
      <c r="B1382" s="8" t="s">
        <v>47</v>
      </c>
      <c r="C1382" s="8" t="s">
        <v>28</v>
      </c>
      <c r="D1382" s="9" t="n">
        <v>44249</v>
      </c>
      <c r="E1382" s="9" t="str">
        <f aca="false">TEXT(D1382,"MMM")</f>
        <v>fev</v>
      </c>
      <c r="F1382" s="10" t="n">
        <v>-3329.48</v>
      </c>
      <c r="G1382" s="8" t="s">
        <v>34</v>
      </c>
      <c r="H1382" s="8" t="s">
        <v>17</v>
      </c>
      <c r="I1382" s="11" t="s">
        <v>18</v>
      </c>
      <c r="J1382" s="8" t="s">
        <v>26</v>
      </c>
    </row>
    <row r="1383" customFormat="false" ht="14.25" hidden="false" customHeight="false" outlineLevel="0" collapsed="false">
      <c r="A1383" s="8" t="n">
        <v>1382</v>
      </c>
      <c r="B1383" s="8" t="s">
        <v>47</v>
      </c>
      <c r="C1383" s="8" t="s">
        <v>28</v>
      </c>
      <c r="D1383" s="9" t="n">
        <v>44249</v>
      </c>
      <c r="E1383" s="9" t="str">
        <f aca="false">TEXT(D1383,"MMM")</f>
        <v>fev</v>
      </c>
      <c r="F1383" s="10" t="n">
        <v>-69192.69</v>
      </c>
      <c r="G1383" s="8" t="s">
        <v>34</v>
      </c>
      <c r="H1383" s="8" t="s">
        <v>12</v>
      </c>
      <c r="I1383" s="11" t="s">
        <v>13</v>
      </c>
      <c r="J1383" s="8" t="s">
        <v>14</v>
      </c>
    </row>
    <row r="1384" customFormat="false" ht="14.25" hidden="false" customHeight="false" outlineLevel="0" collapsed="false">
      <c r="A1384" s="8" t="n">
        <v>1383</v>
      </c>
      <c r="B1384" s="8" t="s">
        <v>47</v>
      </c>
      <c r="C1384" s="8" t="s">
        <v>10</v>
      </c>
      <c r="D1384" s="9" t="n">
        <v>44249</v>
      </c>
      <c r="E1384" s="9" t="str">
        <f aca="false">TEXT(D1384,"MMM")</f>
        <v>fev</v>
      </c>
      <c r="F1384" s="10" t="n">
        <v>-65839.9</v>
      </c>
      <c r="G1384" s="8" t="s">
        <v>34</v>
      </c>
      <c r="H1384" s="8" t="s">
        <v>36</v>
      </c>
      <c r="I1384" s="11" t="s">
        <v>37</v>
      </c>
      <c r="J1384" s="8" t="s">
        <v>14</v>
      </c>
    </row>
    <row r="1385" customFormat="false" ht="14.25" hidden="false" customHeight="false" outlineLevel="0" collapsed="false">
      <c r="A1385" s="8" t="n">
        <v>1384</v>
      </c>
      <c r="B1385" s="8" t="s">
        <v>47</v>
      </c>
      <c r="C1385" s="8" t="s">
        <v>28</v>
      </c>
      <c r="D1385" s="9" t="n">
        <v>44249</v>
      </c>
      <c r="E1385" s="9" t="str">
        <f aca="false">TEXT(D1385,"MMM")</f>
        <v>fev</v>
      </c>
      <c r="F1385" s="10" t="n">
        <v>-326.73</v>
      </c>
      <c r="G1385" s="8" t="s">
        <v>34</v>
      </c>
      <c r="H1385" s="8" t="s">
        <v>17</v>
      </c>
      <c r="I1385" s="11" t="s">
        <v>18</v>
      </c>
      <c r="J1385" s="8" t="s">
        <v>19</v>
      </c>
    </row>
    <row r="1386" customFormat="false" ht="14.25" hidden="false" customHeight="false" outlineLevel="0" collapsed="false">
      <c r="A1386" s="8" t="n">
        <v>1385</v>
      </c>
      <c r="B1386" s="8" t="s">
        <v>153</v>
      </c>
      <c r="C1386" s="8" t="s">
        <v>21</v>
      </c>
      <c r="D1386" s="9" t="n">
        <v>44250</v>
      </c>
      <c r="E1386" s="9" t="str">
        <f aca="false">TEXT(D1386,"MMM")</f>
        <v>fev</v>
      </c>
      <c r="F1386" s="10" t="n">
        <v>-1426.6</v>
      </c>
      <c r="G1386" s="8" t="s">
        <v>34</v>
      </c>
      <c r="H1386" s="8" t="s">
        <v>12</v>
      </c>
      <c r="I1386" s="11" t="s">
        <v>13</v>
      </c>
      <c r="J1386" s="8" t="s">
        <v>14</v>
      </c>
    </row>
    <row r="1387" customFormat="false" ht="14.25" hidden="false" customHeight="false" outlineLevel="0" collapsed="false">
      <c r="A1387" s="8" t="n">
        <v>1386</v>
      </c>
      <c r="B1387" s="8" t="s">
        <v>155</v>
      </c>
      <c r="C1387" s="8" t="s">
        <v>21</v>
      </c>
      <c r="D1387" s="9" t="n">
        <v>44250</v>
      </c>
      <c r="E1387" s="9" t="str">
        <f aca="false">TEXT(D1387,"MMM")</f>
        <v>fev</v>
      </c>
      <c r="F1387" s="10" t="n">
        <v>15151.98</v>
      </c>
      <c r="G1387" s="8" t="s">
        <v>11</v>
      </c>
      <c r="H1387" s="8" t="s">
        <v>30</v>
      </c>
      <c r="I1387" s="11" t="s">
        <v>31</v>
      </c>
      <c r="J1387" s="8" t="s">
        <v>26</v>
      </c>
    </row>
    <row r="1388" customFormat="false" ht="14.25" hidden="false" customHeight="false" outlineLevel="0" collapsed="false">
      <c r="A1388" s="8" t="n">
        <v>1387</v>
      </c>
      <c r="B1388" s="8" t="s">
        <v>54</v>
      </c>
      <c r="C1388" s="8" t="s">
        <v>10</v>
      </c>
      <c r="D1388" s="9" t="n">
        <v>44250</v>
      </c>
      <c r="E1388" s="9" t="str">
        <f aca="false">TEXT(D1388,"MMM")</f>
        <v>fev</v>
      </c>
      <c r="F1388" s="10" t="n">
        <v>8707.21</v>
      </c>
      <c r="G1388" s="8" t="s">
        <v>11</v>
      </c>
      <c r="H1388" s="8" t="s">
        <v>12</v>
      </c>
      <c r="I1388" s="11" t="s">
        <v>13</v>
      </c>
      <c r="J1388" s="8" t="s">
        <v>26</v>
      </c>
    </row>
    <row r="1389" customFormat="false" ht="14.25" hidden="false" customHeight="false" outlineLevel="0" collapsed="false">
      <c r="A1389" s="8" t="n">
        <v>1388</v>
      </c>
      <c r="B1389" s="8" t="s">
        <v>73</v>
      </c>
      <c r="C1389" s="8" t="s">
        <v>28</v>
      </c>
      <c r="D1389" s="9" t="n">
        <v>44250</v>
      </c>
      <c r="E1389" s="9" t="str">
        <f aca="false">TEXT(D1389,"MMM")</f>
        <v>fev</v>
      </c>
      <c r="F1389" s="10" t="n">
        <v>141182.83</v>
      </c>
      <c r="G1389" s="8" t="s">
        <v>11</v>
      </c>
      <c r="H1389" s="8" t="s">
        <v>17</v>
      </c>
      <c r="I1389" s="11" t="s">
        <v>18</v>
      </c>
      <c r="J1389" s="8" t="s">
        <v>19</v>
      </c>
    </row>
    <row r="1390" customFormat="false" ht="14.25" hidden="false" customHeight="false" outlineLevel="0" collapsed="false">
      <c r="A1390" s="8" t="n">
        <v>1389</v>
      </c>
      <c r="B1390" s="8" t="s">
        <v>45</v>
      </c>
      <c r="C1390" s="8" t="s">
        <v>21</v>
      </c>
      <c r="D1390" s="9" t="n">
        <v>44250</v>
      </c>
      <c r="E1390" s="9" t="str">
        <f aca="false">TEXT(D1390,"MMM")</f>
        <v>fev</v>
      </c>
      <c r="F1390" s="10" t="n">
        <v>17445.81</v>
      </c>
      <c r="G1390" s="8" t="s">
        <v>11</v>
      </c>
      <c r="H1390" s="8" t="s">
        <v>36</v>
      </c>
      <c r="I1390" s="11" t="s">
        <v>37</v>
      </c>
      <c r="J1390" s="8" t="s">
        <v>26</v>
      </c>
    </row>
    <row r="1391" customFormat="false" ht="14.25" hidden="false" customHeight="false" outlineLevel="0" collapsed="false">
      <c r="A1391" s="8" t="n">
        <v>1390</v>
      </c>
      <c r="B1391" s="8" t="s">
        <v>45</v>
      </c>
      <c r="C1391" s="8" t="s">
        <v>16</v>
      </c>
      <c r="D1391" s="9" t="n">
        <v>44250</v>
      </c>
      <c r="E1391" s="9" t="str">
        <f aca="false">TEXT(D1391,"MMM")</f>
        <v>fev</v>
      </c>
      <c r="F1391" s="10" t="n">
        <v>123816.68</v>
      </c>
      <c r="G1391" s="8" t="s">
        <v>11</v>
      </c>
      <c r="H1391" s="8" t="s">
        <v>36</v>
      </c>
      <c r="I1391" s="11" t="s">
        <v>37</v>
      </c>
      <c r="J1391" s="8" t="s">
        <v>26</v>
      </c>
    </row>
    <row r="1392" customFormat="false" ht="14.25" hidden="false" customHeight="false" outlineLevel="0" collapsed="false">
      <c r="A1392" s="8" t="n">
        <v>1391</v>
      </c>
      <c r="B1392" s="8" t="s">
        <v>73</v>
      </c>
      <c r="C1392" s="8" t="s">
        <v>10</v>
      </c>
      <c r="D1392" s="9" t="n">
        <v>44250</v>
      </c>
      <c r="E1392" s="9" t="str">
        <f aca="false">TEXT(D1392,"MMM")</f>
        <v>fev</v>
      </c>
      <c r="F1392" s="10" t="n">
        <v>13237.83</v>
      </c>
      <c r="G1392" s="8" t="s">
        <v>11</v>
      </c>
      <c r="H1392" s="8" t="s">
        <v>36</v>
      </c>
      <c r="I1392" s="11" t="s">
        <v>37</v>
      </c>
      <c r="J1392" s="8" t="s">
        <v>19</v>
      </c>
    </row>
    <row r="1393" customFormat="false" ht="14.25" hidden="false" customHeight="false" outlineLevel="0" collapsed="false">
      <c r="A1393" s="8" t="n">
        <v>1392</v>
      </c>
      <c r="B1393" s="8" t="s">
        <v>73</v>
      </c>
      <c r="C1393" s="8" t="s">
        <v>10</v>
      </c>
      <c r="D1393" s="9" t="n">
        <v>44250</v>
      </c>
      <c r="E1393" s="9" t="str">
        <f aca="false">TEXT(D1393,"MMM")</f>
        <v>fev</v>
      </c>
      <c r="F1393" s="10" t="n">
        <v>12067.34</v>
      </c>
      <c r="G1393" s="8" t="s">
        <v>11</v>
      </c>
      <c r="H1393" s="8" t="s">
        <v>12</v>
      </c>
      <c r="I1393" s="11" t="s">
        <v>13</v>
      </c>
      <c r="J1393" s="8" t="s">
        <v>14</v>
      </c>
    </row>
    <row r="1394" customFormat="false" ht="14.25" hidden="false" customHeight="false" outlineLevel="0" collapsed="false">
      <c r="A1394" s="8" t="n">
        <v>1393</v>
      </c>
      <c r="B1394" s="8" t="s">
        <v>15</v>
      </c>
      <c r="C1394" s="8" t="s">
        <v>28</v>
      </c>
      <c r="D1394" s="9" t="n">
        <v>44251</v>
      </c>
      <c r="E1394" s="9" t="str">
        <f aca="false">TEXT(D1394,"MMM")</f>
        <v>fev</v>
      </c>
      <c r="F1394" s="10" t="n">
        <v>11347.25</v>
      </c>
      <c r="G1394" s="8" t="s">
        <v>11</v>
      </c>
      <c r="H1394" s="8" t="s">
        <v>12</v>
      </c>
      <c r="I1394" s="11" t="s">
        <v>13</v>
      </c>
      <c r="J1394" s="8" t="s">
        <v>14</v>
      </c>
    </row>
    <row r="1395" customFormat="false" ht="14.25" hidden="false" customHeight="false" outlineLevel="0" collapsed="false">
      <c r="A1395" s="8" t="n">
        <v>1394</v>
      </c>
      <c r="B1395" s="8" t="s">
        <v>49</v>
      </c>
      <c r="C1395" s="8" t="s">
        <v>10</v>
      </c>
      <c r="D1395" s="9" t="n">
        <v>44251</v>
      </c>
      <c r="E1395" s="9" t="str">
        <f aca="false">TEXT(D1395,"MMM")</f>
        <v>fev</v>
      </c>
      <c r="F1395" s="10" t="n">
        <v>13784.21</v>
      </c>
      <c r="G1395" s="8" t="s">
        <v>11</v>
      </c>
      <c r="H1395" s="8" t="s">
        <v>12</v>
      </c>
      <c r="I1395" s="11" t="s">
        <v>13</v>
      </c>
      <c r="J1395" s="8" t="s">
        <v>24</v>
      </c>
    </row>
    <row r="1396" customFormat="false" ht="14.25" hidden="false" customHeight="false" outlineLevel="0" collapsed="false">
      <c r="A1396" s="8" t="n">
        <v>1395</v>
      </c>
      <c r="B1396" s="8" t="s">
        <v>15</v>
      </c>
      <c r="C1396" s="8" t="s">
        <v>21</v>
      </c>
      <c r="D1396" s="9" t="n">
        <v>44255</v>
      </c>
      <c r="E1396" s="9" t="str">
        <f aca="false">TEXT(D1396,"MMM")</f>
        <v>fev</v>
      </c>
      <c r="F1396" s="10" t="n">
        <v>12424.62</v>
      </c>
      <c r="G1396" s="8" t="s">
        <v>11</v>
      </c>
      <c r="H1396" s="8" t="s">
        <v>17</v>
      </c>
      <c r="I1396" s="11" t="s">
        <v>18</v>
      </c>
      <c r="J1396" s="8" t="s">
        <v>14</v>
      </c>
    </row>
    <row r="1397" customFormat="false" ht="14.25" hidden="false" customHeight="false" outlineLevel="0" collapsed="false">
      <c r="A1397" s="8" t="n">
        <v>1396</v>
      </c>
      <c r="B1397" s="8" t="s">
        <v>15</v>
      </c>
      <c r="C1397" s="8" t="s">
        <v>16</v>
      </c>
      <c r="D1397" s="9" t="n">
        <v>44255</v>
      </c>
      <c r="E1397" s="9" t="str">
        <f aca="false">TEXT(D1397,"MMM")</f>
        <v>fev</v>
      </c>
      <c r="F1397" s="10" t="n">
        <v>12865.26</v>
      </c>
      <c r="G1397" s="8" t="s">
        <v>11</v>
      </c>
      <c r="H1397" s="8" t="s">
        <v>12</v>
      </c>
      <c r="I1397" s="11" t="s">
        <v>13</v>
      </c>
      <c r="J1397" s="8" t="s">
        <v>24</v>
      </c>
    </row>
    <row r="1398" customFormat="false" ht="14.25" hidden="false" customHeight="false" outlineLevel="0" collapsed="false">
      <c r="A1398" s="8" t="n">
        <v>1397</v>
      </c>
      <c r="B1398" s="8" t="s">
        <v>40</v>
      </c>
      <c r="C1398" s="8" t="s">
        <v>28</v>
      </c>
      <c r="D1398" s="9" t="n">
        <v>44257</v>
      </c>
      <c r="E1398" s="9" t="str">
        <f aca="false">TEXT(D1398,"MMM")</f>
        <v>mar</v>
      </c>
      <c r="F1398" s="10" t="n">
        <v>10490.32</v>
      </c>
      <c r="G1398" s="8" t="s">
        <v>11</v>
      </c>
      <c r="H1398" s="8" t="s">
        <v>30</v>
      </c>
      <c r="I1398" s="11" t="s">
        <v>31</v>
      </c>
      <c r="J1398" s="8" t="s">
        <v>19</v>
      </c>
    </row>
    <row r="1399" customFormat="false" ht="14.25" hidden="false" customHeight="false" outlineLevel="0" collapsed="false">
      <c r="A1399" s="8" t="n">
        <v>1398</v>
      </c>
      <c r="B1399" s="8" t="s">
        <v>39</v>
      </c>
      <c r="C1399" s="8" t="s">
        <v>10</v>
      </c>
      <c r="D1399" s="9" t="n">
        <v>44257</v>
      </c>
      <c r="E1399" s="9" t="str">
        <f aca="false">TEXT(D1399,"MMM")</f>
        <v>mar</v>
      </c>
      <c r="F1399" s="10" t="n">
        <v>14635.32</v>
      </c>
      <c r="G1399" s="8" t="s">
        <v>11</v>
      </c>
      <c r="H1399" s="8" t="s">
        <v>17</v>
      </c>
      <c r="I1399" s="11" t="s">
        <v>18</v>
      </c>
      <c r="J1399" s="8" t="s">
        <v>26</v>
      </c>
    </row>
    <row r="1400" customFormat="false" ht="14.25" hidden="false" customHeight="false" outlineLevel="0" collapsed="false">
      <c r="A1400" s="8" t="n">
        <v>1399</v>
      </c>
      <c r="B1400" s="8" t="s">
        <v>77</v>
      </c>
      <c r="C1400" s="8" t="s">
        <v>10</v>
      </c>
      <c r="D1400" s="9" t="n">
        <v>44260</v>
      </c>
      <c r="E1400" s="9" t="str">
        <f aca="false">TEXT(D1400,"MMM")</f>
        <v>mar</v>
      </c>
      <c r="F1400" s="10" t="n">
        <v>11473.79</v>
      </c>
      <c r="G1400" s="8" t="s">
        <v>11</v>
      </c>
      <c r="H1400" s="8" t="s">
        <v>12</v>
      </c>
      <c r="I1400" s="11" t="s">
        <v>13</v>
      </c>
      <c r="J1400" s="8" t="s">
        <v>14</v>
      </c>
    </row>
    <row r="1401" customFormat="false" ht="14.25" hidden="false" customHeight="false" outlineLevel="0" collapsed="false">
      <c r="A1401" s="8" t="n">
        <v>1400</v>
      </c>
      <c r="B1401" s="8" t="s">
        <v>85</v>
      </c>
      <c r="C1401" s="8" t="s">
        <v>10</v>
      </c>
      <c r="D1401" s="9" t="n">
        <v>44260</v>
      </c>
      <c r="E1401" s="9" t="str">
        <f aca="false">TEXT(D1401,"MMM")</f>
        <v>mar</v>
      </c>
      <c r="F1401" s="10" t="n">
        <v>12216.9</v>
      </c>
      <c r="G1401" s="8" t="s">
        <v>11</v>
      </c>
      <c r="H1401" s="8" t="s">
        <v>17</v>
      </c>
      <c r="I1401" s="11" t="s">
        <v>18</v>
      </c>
      <c r="J1401" s="8" t="s">
        <v>14</v>
      </c>
    </row>
    <row r="1402" customFormat="false" ht="14.25" hidden="false" customHeight="false" outlineLevel="0" collapsed="false">
      <c r="A1402" s="8" t="n">
        <v>1401</v>
      </c>
      <c r="B1402" s="8" t="s">
        <v>156</v>
      </c>
      <c r="C1402" s="8" t="s">
        <v>21</v>
      </c>
      <c r="D1402" s="9" t="n">
        <v>44261</v>
      </c>
      <c r="E1402" s="9" t="str">
        <f aca="false">TEXT(D1402,"MMM")</f>
        <v>mar</v>
      </c>
      <c r="F1402" s="10" t="n">
        <v>-320000.47</v>
      </c>
      <c r="G1402" s="8" t="s">
        <v>34</v>
      </c>
      <c r="H1402" s="8" t="s">
        <v>12</v>
      </c>
      <c r="I1402" s="11" t="s">
        <v>13</v>
      </c>
      <c r="J1402" s="8" t="s">
        <v>14</v>
      </c>
    </row>
    <row r="1403" customFormat="false" ht="14.25" hidden="false" customHeight="false" outlineLevel="0" collapsed="false">
      <c r="A1403" s="8" t="n">
        <v>1402</v>
      </c>
      <c r="B1403" s="8" t="s">
        <v>40</v>
      </c>
      <c r="C1403" s="8" t="s">
        <v>21</v>
      </c>
      <c r="D1403" s="9" t="n">
        <v>44261</v>
      </c>
      <c r="E1403" s="9" t="str">
        <f aca="false">TEXT(D1403,"MMM")</f>
        <v>mar</v>
      </c>
      <c r="F1403" s="10" t="n">
        <v>-30403.17</v>
      </c>
      <c r="G1403" s="8" t="s">
        <v>34</v>
      </c>
      <c r="H1403" s="8" t="s">
        <v>36</v>
      </c>
      <c r="I1403" s="11" t="s">
        <v>37</v>
      </c>
      <c r="J1403" s="8" t="s">
        <v>26</v>
      </c>
    </row>
    <row r="1404" customFormat="false" ht="14.25" hidden="false" customHeight="false" outlineLevel="0" collapsed="false">
      <c r="A1404" s="8" t="n">
        <v>1403</v>
      </c>
      <c r="B1404" s="8" t="s">
        <v>50</v>
      </c>
      <c r="C1404" s="8" t="s">
        <v>28</v>
      </c>
      <c r="D1404" s="9" t="n">
        <v>44262</v>
      </c>
      <c r="E1404" s="9" t="str">
        <f aca="false">TEXT(D1404,"MMM")</f>
        <v>mar</v>
      </c>
      <c r="F1404" s="10" t="n">
        <v>-7781.31</v>
      </c>
      <c r="G1404" s="8" t="s">
        <v>34</v>
      </c>
      <c r="H1404" s="8" t="s">
        <v>22</v>
      </c>
      <c r="I1404" s="11" t="s">
        <v>23</v>
      </c>
      <c r="J1404" s="8" t="s">
        <v>14</v>
      </c>
    </row>
    <row r="1405" customFormat="false" ht="14.25" hidden="false" customHeight="false" outlineLevel="0" collapsed="false">
      <c r="A1405" s="8" t="n">
        <v>1404</v>
      </c>
      <c r="B1405" s="8" t="s">
        <v>85</v>
      </c>
      <c r="C1405" s="8" t="s">
        <v>16</v>
      </c>
      <c r="D1405" s="9" t="n">
        <v>44262</v>
      </c>
      <c r="E1405" s="9" t="str">
        <f aca="false">TEXT(D1405,"MMM")</f>
        <v>mar</v>
      </c>
      <c r="F1405" s="10" t="n">
        <v>169963.07</v>
      </c>
      <c r="G1405" s="8" t="s">
        <v>11</v>
      </c>
      <c r="H1405" s="8" t="s">
        <v>30</v>
      </c>
      <c r="I1405" s="11" t="s">
        <v>31</v>
      </c>
      <c r="J1405" s="8" t="s">
        <v>24</v>
      </c>
    </row>
    <row r="1406" customFormat="false" ht="14.25" hidden="false" customHeight="false" outlineLevel="0" collapsed="false">
      <c r="A1406" s="8" t="n">
        <v>1405</v>
      </c>
      <c r="B1406" s="8" t="s">
        <v>64</v>
      </c>
      <c r="C1406" s="8" t="s">
        <v>16</v>
      </c>
      <c r="D1406" s="9" t="n">
        <v>44263</v>
      </c>
      <c r="E1406" s="9" t="str">
        <f aca="false">TEXT(D1406,"MMM")</f>
        <v>mar</v>
      </c>
      <c r="F1406" s="10" t="n">
        <v>21760</v>
      </c>
      <c r="G1406" s="8" t="s">
        <v>11</v>
      </c>
      <c r="H1406" s="8" t="s">
        <v>22</v>
      </c>
      <c r="I1406" s="11" t="s">
        <v>23</v>
      </c>
      <c r="J1406" s="8" t="s">
        <v>26</v>
      </c>
    </row>
    <row r="1407" customFormat="false" ht="14.25" hidden="false" customHeight="false" outlineLevel="0" collapsed="false">
      <c r="A1407" s="8" t="n">
        <v>1406</v>
      </c>
      <c r="B1407" s="8" t="s">
        <v>72</v>
      </c>
      <c r="C1407" s="8" t="s">
        <v>10</v>
      </c>
      <c r="D1407" s="9" t="n">
        <v>44263</v>
      </c>
      <c r="E1407" s="9" t="str">
        <f aca="false">TEXT(D1407,"MMM")</f>
        <v>mar</v>
      </c>
      <c r="F1407" s="10" t="n">
        <v>21760</v>
      </c>
      <c r="G1407" s="8" t="s">
        <v>11</v>
      </c>
      <c r="H1407" s="8" t="s">
        <v>36</v>
      </c>
      <c r="I1407" s="11" t="s">
        <v>37</v>
      </c>
      <c r="J1407" s="8" t="s">
        <v>19</v>
      </c>
    </row>
    <row r="1408" customFormat="false" ht="14.25" hidden="false" customHeight="false" outlineLevel="0" collapsed="false">
      <c r="A1408" s="8" t="n">
        <v>1407</v>
      </c>
      <c r="B1408" s="8" t="s">
        <v>72</v>
      </c>
      <c r="C1408" s="8" t="s">
        <v>21</v>
      </c>
      <c r="D1408" s="9" t="n">
        <v>44263</v>
      </c>
      <c r="E1408" s="9" t="str">
        <f aca="false">TEXT(D1408,"MMM")</f>
        <v>mar</v>
      </c>
      <c r="F1408" s="10" t="n">
        <v>21760</v>
      </c>
      <c r="G1408" s="8" t="s">
        <v>11</v>
      </c>
      <c r="H1408" s="8" t="s">
        <v>17</v>
      </c>
      <c r="I1408" s="11" t="s">
        <v>18</v>
      </c>
      <c r="J1408" s="8" t="s">
        <v>14</v>
      </c>
    </row>
    <row r="1409" customFormat="false" ht="14.25" hidden="false" customHeight="false" outlineLevel="0" collapsed="false">
      <c r="A1409" s="8" t="n">
        <v>1408</v>
      </c>
      <c r="B1409" s="8" t="s">
        <v>145</v>
      </c>
      <c r="C1409" s="8" t="s">
        <v>21</v>
      </c>
      <c r="D1409" s="9" t="n">
        <v>44264</v>
      </c>
      <c r="E1409" s="9" t="str">
        <f aca="false">TEXT(D1409,"MMM")</f>
        <v>mar</v>
      </c>
      <c r="F1409" s="10" t="n">
        <v>21760</v>
      </c>
      <c r="G1409" s="8" t="s">
        <v>11</v>
      </c>
      <c r="H1409" s="8" t="s">
        <v>17</v>
      </c>
      <c r="I1409" s="11" t="s">
        <v>18</v>
      </c>
      <c r="J1409" s="8" t="s">
        <v>14</v>
      </c>
    </row>
    <row r="1410" customFormat="false" ht="14.25" hidden="false" customHeight="false" outlineLevel="0" collapsed="false">
      <c r="A1410" s="8" t="n">
        <v>1409</v>
      </c>
      <c r="B1410" s="8" t="s">
        <v>44</v>
      </c>
      <c r="C1410" s="8" t="s">
        <v>16</v>
      </c>
      <c r="D1410" s="9" t="n">
        <v>44264</v>
      </c>
      <c r="E1410" s="9" t="str">
        <f aca="false">TEXT(D1410,"MMM")</f>
        <v>mar</v>
      </c>
      <c r="F1410" s="10" t="n">
        <v>21760</v>
      </c>
      <c r="G1410" s="8" t="s">
        <v>11</v>
      </c>
      <c r="H1410" s="8" t="s">
        <v>17</v>
      </c>
      <c r="I1410" s="11" t="s">
        <v>18</v>
      </c>
      <c r="J1410" s="8" t="s">
        <v>26</v>
      </c>
    </row>
    <row r="1411" customFormat="false" ht="14.25" hidden="false" customHeight="false" outlineLevel="0" collapsed="false">
      <c r="A1411" s="8" t="n">
        <v>1410</v>
      </c>
      <c r="B1411" s="8" t="s">
        <v>44</v>
      </c>
      <c r="C1411" s="8" t="s">
        <v>16</v>
      </c>
      <c r="D1411" s="9" t="n">
        <v>44264</v>
      </c>
      <c r="E1411" s="9" t="str">
        <f aca="false">TEXT(D1411,"MMM")</f>
        <v>mar</v>
      </c>
      <c r="F1411" s="10" t="n">
        <v>21760</v>
      </c>
      <c r="G1411" s="8" t="s">
        <v>11</v>
      </c>
      <c r="H1411" s="8" t="s">
        <v>12</v>
      </c>
      <c r="I1411" s="11" t="s">
        <v>13</v>
      </c>
      <c r="J1411" s="8" t="s">
        <v>14</v>
      </c>
    </row>
    <row r="1412" customFormat="false" ht="14.25" hidden="false" customHeight="false" outlineLevel="0" collapsed="false">
      <c r="A1412" s="8" t="n">
        <v>1411</v>
      </c>
      <c r="B1412" s="8" t="s">
        <v>39</v>
      </c>
      <c r="C1412" s="8" t="s">
        <v>28</v>
      </c>
      <c r="D1412" s="9" t="n">
        <v>44264</v>
      </c>
      <c r="E1412" s="9" t="str">
        <f aca="false">TEXT(D1412,"MMM")</f>
        <v>mar</v>
      </c>
      <c r="F1412" s="10" t="n">
        <v>-53845.89</v>
      </c>
      <c r="G1412" s="8" t="s">
        <v>34</v>
      </c>
      <c r="H1412" s="8" t="s">
        <v>17</v>
      </c>
      <c r="I1412" s="11" t="s">
        <v>18</v>
      </c>
      <c r="J1412" s="8" t="s">
        <v>24</v>
      </c>
    </row>
    <row r="1413" customFormat="false" ht="14.25" hidden="false" customHeight="false" outlineLevel="0" collapsed="false">
      <c r="A1413" s="8" t="n">
        <v>1412</v>
      </c>
      <c r="B1413" s="8" t="s">
        <v>47</v>
      </c>
      <c r="C1413" s="8" t="s">
        <v>28</v>
      </c>
      <c r="D1413" s="9" t="n">
        <v>44264</v>
      </c>
      <c r="E1413" s="9" t="str">
        <f aca="false">TEXT(D1413,"MMM")</f>
        <v>mar</v>
      </c>
      <c r="F1413" s="10" t="n">
        <v>176835.48</v>
      </c>
      <c r="G1413" s="8" t="s">
        <v>11</v>
      </c>
      <c r="H1413" s="8" t="s">
        <v>22</v>
      </c>
      <c r="I1413" s="11" t="s">
        <v>23</v>
      </c>
      <c r="J1413" s="8" t="s">
        <v>26</v>
      </c>
    </row>
    <row r="1414" customFormat="false" ht="14.25" hidden="false" customHeight="false" outlineLevel="0" collapsed="false">
      <c r="A1414" s="8" t="n">
        <v>1413</v>
      </c>
      <c r="B1414" s="8" t="s">
        <v>47</v>
      </c>
      <c r="C1414" s="8" t="s">
        <v>28</v>
      </c>
      <c r="D1414" s="9" t="n">
        <v>44264</v>
      </c>
      <c r="E1414" s="9" t="str">
        <f aca="false">TEXT(D1414,"MMM")</f>
        <v>mar</v>
      </c>
      <c r="F1414" s="10" t="n">
        <v>7111.09</v>
      </c>
      <c r="G1414" s="8" t="s">
        <v>11</v>
      </c>
      <c r="H1414" s="8" t="s">
        <v>17</v>
      </c>
      <c r="I1414" s="11" t="s">
        <v>18</v>
      </c>
      <c r="J1414" s="8" t="s">
        <v>24</v>
      </c>
    </row>
    <row r="1415" customFormat="false" ht="14.25" hidden="false" customHeight="false" outlineLevel="0" collapsed="false">
      <c r="A1415" s="8" t="n">
        <v>1414</v>
      </c>
      <c r="B1415" s="8" t="s">
        <v>47</v>
      </c>
      <c r="C1415" s="8" t="s">
        <v>28</v>
      </c>
      <c r="D1415" s="9" t="n">
        <v>44264</v>
      </c>
      <c r="E1415" s="9" t="str">
        <f aca="false">TEXT(D1415,"MMM")</f>
        <v>mar</v>
      </c>
      <c r="F1415" s="10" t="n">
        <v>7162.05</v>
      </c>
      <c r="G1415" s="8" t="s">
        <v>11</v>
      </c>
      <c r="H1415" s="8" t="s">
        <v>12</v>
      </c>
      <c r="I1415" s="11" t="s">
        <v>13</v>
      </c>
      <c r="J1415" s="8" t="s">
        <v>24</v>
      </c>
    </row>
    <row r="1416" customFormat="false" ht="14.25" hidden="false" customHeight="false" outlineLevel="0" collapsed="false">
      <c r="A1416" s="8" t="n">
        <v>1415</v>
      </c>
      <c r="B1416" s="8" t="s">
        <v>47</v>
      </c>
      <c r="C1416" s="8" t="s">
        <v>21</v>
      </c>
      <c r="D1416" s="9" t="n">
        <v>44264</v>
      </c>
      <c r="E1416" s="9" t="str">
        <f aca="false">TEXT(D1416,"MMM")</f>
        <v>mar</v>
      </c>
      <c r="F1416" s="10" t="n">
        <v>141827.32</v>
      </c>
      <c r="G1416" s="8" t="s">
        <v>11</v>
      </c>
      <c r="H1416" s="8" t="s">
        <v>12</v>
      </c>
      <c r="I1416" s="11" t="s">
        <v>13</v>
      </c>
      <c r="J1416" s="8" t="s">
        <v>26</v>
      </c>
    </row>
    <row r="1417" customFormat="false" ht="14.25" hidden="false" customHeight="false" outlineLevel="0" collapsed="false">
      <c r="A1417" s="8" t="n">
        <v>1416</v>
      </c>
      <c r="B1417" s="8" t="s">
        <v>40</v>
      </c>
      <c r="C1417" s="8" t="s">
        <v>16</v>
      </c>
      <c r="D1417" s="9" t="n">
        <v>44265</v>
      </c>
      <c r="E1417" s="9" t="str">
        <f aca="false">TEXT(D1417,"MMM")</f>
        <v>mar</v>
      </c>
      <c r="F1417" s="10" t="n">
        <v>7637.76</v>
      </c>
      <c r="G1417" s="8" t="s">
        <v>11</v>
      </c>
      <c r="H1417" s="8" t="s">
        <v>12</v>
      </c>
      <c r="I1417" s="11" t="s">
        <v>13</v>
      </c>
      <c r="J1417" s="8" t="s">
        <v>26</v>
      </c>
    </row>
    <row r="1418" customFormat="false" ht="14.25" hidden="false" customHeight="false" outlineLevel="0" collapsed="false">
      <c r="A1418" s="8" t="n">
        <v>1417</v>
      </c>
      <c r="B1418" s="8" t="s">
        <v>145</v>
      </c>
      <c r="C1418" s="8" t="s">
        <v>21</v>
      </c>
      <c r="D1418" s="9" t="n">
        <v>44267</v>
      </c>
      <c r="E1418" s="9" t="str">
        <f aca="false">TEXT(D1418,"MMM")</f>
        <v>mar</v>
      </c>
      <c r="F1418" s="10" t="n">
        <v>2505.43</v>
      </c>
      <c r="G1418" s="8" t="s">
        <v>11</v>
      </c>
      <c r="H1418" s="8" t="s">
        <v>36</v>
      </c>
      <c r="I1418" s="11" t="s">
        <v>37</v>
      </c>
      <c r="J1418" s="8" t="s">
        <v>26</v>
      </c>
    </row>
    <row r="1419" customFormat="false" ht="14.25" hidden="false" customHeight="false" outlineLevel="0" collapsed="false">
      <c r="A1419" s="8" t="n">
        <v>1418</v>
      </c>
      <c r="B1419" s="8" t="s">
        <v>15</v>
      </c>
      <c r="C1419" s="8" t="s">
        <v>28</v>
      </c>
      <c r="D1419" s="9" t="n">
        <v>44267</v>
      </c>
      <c r="E1419" s="9" t="str">
        <f aca="false">TEXT(D1419,"MMM")</f>
        <v>mar</v>
      </c>
      <c r="F1419" s="10" t="n">
        <v>8171.21</v>
      </c>
      <c r="G1419" s="8" t="s">
        <v>11</v>
      </c>
      <c r="H1419" s="8" t="s">
        <v>17</v>
      </c>
      <c r="I1419" s="11" t="s">
        <v>18</v>
      </c>
      <c r="J1419" s="8" t="s">
        <v>26</v>
      </c>
    </row>
    <row r="1420" customFormat="false" ht="14.25" hidden="false" customHeight="false" outlineLevel="0" collapsed="false">
      <c r="A1420" s="8" t="n">
        <v>1419</v>
      </c>
      <c r="B1420" s="8" t="s">
        <v>100</v>
      </c>
      <c r="C1420" s="8" t="s">
        <v>16</v>
      </c>
      <c r="D1420" s="9" t="n">
        <v>44267</v>
      </c>
      <c r="E1420" s="9" t="str">
        <f aca="false">TEXT(D1420,"MMM")</f>
        <v>mar</v>
      </c>
      <c r="F1420" s="10" t="n">
        <v>2498.08</v>
      </c>
      <c r="G1420" s="8" t="s">
        <v>11</v>
      </c>
      <c r="H1420" s="8" t="s">
        <v>17</v>
      </c>
      <c r="I1420" s="11" t="s">
        <v>18</v>
      </c>
      <c r="J1420" s="8" t="s">
        <v>26</v>
      </c>
    </row>
    <row r="1421" customFormat="false" ht="14.25" hidden="false" customHeight="false" outlineLevel="0" collapsed="false">
      <c r="A1421" s="8" t="n">
        <v>1420</v>
      </c>
      <c r="B1421" s="8" t="s">
        <v>100</v>
      </c>
      <c r="C1421" s="8" t="s">
        <v>16</v>
      </c>
      <c r="D1421" s="9" t="n">
        <v>44267</v>
      </c>
      <c r="E1421" s="9" t="str">
        <f aca="false">TEXT(D1421,"MMM")</f>
        <v>mar</v>
      </c>
      <c r="F1421" s="10" t="n">
        <v>7853.16</v>
      </c>
      <c r="G1421" s="8" t="s">
        <v>11</v>
      </c>
      <c r="H1421" s="8" t="s">
        <v>17</v>
      </c>
      <c r="I1421" s="11" t="s">
        <v>18</v>
      </c>
      <c r="J1421" s="8" t="s">
        <v>26</v>
      </c>
    </row>
    <row r="1422" customFormat="false" ht="14.25" hidden="false" customHeight="false" outlineLevel="0" collapsed="false">
      <c r="A1422" s="8" t="n">
        <v>1421</v>
      </c>
      <c r="B1422" s="8" t="s">
        <v>100</v>
      </c>
      <c r="C1422" s="8" t="s">
        <v>21</v>
      </c>
      <c r="D1422" s="9" t="n">
        <v>44267</v>
      </c>
      <c r="E1422" s="9" t="str">
        <f aca="false">TEXT(D1422,"MMM")</f>
        <v>mar</v>
      </c>
      <c r="F1422" s="10" t="n">
        <v>6785.95</v>
      </c>
      <c r="G1422" s="8" t="s">
        <v>11</v>
      </c>
      <c r="H1422" s="8" t="s">
        <v>22</v>
      </c>
      <c r="I1422" s="11" t="s">
        <v>23</v>
      </c>
      <c r="J1422" s="8" t="s">
        <v>26</v>
      </c>
    </row>
    <row r="1423" customFormat="false" ht="14.25" hidden="false" customHeight="false" outlineLevel="0" collapsed="false">
      <c r="A1423" s="8" t="n">
        <v>1422</v>
      </c>
      <c r="B1423" s="8" t="s">
        <v>100</v>
      </c>
      <c r="C1423" s="8" t="s">
        <v>28</v>
      </c>
      <c r="D1423" s="9" t="n">
        <v>44267</v>
      </c>
      <c r="E1423" s="9" t="str">
        <f aca="false">TEXT(D1423,"MMM")</f>
        <v>mar</v>
      </c>
      <c r="F1423" s="10" t="n">
        <v>7067.39</v>
      </c>
      <c r="G1423" s="8" t="s">
        <v>11</v>
      </c>
      <c r="H1423" s="8" t="s">
        <v>36</v>
      </c>
      <c r="I1423" s="11" t="s">
        <v>37</v>
      </c>
      <c r="J1423" s="8" t="s">
        <v>26</v>
      </c>
    </row>
    <row r="1424" customFormat="false" ht="14.25" hidden="false" customHeight="false" outlineLevel="0" collapsed="false">
      <c r="A1424" s="8" t="n">
        <v>1423</v>
      </c>
      <c r="B1424" s="8" t="s">
        <v>100</v>
      </c>
      <c r="C1424" s="8" t="s">
        <v>28</v>
      </c>
      <c r="D1424" s="9" t="n">
        <v>44267</v>
      </c>
      <c r="E1424" s="9" t="str">
        <f aca="false">TEXT(D1424,"MMM")</f>
        <v>mar</v>
      </c>
      <c r="F1424" s="10" t="n">
        <v>7969.59</v>
      </c>
      <c r="G1424" s="8" t="s">
        <v>11</v>
      </c>
      <c r="H1424" s="8" t="s">
        <v>17</v>
      </c>
      <c r="I1424" s="11" t="s">
        <v>18</v>
      </c>
      <c r="J1424" s="8" t="s">
        <v>14</v>
      </c>
    </row>
    <row r="1425" customFormat="false" ht="14.25" hidden="false" customHeight="false" outlineLevel="0" collapsed="false">
      <c r="A1425" s="8" t="n">
        <v>1424</v>
      </c>
      <c r="B1425" s="8" t="s">
        <v>100</v>
      </c>
      <c r="C1425" s="8" t="s">
        <v>21</v>
      </c>
      <c r="D1425" s="9" t="n">
        <v>44267</v>
      </c>
      <c r="E1425" s="9" t="str">
        <f aca="false">TEXT(D1425,"MMM")</f>
        <v>mar</v>
      </c>
      <c r="F1425" s="10" t="n">
        <v>7883.84</v>
      </c>
      <c r="G1425" s="8" t="s">
        <v>11</v>
      </c>
      <c r="H1425" s="8" t="s">
        <v>36</v>
      </c>
      <c r="I1425" s="11" t="s">
        <v>37</v>
      </c>
      <c r="J1425" s="8" t="s">
        <v>14</v>
      </c>
    </row>
    <row r="1426" customFormat="false" ht="14.25" hidden="false" customHeight="false" outlineLevel="0" collapsed="false">
      <c r="A1426" s="8" t="n">
        <v>1425</v>
      </c>
      <c r="B1426" s="8" t="s">
        <v>49</v>
      </c>
      <c r="C1426" s="8" t="s">
        <v>28</v>
      </c>
      <c r="D1426" s="9" t="n">
        <v>44268</v>
      </c>
      <c r="E1426" s="9" t="str">
        <f aca="false">TEXT(D1426,"MMM")</f>
        <v>mar</v>
      </c>
      <c r="F1426" s="10" t="n">
        <v>7204.06</v>
      </c>
      <c r="G1426" s="8" t="s">
        <v>11</v>
      </c>
      <c r="H1426" s="8" t="s">
        <v>12</v>
      </c>
      <c r="I1426" s="11" t="s">
        <v>13</v>
      </c>
      <c r="J1426" s="8" t="s">
        <v>14</v>
      </c>
    </row>
    <row r="1427" customFormat="false" ht="14.25" hidden="false" customHeight="false" outlineLevel="0" collapsed="false">
      <c r="A1427" s="8" t="n">
        <v>1426</v>
      </c>
      <c r="B1427" s="8" t="s">
        <v>50</v>
      </c>
      <c r="C1427" s="8" t="s">
        <v>10</v>
      </c>
      <c r="D1427" s="9" t="n">
        <v>44269</v>
      </c>
      <c r="E1427" s="9" t="str">
        <f aca="false">TEXT(D1427,"MMM")</f>
        <v>mar</v>
      </c>
      <c r="F1427" s="10" t="n">
        <v>-5772.69</v>
      </c>
      <c r="G1427" s="8" t="s">
        <v>34</v>
      </c>
      <c r="H1427" s="8" t="s">
        <v>36</v>
      </c>
      <c r="I1427" s="11" t="s">
        <v>37</v>
      </c>
      <c r="J1427" s="8" t="s">
        <v>14</v>
      </c>
    </row>
    <row r="1428" customFormat="false" ht="14.25" hidden="false" customHeight="false" outlineLevel="0" collapsed="false">
      <c r="A1428" s="8" t="n">
        <v>1427</v>
      </c>
      <c r="B1428" s="8" t="s">
        <v>50</v>
      </c>
      <c r="C1428" s="8" t="s">
        <v>10</v>
      </c>
      <c r="D1428" s="9" t="n">
        <v>44269</v>
      </c>
      <c r="E1428" s="9" t="str">
        <f aca="false">TEXT(D1428,"MMM")</f>
        <v>mar</v>
      </c>
      <c r="F1428" s="10" t="n">
        <v>-5539.45</v>
      </c>
      <c r="G1428" s="8" t="s">
        <v>34</v>
      </c>
      <c r="H1428" s="8" t="s">
        <v>17</v>
      </c>
      <c r="I1428" s="11" t="s">
        <v>18</v>
      </c>
      <c r="J1428" s="8" t="s">
        <v>26</v>
      </c>
    </row>
    <row r="1429" customFormat="false" ht="14.25" hidden="false" customHeight="false" outlineLevel="0" collapsed="false">
      <c r="A1429" s="8" t="n">
        <v>1428</v>
      </c>
      <c r="B1429" s="8" t="s">
        <v>85</v>
      </c>
      <c r="C1429" s="8" t="s">
        <v>28</v>
      </c>
      <c r="D1429" s="9" t="n">
        <v>44269</v>
      </c>
      <c r="E1429" s="9" t="str">
        <f aca="false">TEXT(D1429,"MMM")</f>
        <v>mar</v>
      </c>
      <c r="F1429" s="10" t="n">
        <v>-5714.38</v>
      </c>
      <c r="G1429" s="8" t="s">
        <v>34</v>
      </c>
      <c r="H1429" s="8" t="s">
        <v>36</v>
      </c>
      <c r="I1429" s="11" t="s">
        <v>37</v>
      </c>
      <c r="J1429" s="8" t="s">
        <v>14</v>
      </c>
    </row>
    <row r="1430" customFormat="false" ht="14.25" hidden="false" customHeight="false" outlineLevel="0" collapsed="false">
      <c r="A1430" s="8" t="n">
        <v>1429</v>
      </c>
      <c r="B1430" s="8" t="s">
        <v>157</v>
      </c>
      <c r="C1430" s="8" t="s">
        <v>10</v>
      </c>
      <c r="D1430" s="9" t="n">
        <v>44270</v>
      </c>
      <c r="E1430" s="9" t="str">
        <f aca="false">TEXT(D1430,"MMM")</f>
        <v>mar</v>
      </c>
      <c r="F1430" s="10" t="n">
        <v>-5769.19</v>
      </c>
      <c r="G1430" s="8" t="s">
        <v>34</v>
      </c>
      <c r="H1430" s="8" t="s">
        <v>17</v>
      </c>
      <c r="I1430" s="11" t="s">
        <v>18</v>
      </c>
      <c r="J1430" s="8" t="s">
        <v>14</v>
      </c>
    </row>
    <row r="1431" customFormat="false" ht="14.25" hidden="false" customHeight="false" outlineLevel="0" collapsed="false">
      <c r="A1431" s="8" t="n">
        <v>1430</v>
      </c>
      <c r="B1431" s="8" t="s">
        <v>158</v>
      </c>
      <c r="C1431" s="8" t="s">
        <v>16</v>
      </c>
      <c r="D1431" s="9" t="n">
        <v>44270</v>
      </c>
      <c r="E1431" s="9" t="str">
        <f aca="false">TEXT(D1431,"MMM")</f>
        <v>mar</v>
      </c>
      <c r="F1431" s="10" t="n">
        <v>-6060.08</v>
      </c>
      <c r="G1431" s="8" t="s">
        <v>34</v>
      </c>
      <c r="H1431" s="8" t="s">
        <v>12</v>
      </c>
      <c r="I1431" s="11" t="s">
        <v>13</v>
      </c>
      <c r="J1431" s="8" t="s">
        <v>26</v>
      </c>
    </row>
    <row r="1432" customFormat="false" ht="14.25" hidden="false" customHeight="false" outlineLevel="0" collapsed="false">
      <c r="A1432" s="8" t="n">
        <v>1431</v>
      </c>
      <c r="B1432" s="8" t="s">
        <v>158</v>
      </c>
      <c r="C1432" s="8" t="s">
        <v>21</v>
      </c>
      <c r="D1432" s="9" t="n">
        <v>44270</v>
      </c>
      <c r="E1432" s="9" t="str">
        <f aca="false">TEXT(D1432,"MMM")</f>
        <v>mar</v>
      </c>
      <c r="F1432" s="10" t="n">
        <v>-5949.41</v>
      </c>
      <c r="G1432" s="8" t="s">
        <v>34</v>
      </c>
      <c r="H1432" s="8" t="s">
        <v>12</v>
      </c>
      <c r="I1432" s="11" t="s">
        <v>13</v>
      </c>
      <c r="J1432" s="8" t="s">
        <v>14</v>
      </c>
    </row>
    <row r="1433" customFormat="false" ht="14.25" hidden="false" customHeight="false" outlineLevel="0" collapsed="false">
      <c r="A1433" s="8" t="n">
        <v>1432</v>
      </c>
      <c r="B1433" s="8" t="s">
        <v>15</v>
      </c>
      <c r="C1433" s="8" t="s">
        <v>10</v>
      </c>
      <c r="D1433" s="9" t="n">
        <v>44270</v>
      </c>
      <c r="E1433" s="9" t="str">
        <f aca="false">TEXT(D1433,"MMM")</f>
        <v>mar</v>
      </c>
      <c r="F1433" s="10" t="n">
        <v>-5709.03</v>
      </c>
      <c r="G1433" s="8" t="s">
        <v>34</v>
      </c>
      <c r="H1433" s="8" t="s">
        <v>12</v>
      </c>
      <c r="I1433" s="11" t="s">
        <v>13</v>
      </c>
      <c r="J1433" s="8" t="s">
        <v>14</v>
      </c>
    </row>
    <row r="1434" customFormat="false" ht="14.25" hidden="false" customHeight="false" outlineLevel="0" collapsed="false">
      <c r="A1434" s="8" t="n">
        <v>1433</v>
      </c>
      <c r="B1434" s="8" t="s">
        <v>15</v>
      </c>
      <c r="C1434" s="8" t="s">
        <v>16</v>
      </c>
      <c r="D1434" s="9" t="n">
        <v>44270</v>
      </c>
      <c r="E1434" s="9" t="str">
        <f aca="false">TEXT(D1434,"MMM")</f>
        <v>mar</v>
      </c>
      <c r="F1434" s="10" t="n">
        <v>-5935.13</v>
      </c>
      <c r="G1434" s="8" t="s">
        <v>34</v>
      </c>
      <c r="H1434" s="8" t="s">
        <v>36</v>
      </c>
      <c r="I1434" s="11" t="s">
        <v>37</v>
      </c>
      <c r="J1434" s="8" t="s">
        <v>26</v>
      </c>
    </row>
    <row r="1435" customFormat="false" ht="14.25" hidden="false" customHeight="false" outlineLevel="0" collapsed="false">
      <c r="A1435" s="8" t="n">
        <v>1434</v>
      </c>
      <c r="B1435" s="8" t="s">
        <v>66</v>
      </c>
      <c r="C1435" s="8" t="s">
        <v>28</v>
      </c>
      <c r="D1435" s="9" t="n">
        <v>44270</v>
      </c>
      <c r="E1435" s="9" t="str">
        <f aca="false">TEXT(D1435,"MMM")</f>
        <v>mar</v>
      </c>
      <c r="F1435" s="10" t="n">
        <v>-6251.07</v>
      </c>
      <c r="G1435" s="8" t="s">
        <v>34</v>
      </c>
      <c r="H1435" s="8" t="s">
        <v>17</v>
      </c>
      <c r="I1435" s="11" t="s">
        <v>18</v>
      </c>
      <c r="J1435" s="8" t="s">
        <v>14</v>
      </c>
    </row>
    <row r="1436" customFormat="false" ht="14.25" hidden="false" customHeight="false" outlineLevel="0" collapsed="false">
      <c r="A1436" s="8" t="n">
        <v>1435</v>
      </c>
      <c r="B1436" s="8" t="s">
        <v>66</v>
      </c>
      <c r="C1436" s="8" t="s">
        <v>16</v>
      </c>
      <c r="D1436" s="9" t="n">
        <v>44270</v>
      </c>
      <c r="E1436" s="9" t="str">
        <f aca="false">TEXT(D1436,"MMM")</f>
        <v>mar</v>
      </c>
      <c r="F1436" s="10" t="n">
        <v>-5944.65</v>
      </c>
      <c r="G1436" s="8" t="s">
        <v>34</v>
      </c>
      <c r="H1436" s="8" t="s">
        <v>17</v>
      </c>
      <c r="I1436" s="11" t="s">
        <v>18</v>
      </c>
      <c r="J1436" s="8" t="s">
        <v>14</v>
      </c>
    </row>
    <row r="1437" customFormat="false" ht="14.25" hidden="false" customHeight="false" outlineLevel="0" collapsed="false">
      <c r="A1437" s="8" t="n">
        <v>1436</v>
      </c>
      <c r="B1437" s="8" t="s">
        <v>66</v>
      </c>
      <c r="C1437" s="8" t="s">
        <v>16</v>
      </c>
      <c r="D1437" s="9" t="n">
        <v>44270</v>
      </c>
      <c r="E1437" s="9" t="str">
        <f aca="false">TEXT(D1437,"MMM")</f>
        <v>mar</v>
      </c>
      <c r="F1437" s="10" t="n">
        <v>-5769.12</v>
      </c>
      <c r="G1437" s="8" t="s">
        <v>34</v>
      </c>
      <c r="H1437" s="8" t="s">
        <v>12</v>
      </c>
      <c r="I1437" s="11" t="s">
        <v>13</v>
      </c>
      <c r="J1437" s="8" t="s">
        <v>14</v>
      </c>
    </row>
    <row r="1438" customFormat="false" ht="14.25" hidden="false" customHeight="false" outlineLevel="0" collapsed="false">
      <c r="A1438" s="8" t="n">
        <v>1437</v>
      </c>
      <c r="B1438" s="8" t="s">
        <v>66</v>
      </c>
      <c r="C1438" s="8" t="s">
        <v>28</v>
      </c>
      <c r="D1438" s="9" t="n">
        <v>44270</v>
      </c>
      <c r="E1438" s="9" t="str">
        <f aca="false">TEXT(D1438,"MMM")</f>
        <v>mar</v>
      </c>
      <c r="F1438" s="10" t="n">
        <v>8521.79</v>
      </c>
      <c r="G1438" s="8" t="s">
        <v>11</v>
      </c>
      <c r="H1438" s="8" t="s">
        <v>22</v>
      </c>
      <c r="I1438" s="11" t="s">
        <v>23</v>
      </c>
      <c r="J1438" s="8" t="s">
        <v>26</v>
      </c>
    </row>
    <row r="1439" customFormat="false" ht="14.25" hidden="false" customHeight="false" outlineLevel="0" collapsed="false">
      <c r="A1439" s="8" t="n">
        <v>1438</v>
      </c>
      <c r="B1439" s="8" t="s">
        <v>66</v>
      </c>
      <c r="C1439" s="8" t="s">
        <v>28</v>
      </c>
      <c r="D1439" s="9" t="n">
        <v>44270</v>
      </c>
      <c r="E1439" s="9" t="str">
        <f aca="false">TEXT(D1439,"MMM")</f>
        <v>mar</v>
      </c>
      <c r="F1439" s="10" t="n">
        <v>17897.63</v>
      </c>
      <c r="G1439" s="8" t="s">
        <v>11</v>
      </c>
      <c r="H1439" s="8" t="s">
        <v>36</v>
      </c>
      <c r="I1439" s="11" t="s">
        <v>37</v>
      </c>
      <c r="J1439" s="8" t="s">
        <v>14</v>
      </c>
    </row>
    <row r="1440" customFormat="false" ht="14.25" hidden="false" customHeight="false" outlineLevel="0" collapsed="false">
      <c r="A1440" s="8" t="n">
        <v>1439</v>
      </c>
      <c r="B1440" s="8" t="s">
        <v>66</v>
      </c>
      <c r="C1440" s="8" t="s">
        <v>28</v>
      </c>
      <c r="D1440" s="9" t="n">
        <v>44270</v>
      </c>
      <c r="E1440" s="9" t="str">
        <f aca="false">TEXT(D1440,"MMM")</f>
        <v>mar</v>
      </c>
      <c r="F1440" s="10" t="n">
        <v>8367.99</v>
      </c>
      <c r="G1440" s="8" t="s">
        <v>11</v>
      </c>
      <c r="H1440" s="8" t="s">
        <v>12</v>
      </c>
      <c r="I1440" s="11" t="s">
        <v>13</v>
      </c>
      <c r="J1440" s="8" t="s">
        <v>14</v>
      </c>
    </row>
    <row r="1441" customFormat="false" ht="14.25" hidden="false" customHeight="false" outlineLevel="0" collapsed="false">
      <c r="A1441" s="8" t="n">
        <v>1440</v>
      </c>
      <c r="B1441" s="8" t="s">
        <v>66</v>
      </c>
      <c r="C1441" s="8" t="s">
        <v>28</v>
      </c>
      <c r="D1441" s="9" t="n">
        <v>44270</v>
      </c>
      <c r="E1441" s="9" t="str">
        <f aca="false">TEXT(D1441,"MMM")</f>
        <v>mar</v>
      </c>
      <c r="F1441" s="10" t="n">
        <v>147254.08</v>
      </c>
      <c r="G1441" s="8" t="s">
        <v>11</v>
      </c>
      <c r="H1441" s="8" t="s">
        <v>30</v>
      </c>
      <c r="I1441" s="11" t="s">
        <v>31</v>
      </c>
      <c r="J1441" s="8" t="s">
        <v>14</v>
      </c>
    </row>
    <row r="1442" customFormat="false" ht="14.25" hidden="false" customHeight="false" outlineLevel="0" collapsed="false">
      <c r="A1442" s="8" t="n">
        <v>1441</v>
      </c>
      <c r="B1442" s="8" t="s">
        <v>66</v>
      </c>
      <c r="C1442" s="8" t="s">
        <v>21</v>
      </c>
      <c r="D1442" s="9" t="n">
        <v>44270</v>
      </c>
      <c r="E1442" s="9" t="str">
        <f aca="false">TEXT(D1442,"MMM")</f>
        <v>mar</v>
      </c>
      <c r="F1442" s="10" t="n">
        <v>8285.14</v>
      </c>
      <c r="G1442" s="8" t="s">
        <v>11</v>
      </c>
      <c r="H1442" s="8" t="s">
        <v>17</v>
      </c>
      <c r="I1442" s="11" t="s">
        <v>18</v>
      </c>
      <c r="J1442" s="8" t="s">
        <v>14</v>
      </c>
    </row>
    <row r="1443" customFormat="false" ht="14.25" hidden="false" customHeight="false" outlineLevel="0" collapsed="false">
      <c r="A1443" s="8" t="n">
        <v>1442</v>
      </c>
      <c r="B1443" s="8" t="s">
        <v>66</v>
      </c>
      <c r="C1443" s="8" t="s">
        <v>21</v>
      </c>
      <c r="D1443" s="9" t="n">
        <v>44270</v>
      </c>
      <c r="E1443" s="9" t="str">
        <f aca="false">TEXT(D1443,"MMM")</f>
        <v>mar</v>
      </c>
      <c r="F1443" s="10" t="n">
        <v>8852.86</v>
      </c>
      <c r="G1443" s="8" t="s">
        <v>11</v>
      </c>
      <c r="H1443" s="8" t="s">
        <v>12</v>
      </c>
      <c r="I1443" s="11" t="s">
        <v>13</v>
      </c>
      <c r="J1443" s="8" t="s">
        <v>14</v>
      </c>
    </row>
    <row r="1444" customFormat="false" ht="14.25" hidden="false" customHeight="false" outlineLevel="0" collapsed="false">
      <c r="A1444" s="8" t="n">
        <v>1443</v>
      </c>
      <c r="B1444" s="8" t="s">
        <v>66</v>
      </c>
      <c r="C1444" s="8" t="s">
        <v>28</v>
      </c>
      <c r="D1444" s="9" t="n">
        <v>44270</v>
      </c>
      <c r="E1444" s="9" t="str">
        <f aca="false">TEXT(D1444,"MMM")</f>
        <v>mar</v>
      </c>
      <c r="F1444" s="10" t="n">
        <v>8084.43</v>
      </c>
      <c r="G1444" s="8" t="s">
        <v>11</v>
      </c>
      <c r="H1444" s="8" t="s">
        <v>36</v>
      </c>
      <c r="I1444" s="11" t="s">
        <v>37</v>
      </c>
      <c r="J1444" s="8" t="s">
        <v>26</v>
      </c>
    </row>
    <row r="1445" customFormat="false" ht="14.25" hidden="false" customHeight="false" outlineLevel="0" collapsed="false">
      <c r="A1445" s="8" t="n">
        <v>1444</v>
      </c>
      <c r="B1445" s="8" t="s">
        <v>159</v>
      </c>
      <c r="C1445" s="8" t="s">
        <v>10</v>
      </c>
      <c r="D1445" s="9" t="n">
        <v>44272</v>
      </c>
      <c r="E1445" s="9" t="str">
        <f aca="false">TEXT(D1445,"MMM")</f>
        <v>mar</v>
      </c>
      <c r="F1445" s="10" t="n">
        <v>9037.01</v>
      </c>
      <c r="G1445" s="8" t="s">
        <v>11</v>
      </c>
      <c r="H1445" s="8" t="s">
        <v>17</v>
      </c>
      <c r="I1445" s="11" t="s">
        <v>18</v>
      </c>
      <c r="J1445" s="8" t="s">
        <v>24</v>
      </c>
    </row>
    <row r="1446" customFormat="false" ht="14.25" hidden="false" customHeight="false" outlineLevel="0" collapsed="false">
      <c r="A1446" s="8" t="n">
        <v>1445</v>
      </c>
      <c r="B1446" s="8" t="s">
        <v>32</v>
      </c>
      <c r="C1446" s="8" t="s">
        <v>16</v>
      </c>
      <c r="D1446" s="9" t="n">
        <v>44272</v>
      </c>
      <c r="E1446" s="9" t="str">
        <f aca="false">TEXT(D1446,"MMM")</f>
        <v>mar</v>
      </c>
      <c r="F1446" s="10" t="n">
        <v>8680.12</v>
      </c>
      <c r="G1446" s="8" t="s">
        <v>11</v>
      </c>
      <c r="H1446" s="8" t="s">
        <v>12</v>
      </c>
      <c r="I1446" s="11" t="s">
        <v>13</v>
      </c>
      <c r="J1446" s="8" t="s">
        <v>14</v>
      </c>
    </row>
    <row r="1447" customFormat="false" ht="14.25" hidden="false" customHeight="false" outlineLevel="0" collapsed="false">
      <c r="A1447" s="8" t="n">
        <v>1446</v>
      </c>
      <c r="B1447" s="8" t="s">
        <v>81</v>
      </c>
      <c r="C1447" s="8" t="s">
        <v>28</v>
      </c>
      <c r="D1447" s="9" t="n">
        <v>44272</v>
      </c>
      <c r="E1447" s="9" t="str">
        <f aca="false">TEXT(D1447,"MMM")</f>
        <v>mar</v>
      </c>
      <c r="F1447" s="10" t="n">
        <v>8806.67</v>
      </c>
      <c r="G1447" s="8" t="s">
        <v>11</v>
      </c>
      <c r="H1447" s="8" t="s">
        <v>12</v>
      </c>
      <c r="I1447" s="11" t="s">
        <v>13</v>
      </c>
      <c r="J1447" s="8" t="s">
        <v>24</v>
      </c>
    </row>
    <row r="1448" customFormat="false" ht="14.25" hidden="false" customHeight="false" outlineLevel="0" collapsed="false">
      <c r="A1448" s="8" t="n">
        <v>1447</v>
      </c>
      <c r="B1448" s="8" t="s">
        <v>81</v>
      </c>
      <c r="C1448" s="8" t="s">
        <v>21</v>
      </c>
      <c r="D1448" s="9" t="n">
        <v>44272</v>
      </c>
      <c r="E1448" s="9" t="str">
        <f aca="false">TEXT(D1448,"MMM")</f>
        <v>mar</v>
      </c>
      <c r="F1448" s="10" t="n">
        <v>9723.46</v>
      </c>
      <c r="G1448" s="8" t="s">
        <v>11</v>
      </c>
      <c r="H1448" s="8" t="s">
        <v>17</v>
      </c>
      <c r="I1448" s="11" t="s">
        <v>18</v>
      </c>
      <c r="J1448" s="8" t="s">
        <v>14</v>
      </c>
    </row>
    <row r="1449" customFormat="false" ht="14.25" hidden="false" customHeight="false" outlineLevel="0" collapsed="false">
      <c r="A1449" s="8" t="n">
        <v>1448</v>
      </c>
      <c r="B1449" s="8" t="s">
        <v>81</v>
      </c>
      <c r="C1449" s="8" t="s">
        <v>28</v>
      </c>
      <c r="D1449" s="9" t="n">
        <v>44272</v>
      </c>
      <c r="E1449" s="9" t="str">
        <f aca="false">TEXT(D1449,"MMM")</f>
        <v>mar</v>
      </c>
      <c r="F1449" s="10" t="n">
        <v>8337.13</v>
      </c>
      <c r="G1449" s="8" t="s">
        <v>11</v>
      </c>
      <c r="H1449" s="8" t="s">
        <v>36</v>
      </c>
      <c r="I1449" s="11" t="s">
        <v>37</v>
      </c>
      <c r="J1449" s="8" t="s">
        <v>14</v>
      </c>
    </row>
    <row r="1450" customFormat="false" ht="14.25" hidden="false" customHeight="false" outlineLevel="0" collapsed="false">
      <c r="A1450" s="8" t="n">
        <v>1449</v>
      </c>
      <c r="B1450" s="8" t="s">
        <v>39</v>
      </c>
      <c r="C1450" s="8" t="s">
        <v>16</v>
      </c>
      <c r="D1450" s="9" t="n">
        <v>44272</v>
      </c>
      <c r="E1450" s="9" t="str">
        <f aca="false">TEXT(D1450,"MMM")</f>
        <v>mar</v>
      </c>
      <c r="F1450" s="10" t="n">
        <v>-20457.82</v>
      </c>
      <c r="G1450" s="8" t="s">
        <v>34</v>
      </c>
      <c r="H1450" s="8" t="s">
        <v>22</v>
      </c>
      <c r="I1450" s="11" t="s">
        <v>23</v>
      </c>
      <c r="J1450" s="8" t="s">
        <v>26</v>
      </c>
    </row>
    <row r="1451" customFormat="false" ht="14.25" hidden="false" customHeight="false" outlineLevel="0" collapsed="false">
      <c r="A1451" s="8" t="n">
        <v>1450</v>
      </c>
      <c r="B1451" s="8" t="s">
        <v>81</v>
      </c>
      <c r="C1451" s="8" t="s">
        <v>10</v>
      </c>
      <c r="D1451" s="9" t="n">
        <v>44272</v>
      </c>
      <c r="E1451" s="9" t="str">
        <f aca="false">TEXT(D1451,"MMM")</f>
        <v>mar</v>
      </c>
      <c r="F1451" s="10" t="n">
        <v>-138939.75</v>
      </c>
      <c r="G1451" s="8" t="s">
        <v>34</v>
      </c>
      <c r="H1451" s="8" t="s">
        <v>36</v>
      </c>
      <c r="I1451" s="11" t="s">
        <v>37</v>
      </c>
      <c r="J1451" s="8" t="s">
        <v>26</v>
      </c>
    </row>
    <row r="1452" customFormat="false" ht="14.25" hidden="false" customHeight="false" outlineLevel="0" collapsed="false">
      <c r="A1452" s="8" t="n">
        <v>1451</v>
      </c>
      <c r="B1452" s="8" t="s">
        <v>160</v>
      </c>
      <c r="C1452" s="8" t="s">
        <v>28</v>
      </c>
      <c r="D1452" s="9" t="n">
        <v>44273</v>
      </c>
      <c r="E1452" s="9" t="str">
        <f aca="false">TEXT(D1452,"MMM")</f>
        <v>mar</v>
      </c>
      <c r="F1452" s="10" t="n">
        <v>-286.72</v>
      </c>
      <c r="G1452" s="8" t="s">
        <v>34</v>
      </c>
      <c r="H1452" s="8" t="s">
        <v>36</v>
      </c>
      <c r="I1452" s="11" t="s">
        <v>37</v>
      </c>
      <c r="J1452" s="8" t="s">
        <v>26</v>
      </c>
    </row>
    <row r="1453" customFormat="false" ht="14.25" hidden="false" customHeight="false" outlineLevel="0" collapsed="false">
      <c r="A1453" s="8" t="n">
        <v>1452</v>
      </c>
      <c r="B1453" s="8" t="s">
        <v>161</v>
      </c>
      <c r="C1453" s="8" t="s">
        <v>28</v>
      </c>
      <c r="D1453" s="9" t="n">
        <v>44273</v>
      </c>
      <c r="E1453" s="9" t="str">
        <f aca="false">TEXT(D1453,"MMM")</f>
        <v>mar</v>
      </c>
      <c r="F1453" s="10" t="n">
        <v>19969.7</v>
      </c>
      <c r="G1453" s="8" t="s">
        <v>11</v>
      </c>
      <c r="H1453" s="8" t="s">
        <v>36</v>
      </c>
      <c r="I1453" s="11" t="s">
        <v>37</v>
      </c>
      <c r="J1453" s="8" t="s">
        <v>14</v>
      </c>
    </row>
    <row r="1454" customFormat="false" ht="14.25" hidden="false" customHeight="false" outlineLevel="0" collapsed="false">
      <c r="A1454" s="8" t="n">
        <v>1453</v>
      </c>
      <c r="B1454" s="8" t="s">
        <v>162</v>
      </c>
      <c r="C1454" s="8" t="s">
        <v>10</v>
      </c>
      <c r="D1454" s="9" t="n">
        <v>44273</v>
      </c>
      <c r="E1454" s="9" t="str">
        <f aca="false">TEXT(D1454,"MMM")</f>
        <v>mar</v>
      </c>
      <c r="F1454" s="10" t="n">
        <v>19969.7</v>
      </c>
      <c r="G1454" s="8" t="s">
        <v>11</v>
      </c>
      <c r="H1454" s="8" t="s">
        <v>17</v>
      </c>
      <c r="I1454" s="11" t="s">
        <v>18</v>
      </c>
      <c r="J1454" s="8" t="s">
        <v>19</v>
      </c>
    </row>
    <row r="1455" customFormat="false" ht="14.25" hidden="false" customHeight="false" outlineLevel="0" collapsed="false">
      <c r="A1455" s="8" t="n">
        <v>1454</v>
      </c>
      <c r="B1455" s="8" t="s">
        <v>163</v>
      </c>
      <c r="C1455" s="8" t="s">
        <v>21</v>
      </c>
      <c r="D1455" s="9" t="n">
        <v>44273</v>
      </c>
      <c r="E1455" s="9" t="str">
        <f aca="false">TEXT(D1455,"MMM")</f>
        <v>mar</v>
      </c>
      <c r="F1455" s="10" t="n">
        <v>19969.7</v>
      </c>
      <c r="G1455" s="8" t="s">
        <v>11</v>
      </c>
      <c r="H1455" s="8" t="s">
        <v>36</v>
      </c>
      <c r="I1455" s="11" t="s">
        <v>37</v>
      </c>
      <c r="J1455" s="8" t="s">
        <v>14</v>
      </c>
    </row>
    <row r="1456" customFormat="false" ht="14.25" hidden="false" customHeight="false" outlineLevel="0" collapsed="false">
      <c r="A1456" s="8" t="n">
        <v>1455</v>
      </c>
      <c r="B1456" s="8" t="s">
        <v>164</v>
      </c>
      <c r="C1456" s="8" t="s">
        <v>16</v>
      </c>
      <c r="D1456" s="9" t="n">
        <v>44273</v>
      </c>
      <c r="E1456" s="9" t="str">
        <f aca="false">TEXT(D1456,"MMM")</f>
        <v>mar</v>
      </c>
      <c r="F1456" s="10" t="n">
        <v>-1754.73</v>
      </c>
      <c r="G1456" s="8" t="s">
        <v>34</v>
      </c>
      <c r="H1456" s="8" t="s">
        <v>12</v>
      </c>
      <c r="I1456" s="11" t="s">
        <v>13</v>
      </c>
      <c r="J1456" s="8" t="s">
        <v>14</v>
      </c>
    </row>
    <row r="1457" customFormat="false" ht="14.25" hidden="false" customHeight="false" outlineLevel="0" collapsed="false">
      <c r="A1457" s="8" t="n">
        <v>1456</v>
      </c>
      <c r="B1457" s="8" t="s">
        <v>39</v>
      </c>
      <c r="C1457" s="8" t="s">
        <v>28</v>
      </c>
      <c r="D1457" s="9" t="n">
        <v>44274</v>
      </c>
      <c r="E1457" s="9" t="str">
        <f aca="false">TEXT(D1457,"MMM")</f>
        <v>mar</v>
      </c>
      <c r="F1457" s="10" t="n">
        <v>13764.49</v>
      </c>
      <c r="G1457" s="8" t="s">
        <v>11</v>
      </c>
      <c r="H1457" s="8" t="s">
        <v>17</v>
      </c>
      <c r="I1457" s="11" t="s">
        <v>18</v>
      </c>
      <c r="J1457" s="8" t="s">
        <v>19</v>
      </c>
    </row>
    <row r="1458" customFormat="false" ht="14.25" hidden="false" customHeight="false" outlineLevel="0" collapsed="false">
      <c r="A1458" s="8" t="n">
        <v>1457</v>
      </c>
      <c r="B1458" s="8" t="s">
        <v>41</v>
      </c>
      <c r="C1458" s="8" t="s">
        <v>10</v>
      </c>
      <c r="D1458" s="9" t="n">
        <v>44275</v>
      </c>
      <c r="E1458" s="9" t="str">
        <f aca="false">TEXT(D1458,"MMM")</f>
        <v>mar</v>
      </c>
      <c r="F1458" s="10" t="n">
        <v>12102.91</v>
      </c>
      <c r="G1458" s="8" t="s">
        <v>11</v>
      </c>
      <c r="H1458" s="8" t="s">
        <v>12</v>
      </c>
      <c r="I1458" s="11" t="s">
        <v>13</v>
      </c>
      <c r="J1458" s="8" t="s">
        <v>14</v>
      </c>
    </row>
    <row r="1459" customFormat="false" ht="14.25" hidden="false" customHeight="false" outlineLevel="0" collapsed="false">
      <c r="A1459" s="8" t="n">
        <v>1458</v>
      </c>
      <c r="B1459" s="8" t="s">
        <v>86</v>
      </c>
      <c r="C1459" s="8" t="s">
        <v>16</v>
      </c>
      <c r="D1459" s="9" t="n">
        <v>44276</v>
      </c>
      <c r="E1459" s="9" t="str">
        <f aca="false">TEXT(D1459,"MMM")</f>
        <v>mar</v>
      </c>
      <c r="F1459" s="10" t="n">
        <v>12972.8</v>
      </c>
      <c r="G1459" s="8" t="s">
        <v>11</v>
      </c>
      <c r="H1459" s="8" t="s">
        <v>12</v>
      </c>
      <c r="I1459" s="11" t="s">
        <v>13</v>
      </c>
      <c r="J1459" s="8" t="s">
        <v>14</v>
      </c>
    </row>
    <row r="1460" customFormat="false" ht="14.25" hidden="false" customHeight="false" outlineLevel="0" collapsed="false">
      <c r="A1460" s="8" t="n">
        <v>1459</v>
      </c>
      <c r="B1460" s="8" t="s">
        <v>145</v>
      </c>
      <c r="C1460" s="8" t="s">
        <v>10</v>
      </c>
      <c r="D1460" s="9" t="n">
        <v>44276</v>
      </c>
      <c r="E1460" s="9" t="str">
        <f aca="false">TEXT(D1460,"MMM")</f>
        <v>mar</v>
      </c>
      <c r="F1460" s="10" t="n">
        <v>150976.66</v>
      </c>
      <c r="G1460" s="8" t="s">
        <v>11</v>
      </c>
      <c r="H1460" s="8" t="s">
        <v>12</v>
      </c>
      <c r="I1460" s="11" t="s">
        <v>13</v>
      </c>
      <c r="J1460" s="8" t="s">
        <v>24</v>
      </c>
    </row>
    <row r="1461" customFormat="false" ht="14.25" hidden="false" customHeight="false" outlineLevel="0" collapsed="false">
      <c r="A1461" s="8" t="n">
        <v>1460</v>
      </c>
      <c r="B1461" s="8" t="s">
        <v>9</v>
      </c>
      <c r="C1461" s="8" t="s">
        <v>10</v>
      </c>
      <c r="D1461" s="9" t="n">
        <v>44276</v>
      </c>
      <c r="E1461" s="9" t="str">
        <f aca="false">TEXT(D1461,"MMM")</f>
        <v>mar</v>
      </c>
      <c r="F1461" s="10" t="n">
        <v>-402.96</v>
      </c>
      <c r="G1461" s="8" t="s">
        <v>34</v>
      </c>
      <c r="H1461" s="8" t="s">
        <v>17</v>
      </c>
      <c r="I1461" s="11" t="s">
        <v>18</v>
      </c>
      <c r="J1461" s="8" t="s">
        <v>14</v>
      </c>
    </row>
    <row r="1462" customFormat="false" ht="14.25" hidden="false" customHeight="false" outlineLevel="0" collapsed="false">
      <c r="A1462" s="8" t="n">
        <v>1461</v>
      </c>
      <c r="B1462" s="8" t="s">
        <v>15</v>
      </c>
      <c r="C1462" s="8" t="s">
        <v>28</v>
      </c>
      <c r="D1462" s="9" t="n">
        <v>44276</v>
      </c>
      <c r="E1462" s="9" t="str">
        <f aca="false">TEXT(D1462,"MMM")</f>
        <v>mar</v>
      </c>
      <c r="F1462" s="10" t="n">
        <v>-5157.85</v>
      </c>
      <c r="G1462" s="8" t="s">
        <v>34</v>
      </c>
      <c r="H1462" s="8" t="s">
        <v>12</v>
      </c>
      <c r="I1462" s="11" t="s">
        <v>13</v>
      </c>
      <c r="J1462" s="8" t="s">
        <v>26</v>
      </c>
    </row>
    <row r="1463" customFormat="false" ht="14.25" hidden="false" customHeight="false" outlineLevel="0" collapsed="false">
      <c r="A1463" s="8" t="n">
        <v>1462</v>
      </c>
      <c r="B1463" s="8" t="s">
        <v>20</v>
      </c>
      <c r="C1463" s="8" t="s">
        <v>21</v>
      </c>
      <c r="D1463" s="9" t="n">
        <v>44276</v>
      </c>
      <c r="E1463" s="9" t="str">
        <f aca="false">TEXT(D1463,"MMM")</f>
        <v>mar</v>
      </c>
      <c r="F1463" s="10" t="n">
        <v>-1748.74</v>
      </c>
      <c r="G1463" s="8" t="s">
        <v>34</v>
      </c>
      <c r="H1463" s="8" t="s">
        <v>17</v>
      </c>
      <c r="I1463" s="11" t="s">
        <v>18</v>
      </c>
      <c r="J1463" s="8" t="s">
        <v>14</v>
      </c>
    </row>
    <row r="1464" customFormat="false" ht="14.25" hidden="false" customHeight="false" outlineLevel="0" collapsed="false">
      <c r="A1464" s="8" t="n">
        <v>1463</v>
      </c>
      <c r="B1464" s="8" t="s">
        <v>20</v>
      </c>
      <c r="C1464" s="8" t="s">
        <v>28</v>
      </c>
      <c r="D1464" s="9" t="n">
        <v>44276</v>
      </c>
      <c r="E1464" s="9" t="str">
        <f aca="false">TEXT(D1464,"MMM")</f>
        <v>mar</v>
      </c>
      <c r="F1464" s="10" t="n">
        <v>-86426.2</v>
      </c>
      <c r="G1464" s="8" t="s">
        <v>34</v>
      </c>
      <c r="H1464" s="8" t="s">
        <v>36</v>
      </c>
      <c r="I1464" s="11" t="s">
        <v>37</v>
      </c>
      <c r="J1464" s="8" t="s">
        <v>26</v>
      </c>
    </row>
    <row r="1465" customFormat="false" ht="14.25" hidden="false" customHeight="false" outlineLevel="0" collapsed="false">
      <c r="A1465" s="8" t="n">
        <v>1464</v>
      </c>
      <c r="B1465" s="8" t="s">
        <v>20</v>
      </c>
      <c r="C1465" s="8" t="s">
        <v>16</v>
      </c>
      <c r="D1465" s="9" t="n">
        <v>44276</v>
      </c>
      <c r="E1465" s="9" t="str">
        <f aca="false">TEXT(D1465,"MMM")</f>
        <v>mar</v>
      </c>
      <c r="F1465" s="10" t="n">
        <v>-11557.14</v>
      </c>
      <c r="G1465" s="8" t="s">
        <v>34</v>
      </c>
      <c r="H1465" s="8" t="s">
        <v>17</v>
      </c>
      <c r="I1465" s="11" t="s">
        <v>18</v>
      </c>
      <c r="J1465" s="8" t="s">
        <v>19</v>
      </c>
    </row>
    <row r="1466" customFormat="false" ht="14.25" hidden="false" customHeight="false" outlineLevel="0" collapsed="false">
      <c r="A1466" s="8" t="n">
        <v>1465</v>
      </c>
      <c r="B1466" s="8" t="s">
        <v>50</v>
      </c>
      <c r="C1466" s="8" t="s">
        <v>16</v>
      </c>
      <c r="D1466" s="9" t="n">
        <v>44277</v>
      </c>
      <c r="E1466" s="9" t="str">
        <f aca="false">TEXT(D1466,"MMM")</f>
        <v>mar</v>
      </c>
      <c r="F1466" s="10" t="n">
        <v>-15626.8</v>
      </c>
      <c r="G1466" s="8" t="s">
        <v>34</v>
      </c>
      <c r="H1466" s="8" t="s">
        <v>17</v>
      </c>
      <c r="I1466" s="11" t="s">
        <v>18</v>
      </c>
      <c r="J1466" s="8" t="s">
        <v>19</v>
      </c>
    </row>
    <row r="1467" customFormat="false" ht="14.25" hidden="false" customHeight="false" outlineLevel="0" collapsed="false">
      <c r="A1467" s="8" t="n">
        <v>1466</v>
      </c>
      <c r="B1467" s="8" t="s">
        <v>32</v>
      </c>
      <c r="C1467" s="8" t="s">
        <v>16</v>
      </c>
      <c r="D1467" s="9" t="n">
        <v>44277</v>
      </c>
      <c r="E1467" s="9" t="str">
        <f aca="false">TEXT(D1467,"MMM")</f>
        <v>mar</v>
      </c>
      <c r="F1467" s="10" t="n">
        <v>-18780.93</v>
      </c>
      <c r="G1467" s="8" t="s">
        <v>34</v>
      </c>
      <c r="H1467" s="8" t="s">
        <v>17</v>
      </c>
      <c r="I1467" s="11" t="s">
        <v>18</v>
      </c>
      <c r="J1467" s="8" t="s">
        <v>14</v>
      </c>
    </row>
    <row r="1468" customFormat="false" ht="14.25" hidden="false" customHeight="false" outlineLevel="0" collapsed="false">
      <c r="A1468" s="8" t="n">
        <v>1467</v>
      </c>
      <c r="B1468" s="8" t="s">
        <v>39</v>
      </c>
      <c r="C1468" s="8" t="s">
        <v>10</v>
      </c>
      <c r="D1468" s="9" t="n">
        <v>44277</v>
      </c>
      <c r="E1468" s="9" t="str">
        <f aca="false">TEXT(D1468,"MMM")</f>
        <v>mar</v>
      </c>
      <c r="F1468" s="10" t="n">
        <v>-23383.82</v>
      </c>
      <c r="G1468" s="8" t="s">
        <v>34</v>
      </c>
      <c r="H1468" s="8" t="s">
        <v>17</v>
      </c>
      <c r="I1468" s="11" t="s">
        <v>18</v>
      </c>
      <c r="J1468" s="8" t="s">
        <v>14</v>
      </c>
    </row>
    <row r="1469" customFormat="false" ht="14.25" hidden="false" customHeight="false" outlineLevel="0" collapsed="false">
      <c r="A1469" s="8" t="n">
        <v>1468</v>
      </c>
      <c r="B1469" s="8" t="s">
        <v>101</v>
      </c>
      <c r="C1469" s="8" t="s">
        <v>10</v>
      </c>
      <c r="D1469" s="9" t="n">
        <v>44278</v>
      </c>
      <c r="E1469" s="9" t="str">
        <f aca="false">TEXT(D1469,"MMM")</f>
        <v>mar</v>
      </c>
      <c r="F1469" s="10" t="n">
        <v>-30904.58</v>
      </c>
      <c r="G1469" s="8" t="s">
        <v>34</v>
      </c>
      <c r="H1469" s="8" t="s">
        <v>30</v>
      </c>
      <c r="I1469" s="11" t="s">
        <v>31</v>
      </c>
      <c r="J1469" s="8" t="s">
        <v>19</v>
      </c>
    </row>
    <row r="1470" customFormat="false" ht="14.25" hidden="false" customHeight="false" outlineLevel="0" collapsed="false">
      <c r="A1470" s="8" t="n">
        <v>1469</v>
      </c>
      <c r="B1470" s="8" t="s">
        <v>159</v>
      </c>
      <c r="C1470" s="8" t="s">
        <v>28</v>
      </c>
      <c r="D1470" s="9" t="n">
        <v>44278</v>
      </c>
      <c r="E1470" s="9" t="str">
        <f aca="false">TEXT(D1470,"MMM")</f>
        <v>mar</v>
      </c>
      <c r="F1470" s="10" t="n">
        <v>-6785.84</v>
      </c>
      <c r="G1470" s="8" t="s">
        <v>34</v>
      </c>
      <c r="H1470" s="8" t="s">
        <v>17</v>
      </c>
      <c r="I1470" s="11" t="s">
        <v>18</v>
      </c>
      <c r="J1470" s="8" t="s">
        <v>26</v>
      </c>
    </row>
    <row r="1471" customFormat="false" ht="14.25" hidden="false" customHeight="false" outlineLevel="0" collapsed="false">
      <c r="A1471" s="8" t="n">
        <v>1470</v>
      </c>
      <c r="B1471" s="8" t="s">
        <v>154</v>
      </c>
      <c r="C1471" s="8" t="s">
        <v>21</v>
      </c>
      <c r="D1471" s="9" t="n">
        <v>44278</v>
      </c>
      <c r="E1471" s="9" t="str">
        <f aca="false">TEXT(D1471,"MMM")</f>
        <v>mar</v>
      </c>
      <c r="F1471" s="10" t="n">
        <v>-7137.13</v>
      </c>
      <c r="G1471" s="8" t="s">
        <v>34</v>
      </c>
      <c r="H1471" s="8" t="s">
        <v>12</v>
      </c>
      <c r="I1471" s="11" t="s">
        <v>13</v>
      </c>
      <c r="J1471" s="8" t="s">
        <v>26</v>
      </c>
    </row>
    <row r="1472" customFormat="false" ht="14.25" hidden="false" customHeight="false" outlineLevel="0" collapsed="false">
      <c r="A1472" s="8" t="n">
        <v>1471</v>
      </c>
      <c r="B1472" s="8" t="s">
        <v>61</v>
      </c>
      <c r="C1472" s="8" t="s">
        <v>10</v>
      </c>
      <c r="D1472" s="9" t="n">
        <v>44278</v>
      </c>
      <c r="E1472" s="9" t="str">
        <f aca="false">TEXT(D1472,"MMM")</f>
        <v>mar</v>
      </c>
      <c r="F1472" s="10" t="n">
        <v>-152.15</v>
      </c>
      <c r="G1472" s="8" t="s">
        <v>34</v>
      </c>
      <c r="H1472" s="8" t="s">
        <v>22</v>
      </c>
      <c r="I1472" s="11" t="s">
        <v>23</v>
      </c>
      <c r="J1472" s="8" t="s">
        <v>19</v>
      </c>
    </row>
    <row r="1473" customFormat="false" ht="14.25" hidden="false" customHeight="false" outlineLevel="0" collapsed="false">
      <c r="A1473" s="8" t="n">
        <v>1472</v>
      </c>
      <c r="B1473" s="8" t="s">
        <v>62</v>
      </c>
      <c r="C1473" s="8" t="s">
        <v>10</v>
      </c>
      <c r="D1473" s="9" t="n">
        <v>44278</v>
      </c>
      <c r="E1473" s="9" t="str">
        <f aca="false">TEXT(D1473,"MMM")</f>
        <v>mar</v>
      </c>
      <c r="F1473" s="10" t="n">
        <v>-7501.27</v>
      </c>
      <c r="G1473" s="8" t="s">
        <v>34</v>
      </c>
      <c r="H1473" s="8" t="s">
        <v>12</v>
      </c>
      <c r="I1473" s="11" t="s">
        <v>13</v>
      </c>
      <c r="J1473" s="8" t="s">
        <v>26</v>
      </c>
    </row>
    <row r="1474" customFormat="false" ht="14.25" hidden="false" customHeight="false" outlineLevel="0" collapsed="false">
      <c r="A1474" s="8" t="n">
        <v>1473</v>
      </c>
      <c r="B1474" s="8" t="s">
        <v>61</v>
      </c>
      <c r="C1474" s="8" t="s">
        <v>16</v>
      </c>
      <c r="D1474" s="9" t="n">
        <v>44278</v>
      </c>
      <c r="E1474" s="9" t="str">
        <f aca="false">TEXT(D1474,"MMM")</f>
        <v>mar</v>
      </c>
      <c r="F1474" s="10" t="n">
        <v>-8275.61</v>
      </c>
      <c r="G1474" s="8" t="s">
        <v>34</v>
      </c>
      <c r="H1474" s="8" t="s">
        <v>17</v>
      </c>
      <c r="I1474" s="11" t="s">
        <v>18</v>
      </c>
      <c r="J1474" s="8" t="s">
        <v>19</v>
      </c>
    </row>
    <row r="1475" customFormat="false" ht="14.25" hidden="false" customHeight="false" outlineLevel="0" collapsed="false">
      <c r="A1475" s="8" t="n">
        <v>1474</v>
      </c>
      <c r="B1475" s="8" t="s">
        <v>62</v>
      </c>
      <c r="C1475" s="8" t="s">
        <v>16</v>
      </c>
      <c r="D1475" s="9" t="n">
        <v>44278</v>
      </c>
      <c r="E1475" s="9" t="str">
        <f aca="false">TEXT(D1475,"MMM")</f>
        <v>mar</v>
      </c>
      <c r="F1475" s="10" t="n">
        <v>-66.89</v>
      </c>
      <c r="G1475" s="8" t="s">
        <v>34</v>
      </c>
      <c r="H1475" s="8" t="s">
        <v>22</v>
      </c>
      <c r="I1475" s="11" t="s">
        <v>23</v>
      </c>
      <c r="J1475" s="8" t="s">
        <v>14</v>
      </c>
    </row>
    <row r="1476" customFormat="false" ht="14.25" hidden="false" customHeight="false" outlineLevel="0" collapsed="false">
      <c r="A1476" s="8" t="n">
        <v>1475</v>
      </c>
      <c r="B1476" s="8" t="s">
        <v>57</v>
      </c>
      <c r="C1476" s="8" t="s">
        <v>21</v>
      </c>
      <c r="D1476" s="9" t="n">
        <v>44278</v>
      </c>
      <c r="E1476" s="9" t="str">
        <f aca="false">TEXT(D1476,"MMM")</f>
        <v>mar</v>
      </c>
      <c r="F1476" s="10" t="n">
        <v>-10855.71</v>
      </c>
      <c r="G1476" s="8" t="s">
        <v>34</v>
      </c>
      <c r="H1476" s="8" t="s">
        <v>12</v>
      </c>
      <c r="I1476" s="11" t="s">
        <v>13</v>
      </c>
      <c r="J1476" s="8" t="s">
        <v>14</v>
      </c>
    </row>
    <row r="1477" customFormat="false" ht="14.25" hidden="false" customHeight="false" outlineLevel="0" collapsed="false">
      <c r="A1477" s="8" t="n">
        <v>1476</v>
      </c>
      <c r="B1477" s="8" t="s">
        <v>72</v>
      </c>
      <c r="C1477" s="8" t="s">
        <v>21</v>
      </c>
      <c r="D1477" s="9" t="n">
        <v>44278</v>
      </c>
      <c r="E1477" s="9" t="str">
        <f aca="false">TEXT(D1477,"MMM")</f>
        <v>mar</v>
      </c>
      <c r="F1477" s="10" t="n">
        <v>-1041.85</v>
      </c>
      <c r="G1477" s="8" t="s">
        <v>34</v>
      </c>
      <c r="H1477" s="8" t="s">
        <v>36</v>
      </c>
      <c r="I1477" s="11" t="s">
        <v>37</v>
      </c>
      <c r="J1477" s="8" t="s">
        <v>14</v>
      </c>
    </row>
    <row r="1478" customFormat="false" ht="14.25" hidden="false" customHeight="false" outlineLevel="0" collapsed="false">
      <c r="A1478" s="8" t="n">
        <v>1477</v>
      </c>
      <c r="B1478" s="8" t="s">
        <v>61</v>
      </c>
      <c r="C1478" s="8" t="s">
        <v>10</v>
      </c>
      <c r="D1478" s="9" t="n">
        <v>44278</v>
      </c>
      <c r="E1478" s="9" t="str">
        <f aca="false">TEXT(D1478,"MMM")</f>
        <v>mar</v>
      </c>
      <c r="F1478" s="10" t="n">
        <v>126426.83</v>
      </c>
      <c r="G1478" s="8" t="s">
        <v>11</v>
      </c>
      <c r="H1478" s="8" t="s">
        <v>22</v>
      </c>
      <c r="I1478" s="11" t="s">
        <v>23</v>
      </c>
      <c r="J1478" s="8" t="s">
        <v>14</v>
      </c>
    </row>
    <row r="1479" customFormat="false" ht="14.25" hidden="false" customHeight="false" outlineLevel="0" collapsed="false">
      <c r="A1479" s="8" t="n">
        <v>1478</v>
      </c>
      <c r="B1479" s="8" t="s">
        <v>62</v>
      </c>
      <c r="C1479" s="8" t="s">
        <v>21</v>
      </c>
      <c r="D1479" s="9" t="n">
        <v>44278</v>
      </c>
      <c r="E1479" s="9" t="str">
        <f aca="false">TEXT(D1479,"MMM")</f>
        <v>mar</v>
      </c>
      <c r="F1479" s="10" t="n">
        <v>11568.04</v>
      </c>
      <c r="G1479" s="8" t="s">
        <v>11</v>
      </c>
      <c r="H1479" s="8" t="s">
        <v>22</v>
      </c>
      <c r="I1479" s="11" t="s">
        <v>23</v>
      </c>
      <c r="J1479" s="8" t="s">
        <v>19</v>
      </c>
    </row>
    <row r="1480" customFormat="false" ht="14.25" hidden="false" customHeight="false" outlineLevel="0" collapsed="false">
      <c r="A1480" s="8" t="n">
        <v>1479</v>
      </c>
      <c r="B1480" s="8" t="s">
        <v>57</v>
      </c>
      <c r="C1480" s="8" t="s">
        <v>10</v>
      </c>
      <c r="D1480" s="9" t="n">
        <v>44278</v>
      </c>
      <c r="E1480" s="9" t="str">
        <f aca="false">TEXT(D1480,"MMM")</f>
        <v>mar</v>
      </c>
      <c r="F1480" s="10" t="n">
        <v>2941.95</v>
      </c>
      <c r="G1480" s="8" t="s">
        <v>11</v>
      </c>
      <c r="H1480" s="8" t="s">
        <v>12</v>
      </c>
      <c r="I1480" s="11" t="s">
        <v>13</v>
      </c>
      <c r="J1480" s="8" t="s">
        <v>14</v>
      </c>
    </row>
    <row r="1481" customFormat="false" ht="14.25" hidden="false" customHeight="false" outlineLevel="0" collapsed="false">
      <c r="A1481" s="8" t="n">
        <v>1480</v>
      </c>
      <c r="B1481" s="8" t="s">
        <v>72</v>
      </c>
      <c r="C1481" s="8" t="s">
        <v>10</v>
      </c>
      <c r="D1481" s="9" t="n">
        <v>44278</v>
      </c>
      <c r="E1481" s="9" t="str">
        <f aca="false">TEXT(D1481,"MMM")</f>
        <v>mar</v>
      </c>
      <c r="F1481" s="10" t="n">
        <v>6891.35</v>
      </c>
      <c r="G1481" s="8" t="s">
        <v>11</v>
      </c>
      <c r="H1481" s="8" t="s">
        <v>12</v>
      </c>
      <c r="I1481" s="11" t="s">
        <v>13</v>
      </c>
      <c r="J1481" s="8" t="s">
        <v>19</v>
      </c>
    </row>
    <row r="1482" customFormat="false" ht="14.25" hidden="false" customHeight="false" outlineLevel="0" collapsed="false">
      <c r="A1482" s="8" t="n">
        <v>1481</v>
      </c>
      <c r="B1482" s="8" t="s">
        <v>102</v>
      </c>
      <c r="C1482" s="8" t="s">
        <v>21</v>
      </c>
      <c r="D1482" s="9" t="n">
        <v>44279</v>
      </c>
      <c r="E1482" s="9" t="str">
        <f aca="false">TEXT(D1482,"MMM")</f>
        <v>mar</v>
      </c>
      <c r="F1482" s="10" t="n">
        <v>2632.08</v>
      </c>
      <c r="G1482" s="8" t="s">
        <v>11</v>
      </c>
      <c r="H1482" s="8" t="s">
        <v>12</v>
      </c>
      <c r="I1482" s="11" t="s">
        <v>13</v>
      </c>
      <c r="J1482" s="8" t="s">
        <v>14</v>
      </c>
    </row>
    <row r="1483" customFormat="false" ht="14.25" hidden="false" customHeight="false" outlineLevel="0" collapsed="false">
      <c r="A1483" s="8" t="n">
        <v>1482</v>
      </c>
      <c r="B1483" s="8" t="s">
        <v>163</v>
      </c>
      <c r="C1483" s="8" t="s">
        <v>28</v>
      </c>
      <c r="D1483" s="9" t="n">
        <v>44281</v>
      </c>
      <c r="E1483" s="9" t="str">
        <f aca="false">TEXT(D1483,"MMM")</f>
        <v>mar</v>
      </c>
      <c r="F1483" s="10" t="n">
        <v>7451.64</v>
      </c>
      <c r="G1483" s="8" t="s">
        <v>11</v>
      </c>
      <c r="H1483" s="8" t="s">
        <v>30</v>
      </c>
      <c r="I1483" s="11" t="s">
        <v>31</v>
      </c>
      <c r="J1483" s="8" t="s">
        <v>14</v>
      </c>
    </row>
    <row r="1484" customFormat="false" ht="14.25" hidden="false" customHeight="false" outlineLevel="0" collapsed="false">
      <c r="A1484" s="8" t="n">
        <v>1483</v>
      </c>
      <c r="B1484" s="8" t="s">
        <v>165</v>
      </c>
      <c r="C1484" s="8" t="s">
        <v>16</v>
      </c>
      <c r="D1484" s="9" t="n">
        <v>44281</v>
      </c>
      <c r="E1484" s="9" t="str">
        <f aca="false">TEXT(D1484,"MMM")</f>
        <v>mar</v>
      </c>
      <c r="F1484" s="10" t="n">
        <v>11681.45</v>
      </c>
      <c r="G1484" s="8" t="s">
        <v>11</v>
      </c>
      <c r="H1484" s="8" t="s">
        <v>17</v>
      </c>
      <c r="I1484" s="11" t="s">
        <v>18</v>
      </c>
      <c r="J1484" s="8" t="s">
        <v>14</v>
      </c>
    </row>
    <row r="1485" customFormat="false" ht="14.25" hidden="false" customHeight="false" outlineLevel="0" collapsed="false">
      <c r="A1485" s="8" t="n">
        <v>1484</v>
      </c>
      <c r="B1485" s="8" t="s">
        <v>15</v>
      </c>
      <c r="C1485" s="8" t="s">
        <v>10</v>
      </c>
      <c r="D1485" s="9" t="n">
        <v>44281</v>
      </c>
      <c r="E1485" s="9" t="str">
        <f aca="false">TEXT(D1485,"MMM")</f>
        <v>mar</v>
      </c>
      <c r="F1485" s="10" t="n">
        <v>12528.5</v>
      </c>
      <c r="G1485" s="8" t="s">
        <v>11</v>
      </c>
      <c r="H1485" s="8" t="s">
        <v>12</v>
      </c>
      <c r="I1485" s="11" t="s">
        <v>13</v>
      </c>
      <c r="J1485" s="8" t="s">
        <v>19</v>
      </c>
    </row>
    <row r="1486" customFormat="false" ht="14.25" hidden="false" customHeight="false" outlineLevel="0" collapsed="false">
      <c r="A1486" s="8" t="n">
        <v>1485</v>
      </c>
      <c r="B1486" s="8" t="s">
        <v>81</v>
      </c>
      <c r="C1486" s="8" t="s">
        <v>28</v>
      </c>
      <c r="D1486" s="9" t="n">
        <v>44281</v>
      </c>
      <c r="E1486" s="9" t="str">
        <f aca="false">TEXT(D1486,"MMM")</f>
        <v>mar</v>
      </c>
      <c r="F1486" s="10" t="n">
        <v>2714.23</v>
      </c>
      <c r="G1486" s="8" t="s">
        <v>11</v>
      </c>
      <c r="H1486" s="8" t="s">
        <v>22</v>
      </c>
      <c r="I1486" s="11" t="s">
        <v>23</v>
      </c>
      <c r="J1486" s="8" t="s">
        <v>26</v>
      </c>
    </row>
    <row r="1487" customFormat="false" ht="14.25" hidden="false" customHeight="false" outlineLevel="0" collapsed="false">
      <c r="A1487" s="8" t="n">
        <v>1486</v>
      </c>
      <c r="B1487" s="8" t="s">
        <v>81</v>
      </c>
      <c r="C1487" s="8" t="s">
        <v>28</v>
      </c>
      <c r="D1487" s="9" t="n">
        <v>44281</v>
      </c>
      <c r="E1487" s="9" t="str">
        <f aca="false">TEXT(D1487,"MMM")</f>
        <v>mar</v>
      </c>
      <c r="F1487" s="10" t="n">
        <v>6231.4</v>
      </c>
      <c r="G1487" s="8" t="s">
        <v>11</v>
      </c>
      <c r="H1487" s="8" t="s">
        <v>17</v>
      </c>
      <c r="I1487" s="11" t="s">
        <v>18</v>
      </c>
      <c r="J1487" s="8" t="s">
        <v>24</v>
      </c>
    </row>
    <row r="1488" customFormat="false" ht="14.25" hidden="false" customHeight="false" outlineLevel="0" collapsed="false">
      <c r="A1488" s="8" t="n">
        <v>1487</v>
      </c>
      <c r="B1488" s="8" t="s">
        <v>81</v>
      </c>
      <c r="C1488" s="8" t="s">
        <v>10</v>
      </c>
      <c r="D1488" s="9" t="n">
        <v>44281</v>
      </c>
      <c r="E1488" s="9" t="str">
        <f aca="false">TEXT(D1488,"MMM")</f>
        <v>mar</v>
      </c>
      <c r="F1488" s="10" t="n">
        <v>2585.89</v>
      </c>
      <c r="G1488" s="8" t="s">
        <v>11</v>
      </c>
      <c r="H1488" s="8" t="s">
        <v>30</v>
      </c>
      <c r="I1488" s="11" t="s">
        <v>31</v>
      </c>
      <c r="J1488" s="8" t="s">
        <v>24</v>
      </c>
    </row>
    <row r="1489" customFormat="false" ht="14.25" hidden="false" customHeight="false" outlineLevel="0" collapsed="false">
      <c r="A1489" s="8" t="n">
        <v>1488</v>
      </c>
      <c r="B1489" s="8" t="s">
        <v>81</v>
      </c>
      <c r="C1489" s="8" t="s">
        <v>16</v>
      </c>
      <c r="D1489" s="9" t="n">
        <v>44281</v>
      </c>
      <c r="E1489" s="9" t="str">
        <f aca="false">TEXT(D1489,"MMM")</f>
        <v>mar</v>
      </c>
      <c r="F1489" s="10" t="n">
        <v>6302.78</v>
      </c>
      <c r="G1489" s="8" t="s">
        <v>11</v>
      </c>
      <c r="H1489" s="8" t="s">
        <v>30</v>
      </c>
      <c r="I1489" s="11" t="s">
        <v>31</v>
      </c>
      <c r="J1489" s="8" t="s">
        <v>14</v>
      </c>
    </row>
    <row r="1490" customFormat="false" ht="14.25" hidden="false" customHeight="false" outlineLevel="0" collapsed="false">
      <c r="A1490" s="8" t="n">
        <v>1489</v>
      </c>
      <c r="B1490" s="8" t="s">
        <v>166</v>
      </c>
      <c r="C1490" s="8" t="s">
        <v>21</v>
      </c>
      <c r="D1490" s="9" t="n">
        <v>44282</v>
      </c>
      <c r="E1490" s="9" t="str">
        <f aca="false">TEXT(D1490,"MMM")</f>
        <v>mar</v>
      </c>
      <c r="F1490" s="10" t="n">
        <v>11115.17</v>
      </c>
      <c r="G1490" s="8" t="s">
        <v>11</v>
      </c>
      <c r="H1490" s="8" t="s">
        <v>36</v>
      </c>
      <c r="I1490" s="11" t="s">
        <v>37</v>
      </c>
      <c r="J1490" s="8" t="s">
        <v>26</v>
      </c>
    </row>
    <row r="1491" customFormat="false" ht="14.25" hidden="false" customHeight="false" outlineLevel="0" collapsed="false">
      <c r="A1491" s="8" t="n">
        <v>1490</v>
      </c>
      <c r="B1491" s="8" t="s">
        <v>85</v>
      </c>
      <c r="C1491" s="8" t="s">
        <v>10</v>
      </c>
      <c r="D1491" s="9" t="n">
        <v>44282</v>
      </c>
      <c r="E1491" s="9" t="str">
        <f aca="false">TEXT(D1491,"MMM")</f>
        <v>mar</v>
      </c>
      <c r="F1491" s="10" t="n">
        <v>6892.72</v>
      </c>
      <c r="G1491" s="8" t="s">
        <v>11</v>
      </c>
      <c r="H1491" s="8" t="s">
        <v>12</v>
      </c>
      <c r="I1491" s="11" t="s">
        <v>13</v>
      </c>
      <c r="J1491" s="8" t="s">
        <v>26</v>
      </c>
    </row>
    <row r="1492" customFormat="false" ht="14.25" hidden="false" customHeight="false" outlineLevel="0" collapsed="false">
      <c r="A1492" s="8" t="n">
        <v>1491</v>
      </c>
      <c r="B1492" s="8" t="s">
        <v>33</v>
      </c>
      <c r="C1492" s="8" t="s">
        <v>28</v>
      </c>
      <c r="D1492" s="9" t="n">
        <v>44282</v>
      </c>
      <c r="E1492" s="9" t="str">
        <f aca="false">TEXT(D1492,"MMM")</f>
        <v>mar</v>
      </c>
      <c r="F1492" s="10" t="n">
        <v>11451.98</v>
      </c>
      <c r="G1492" s="8" t="s">
        <v>11</v>
      </c>
      <c r="H1492" s="8" t="s">
        <v>22</v>
      </c>
      <c r="I1492" s="11" t="s">
        <v>23</v>
      </c>
      <c r="J1492" s="8" t="s">
        <v>14</v>
      </c>
    </row>
    <row r="1493" customFormat="false" ht="14.25" hidden="false" customHeight="false" outlineLevel="0" collapsed="false">
      <c r="A1493" s="8" t="n">
        <v>1492</v>
      </c>
      <c r="B1493" s="8" t="s">
        <v>33</v>
      </c>
      <c r="C1493" s="8" t="s">
        <v>28</v>
      </c>
      <c r="D1493" s="9" t="n">
        <v>44282</v>
      </c>
      <c r="E1493" s="9" t="str">
        <f aca="false">TEXT(D1493,"MMM")</f>
        <v>mar</v>
      </c>
      <c r="F1493" s="10" t="n">
        <v>146032.56</v>
      </c>
      <c r="G1493" s="8" t="s">
        <v>11</v>
      </c>
      <c r="H1493" s="8" t="s">
        <v>36</v>
      </c>
      <c r="I1493" s="11" t="s">
        <v>37</v>
      </c>
      <c r="J1493" s="8" t="s">
        <v>19</v>
      </c>
    </row>
    <row r="1494" customFormat="false" ht="14.25" hidden="false" customHeight="false" outlineLevel="0" collapsed="false">
      <c r="A1494" s="8" t="n">
        <v>1493</v>
      </c>
      <c r="B1494" s="8" t="s">
        <v>33</v>
      </c>
      <c r="C1494" s="8" t="s">
        <v>10</v>
      </c>
      <c r="D1494" s="9" t="n">
        <v>44282</v>
      </c>
      <c r="E1494" s="9" t="str">
        <f aca="false">TEXT(D1494,"MMM")</f>
        <v>mar</v>
      </c>
      <c r="F1494" s="10" t="n">
        <v>10693.2</v>
      </c>
      <c r="G1494" s="8" t="s">
        <v>11</v>
      </c>
      <c r="H1494" s="8" t="s">
        <v>17</v>
      </c>
      <c r="I1494" s="11" t="s">
        <v>18</v>
      </c>
      <c r="J1494" s="8" t="s">
        <v>14</v>
      </c>
    </row>
    <row r="1495" customFormat="false" ht="14.25" hidden="false" customHeight="false" outlineLevel="0" collapsed="false">
      <c r="A1495" s="8" t="n">
        <v>1494</v>
      </c>
      <c r="B1495" s="8" t="s">
        <v>33</v>
      </c>
      <c r="C1495" s="8" t="s">
        <v>28</v>
      </c>
      <c r="D1495" s="9" t="n">
        <v>44282</v>
      </c>
      <c r="E1495" s="9" t="str">
        <f aca="false">TEXT(D1495,"MMM")</f>
        <v>mar</v>
      </c>
      <c r="F1495" s="10" t="n">
        <v>1905.44</v>
      </c>
      <c r="G1495" s="8" t="s">
        <v>11</v>
      </c>
      <c r="H1495" s="8" t="s">
        <v>12</v>
      </c>
      <c r="I1495" s="11" t="s">
        <v>13</v>
      </c>
      <c r="J1495" s="8" t="s">
        <v>14</v>
      </c>
    </row>
    <row r="1496" customFormat="false" ht="14.25" hidden="false" customHeight="false" outlineLevel="0" collapsed="false">
      <c r="A1496" s="8" t="n">
        <v>1495</v>
      </c>
      <c r="B1496" s="8" t="s">
        <v>167</v>
      </c>
      <c r="C1496" s="8" t="s">
        <v>21</v>
      </c>
      <c r="D1496" s="9" t="n">
        <v>44283</v>
      </c>
      <c r="E1496" s="9" t="str">
        <f aca="false">TEXT(D1496,"MMM")</f>
        <v>mar</v>
      </c>
      <c r="F1496" s="10" t="n">
        <v>11133.04</v>
      </c>
      <c r="G1496" s="8" t="s">
        <v>11</v>
      </c>
      <c r="H1496" s="8" t="s">
        <v>36</v>
      </c>
      <c r="I1496" s="11" t="s">
        <v>37</v>
      </c>
      <c r="J1496" s="8" t="s">
        <v>26</v>
      </c>
    </row>
    <row r="1497" customFormat="false" ht="14.25" hidden="false" customHeight="false" outlineLevel="0" collapsed="false">
      <c r="A1497" s="8" t="n">
        <v>1496</v>
      </c>
      <c r="B1497" s="8" t="s">
        <v>50</v>
      </c>
      <c r="C1497" s="8" t="s">
        <v>28</v>
      </c>
      <c r="D1497" s="9" t="n">
        <v>44283</v>
      </c>
      <c r="E1497" s="9" t="str">
        <f aca="false">TEXT(D1497,"MMM")</f>
        <v>mar</v>
      </c>
      <c r="F1497" s="10" t="n">
        <v>11247.48</v>
      </c>
      <c r="G1497" s="8" t="s">
        <v>11</v>
      </c>
      <c r="H1497" s="8" t="s">
        <v>36</v>
      </c>
      <c r="I1497" s="11" t="s">
        <v>37</v>
      </c>
      <c r="J1497" s="8" t="s">
        <v>19</v>
      </c>
    </row>
    <row r="1498" customFormat="false" ht="14.25" hidden="false" customHeight="false" outlineLevel="0" collapsed="false">
      <c r="A1498" s="8" t="n">
        <v>1497</v>
      </c>
      <c r="B1498" s="8" t="s">
        <v>164</v>
      </c>
      <c r="C1498" s="8" t="s">
        <v>28</v>
      </c>
      <c r="D1498" s="9" t="n">
        <v>44283</v>
      </c>
      <c r="E1498" s="9" t="str">
        <f aca="false">TEXT(D1498,"MMM")</f>
        <v>mar</v>
      </c>
      <c r="F1498" s="10" t="n">
        <v>1829.81</v>
      </c>
      <c r="G1498" s="8" t="s">
        <v>11</v>
      </c>
      <c r="H1498" s="8" t="s">
        <v>12</v>
      </c>
      <c r="I1498" s="11" t="s">
        <v>13</v>
      </c>
      <c r="J1498" s="8" t="s">
        <v>19</v>
      </c>
    </row>
    <row r="1499" customFormat="false" ht="14.25" hidden="false" customHeight="false" outlineLevel="0" collapsed="false">
      <c r="A1499" s="8" t="n">
        <v>1498</v>
      </c>
      <c r="B1499" s="8" t="s">
        <v>149</v>
      </c>
      <c r="C1499" s="8" t="s">
        <v>21</v>
      </c>
      <c r="D1499" s="9" t="n">
        <v>44283</v>
      </c>
      <c r="E1499" s="9" t="str">
        <f aca="false">TEXT(D1499,"MMM")</f>
        <v>mar</v>
      </c>
      <c r="F1499" s="10" t="n">
        <v>11130.79</v>
      </c>
      <c r="G1499" s="8" t="s">
        <v>11</v>
      </c>
      <c r="H1499" s="8" t="s">
        <v>12</v>
      </c>
      <c r="I1499" s="11" t="s">
        <v>13</v>
      </c>
      <c r="J1499" s="8" t="s">
        <v>26</v>
      </c>
    </row>
    <row r="1500" customFormat="false" ht="14.25" hidden="false" customHeight="false" outlineLevel="0" collapsed="false">
      <c r="A1500" s="8" t="n">
        <v>1499</v>
      </c>
      <c r="B1500" s="8" t="s">
        <v>168</v>
      </c>
      <c r="C1500" s="8" t="s">
        <v>16</v>
      </c>
      <c r="D1500" s="9" t="n">
        <v>44284</v>
      </c>
      <c r="E1500" s="9" t="str">
        <f aca="false">TEXT(D1500,"MMM")</f>
        <v>mar</v>
      </c>
      <c r="F1500" s="10" t="n">
        <v>10932.74</v>
      </c>
      <c r="G1500" s="8" t="s">
        <v>11</v>
      </c>
      <c r="H1500" s="8" t="s">
        <v>22</v>
      </c>
      <c r="I1500" s="11" t="s">
        <v>23</v>
      </c>
      <c r="J1500" s="8" t="s">
        <v>26</v>
      </c>
    </row>
    <row r="1501" customFormat="false" ht="14.25" hidden="false" customHeight="false" outlineLevel="0" collapsed="false">
      <c r="A1501" s="8" t="n">
        <v>1500</v>
      </c>
      <c r="B1501" s="8" t="s">
        <v>15</v>
      </c>
      <c r="C1501" s="8" t="s">
        <v>21</v>
      </c>
      <c r="D1501" s="9" t="n">
        <v>44284</v>
      </c>
      <c r="E1501" s="9" t="str">
        <f aca="false">TEXT(D1501,"MMM")</f>
        <v>mar</v>
      </c>
      <c r="F1501" s="10" t="n">
        <v>1723.91</v>
      </c>
      <c r="G1501" s="8" t="s">
        <v>11</v>
      </c>
      <c r="H1501" s="8" t="s">
        <v>22</v>
      </c>
      <c r="I1501" s="11" t="s">
        <v>23</v>
      </c>
      <c r="J1501" s="8" t="s">
        <v>19</v>
      </c>
    </row>
    <row r="1502" customFormat="false" ht="14.25" hidden="false" customHeight="false" outlineLevel="0" collapsed="false">
      <c r="A1502" s="8" t="n">
        <v>1501</v>
      </c>
      <c r="B1502" s="8" t="s">
        <v>51</v>
      </c>
      <c r="C1502" s="8" t="s">
        <v>16</v>
      </c>
      <c r="D1502" s="9" t="n">
        <v>44284</v>
      </c>
      <c r="E1502" s="9" t="str">
        <f aca="false">TEXT(D1502,"MMM")</f>
        <v>mar</v>
      </c>
      <c r="F1502" s="10" t="n">
        <v>10810.67</v>
      </c>
      <c r="G1502" s="8" t="s">
        <v>11</v>
      </c>
      <c r="H1502" s="8" t="s">
        <v>30</v>
      </c>
      <c r="I1502" s="11" t="s">
        <v>31</v>
      </c>
      <c r="J1502" s="8" t="s">
        <v>14</v>
      </c>
    </row>
    <row r="1503" customFormat="false" ht="14.25" hidden="false" customHeight="false" outlineLevel="0" collapsed="false">
      <c r="A1503" s="8" t="n">
        <v>1502</v>
      </c>
      <c r="B1503" s="8" t="s">
        <v>32</v>
      </c>
      <c r="C1503" s="8" t="s">
        <v>28</v>
      </c>
      <c r="D1503" s="9" t="n">
        <v>44284</v>
      </c>
      <c r="E1503" s="9" t="str">
        <f aca="false">TEXT(D1503,"MMM")</f>
        <v>mar</v>
      </c>
      <c r="F1503" s="10" t="n">
        <v>8375.32</v>
      </c>
      <c r="G1503" s="8" t="s">
        <v>11</v>
      </c>
      <c r="H1503" s="8" t="s">
        <v>22</v>
      </c>
      <c r="I1503" s="11" t="s">
        <v>23</v>
      </c>
      <c r="J1503" s="8" t="s">
        <v>24</v>
      </c>
    </row>
    <row r="1504" customFormat="false" ht="14.25" hidden="false" customHeight="false" outlineLevel="0" collapsed="false">
      <c r="A1504" s="8" t="n">
        <v>1503</v>
      </c>
      <c r="B1504" s="8" t="s">
        <v>39</v>
      </c>
      <c r="C1504" s="8" t="s">
        <v>28</v>
      </c>
      <c r="D1504" s="9" t="n">
        <v>44284</v>
      </c>
      <c r="E1504" s="9" t="str">
        <f aca="false">TEXT(D1504,"MMM")</f>
        <v>mar</v>
      </c>
      <c r="F1504" s="10" t="n">
        <v>8375.34</v>
      </c>
      <c r="G1504" s="8" t="s">
        <v>11</v>
      </c>
      <c r="H1504" s="8" t="s">
        <v>17</v>
      </c>
      <c r="I1504" s="11" t="s">
        <v>18</v>
      </c>
      <c r="J1504" s="8" t="s">
        <v>24</v>
      </c>
    </row>
    <row r="1505" customFormat="false" ht="14.25" hidden="false" customHeight="false" outlineLevel="0" collapsed="false">
      <c r="A1505" s="8" t="n">
        <v>1504</v>
      </c>
      <c r="B1505" s="8" t="s">
        <v>49</v>
      </c>
      <c r="C1505" s="8" t="s">
        <v>16</v>
      </c>
      <c r="D1505" s="9" t="n">
        <v>44284</v>
      </c>
      <c r="E1505" s="9" t="str">
        <f aca="false">TEXT(D1505,"MMM")</f>
        <v>mar</v>
      </c>
      <c r="F1505" s="10" t="n">
        <v>8375.34</v>
      </c>
      <c r="G1505" s="8" t="s">
        <v>11</v>
      </c>
      <c r="H1505" s="8" t="s">
        <v>36</v>
      </c>
      <c r="I1505" s="11" t="s">
        <v>37</v>
      </c>
      <c r="J1505" s="8" t="s">
        <v>26</v>
      </c>
    </row>
    <row r="1506" customFormat="false" ht="14.25" hidden="false" customHeight="false" outlineLevel="0" collapsed="false">
      <c r="A1506" s="8" t="n">
        <v>1505</v>
      </c>
      <c r="B1506" s="8" t="s">
        <v>169</v>
      </c>
      <c r="C1506" s="8" t="s">
        <v>16</v>
      </c>
      <c r="D1506" s="9" t="n">
        <v>44286</v>
      </c>
      <c r="E1506" s="9" t="str">
        <f aca="false">TEXT(D1506,"MMM")</f>
        <v>mar</v>
      </c>
      <c r="F1506" s="10" t="n">
        <v>-258.27</v>
      </c>
      <c r="G1506" s="8" t="s">
        <v>34</v>
      </c>
      <c r="H1506" s="8" t="s">
        <v>17</v>
      </c>
      <c r="I1506" s="11" t="s">
        <v>18</v>
      </c>
      <c r="J1506" s="8" t="s">
        <v>26</v>
      </c>
    </row>
    <row r="1507" customFormat="false" ht="14.25" hidden="false" customHeight="false" outlineLevel="0" collapsed="false">
      <c r="A1507" s="8" t="n">
        <v>1506</v>
      </c>
      <c r="B1507" s="8" t="s">
        <v>170</v>
      </c>
      <c r="C1507" s="8" t="s">
        <v>16</v>
      </c>
      <c r="D1507" s="9" t="n">
        <v>44286</v>
      </c>
      <c r="E1507" s="9" t="str">
        <f aca="false">TEXT(D1507,"MMM")</f>
        <v>mar</v>
      </c>
      <c r="F1507" s="10" t="n">
        <v>-1286.22</v>
      </c>
      <c r="G1507" s="8" t="s">
        <v>34</v>
      </c>
      <c r="H1507" s="8" t="s">
        <v>22</v>
      </c>
      <c r="I1507" s="11" t="s">
        <v>23</v>
      </c>
      <c r="J1507" s="8" t="s">
        <v>14</v>
      </c>
    </row>
    <row r="1508" customFormat="false" ht="14.25" hidden="false" customHeight="false" outlineLevel="0" collapsed="false">
      <c r="A1508" s="8" t="n">
        <v>1507</v>
      </c>
      <c r="B1508" s="8" t="s">
        <v>52</v>
      </c>
      <c r="C1508" s="8" t="s">
        <v>16</v>
      </c>
      <c r="D1508" s="9" t="n">
        <v>44286</v>
      </c>
      <c r="E1508" s="9" t="str">
        <f aca="false">TEXT(D1508,"MMM")</f>
        <v>mar</v>
      </c>
      <c r="F1508" s="10" t="n">
        <v>-331.45</v>
      </c>
      <c r="G1508" s="8" t="s">
        <v>34</v>
      </c>
      <c r="H1508" s="8" t="s">
        <v>17</v>
      </c>
      <c r="I1508" s="11" t="s">
        <v>18</v>
      </c>
      <c r="J1508" s="8" t="s">
        <v>26</v>
      </c>
    </row>
    <row r="1509" customFormat="false" ht="14.25" hidden="false" customHeight="false" outlineLevel="0" collapsed="false">
      <c r="A1509" s="8" t="n">
        <v>1508</v>
      </c>
      <c r="B1509" s="8" t="s">
        <v>52</v>
      </c>
      <c r="C1509" s="8" t="s">
        <v>28</v>
      </c>
      <c r="D1509" s="9" t="n">
        <v>44286</v>
      </c>
      <c r="E1509" s="9" t="str">
        <f aca="false">TEXT(D1509,"MMM")</f>
        <v>mar</v>
      </c>
      <c r="F1509" s="10" t="n">
        <v>-6856.54</v>
      </c>
      <c r="G1509" s="8" t="s">
        <v>34</v>
      </c>
      <c r="H1509" s="8" t="s">
        <v>17</v>
      </c>
      <c r="I1509" s="11" t="s">
        <v>18</v>
      </c>
      <c r="J1509" s="8" t="s">
        <v>14</v>
      </c>
    </row>
    <row r="1510" customFormat="false" ht="14.25" hidden="false" customHeight="false" outlineLevel="0" collapsed="false">
      <c r="A1510" s="8" t="n">
        <v>1509</v>
      </c>
      <c r="B1510" s="8" t="s">
        <v>117</v>
      </c>
      <c r="C1510" s="8" t="s">
        <v>28</v>
      </c>
      <c r="D1510" s="9" t="n">
        <v>44286</v>
      </c>
      <c r="E1510" s="9" t="str">
        <f aca="false">TEXT(D1510,"MMM")</f>
        <v>mar</v>
      </c>
      <c r="F1510" s="10" t="n">
        <v>-592.66</v>
      </c>
      <c r="G1510" s="8" t="s">
        <v>34</v>
      </c>
      <c r="H1510" s="8" t="s">
        <v>12</v>
      </c>
      <c r="I1510" s="11" t="s">
        <v>13</v>
      </c>
      <c r="J1510" s="8" t="s">
        <v>26</v>
      </c>
    </row>
    <row r="1511" customFormat="false" ht="14.25" hidden="false" customHeight="false" outlineLevel="0" collapsed="false">
      <c r="A1511" s="8" t="n">
        <v>1510</v>
      </c>
      <c r="B1511" s="8" t="s">
        <v>52</v>
      </c>
      <c r="C1511" s="8" t="s">
        <v>10</v>
      </c>
      <c r="D1511" s="9" t="n">
        <v>44286</v>
      </c>
      <c r="E1511" s="9" t="str">
        <f aca="false">TEXT(D1511,"MMM")</f>
        <v>mar</v>
      </c>
      <c r="F1511" s="10" t="n">
        <v>-1825.04</v>
      </c>
      <c r="G1511" s="8" t="s">
        <v>34</v>
      </c>
      <c r="H1511" s="8" t="s">
        <v>12</v>
      </c>
      <c r="I1511" s="11" t="s">
        <v>13</v>
      </c>
      <c r="J1511" s="8" t="s">
        <v>24</v>
      </c>
    </row>
    <row r="1512" customFormat="false" ht="14.25" hidden="false" customHeight="false" outlineLevel="0" collapsed="false">
      <c r="A1512" s="8" t="n">
        <v>1511</v>
      </c>
      <c r="B1512" s="8" t="s">
        <v>160</v>
      </c>
      <c r="C1512" s="8" t="s">
        <v>16</v>
      </c>
      <c r="D1512" s="9" t="n">
        <v>44288</v>
      </c>
      <c r="E1512" s="9" t="str">
        <f aca="false">TEXT(D1512,"MMM")</f>
        <v>abr</v>
      </c>
      <c r="F1512" s="10" t="n">
        <v>138158.59</v>
      </c>
      <c r="G1512" s="8" t="s">
        <v>11</v>
      </c>
      <c r="H1512" s="8" t="s">
        <v>17</v>
      </c>
      <c r="I1512" s="11" t="s">
        <v>18</v>
      </c>
      <c r="J1512" s="8" t="s">
        <v>26</v>
      </c>
    </row>
    <row r="1513" customFormat="false" ht="14.25" hidden="false" customHeight="false" outlineLevel="0" collapsed="false">
      <c r="A1513" s="8" t="n">
        <v>1512</v>
      </c>
      <c r="B1513" s="8" t="s">
        <v>157</v>
      </c>
      <c r="C1513" s="8" t="s">
        <v>10</v>
      </c>
      <c r="D1513" s="9" t="n">
        <v>44288</v>
      </c>
      <c r="E1513" s="9" t="str">
        <f aca="false">TEXT(D1513,"MMM")</f>
        <v>abr</v>
      </c>
      <c r="F1513" s="10" t="n">
        <v>16502.82</v>
      </c>
      <c r="G1513" s="8" t="s">
        <v>11</v>
      </c>
      <c r="H1513" s="8" t="s">
        <v>12</v>
      </c>
      <c r="I1513" s="11" t="s">
        <v>13</v>
      </c>
      <c r="J1513" s="8" t="s">
        <v>26</v>
      </c>
    </row>
    <row r="1514" customFormat="false" ht="14.25" hidden="false" customHeight="false" outlineLevel="0" collapsed="false">
      <c r="A1514" s="8" t="n">
        <v>1513</v>
      </c>
      <c r="B1514" s="8" t="s">
        <v>171</v>
      </c>
      <c r="C1514" s="8" t="s">
        <v>16</v>
      </c>
      <c r="D1514" s="9" t="n">
        <v>44288</v>
      </c>
      <c r="E1514" s="9" t="str">
        <f aca="false">TEXT(D1514,"MMM")</f>
        <v>abr</v>
      </c>
      <c r="F1514" s="10" t="n">
        <v>9623.57</v>
      </c>
      <c r="G1514" s="8" t="s">
        <v>11</v>
      </c>
      <c r="H1514" s="8" t="s">
        <v>17</v>
      </c>
      <c r="I1514" s="11" t="s">
        <v>18</v>
      </c>
      <c r="J1514" s="8" t="s">
        <v>24</v>
      </c>
    </row>
    <row r="1515" customFormat="false" ht="14.25" hidden="false" customHeight="false" outlineLevel="0" collapsed="false">
      <c r="A1515" s="8" t="n">
        <v>1514</v>
      </c>
      <c r="B1515" s="8" t="s">
        <v>172</v>
      </c>
      <c r="C1515" s="8" t="s">
        <v>21</v>
      </c>
      <c r="D1515" s="9" t="n">
        <v>44288</v>
      </c>
      <c r="E1515" s="9" t="str">
        <f aca="false">TEXT(D1515,"MMM")</f>
        <v>abr</v>
      </c>
      <c r="F1515" s="10" t="n">
        <v>141318.44</v>
      </c>
      <c r="G1515" s="8" t="s">
        <v>11</v>
      </c>
      <c r="H1515" s="8" t="s">
        <v>17</v>
      </c>
      <c r="I1515" s="11" t="s">
        <v>18</v>
      </c>
      <c r="J1515" s="8" t="s">
        <v>26</v>
      </c>
    </row>
    <row r="1516" customFormat="false" ht="14.25" hidden="false" customHeight="false" outlineLevel="0" collapsed="false">
      <c r="A1516" s="8" t="n">
        <v>1515</v>
      </c>
      <c r="B1516" s="8" t="s">
        <v>85</v>
      </c>
      <c r="C1516" s="8" t="s">
        <v>10</v>
      </c>
      <c r="D1516" s="9" t="n">
        <v>44288</v>
      </c>
      <c r="E1516" s="9" t="str">
        <f aca="false">TEXT(D1516,"MMM")</f>
        <v>abr</v>
      </c>
      <c r="F1516" s="10" t="n">
        <v>24086.49</v>
      </c>
      <c r="G1516" s="8" t="s">
        <v>11</v>
      </c>
      <c r="H1516" s="8" t="s">
        <v>12</v>
      </c>
      <c r="I1516" s="11" t="s">
        <v>13</v>
      </c>
      <c r="J1516" s="8" t="s">
        <v>19</v>
      </c>
    </row>
    <row r="1517" customFormat="false" ht="14.25" hidden="false" customHeight="false" outlineLevel="0" collapsed="false">
      <c r="A1517" s="8" t="n">
        <v>1516</v>
      </c>
      <c r="B1517" s="8" t="s">
        <v>145</v>
      </c>
      <c r="C1517" s="8" t="s">
        <v>21</v>
      </c>
      <c r="D1517" s="9" t="n">
        <v>44288</v>
      </c>
      <c r="E1517" s="9" t="str">
        <f aca="false">TEXT(D1517,"MMM")</f>
        <v>abr</v>
      </c>
      <c r="F1517" s="10" t="n">
        <v>50662.17</v>
      </c>
      <c r="G1517" s="8" t="s">
        <v>11</v>
      </c>
      <c r="H1517" s="8" t="s">
        <v>17</v>
      </c>
      <c r="I1517" s="11" t="s">
        <v>18</v>
      </c>
      <c r="J1517" s="8" t="s">
        <v>14</v>
      </c>
    </row>
    <row r="1518" customFormat="false" ht="14.25" hidden="false" customHeight="false" outlineLevel="0" collapsed="false">
      <c r="A1518" s="8" t="n">
        <v>1517</v>
      </c>
      <c r="B1518" s="8" t="s">
        <v>173</v>
      </c>
      <c r="C1518" s="8" t="s">
        <v>10</v>
      </c>
      <c r="D1518" s="9" t="n">
        <v>44289</v>
      </c>
      <c r="E1518" s="9" t="str">
        <f aca="false">TEXT(D1518,"MMM")</f>
        <v>abr</v>
      </c>
      <c r="F1518" s="10" t="n">
        <v>9171.23</v>
      </c>
      <c r="G1518" s="8" t="s">
        <v>11</v>
      </c>
      <c r="H1518" s="8" t="s">
        <v>12</v>
      </c>
      <c r="I1518" s="11" t="s">
        <v>13</v>
      </c>
      <c r="J1518" s="8" t="s">
        <v>14</v>
      </c>
    </row>
    <row r="1519" customFormat="false" ht="14.25" hidden="false" customHeight="false" outlineLevel="0" collapsed="false">
      <c r="A1519" s="8" t="n">
        <v>1518</v>
      </c>
      <c r="B1519" s="8" t="s">
        <v>174</v>
      </c>
      <c r="C1519" s="8" t="s">
        <v>28</v>
      </c>
      <c r="D1519" s="9" t="n">
        <v>44289</v>
      </c>
      <c r="E1519" s="9" t="str">
        <f aca="false">TEXT(D1519,"MMM")</f>
        <v>abr</v>
      </c>
      <c r="F1519" s="10" t="n">
        <v>51670.45</v>
      </c>
      <c r="G1519" s="8" t="s">
        <v>11</v>
      </c>
      <c r="H1519" s="8" t="s">
        <v>12</v>
      </c>
      <c r="I1519" s="11" t="s">
        <v>13</v>
      </c>
      <c r="J1519" s="8" t="s">
        <v>14</v>
      </c>
    </row>
    <row r="1520" customFormat="false" ht="14.25" hidden="false" customHeight="false" outlineLevel="0" collapsed="false">
      <c r="A1520" s="8" t="n">
        <v>1519</v>
      </c>
      <c r="B1520" s="8" t="s">
        <v>175</v>
      </c>
      <c r="C1520" s="8" t="s">
        <v>28</v>
      </c>
      <c r="D1520" s="9" t="n">
        <v>44290</v>
      </c>
      <c r="E1520" s="9" t="str">
        <f aca="false">TEXT(D1520,"MMM")</f>
        <v>abr</v>
      </c>
      <c r="F1520" s="10" t="n">
        <v>25057.32</v>
      </c>
      <c r="G1520" s="8" t="s">
        <v>11</v>
      </c>
      <c r="H1520" s="8" t="s">
        <v>12</v>
      </c>
      <c r="I1520" s="11" t="s">
        <v>13</v>
      </c>
      <c r="J1520" s="8" t="s">
        <v>26</v>
      </c>
    </row>
    <row r="1521" customFormat="false" ht="14.25" hidden="false" customHeight="false" outlineLevel="0" collapsed="false">
      <c r="A1521" s="8" t="n">
        <v>1520</v>
      </c>
      <c r="B1521" s="8" t="s">
        <v>51</v>
      </c>
      <c r="C1521" s="8" t="s">
        <v>21</v>
      </c>
      <c r="D1521" s="9" t="n">
        <v>44290</v>
      </c>
      <c r="E1521" s="9" t="str">
        <f aca="false">TEXT(D1521,"MMM")</f>
        <v>abr</v>
      </c>
      <c r="F1521" s="10" t="n">
        <v>9171.23</v>
      </c>
      <c r="G1521" s="8" t="s">
        <v>11</v>
      </c>
      <c r="H1521" s="8" t="s">
        <v>12</v>
      </c>
      <c r="I1521" s="11" t="s">
        <v>13</v>
      </c>
      <c r="J1521" s="8" t="s">
        <v>14</v>
      </c>
    </row>
    <row r="1522" customFormat="false" ht="14.25" hidden="false" customHeight="false" outlineLevel="0" collapsed="false">
      <c r="A1522" s="8" t="n">
        <v>1521</v>
      </c>
      <c r="B1522" s="8" t="s">
        <v>50</v>
      </c>
      <c r="C1522" s="8" t="s">
        <v>21</v>
      </c>
      <c r="D1522" s="9" t="n">
        <v>44292</v>
      </c>
      <c r="E1522" s="9" t="str">
        <f aca="false">TEXT(D1522,"MMM")</f>
        <v>abr</v>
      </c>
      <c r="F1522" s="10" t="n">
        <v>9171.23</v>
      </c>
      <c r="G1522" s="8" t="s">
        <v>11</v>
      </c>
      <c r="H1522" s="8" t="s">
        <v>30</v>
      </c>
      <c r="I1522" s="11" t="s">
        <v>31</v>
      </c>
      <c r="J1522" s="8" t="s">
        <v>26</v>
      </c>
    </row>
    <row r="1523" customFormat="false" ht="14.25" hidden="false" customHeight="false" outlineLevel="0" collapsed="false">
      <c r="A1523" s="8" t="n">
        <v>1522</v>
      </c>
      <c r="B1523" s="8" t="s">
        <v>85</v>
      </c>
      <c r="C1523" s="8" t="s">
        <v>10</v>
      </c>
      <c r="D1523" s="9" t="n">
        <v>44292</v>
      </c>
      <c r="E1523" s="9" t="str">
        <f aca="false">TEXT(D1523,"MMM")</f>
        <v>abr</v>
      </c>
      <c r="F1523" s="10" t="n">
        <v>43077.48</v>
      </c>
      <c r="G1523" s="8" t="s">
        <v>11</v>
      </c>
      <c r="H1523" s="8" t="s">
        <v>12</v>
      </c>
      <c r="I1523" s="11" t="s">
        <v>13</v>
      </c>
      <c r="J1523" s="8" t="s">
        <v>26</v>
      </c>
    </row>
    <row r="1524" customFormat="false" ht="14.25" hidden="false" customHeight="false" outlineLevel="0" collapsed="false">
      <c r="A1524" s="8" t="n">
        <v>1523</v>
      </c>
      <c r="B1524" s="8" t="s">
        <v>54</v>
      </c>
      <c r="C1524" s="8" t="s">
        <v>21</v>
      </c>
      <c r="D1524" s="9" t="n">
        <v>44292</v>
      </c>
      <c r="E1524" s="9" t="str">
        <f aca="false">TEXT(D1524,"MMM")</f>
        <v>abr</v>
      </c>
      <c r="F1524" s="10" t="n">
        <v>22028.43</v>
      </c>
      <c r="G1524" s="8" t="s">
        <v>11</v>
      </c>
      <c r="H1524" s="8" t="s">
        <v>36</v>
      </c>
      <c r="I1524" s="11" t="s">
        <v>37</v>
      </c>
      <c r="J1524" s="8" t="s">
        <v>26</v>
      </c>
    </row>
    <row r="1525" customFormat="false" ht="14.25" hidden="false" customHeight="false" outlineLevel="0" collapsed="false">
      <c r="A1525" s="8" t="n">
        <v>1524</v>
      </c>
      <c r="B1525" s="8" t="s">
        <v>40</v>
      </c>
      <c r="C1525" s="8" t="s">
        <v>21</v>
      </c>
      <c r="D1525" s="9" t="n">
        <v>44292</v>
      </c>
      <c r="E1525" s="9" t="str">
        <f aca="false">TEXT(D1525,"MMM")</f>
        <v>abr</v>
      </c>
      <c r="F1525" s="10" t="n">
        <v>9171.23</v>
      </c>
      <c r="G1525" s="8" t="s">
        <v>11</v>
      </c>
      <c r="H1525" s="8" t="s">
        <v>12</v>
      </c>
      <c r="I1525" s="11" t="s">
        <v>13</v>
      </c>
      <c r="J1525" s="8" t="s">
        <v>26</v>
      </c>
    </row>
    <row r="1526" customFormat="false" ht="14.25" hidden="false" customHeight="false" outlineLevel="0" collapsed="false">
      <c r="A1526" s="8" t="n">
        <v>1525</v>
      </c>
      <c r="B1526" s="8" t="s">
        <v>54</v>
      </c>
      <c r="C1526" s="8" t="s">
        <v>16</v>
      </c>
      <c r="D1526" s="9" t="n">
        <v>44292</v>
      </c>
      <c r="E1526" s="9" t="str">
        <f aca="false">TEXT(D1526,"MMM")</f>
        <v>abr</v>
      </c>
      <c r="F1526" s="10" t="n">
        <v>9171.23</v>
      </c>
      <c r="G1526" s="8" t="s">
        <v>11</v>
      </c>
      <c r="H1526" s="8" t="s">
        <v>22</v>
      </c>
      <c r="I1526" s="11" t="s">
        <v>23</v>
      </c>
      <c r="J1526" s="8" t="s">
        <v>26</v>
      </c>
    </row>
    <row r="1527" customFormat="false" ht="14.25" hidden="false" customHeight="false" outlineLevel="0" collapsed="false">
      <c r="A1527" s="8" t="n">
        <v>1526</v>
      </c>
      <c r="B1527" s="8" t="s">
        <v>15</v>
      </c>
      <c r="C1527" s="8" t="s">
        <v>16</v>
      </c>
      <c r="D1527" s="9" t="n">
        <v>44292</v>
      </c>
      <c r="E1527" s="9" t="str">
        <f aca="false">TEXT(D1527,"MMM")</f>
        <v>abr</v>
      </c>
      <c r="F1527" s="10" t="n">
        <v>9171.23</v>
      </c>
      <c r="G1527" s="8" t="s">
        <v>11</v>
      </c>
      <c r="H1527" s="8" t="s">
        <v>12</v>
      </c>
      <c r="I1527" s="11" t="s">
        <v>13</v>
      </c>
      <c r="J1527" s="8" t="s">
        <v>19</v>
      </c>
    </row>
    <row r="1528" customFormat="false" ht="14.25" hidden="false" customHeight="false" outlineLevel="0" collapsed="false">
      <c r="A1528" s="8" t="n">
        <v>1527</v>
      </c>
      <c r="B1528" s="8" t="s">
        <v>15</v>
      </c>
      <c r="C1528" s="8" t="s">
        <v>10</v>
      </c>
      <c r="D1528" s="9" t="n">
        <v>44292</v>
      </c>
      <c r="E1528" s="9" t="str">
        <f aca="false">TEXT(D1528,"MMM")</f>
        <v>abr</v>
      </c>
      <c r="F1528" s="10" t="n">
        <v>9171.23</v>
      </c>
      <c r="G1528" s="8" t="s">
        <v>11</v>
      </c>
      <c r="H1528" s="8" t="s">
        <v>36</v>
      </c>
      <c r="I1528" s="11" t="s">
        <v>37</v>
      </c>
      <c r="J1528" s="8" t="s">
        <v>26</v>
      </c>
    </row>
    <row r="1529" customFormat="false" ht="14.25" hidden="false" customHeight="false" outlineLevel="0" collapsed="false">
      <c r="A1529" s="8" t="n">
        <v>1528</v>
      </c>
      <c r="B1529" s="8" t="s">
        <v>15</v>
      </c>
      <c r="C1529" s="8" t="s">
        <v>10</v>
      </c>
      <c r="D1529" s="9" t="n">
        <v>44292</v>
      </c>
      <c r="E1529" s="9" t="str">
        <f aca="false">TEXT(D1529,"MMM")</f>
        <v>abr</v>
      </c>
      <c r="F1529" s="10" t="n">
        <v>9171.23</v>
      </c>
      <c r="G1529" s="8" t="s">
        <v>11</v>
      </c>
      <c r="H1529" s="8" t="s">
        <v>36</v>
      </c>
      <c r="I1529" s="11" t="s">
        <v>37</v>
      </c>
      <c r="J1529" s="8" t="s">
        <v>19</v>
      </c>
    </row>
    <row r="1530" customFormat="false" ht="14.25" hidden="false" customHeight="false" outlineLevel="0" collapsed="false">
      <c r="A1530" s="8" t="n">
        <v>1529</v>
      </c>
      <c r="B1530" s="8" t="s">
        <v>73</v>
      </c>
      <c r="C1530" s="8" t="s">
        <v>10</v>
      </c>
      <c r="D1530" s="9" t="n">
        <v>44292</v>
      </c>
      <c r="E1530" s="9" t="str">
        <f aca="false">TEXT(D1530,"MMM")</f>
        <v>abr</v>
      </c>
      <c r="F1530" s="10" t="n">
        <v>9171.23</v>
      </c>
      <c r="G1530" s="8" t="s">
        <v>11</v>
      </c>
      <c r="H1530" s="8" t="s">
        <v>12</v>
      </c>
      <c r="I1530" s="11" t="s">
        <v>13</v>
      </c>
      <c r="J1530" s="8" t="s">
        <v>14</v>
      </c>
    </row>
    <row r="1531" customFormat="false" ht="14.25" hidden="false" customHeight="false" outlineLevel="0" collapsed="false">
      <c r="A1531" s="8" t="n">
        <v>1530</v>
      </c>
      <c r="B1531" s="8" t="s">
        <v>49</v>
      </c>
      <c r="C1531" s="8" t="s">
        <v>16</v>
      </c>
      <c r="D1531" s="9" t="n">
        <v>44292</v>
      </c>
      <c r="E1531" s="9" t="str">
        <f aca="false">TEXT(D1531,"MMM")</f>
        <v>abr</v>
      </c>
      <c r="F1531" s="10" t="n">
        <v>-328975.5</v>
      </c>
      <c r="G1531" s="8" t="s">
        <v>34</v>
      </c>
      <c r="H1531" s="8" t="s">
        <v>17</v>
      </c>
      <c r="I1531" s="11" t="s">
        <v>18</v>
      </c>
      <c r="J1531" s="8" t="s">
        <v>14</v>
      </c>
    </row>
    <row r="1532" customFormat="false" ht="14.25" hidden="false" customHeight="false" outlineLevel="0" collapsed="false">
      <c r="A1532" s="8" t="n">
        <v>1531</v>
      </c>
      <c r="B1532" s="8" t="s">
        <v>73</v>
      </c>
      <c r="C1532" s="8" t="s">
        <v>16</v>
      </c>
      <c r="D1532" s="9" t="n">
        <v>44292</v>
      </c>
      <c r="E1532" s="9" t="str">
        <f aca="false">TEXT(D1532,"MMM")</f>
        <v>abr</v>
      </c>
      <c r="F1532" s="10" t="n">
        <v>-115453.8</v>
      </c>
      <c r="G1532" s="8" t="s">
        <v>34</v>
      </c>
      <c r="H1532" s="8" t="s">
        <v>12</v>
      </c>
      <c r="I1532" s="11" t="s">
        <v>13</v>
      </c>
      <c r="J1532" s="8" t="s">
        <v>14</v>
      </c>
    </row>
    <row r="1533" customFormat="false" ht="14.25" hidden="false" customHeight="false" outlineLevel="0" collapsed="false">
      <c r="A1533" s="8" t="n">
        <v>1532</v>
      </c>
      <c r="B1533" s="8" t="s">
        <v>73</v>
      </c>
      <c r="C1533" s="8" t="s">
        <v>16</v>
      </c>
      <c r="D1533" s="9" t="n">
        <v>44292</v>
      </c>
      <c r="E1533" s="9" t="str">
        <f aca="false">TEXT(D1533,"MMM")</f>
        <v>abr</v>
      </c>
      <c r="F1533" s="10" t="n">
        <v>-115920.56</v>
      </c>
      <c r="G1533" s="8" t="s">
        <v>34</v>
      </c>
      <c r="H1533" s="8" t="s">
        <v>17</v>
      </c>
      <c r="I1533" s="11" t="s">
        <v>18</v>
      </c>
      <c r="J1533" s="8" t="s">
        <v>14</v>
      </c>
    </row>
    <row r="1534" customFormat="false" ht="14.25" hidden="false" customHeight="false" outlineLevel="0" collapsed="false">
      <c r="A1534" s="8" t="n">
        <v>1533</v>
      </c>
      <c r="B1534" s="8" t="s">
        <v>44</v>
      </c>
      <c r="C1534" s="8" t="s">
        <v>10</v>
      </c>
      <c r="D1534" s="9" t="n">
        <v>44295</v>
      </c>
      <c r="E1534" s="9" t="str">
        <f aca="false">TEXT(D1534,"MMM")</f>
        <v>abr</v>
      </c>
      <c r="F1534" s="10" t="n">
        <v>-125585.46</v>
      </c>
      <c r="G1534" s="8" t="s">
        <v>34</v>
      </c>
      <c r="H1534" s="8" t="s">
        <v>12</v>
      </c>
      <c r="I1534" s="11" t="s">
        <v>13</v>
      </c>
      <c r="J1534" s="8" t="s">
        <v>24</v>
      </c>
    </row>
    <row r="1535" customFormat="false" ht="14.25" hidden="false" customHeight="false" outlineLevel="0" collapsed="false">
      <c r="A1535" s="8" t="n">
        <v>1534</v>
      </c>
      <c r="B1535" s="8" t="s">
        <v>44</v>
      </c>
      <c r="C1535" s="8" t="s">
        <v>28</v>
      </c>
      <c r="D1535" s="9" t="n">
        <v>44295</v>
      </c>
      <c r="E1535" s="9" t="str">
        <f aca="false">TEXT(D1535,"MMM")</f>
        <v>abr</v>
      </c>
      <c r="F1535" s="10" t="n">
        <v>-219340.8</v>
      </c>
      <c r="G1535" s="8" t="s">
        <v>34</v>
      </c>
      <c r="H1535" s="8" t="s">
        <v>12</v>
      </c>
      <c r="I1535" s="11" t="s">
        <v>13</v>
      </c>
      <c r="J1535" s="8" t="s">
        <v>19</v>
      </c>
    </row>
    <row r="1536" customFormat="false" ht="14.25" hidden="false" customHeight="false" outlineLevel="0" collapsed="false">
      <c r="A1536" s="8" t="n">
        <v>1535</v>
      </c>
      <c r="B1536" s="8" t="s">
        <v>57</v>
      </c>
      <c r="C1536" s="8" t="s">
        <v>28</v>
      </c>
      <c r="D1536" s="9" t="n">
        <v>44295</v>
      </c>
      <c r="E1536" s="9" t="str">
        <f aca="false">TEXT(D1536,"MMM")</f>
        <v>abr</v>
      </c>
      <c r="F1536" s="10" t="n">
        <v>-249995.2</v>
      </c>
      <c r="G1536" s="8" t="s">
        <v>34</v>
      </c>
      <c r="H1536" s="8" t="s">
        <v>17</v>
      </c>
      <c r="I1536" s="11" t="s">
        <v>18</v>
      </c>
      <c r="J1536" s="8" t="s">
        <v>24</v>
      </c>
    </row>
    <row r="1537" customFormat="false" ht="14.25" hidden="false" customHeight="false" outlineLevel="0" collapsed="false">
      <c r="A1537" s="8" t="n">
        <v>1536</v>
      </c>
      <c r="B1537" s="8" t="s">
        <v>45</v>
      </c>
      <c r="C1537" s="8" t="s">
        <v>21</v>
      </c>
      <c r="D1537" s="9" t="n">
        <v>44295</v>
      </c>
      <c r="E1537" s="9" t="str">
        <f aca="false">TEXT(D1537,"MMM")</f>
        <v>abr</v>
      </c>
      <c r="F1537" s="10" t="n">
        <v>-252399</v>
      </c>
      <c r="G1537" s="8" t="s">
        <v>34</v>
      </c>
      <c r="H1537" s="8" t="s">
        <v>12</v>
      </c>
      <c r="I1537" s="11" t="s">
        <v>13</v>
      </c>
      <c r="J1537" s="8" t="s">
        <v>19</v>
      </c>
    </row>
    <row r="1538" customFormat="false" ht="14.25" hidden="false" customHeight="false" outlineLevel="0" collapsed="false">
      <c r="A1538" s="8" t="n">
        <v>1537</v>
      </c>
      <c r="B1538" s="8" t="s">
        <v>39</v>
      </c>
      <c r="C1538" s="8" t="s">
        <v>16</v>
      </c>
      <c r="D1538" s="9" t="n">
        <v>44295</v>
      </c>
      <c r="E1538" s="9" t="str">
        <f aca="false">TEXT(D1538,"MMM")</f>
        <v>abr</v>
      </c>
      <c r="F1538" s="10" t="n">
        <v>59738</v>
      </c>
      <c r="G1538" s="8" t="s">
        <v>11</v>
      </c>
      <c r="H1538" s="8" t="s">
        <v>36</v>
      </c>
      <c r="I1538" s="11" t="s">
        <v>37</v>
      </c>
      <c r="J1538" s="8" t="s">
        <v>14</v>
      </c>
    </row>
    <row r="1539" customFormat="false" ht="14.25" hidden="false" customHeight="false" outlineLevel="0" collapsed="false">
      <c r="A1539" s="8" t="n">
        <v>1538</v>
      </c>
      <c r="B1539" s="8" t="s">
        <v>57</v>
      </c>
      <c r="C1539" s="8" t="s">
        <v>16</v>
      </c>
      <c r="D1539" s="9" t="n">
        <v>44295</v>
      </c>
      <c r="E1539" s="9" t="str">
        <f aca="false">TEXT(D1539,"MMM")</f>
        <v>abr</v>
      </c>
      <c r="F1539" s="10" t="n">
        <v>-593.6</v>
      </c>
      <c r="G1539" s="8" t="s">
        <v>34</v>
      </c>
      <c r="H1539" s="8" t="s">
        <v>12</v>
      </c>
      <c r="I1539" s="11" t="s">
        <v>13</v>
      </c>
      <c r="J1539" s="8" t="s">
        <v>14</v>
      </c>
    </row>
    <row r="1540" customFormat="false" ht="14.25" hidden="false" customHeight="false" outlineLevel="0" collapsed="false">
      <c r="A1540" s="8" t="n">
        <v>1539</v>
      </c>
      <c r="B1540" s="8" t="s">
        <v>45</v>
      </c>
      <c r="C1540" s="8" t="s">
        <v>10</v>
      </c>
      <c r="D1540" s="9" t="n">
        <v>44295</v>
      </c>
      <c r="E1540" s="9" t="str">
        <f aca="false">TEXT(D1540,"MMM")</f>
        <v>abr</v>
      </c>
      <c r="F1540" s="10" t="n">
        <v>-717.61</v>
      </c>
      <c r="G1540" s="8" t="s">
        <v>34</v>
      </c>
      <c r="H1540" s="8" t="s">
        <v>12</v>
      </c>
      <c r="I1540" s="11" t="s">
        <v>13</v>
      </c>
      <c r="J1540" s="8" t="s">
        <v>26</v>
      </c>
    </row>
    <row r="1541" customFormat="false" ht="14.25" hidden="false" customHeight="false" outlineLevel="0" collapsed="false">
      <c r="A1541" s="8" t="n">
        <v>1540</v>
      </c>
      <c r="B1541" s="8" t="s">
        <v>149</v>
      </c>
      <c r="C1541" s="8" t="s">
        <v>16</v>
      </c>
      <c r="D1541" s="9" t="n">
        <v>44296</v>
      </c>
      <c r="E1541" s="9" t="str">
        <f aca="false">TEXT(D1541,"MMM")</f>
        <v>abr</v>
      </c>
      <c r="F1541" s="10" t="n">
        <v>-13584.17</v>
      </c>
      <c r="G1541" s="8" t="s">
        <v>34</v>
      </c>
      <c r="H1541" s="8" t="s">
        <v>12</v>
      </c>
      <c r="I1541" s="11" t="s">
        <v>13</v>
      </c>
      <c r="J1541" s="8" t="s">
        <v>14</v>
      </c>
    </row>
    <row r="1542" customFormat="false" ht="14.25" hidden="false" customHeight="false" outlineLevel="0" collapsed="false">
      <c r="A1542" s="8" t="n">
        <v>1541</v>
      </c>
      <c r="B1542" s="8" t="s">
        <v>145</v>
      </c>
      <c r="C1542" s="8" t="s">
        <v>28</v>
      </c>
      <c r="D1542" s="9" t="n">
        <v>44296</v>
      </c>
      <c r="E1542" s="9" t="str">
        <f aca="false">TEXT(D1542,"MMM")</f>
        <v>abr</v>
      </c>
      <c r="F1542" s="10" t="n">
        <v>31493.7</v>
      </c>
      <c r="G1542" s="8" t="s">
        <v>11</v>
      </c>
      <c r="H1542" s="8" t="s">
        <v>12</v>
      </c>
      <c r="I1542" s="11" t="s">
        <v>13</v>
      </c>
      <c r="J1542" s="8" t="s">
        <v>24</v>
      </c>
    </row>
    <row r="1543" customFormat="false" ht="14.25" hidden="false" customHeight="false" outlineLevel="0" collapsed="false">
      <c r="A1543" s="8" t="n">
        <v>1542</v>
      </c>
      <c r="B1543" s="8" t="s">
        <v>85</v>
      </c>
      <c r="C1543" s="8" t="s">
        <v>10</v>
      </c>
      <c r="D1543" s="9" t="n">
        <v>44296</v>
      </c>
      <c r="E1543" s="9" t="str">
        <f aca="false">TEXT(D1543,"MMM")</f>
        <v>abr</v>
      </c>
      <c r="F1543" s="10" t="n">
        <v>31229.13</v>
      </c>
      <c r="G1543" s="8" t="s">
        <v>11</v>
      </c>
      <c r="H1543" s="8" t="s">
        <v>17</v>
      </c>
      <c r="I1543" s="11" t="s">
        <v>18</v>
      </c>
      <c r="J1543" s="8" t="s">
        <v>14</v>
      </c>
    </row>
    <row r="1544" customFormat="false" ht="14.25" hidden="false" customHeight="false" outlineLevel="0" collapsed="false">
      <c r="A1544" s="8" t="n">
        <v>1543</v>
      </c>
      <c r="B1544" s="8" t="s">
        <v>40</v>
      </c>
      <c r="C1544" s="8" t="s">
        <v>28</v>
      </c>
      <c r="D1544" s="9" t="n">
        <v>44296</v>
      </c>
      <c r="E1544" s="9" t="str">
        <f aca="false">TEXT(D1544,"MMM")</f>
        <v>abr</v>
      </c>
      <c r="F1544" s="10" t="n">
        <v>31847.52</v>
      </c>
      <c r="G1544" s="8" t="s">
        <v>11</v>
      </c>
      <c r="H1544" s="8" t="s">
        <v>17</v>
      </c>
      <c r="I1544" s="11" t="s">
        <v>18</v>
      </c>
      <c r="J1544" s="8" t="s">
        <v>14</v>
      </c>
    </row>
    <row r="1545" customFormat="false" ht="14.25" hidden="false" customHeight="false" outlineLevel="0" collapsed="false">
      <c r="A1545" s="8" t="n">
        <v>1544</v>
      </c>
      <c r="B1545" s="8" t="s">
        <v>158</v>
      </c>
      <c r="C1545" s="8" t="s">
        <v>16</v>
      </c>
      <c r="D1545" s="9" t="n">
        <v>44298</v>
      </c>
      <c r="E1545" s="9" t="str">
        <f aca="false">TEXT(D1545,"MMM")</f>
        <v>abr</v>
      </c>
      <c r="F1545" s="10" t="n">
        <v>34877.89</v>
      </c>
      <c r="G1545" s="8" t="s">
        <v>11</v>
      </c>
      <c r="H1545" s="8" t="s">
        <v>17</v>
      </c>
      <c r="I1545" s="11" t="s">
        <v>18</v>
      </c>
      <c r="J1545" s="8" t="s">
        <v>26</v>
      </c>
    </row>
    <row r="1546" customFormat="false" ht="14.25" hidden="false" customHeight="false" outlineLevel="0" collapsed="false">
      <c r="A1546" s="8" t="n">
        <v>1545</v>
      </c>
      <c r="B1546" s="8" t="s">
        <v>86</v>
      </c>
      <c r="C1546" s="8" t="s">
        <v>10</v>
      </c>
      <c r="D1546" s="9" t="n">
        <v>44298</v>
      </c>
      <c r="E1546" s="9" t="str">
        <f aca="false">TEXT(D1546,"MMM")</f>
        <v>abr</v>
      </c>
      <c r="F1546" s="10" t="n">
        <v>-2100.95</v>
      </c>
      <c r="G1546" s="8" t="s">
        <v>34</v>
      </c>
      <c r="H1546" s="8" t="s">
        <v>30</v>
      </c>
      <c r="I1546" s="11" t="s">
        <v>31</v>
      </c>
      <c r="J1546" s="8" t="s">
        <v>14</v>
      </c>
    </row>
    <row r="1547" customFormat="false" ht="14.25" hidden="false" customHeight="false" outlineLevel="0" collapsed="false">
      <c r="A1547" s="8" t="n">
        <v>1546</v>
      </c>
      <c r="B1547" s="8" t="s">
        <v>150</v>
      </c>
      <c r="C1547" s="8" t="s">
        <v>28</v>
      </c>
      <c r="D1547" s="9" t="n">
        <v>44299</v>
      </c>
      <c r="E1547" s="9" t="str">
        <f aca="false">TEXT(D1547,"MMM")</f>
        <v>abr</v>
      </c>
      <c r="F1547" s="10" t="n">
        <v>-15106.46</v>
      </c>
      <c r="G1547" s="8" t="s">
        <v>34</v>
      </c>
      <c r="H1547" s="8" t="s">
        <v>12</v>
      </c>
      <c r="I1547" s="11" t="s">
        <v>13</v>
      </c>
      <c r="J1547" s="8" t="s">
        <v>26</v>
      </c>
    </row>
    <row r="1548" customFormat="false" ht="14.25" hidden="false" customHeight="false" outlineLevel="0" collapsed="false">
      <c r="A1548" s="8" t="n">
        <v>1547</v>
      </c>
      <c r="B1548" s="8" t="s">
        <v>86</v>
      </c>
      <c r="C1548" s="8" t="s">
        <v>16</v>
      </c>
      <c r="D1548" s="9" t="n">
        <v>44299</v>
      </c>
      <c r="E1548" s="9" t="str">
        <f aca="false">TEXT(D1548,"MMM")</f>
        <v>abr</v>
      </c>
      <c r="F1548" s="10" t="n">
        <v>-13813.73</v>
      </c>
      <c r="G1548" s="8" t="s">
        <v>34</v>
      </c>
      <c r="H1548" s="8" t="s">
        <v>30</v>
      </c>
      <c r="I1548" s="11" t="s">
        <v>31</v>
      </c>
      <c r="J1548" s="8" t="s">
        <v>26</v>
      </c>
    </row>
    <row r="1549" customFormat="false" ht="14.25" hidden="false" customHeight="false" outlineLevel="0" collapsed="false">
      <c r="A1549" s="8" t="n">
        <v>1548</v>
      </c>
      <c r="B1549" s="8" t="s">
        <v>15</v>
      </c>
      <c r="C1549" s="8" t="s">
        <v>10</v>
      </c>
      <c r="D1549" s="9" t="n">
        <v>44299</v>
      </c>
      <c r="E1549" s="9" t="str">
        <f aca="false">TEXT(D1549,"MMM")</f>
        <v>abr</v>
      </c>
      <c r="F1549" s="10" t="n">
        <v>14791.51</v>
      </c>
      <c r="G1549" s="8" t="s">
        <v>11</v>
      </c>
      <c r="H1549" s="8" t="s">
        <v>12</v>
      </c>
      <c r="I1549" s="11" t="s">
        <v>13</v>
      </c>
      <c r="J1549" s="8" t="s">
        <v>26</v>
      </c>
    </row>
    <row r="1550" customFormat="false" ht="14.25" hidden="false" customHeight="false" outlineLevel="0" collapsed="false">
      <c r="A1550" s="8" t="n">
        <v>1549</v>
      </c>
      <c r="B1550" s="8" t="s">
        <v>39</v>
      </c>
      <c r="C1550" s="8" t="s">
        <v>21</v>
      </c>
      <c r="D1550" s="9" t="n">
        <v>44302</v>
      </c>
      <c r="E1550" s="9" t="str">
        <f aca="false">TEXT(D1550,"MMM")</f>
        <v>abr</v>
      </c>
      <c r="F1550" s="10" t="n">
        <v>-18103.75</v>
      </c>
      <c r="G1550" s="8" t="s">
        <v>34</v>
      </c>
      <c r="H1550" s="8" t="s">
        <v>17</v>
      </c>
      <c r="I1550" s="11" t="s">
        <v>18</v>
      </c>
      <c r="J1550" s="8" t="s">
        <v>26</v>
      </c>
    </row>
    <row r="1551" customFormat="false" ht="14.25" hidden="false" customHeight="false" outlineLevel="0" collapsed="false">
      <c r="A1551" s="8" t="n">
        <v>1550</v>
      </c>
      <c r="B1551" s="8" t="s">
        <v>49</v>
      </c>
      <c r="C1551" s="8" t="s">
        <v>21</v>
      </c>
      <c r="D1551" s="9" t="n">
        <v>44303</v>
      </c>
      <c r="E1551" s="9" t="str">
        <f aca="false">TEXT(D1551,"MMM")</f>
        <v>abr</v>
      </c>
      <c r="F1551" s="10" t="n">
        <v>-17556.95</v>
      </c>
      <c r="G1551" s="8" t="s">
        <v>34</v>
      </c>
      <c r="H1551" s="8" t="s">
        <v>12</v>
      </c>
      <c r="I1551" s="11" t="s">
        <v>13</v>
      </c>
      <c r="J1551" s="8" t="s">
        <v>14</v>
      </c>
    </row>
    <row r="1552" customFormat="false" ht="14.25" hidden="false" customHeight="false" outlineLevel="0" collapsed="false">
      <c r="A1552" s="8" t="n">
        <v>1551</v>
      </c>
      <c r="B1552" s="8" t="s">
        <v>20</v>
      </c>
      <c r="C1552" s="8" t="s">
        <v>21</v>
      </c>
      <c r="D1552" s="9" t="n">
        <v>44304</v>
      </c>
      <c r="E1552" s="9" t="str">
        <f aca="false">TEXT(D1552,"MMM")</f>
        <v>abr</v>
      </c>
      <c r="F1552" s="10" t="n">
        <v>-3139.26</v>
      </c>
      <c r="G1552" s="8" t="s">
        <v>34</v>
      </c>
      <c r="H1552" s="8" t="s">
        <v>22</v>
      </c>
      <c r="I1552" s="11" t="s">
        <v>23</v>
      </c>
      <c r="J1552" s="8" t="s">
        <v>14</v>
      </c>
    </row>
    <row r="1553" customFormat="false" ht="14.25" hidden="false" customHeight="false" outlineLevel="0" collapsed="false">
      <c r="A1553" s="8" t="n">
        <v>1552</v>
      </c>
      <c r="B1553" s="8" t="s">
        <v>20</v>
      </c>
      <c r="C1553" s="8" t="s">
        <v>28</v>
      </c>
      <c r="D1553" s="9" t="n">
        <v>44304</v>
      </c>
      <c r="E1553" s="9" t="str">
        <f aca="false">TEXT(D1553,"MMM")</f>
        <v>abr</v>
      </c>
      <c r="F1553" s="10" t="n">
        <v>-2624.16</v>
      </c>
      <c r="G1553" s="8" t="s">
        <v>34</v>
      </c>
      <c r="H1553" s="8" t="s">
        <v>12</v>
      </c>
      <c r="I1553" s="11" t="s">
        <v>13</v>
      </c>
      <c r="J1553" s="8" t="s">
        <v>14</v>
      </c>
    </row>
    <row r="1554" customFormat="false" ht="14.25" hidden="false" customHeight="false" outlineLevel="0" collapsed="false">
      <c r="A1554" s="8" t="n">
        <v>1553</v>
      </c>
      <c r="B1554" s="8" t="s">
        <v>20</v>
      </c>
      <c r="C1554" s="8" t="s">
        <v>21</v>
      </c>
      <c r="D1554" s="9" t="n">
        <v>44304</v>
      </c>
      <c r="E1554" s="9" t="str">
        <f aca="false">TEXT(D1554,"MMM")</f>
        <v>abr</v>
      </c>
      <c r="F1554" s="10" t="n">
        <v>14734.93</v>
      </c>
      <c r="G1554" s="8" t="s">
        <v>11</v>
      </c>
      <c r="H1554" s="8" t="s">
        <v>17</v>
      </c>
      <c r="I1554" s="11" t="s">
        <v>18</v>
      </c>
      <c r="J1554" s="8" t="s">
        <v>14</v>
      </c>
    </row>
    <row r="1555" customFormat="false" ht="14.25" hidden="false" customHeight="false" outlineLevel="0" collapsed="false">
      <c r="A1555" s="8" t="n">
        <v>1554</v>
      </c>
      <c r="B1555" s="8" t="s">
        <v>40</v>
      </c>
      <c r="C1555" s="8" t="s">
        <v>21</v>
      </c>
      <c r="D1555" s="9" t="n">
        <v>44305</v>
      </c>
      <c r="E1555" s="9" t="str">
        <f aca="false">TEXT(D1555,"MMM")</f>
        <v>abr</v>
      </c>
      <c r="F1555" s="10" t="n">
        <v>17634.19</v>
      </c>
      <c r="G1555" s="8" t="s">
        <v>11</v>
      </c>
      <c r="H1555" s="8" t="s">
        <v>36</v>
      </c>
      <c r="I1555" s="11" t="s">
        <v>37</v>
      </c>
      <c r="J1555" s="8" t="s">
        <v>26</v>
      </c>
    </row>
    <row r="1556" customFormat="false" ht="14.25" hidden="false" customHeight="false" outlineLevel="0" collapsed="false">
      <c r="A1556" s="8" t="n">
        <v>1555</v>
      </c>
      <c r="B1556" s="8" t="s">
        <v>144</v>
      </c>
      <c r="C1556" s="8" t="s">
        <v>16</v>
      </c>
      <c r="D1556" s="9" t="n">
        <v>44305</v>
      </c>
      <c r="E1556" s="9" t="str">
        <f aca="false">TEXT(D1556,"MMM")</f>
        <v>abr</v>
      </c>
      <c r="F1556" s="10" t="n">
        <v>152755.48</v>
      </c>
      <c r="G1556" s="8" t="s">
        <v>11</v>
      </c>
      <c r="H1556" s="8" t="s">
        <v>22</v>
      </c>
      <c r="I1556" s="11" t="s">
        <v>23</v>
      </c>
      <c r="J1556" s="8" t="s">
        <v>14</v>
      </c>
    </row>
    <row r="1557" customFormat="false" ht="14.25" hidden="false" customHeight="false" outlineLevel="0" collapsed="false">
      <c r="A1557" s="8" t="n">
        <v>1556</v>
      </c>
      <c r="B1557" s="8" t="s">
        <v>176</v>
      </c>
      <c r="C1557" s="8" t="s">
        <v>16</v>
      </c>
      <c r="D1557" s="9" t="n">
        <v>44306</v>
      </c>
      <c r="E1557" s="9" t="str">
        <f aca="false">TEXT(D1557,"MMM")</f>
        <v>abr</v>
      </c>
      <c r="F1557" s="10" t="n">
        <v>-18547.27</v>
      </c>
      <c r="G1557" s="8" t="s">
        <v>34</v>
      </c>
      <c r="H1557" s="8" t="s">
        <v>12</v>
      </c>
      <c r="I1557" s="11" t="s">
        <v>13</v>
      </c>
      <c r="J1557" s="8" t="s">
        <v>14</v>
      </c>
    </row>
    <row r="1558" customFormat="false" ht="14.25" hidden="false" customHeight="false" outlineLevel="0" collapsed="false">
      <c r="A1558" s="8" t="n">
        <v>1557</v>
      </c>
      <c r="B1558" s="8" t="s">
        <v>177</v>
      </c>
      <c r="C1558" s="8" t="s">
        <v>16</v>
      </c>
      <c r="D1558" s="9" t="n">
        <v>44306</v>
      </c>
      <c r="E1558" s="9" t="str">
        <f aca="false">TEXT(D1558,"MMM")</f>
        <v>abr</v>
      </c>
      <c r="F1558" s="10" t="n">
        <v>-17342.12</v>
      </c>
      <c r="G1558" s="8" t="s">
        <v>34</v>
      </c>
      <c r="H1558" s="8" t="s">
        <v>36</v>
      </c>
      <c r="I1558" s="11" t="s">
        <v>37</v>
      </c>
      <c r="J1558" s="8" t="s">
        <v>19</v>
      </c>
    </row>
    <row r="1559" customFormat="false" ht="14.25" hidden="false" customHeight="false" outlineLevel="0" collapsed="false">
      <c r="A1559" s="8" t="n">
        <v>1558</v>
      </c>
      <c r="B1559" s="8" t="s">
        <v>172</v>
      </c>
      <c r="C1559" s="8" t="s">
        <v>28</v>
      </c>
      <c r="D1559" s="9" t="n">
        <v>44306</v>
      </c>
      <c r="E1559" s="9" t="str">
        <f aca="false">TEXT(D1559,"MMM")</f>
        <v>abr</v>
      </c>
      <c r="F1559" s="10" t="n">
        <v>-6022.66</v>
      </c>
      <c r="G1559" s="8" t="s">
        <v>34</v>
      </c>
      <c r="H1559" s="8" t="s">
        <v>17</v>
      </c>
      <c r="I1559" s="11" t="s">
        <v>18</v>
      </c>
      <c r="J1559" s="8" t="s">
        <v>14</v>
      </c>
    </row>
    <row r="1560" customFormat="false" ht="14.25" hidden="false" customHeight="false" outlineLevel="0" collapsed="false">
      <c r="A1560" s="8" t="n">
        <v>1559</v>
      </c>
      <c r="B1560" s="8" t="s">
        <v>159</v>
      </c>
      <c r="C1560" s="8" t="s">
        <v>10</v>
      </c>
      <c r="D1560" s="9" t="n">
        <v>44306</v>
      </c>
      <c r="E1560" s="9" t="str">
        <f aca="false">TEXT(D1560,"MMM")</f>
        <v>abr</v>
      </c>
      <c r="F1560" s="10" t="n">
        <v>-812239.96</v>
      </c>
      <c r="G1560" s="8" t="s">
        <v>34</v>
      </c>
      <c r="H1560" s="8" t="s">
        <v>12</v>
      </c>
      <c r="I1560" s="11" t="s">
        <v>13</v>
      </c>
      <c r="J1560" s="8" t="s">
        <v>26</v>
      </c>
    </row>
    <row r="1561" customFormat="false" ht="14.25" hidden="false" customHeight="false" outlineLevel="0" collapsed="false">
      <c r="A1561" s="8" t="n">
        <v>1560</v>
      </c>
      <c r="B1561" s="8" t="s">
        <v>171</v>
      </c>
      <c r="C1561" s="8" t="s">
        <v>10</v>
      </c>
      <c r="D1561" s="9" t="n">
        <v>44306</v>
      </c>
      <c r="E1561" s="9" t="str">
        <f aca="false">TEXT(D1561,"MMM")</f>
        <v>abr</v>
      </c>
      <c r="F1561" s="10" t="n">
        <v>-5126.1</v>
      </c>
      <c r="G1561" s="8" t="s">
        <v>34</v>
      </c>
      <c r="H1561" s="8" t="s">
        <v>12</v>
      </c>
      <c r="I1561" s="11" t="s">
        <v>13</v>
      </c>
      <c r="J1561" s="8" t="s">
        <v>24</v>
      </c>
    </row>
    <row r="1562" customFormat="false" ht="14.25" hidden="false" customHeight="false" outlineLevel="0" collapsed="false">
      <c r="A1562" s="8" t="n">
        <v>1561</v>
      </c>
      <c r="B1562" s="8" t="s">
        <v>77</v>
      </c>
      <c r="C1562" s="8" t="s">
        <v>10</v>
      </c>
      <c r="D1562" s="9" t="n">
        <v>44306</v>
      </c>
      <c r="E1562" s="9" t="str">
        <f aca="false">TEXT(D1562,"MMM")</f>
        <v>abr</v>
      </c>
      <c r="F1562" s="10" t="n">
        <v>21862</v>
      </c>
      <c r="G1562" s="8" t="s">
        <v>11</v>
      </c>
      <c r="H1562" s="8" t="s">
        <v>12</v>
      </c>
      <c r="I1562" s="11" t="s">
        <v>13</v>
      </c>
      <c r="J1562" s="8" t="s">
        <v>26</v>
      </c>
    </row>
    <row r="1563" customFormat="false" ht="14.25" hidden="false" customHeight="false" outlineLevel="0" collapsed="false">
      <c r="A1563" s="8" t="n">
        <v>1562</v>
      </c>
      <c r="B1563" s="8" t="s">
        <v>15</v>
      </c>
      <c r="C1563" s="8" t="s">
        <v>21</v>
      </c>
      <c r="D1563" s="9" t="n">
        <v>44306</v>
      </c>
      <c r="E1563" s="9" t="str">
        <f aca="false">TEXT(D1563,"MMM")</f>
        <v>abr</v>
      </c>
      <c r="F1563" s="10" t="n">
        <v>6905.48</v>
      </c>
      <c r="G1563" s="8" t="s">
        <v>11</v>
      </c>
      <c r="H1563" s="8" t="s">
        <v>36</v>
      </c>
      <c r="I1563" s="11" t="s">
        <v>37</v>
      </c>
      <c r="J1563" s="8" t="s">
        <v>14</v>
      </c>
    </row>
    <row r="1564" customFormat="false" ht="14.25" hidden="false" customHeight="false" outlineLevel="0" collapsed="false">
      <c r="A1564" s="8" t="n">
        <v>1563</v>
      </c>
      <c r="B1564" s="8" t="s">
        <v>73</v>
      </c>
      <c r="C1564" s="8" t="s">
        <v>16</v>
      </c>
      <c r="D1564" s="9" t="n">
        <v>44306</v>
      </c>
      <c r="E1564" s="9" t="str">
        <f aca="false">TEXT(D1564,"MMM")</f>
        <v>abr</v>
      </c>
      <c r="F1564" s="10" t="n">
        <v>21862</v>
      </c>
      <c r="G1564" s="8" t="s">
        <v>11</v>
      </c>
      <c r="H1564" s="8" t="s">
        <v>12</v>
      </c>
      <c r="I1564" s="11" t="s">
        <v>13</v>
      </c>
      <c r="J1564" s="8" t="s">
        <v>26</v>
      </c>
    </row>
    <row r="1565" customFormat="false" ht="14.25" hidden="false" customHeight="false" outlineLevel="0" collapsed="false">
      <c r="A1565" s="8" t="n">
        <v>1564</v>
      </c>
      <c r="B1565" s="8" t="s">
        <v>73</v>
      </c>
      <c r="C1565" s="8" t="s">
        <v>28</v>
      </c>
      <c r="D1565" s="9" t="n">
        <v>44306</v>
      </c>
      <c r="E1565" s="9" t="str">
        <f aca="false">TEXT(D1565,"MMM")</f>
        <v>abr</v>
      </c>
      <c r="F1565" s="10" t="n">
        <v>21862</v>
      </c>
      <c r="G1565" s="8" t="s">
        <v>11</v>
      </c>
      <c r="H1565" s="8" t="s">
        <v>12</v>
      </c>
      <c r="I1565" s="11" t="s">
        <v>13</v>
      </c>
      <c r="J1565" s="8" t="s">
        <v>14</v>
      </c>
    </row>
    <row r="1566" customFormat="false" ht="14.25" hidden="false" customHeight="false" outlineLevel="0" collapsed="false">
      <c r="A1566" s="8" t="n">
        <v>1565</v>
      </c>
      <c r="B1566" s="8" t="s">
        <v>73</v>
      </c>
      <c r="C1566" s="8" t="s">
        <v>28</v>
      </c>
      <c r="D1566" s="9" t="n">
        <v>44306</v>
      </c>
      <c r="E1566" s="9" t="str">
        <f aca="false">TEXT(D1566,"MMM")</f>
        <v>abr</v>
      </c>
      <c r="F1566" s="10" t="n">
        <v>8029.89</v>
      </c>
      <c r="G1566" s="8" t="s">
        <v>11</v>
      </c>
      <c r="H1566" s="8" t="s">
        <v>17</v>
      </c>
      <c r="I1566" s="11" t="s">
        <v>18</v>
      </c>
      <c r="J1566" s="8" t="s">
        <v>14</v>
      </c>
    </row>
    <row r="1567" customFormat="false" ht="14.25" hidden="false" customHeight="false" outlineLevel="0" collapsed="false">
      <c r="A1567" s="8" t="n">
        <v>1566</v>
      </c>
      <c r="B1567" s="8" t="s">
        <v>159</v>
      </c>
      <c r="C1567" s="8" t="s">
        <v>28</v>
      </c>
      <c r="D1567" s="9" t="n">
        <v>44309</v>
      </c>
      <c r="E1567" s="9" t="str">
        <f aca="false">TEXT(D1567,"MMM")</f>
        <v>abr</v>
      </c>
      <c r="F1567" s="10" t="n">
        <v>7956.47</v>
      </c>
      <c r="G1567" s="8" t="s">
        <v>11</v>
      </c>
      <c r="H1567" s="8" t="s">
        <v>17</v>
      </c>
      <c r="I1567" s="11" t="s">
        <v>18</v>
      </c>
      <c r="J1567" s="8" t="s">
        <v>14</v>
      </c>
    </row>
    <row r="1568" customFormat="false" ht="14.25" hidden="false" customHeight="false" outlineLevel="0" collapsed="false">
      <c r="A1568" s="8" t="n">
        <v>1567</v>
      </c>
      <c r="B1568" s="8" t="s">
        <v>85</v>
      </c>
      <c r="C1568" s="8" t="s">
        <v>28</v>
      </c>
      <c r="D1568" s="9" t="n">
        <v>44309</v>
      </c>
      <c r="E1568" s="9" t="str">
        <f aca="false">TEXT(D1568,"MMM")</f>
        <v>abr</v>
      </c>
      <c r="F1568" s="10" t="n">
        <v>8516.45</v>
      </c>
      <c r="G1568" s="8" t="s">
        <v>11</v>
      </c>
      <c r="H1568" s="8" t="s">
        <v>17</v>
      </c>
      <c r="I1568" s="11" t="s">
        <v>18</v>
      </c>
      <c r="J1568" s="8" t="s">
        <v>14</v>
      </c>
    </row>
    <row r="1569" customFormat="false" ht="14.25" hidden="false" customHeight="false" outlineLevel="0" collapsed="false">
      <c r="A1569" s="8" t="n">
        <v>1568</v>
      </c>
      <c r="B1569" s="8" t="s">
        <v>9</v>
      </c>
      <c r="C1569" s="8" t="s">
        <v>16</v>
      </c>
      <c r="D1569" s="9" t="n">
        <v>44309</v>
      </c>
      <c r="E1569" s="9" t="str">
        <f aca="false">TEXT(D1569,"MMM")</f>
        <v>abr</v>
      </c>
      <c r="F1569" s="10" t="n">
        <v>8514.86</v>
      </c>
      <c r="G1569" s="8" t="s">
        <v>11</v>
      </c>
      <c r="H1569" s="8" t="s">
        <v>22</v>
      </c>
      <c r="I1569" s="11" t="s">
        <v>23</v>
      </c>
      <c r="J1569" s="8" t="s">
        <v>26</v>
      </c>
    </row>
    <row r="1570" customFormat="false" ht="14.25" hidden="false" customHeight="false" outlineLevel="0" collapsed="false">
      <c r="A1570" s="8" t="n">
        <v>1569</v>
      </c>
      <c r="B1570" s="8" t="s">
        <v>66</v>
      </c>
      <c r="C1570" s="8" t="s">
        <v>16</v>
      </c>
      <c r="D1570" s="9" t="n">
        <v>44309</v>
      </c>
      <c r="E1570" s="9" t="str">
        <f aca="false">TEXT(D1570,"MMM")</f>
        <v>abr</v>
      </c>
      <c r="F1570" s="10" t="n">
        <v>7271.19</v>
      </c>
      <c r="G1570" s="8" t="s">
        <v>11</v>
      </c>
      <c r="H1570" s="8" t="s">
        <v>12</v>
      </c>
      <c r="I1570" s="11" t="s">
        <v>13</v>
      </c>
      <c r="J1570" s="8" t="s">
        <v>14</v>
      </c>
    </row>
    <row r="1571" customFormat="false" ht="14.25" hidden="false" customHeight="false" outlineLevel="0" collapsed="false">
      <c r="A1571" s="8" t="n">
        <v>1570</v>
      </c>
      <c r="B1571" s="8" t="s">
        <v>57</v>
      </c>
      <c r="C1571" s="8" t="s">
        <v>16</v>
      </c>
      <c r="D1571" s="9" t="n">
        <v>44309</v>
      </c>
      <c r="E1571" s="9" t="str">
        <f aca="false">TEXT(D1571,"MMM")</f>
        <v>abr</v>
      </c>
      <c r="F1571" s="10" t="n">
        <v>7007.32</v>
      </c>
      <c r="G1571" s="8" t="s">
        <v>11</v>
      </c>
      <c r="H1571" s="8" t="s">
        <v>36</v>
      </c>
      <c r="I1571" s="11" t="s">
        <v>37</v>
      </c>
      <c r="J1571" s="8" t="s">
        <v>24</v>
      </c>
    </row>
    <row r="1572" customFormat="false" ht="14.25" hidden="false" customHeight="false" outlineLevel="0" collapsed="false">
      <c r="A1572" s="8" t="n">
        <v>1571</v>
      </c>
      <c r="B1572" s="8" t="s">
        <v>72</v>
      </c>
      <c r="C1572" s="8" t="s">
        <v>21</v>
      </c>
      <c r="D1572" s="9" t="n">
        <v>44309</v>
      </c>
      <c r="E1572" s="9" t="str">
        <f aca="false">TEXT(D1572,"MMM")</f>
        <v>abr</v>
      </c>
      <c r="F1572" s="10" t="n">
        <v>7490.11</v>
      </c>
      <c r="G1572" s="8" t="s">
        <v>11</v>
      </c>
      <c r="H1572" s="8" t="s">
        <v>12</v>
      </c>
      <c r="I1572" s="11" t="s">
        <v>13</v>
      </c>
      <c r="J1572" s="8" t="s">
        <v>19</v>
      </c>
    </row>
    <row r="1573" customFormat="false" ht="14.25" hidden="false" customHeight="false" outlineLevel="0" collapsed="false">
      <c r="A1573" s="8" t="n">
        <v>1572</v>
      </c>
      <c r="B1573" s="8" t="s">
        <v>44</v>
      </c>
      <c r="C1573" s="8" t="s">
        <v>16</v>
      </c>
      <c r="D1573" s="9" t="n">
        <v>44309</v>
      </c>
      <c r="E1573" s="9" t="str">
        <f aca="false">TEXT(D1573,"MMM")</f>
        <v>abr</v>
      </c>
      <c r="F1573" s="10" t="n">
        <v>8304.83</v>
      </c>
      <c r="G1573" s="8" t="s">
        <v>11</v>
      </c>
      <c r="H1573" s="8" t="s">
        <v>12</v>
      </c>
      <c r="I1573" s="11" t="s">
        <v>13</v>
      </c>
      <c r="J1573" s="8" t="s">
        <v>26</v>
      </c>
    </row>
    <row r="1574" customFormat="false" ht="14.25" hidden="false" customHeight="false" outlineLevel="0" collapsed="false">
      <c r="A1574" s="8" t="n">
        <v>1573</v>
      </c>
      <c r="B1574" s="8" t="s">
        <v>44</v>
      </c>
      <c r="C1574" s="8" t="s">
        <v>16</v>
      </c>
      <c r="D1574" s="9" t="n">
        <v>44309</v>
      </c>
      <c r="E1574" s="9" t="str">
        <f aca="false">TEXT(D1574,"MMM")</f>
        <v>abr</v>
      </c>
      <c r="F1574" s="10" t="n">
        <v>6961.74</v>
      </c>
      <c r="G1574" s="8" t="s">
        <v>11</v>
      </c>
      <c r="H1574" s="8" t="s">
        <v>12</v>
      </c>
      <c r="I1574" s="11" t="s">
        <v>13</v>
      </c>
      <c r="J1574" s="8" t="s">
        <v>24</v>
      </c>
    </row>
    <row r="1575" customFormat="false" ht="14.25" hidden="false" customHeight="false" outlineLevel="0" collapsed="false">
      <c r="A1575" s="8" t="n">
        <v>1574</v>
      </c>
      <c r="B1575" s="8" t="s">
        <v>45</v>
      </c>
      <c r="C1575" s="8" t="s">
        <v>21</v>
      </c>
      <c r="D1575" s="9" t="n">
        <v>44309</v>
      </c>
      <c r="E1575" s="9" t="str">
        <f aca="false">TEXT(D1575,"MMM")</f>
        <v>abr</v>
      </c>
      <c r="F1575" s="10" t="n">
        <v>-10132.01</v>
      </c>
      <c r="G1575" s="8" t="s">
        <v>34</v>
      </c>
      <c r="H1575" s="8" t="s">
        <v>12</v>
      </c>
      <c r="I1575" s="11" t="s">
        <v>13</v>
      </c>
      <c r="J1575" s="8" t="s">
        <v>26</v>
      </c>
    </row>
    <row r="1576" customFormat="false" ht="14.25" hidden="false" customHeight="false" outlineLevel="0" collapsed="false">
      <c r="A1576" s="8" t="n">
        <v>1575</v>
      </c>
      <c r="B1576" s="8" t="s">
        <v>66</v>
      </c>
      <c r="C1576" s="8" t="s">
        <v>16</v>
      </c>
      <c r="D1576" s="9" t="n">
        <v>44309</v>
      </c>
      <c r="E1576" s="9" t="str">
        <f aca="false">TEXT(D1576,"MMM")</f>
        <v>abr</v>
      </c>
      <c r="F1576" s="10" t="n">
        <v>197783.04</v>
      </c>
      <c r="G1576" s="8" t="s">
        <v>11</v>
      </c>
      <c r="H1576" s="8" t="s">
        <v>12</v>
      </c>
      <c r="I1576" s="11" t="s">
        <v>13</v>
      </c>
      <c r="J1576" s="8" t="s">
        <v>24</v>
      </c>
    </row>
    <row r="1577" customFormat="false" ht="14.25" hidden="false" customHeight="false" outlineLevel="0" collapsed="false">
      <c r="A1577" s="8" t="n">
        <v>1576</v>
      </c>
      <c r="B1577" s="8" t="s">
        <v>57</v>
      </c>
      <c r="C1577" s="8" t="s">
        <v>28</v>
      </c>
      <c r="D1577" s="9" t="n">
        <v>44309</v>
      </c>
      <c r="E1577" s="9" t="str">
        <f aca="false">TEXT(D1577,"MMM")</f>
        <v>abr</v>
      </c>
      <c r="F1577" s="10" t="n">
        <v>-8187.8</v>
      </c>
      <c r="G1577" s="8" t="s">
        <v>34</v>
      </c>
      <c r="H1577" s="8" t="s">
        <v>36</v>
      </c>
      <c r="I1577" s="11" t="s">
        <v>37</v>
      </c>
      <c r="J1577" s="8" t="s">
        <v>14</v>
      </c>
    </row>
    <row r="1578" customFormat="false" ht="14.25" hidden="false" customHeight="false" outlineLevel="0" collapsed="false">
      <c r="A1578" s="8" t="n">
        <v>1577</v>
      </c>
      <c r="B1578" s="8" t="s">
        <v>72</v>
      </c>
      <c r="C1578" s="8" t="s">
        <v>28</v>
      </c>
      <c r="D1578" s="9" t="n">
        <v>44309</v>
      </c>
      <c r="E1578" s="9" t="str">
        <f aca="false">TEXT(D1578,"MMM")</f>
        <v>abr</v>
      </c>
      <c r="F1578" s="10" t="n">
        <v>-767.59</v>
      </c>
      <c r="G1578" s="8" t="s">
        <v>34</v>
      </c>
      <c r="H1578" s="8" t="s">
        <v>12</v>
      </c>
      <c r="I1578" s="11" t="s">
        <v>13</v>
      </c>
      <c r="J1578" s="8" t="s">
        <v>19</v>
      </c>
    </row>
    <row r="1579" customFormat="false" ht="14.25" hidden="false" customHeight="false" outlineLevel="0" collapsed="false">
      <c r="A1579" s="8" t="n">
        <v>1578</v>
      </c>
      <c r="B1579" s="8" t="s">
        <v>45</v>
      </c>
      <c r="C1579" s="8" t="s">
        <v>16</v>
      </c>
      <c r="D1579" s="9" t="n">
        <v>44309</v>
      </c>
      <c r="E1579" s="9" t="str">
        <f aca="false">TEXT(D1579,"MMM")</f>
        <v>abr</v>
      </c>
      <c r="F1579" s="10" t="n">
        <v>-362.81</v>
      </c>
      <c r="G1579" s="8" t="s">
        <v>34</v>
      </c>
      <c r="H1579" s="8" t="s">
        <v>12</v>
      </c>
      <c r="I1579" s="11" t="s">
        <v>13</v>
      </c>
      <c r="J1579" s="8" t="s">
        <v>14</v>
      </c>
    </row>
    <row r="1580" customFormat="false" ht="14.25" hidden="false" customHeight="false" outlineLevel="0" collapsed="false">
      <c r="A1580" s="8" t="n">
        <v>1579</v>
      </c>
      <c r="B1580" s="8" t="s">
        <v>66</v>
      </c>
      <c r="C1580" s="8" t="s">
        <v>10</v>
      </c>
      <c r="D1580" s="9" t="n">
        <v>44309</v>
      </c>
      <c r="E1580" s="9" t="str">
        <f aca="false">TEXT(D1580,"MMM")</f>
        <v>abr</v>
      </c>
      <c r="F1580" s="10" t="n">
        <v>-389.38</v>
      </c>
      <c r="G1580" s="8" t="s">
        <v>34</v>
      </c>
      <c r="H1580" s="8" t="s">
        <v>30</v>
      </c>
      <c r="I1580" s="11" t="s">
        <v>31</v>
      </c>
      <c r="J1580" s="8" t="s">
        <v>14</v>
      </c>
    </row>
    <row r="1581" customFormat="false" ht="14.25" hidden="false" customHeight="false" outlineLevel="0" collapsed="false">
      <c r="A1581" s="8" t="n">
        <v>1580</v>
      </c>
      <c r="B1581" s="8" t="s">
        <v>66</v>
      </c>
      <c r="C1581" s="8" t="s">
        <v>28</v>
      </c>
      <c r="D1581" s="9" t="n">
        <v>44309</v>
      </c>
      <c r="E1581" s="9" t="str">
        <f aca="false">TEXT(D1581,"MMM")</f>
        <v>abr</v>
      </c>
      <c r="F1581" s="10" t="n">
        <v>-6303.36</v>
      </c>
      <c r="G1581" s="8" t="s">
        <v>34</v>
      </c>
      <c r="H1581" s="8" t="s">
        <v>12</v>
      </c>
      <c r="I1581" s="11" t="s">
        <v>13</v>
      </c>
      <c r="J1581" s="8" t="s">
        <v>26</v>
      </c>
    </row>
    <row r="1582" customFormat="false" ht="14.25" hidden="false" customHeight="false" outlineLevel="0" collapsed="false">
      <c r="A1582" s="8" t="n">
        <v>1581</v>
      </c>
      <c r="B1582" s="8" t="s">
        <v>66</v>
      </c>
      <c r="C1582" s="8" t="s">
        <v>21</v>
      </c>
      <c r="D1582" s="9" t="n">
        <v>44309</v>
      </c>
      <c r="E1582" s="9" t="str">
        <f aca="false">TEXT(D1582,"MMM")</f>
        <v>abr</v>
      </c>
      <c r="F1582" s="10" t="n">
        <v>-9112.18</v>
      </c>
      <c r="G1582" s="8" t="s">
        <v>34</v>
      </c>
      <c r="H1582" s="8" t="s">
        <v>12</v>
      </c>
      <c r="I1582" s="11" t="s">
        <v>13</v>
      </c>
      <c r="J1582" s="8" t="s">
        <v>24</v>
      </c>
    </row>
    <row r="1583" customFormat="false" ht="14.25" hidden="false" customHeight="false" outlineLevel="0" collapsed="false">
      <c r="A1583" s="8" t="n">
        <v>1582</v>
      </c>
      <c r="B1583" s="8" t="s">
        <v>66</v>
      </c>
      <c r="C1583" s="8" t="s">
        <v>21</v>
      </c>
      <c r="D1583" s="9" t="n">
        <v>44309</v>
      </c>
      <c r="E1583" s="9" t="str">
        <f aca="false">TEXT(D1583,"MMM")</f>
        <v>abr</v>
      </c>
      <c r="F1583" s="10" t="n">
        <v>-2915.75</v>
      </c>
      <c r="G1583" s="8" t="s">
        <v>34</v>
      </c>
      <c r="H1583" s="8" t="s">
        <v>17</v>
      </c>
      <c r="I1583" s="11" t="s">
        <v>18</v>
      </c>
      <c r="J1583" s="8" t="s">
        <v>14</v>
      </c>
    </row>
    <row r="1584" customFormat="false" ht="14.25" hidden="false" customHeight="false" outlineLevel="0" collapsed="false">
      <c r="A1584" s="8" t="n">
        <v>1583</v>
      </c>
      <c r="B1584" s="8" t="s">
        <v>66</v>
      </c>
      <c r="C1584" s="8" t="s">
        <v>28</v>
      </c>
      <c r="D1584" s="9" t="n">
        <v>44309</v>
      </c>
      <c r="E1584" s="9" t="str">
        <f aca="false">TEXT(D1584,"MMM")</f>
        <v>abr</v>
      </c>
      <c r="F1584" s="10" t="n">
        <v>178242.55</v>
      </c>
      <c r="G1584" s="8" t="s">
        <v>11</v>
      </c>
      <c r="H1584" s="8" t="s">
        <v>17</v>
      </c>
      <c r="I1584" s="11" t="s">
        <v>18</v>
      </c>
      <c r="J1584" s="8" t="s">
        <v>14</v>
      </c>
    </row>
    <row r="1585" customFormat="false" ht="14.25" hidden="false" customHeight="false" outlineLevel="0" collapsed="false">
      <c r="A1585" s="8" t="n">
        <v>1584</v>
      </c>
      <c r="B1585" s="8" t="s">
        <v>66</v>
      </c>
      <c r="C1585" s="8" t="s">
        <v>16</v>
      </c>
      <c r="D1585" s="9" t="n">
        <v>44309</v>
      </c>
      <c r="E1585" s="9" t="str">
        <f aca="false">TEXT(D1585,"MMM")</f>
        <v>abr</v>
      </c>
      <c r="F1585" s="10" t="n">
        <v>-409102.96</v>
      </c>
      <c r="G1585" s="8" t="s">
        <v>34</v>
      </c>
      <c r="H1585" s="8" t="s">
        <v>36</v>
      </c>
      <c r="I1585" s="11" t="s">
        <v>37</v>
      </c>
      <c r="J1585" s="8" t="s">
        <v>14</v>
      </c>
    </row>
    <row r="1586" customFormat="false" ht="14.25" hidden="false" customHeight="false" outlineLevel="0" collapsed="false">
      <c r="A1586" s="8" t="n">
        <v>1585</v>
      </c>
      <c r="B1586" s="8" t="s">
        <v>66</v>
      </c>
      <c r="C1586" s="8" t="s">
        <v>16</v>
      </c>
      <c r="D1586" s="9" t="n">
        <v>44309</v>
      </c>
      <c r="E1586" s="9" t="str">
        <f aca="false">TEXT(D1586,"MMM")</f>
        <v>abr</v>
      </c>
      <c r="F1586" s="10" t="n">
        <v>2424.03</v>
      </c>
      <c r="G1586" s="8" t="s">
        <v>11</v>
      </c>
      <c r="H1586" s="8" t="s">
        <v>36</v>
      </c>
      <c r="I1586" s="11" t="s">
        <v>37</v>
      </c>
      <c r="J1586" s="8" t="s">
        <v>19</v>
      </c>
    </row>
    <row r="1587" customFormat="false" ht="14.25" hidden="false" customHeight="false" outlineLevel="0" collapsed="false">
      <c r="A1587" s="8" t="n">
        <v>1586</v>
      </c>
      <c r="B1587" s="8" t="s">
        <v>66</v>
      </c>
      <c r="C1587" s="8" t="s">
        <v>10</v>
      </c>
      <c r="D1587" s="9" t="n">
        <v>44309</v>
      </c>
      <c r="E1587" s="9" t="str">
        <f aca="false">TEXT(D1587,"MMM")</f>
        <v>abr</v>
      </c>
      <c r="F1587" s="10" t="n">
        <v>2997.1</v>
      </c>
      <c r="G1587" s="8" t="s">
        <v>11</v>
      </c>
      <c r="H1587" s="8" t="s">
        <v>12</v>
      </c>
      <c r="I1587" s="11" t="s">
        <v>13</v>
      </c>
      <c r="J1587" s="8" t="s">
        <v>19</v>
      </c>
    </row>
    <row r="1588" customFormat="false" ht="14.25" hidden="false" customHeight="false" outlineLevel="0" collapsed="false">
      <c r="A1588" s="8" t="n">
        <v>1587</v>
      </c>
      <c r="B1588" s="8" t="s">
        <v>50</v>
      </c>
      <c r="C1588" s="8" t="s">
        <v>16</v>
      </c>
      <c r="D1588" s="9" t="n">
        <v>44310</v>
      </c>
      <c r="E1588" s="9" t="str">
        <f aca="false">TEXT(D1588,"MMM")</f>
        <v>abr</v>
      </c>
      <c r="F1588" s="10" t="n">
        <v>5924.5</v>
      </c>
      <c r="G1588" s="8" t="s">
        <v>11</v>
      </c>
      <c r="H1588" s="8" t="s">
        <v>12</v>
      </c>
      <c r="I1588" s="11" t="s">
        <v>13</v>
      </c>
      <c r="J1588" s="8" t="s">
        <v>14</v>
      </c>
    </row>
    <row r="1589" customFormat="false" ht="14.25" hidden="false" customHeight="false" outlineLevel="0" collapsed="false">
      <c r="A1589" s="8" t="n">
        <v>1588</v>
      </c>
      <c r="B1589" s="8" t="s">
        <v>86</v>
      </c>
      <c r="C1589" s="8" t="s">
        <v>28</v>
      </c>
      <c r="D1589" s="9" t="n">
        <v>44310</v>
      </c>
      <c r="E1589" s="9" t="str">
        <f aca="false">TEXT(D1589,"MMM")</f>
        <v>abr</v>
      </c>
      <c r="F1589" s="10" t="n">
        <v>5924.5</v>
      </c>
      <c r="G1589" s="8" t="s">
        <v>11</v>
      </c>
      <c r="H1589" s="8" t="s">
        <v>22</v>
      </c>
      <c r="I1589" s="11" t="s">
        <v>23</v>
      </c>
      <c r="J1589" s="8" t="s">
        <v>14</v>
      </c>
    </row>
    <row r="1590" customFormat="false" ht="14.25" hidden="false" customHeight="false" outlineLevel="0" collapsed="false">
      <c r="A1590" s="8" t="n">
        <v>1589</v>
      </c>
      <c r="B1590" s="8" t="s">
        <v>149</v>
      </c>
      <c r="C1590" s="8" t="s">
        <v>16</v>
      </c>
      <c r="D1590" s="9" t="n">
        <v>44311</v>
      </c>
      <c r="E1590" s="9" t="str">
        <f aca="false">TEXT(D1590,"MMM")</f>
        <v>abr</v>
      </c>
      <c r="F1590" s="10" t="n">
        <v>6273</v>
      </c>
      <c r="G1590" s="8" t="s">
        <v>11</v>
      </c>
      <c r="H1590" s="8" t="s">
        <v>12</v>
      </c>
      <c r="I1590" s="11" t="s">
        <v>13</v>
      </c>
      <c r="J1590" s="8" t="s">
        <v>26</v>
      </c>
    </row>
    <row r="1591" customFormat="false" ht="14.25" hidden="false" customHeight="false" outlineLevel="0" collapsed="false">
      <c r="A1591" s="8" t="n">
        <v>1590</v>
      </c>
      <c r="B1591" s="8" t="s">
        <v>149</v>
      </c>
      <c r="C1591" s="8" t="s">
        <v>28</v>
      </c>
      <c r="D1591" s="9" t="n">
        <v>44311</v>
      </c>
      <c r="E1591" s="9" t="str">
        <f aca="false">TEXT(D1591,"MMM")</f>
        <v>abr</v>
      </c>
      <c r="F1591" s="10" t="n">
        <v>2439.5</v>
      </c>
      <c r="G1591" s="8" t="s">
        <v>11</v>
      </c>
      <c r="H1591" s="8" t="s">
        <v>22</v>
      </c>
      <c r="I1591" s="11" t="s">
        <v>23</v>
      </c>
      <c r="J1591" s="8" t="s">
        <v>26</v>
      </c>
    </row>
    <row r="1592" customFormat="false" ht="14.25" hidden="false" customHeight="false" outlineLevel="0" collapsed="false">
      <c r="A1592" s="8" t="n">
        <v>1591</v>
      </c>
      <c r="B1592" s="8" t="s">
        <v>165</v>
      </c>
      <c r="C1592" s="8" t="s">
        <v>10</v>
      </c>
      <c r="D1592" s="9" t="n">
        <v>44311</v>
      </c>
      <c r="E1592" s="9" t="str">
        <f aca="false">TEXT(D1592,"MMM")</f>
        <v>abr</v>
      </c>
      <c r="F1592" s="10" t="n">
        <v>2788</v>
      </c>
      <c r="G1592" s="8" t="s">
        <v>11</v>
      </c>
      <c r="H1592" s="8" t="s">
        <v>36</v>
      </c>
      <c r="I1592" s="11" t="s">
        <v>37</v>
      </c>
      <c r="J1592" s="8" t="s">
        <v>14</v>
      </c>
    </row>
    <row r="1593" customFormat="false" ht="14.25" hidden="false" customHeight="false" outlineLevel="0" collapsed="false">
      <c r="A1593" s="8" t="n">
        <v>1592</v>
      </c>
      <c r="B1593" s="8" t="s">
        <v>86</v>
      </c>
      <c r="C1593" s="8" t="s">
        <v>10</v>
      </c>
      <c r="D1593" s="9" t="n">
        <v>44311</v>
      </c>
      <c r="E1593" s="9" t="str">
        <f aca="false">TEXT(D1593,"MMM")</f>
        <v>abr</v>
      </c>
      <c r="F1593" s="10" t="n">
        <v>2997.1</v>
      </c>
      <c r="G1593" s="8" t="s">
        <v>11</v>
      </c>
      <c r="H1593" s="8" t="s">
        <v>12</v>
      </c>
      <c r="I1593" s="11" t="s">
        <v>13</v>
      </c>
      <c r="J1593" s="8" t="s">
        <v>14</v>
      </c>
    </row>
    <row r="1594" customFormat="false" ht="14.25" hidden="false" customHeight="false" outlineLevel="0" collapsed="false">
      <c r="A1594" s="8" t="n">
        <v>1593</v>
      </c>
      <c r="B1594" s="8" t="s">
        <v>167</v>
      </c>
      <c r="C1594" s="8" t="s">
        <v>21</v>
      </c>
      <c r="D1594" s="9" t="n">
        <v>44312</v>
      </c>
      <c r="E1594" s="9" t="str">
        <f aca="false">TEXT(D1594,"MMM")</f>
        <v>abr</v>
      </c>
      <c r="F1594" s="10" t="n">
        <v>171401.89</v>
      </c>
      <c r="G1594" s="8" t="s">
        <v>11</v>
      </c>
      <c r="H1594" s="8" t="s">
        <v>36</v>
      </c>
      <c r="I1594" s="11" t="s">
        <v>37</v>
      </c>
      <c r="J1594" s="8" t="s">
        <v>14</v>
      </c>
    </row>
    <row r="1595" customFormat="false" ht="14.25" hidden="false" customHeight="false" outlineLevel="0" collapsed="false">
      <c r="A1595" s="8" t="n">
        <v>1594</v>
      </c>
      <c r="B1595" s="8" t="s">
        <v>161</v>
      </c>
      <c r="C1595" s="8" t="s">
        <v>16</v>
      </c>
      <c r="D1595" s="9" t="n">
        <v>44312</v>
      </c>
      <c r="E1595" s="9" t="str">
        <f aca="false">TEXT(D1595,"MMM")</f>
        <v>abr</v>
      </c>
      <c r="F1595" s="10" t="n">
        <v>6273</v>
      </c>
      <c r="G1595" s="8" t="s">
        <v>11</v>
      </c>
      <c r="H1595" s="8" t="s">
        <v>17</v>
      </c>
      <c r="I1595" s="11" t="s">
        <v>18</v>
      </c>
      <c r="J1595" s="8" t="s">
        <v>14</v>
      </c>
    </row>
    <row r="1596" customFormat="false" ht="14.25" hidden="false" customHeight="false" outlineLevel="0" collapsed="false">
      <c r="A1596" s="8" t="n">
        <v>1595</v>
      </c>
      <c r="B1596" s="8" t="s">
        <v>101</v>
      </c>
      <c r="C1596" s="8" t="s">
        <v>28</v>
      </c>
      <c r="D1596" s="9" t="n">
        <v>44313</v>
      </c>
      <c r="E1596" s="9" t="str">
        <f aca="false">TEXT(D1596,"MMM")</f>
        <v>abr</v>
      </c>
      <c r="F1596" s="10" t="n">
        <v>2439.5</v>
      </c>
      <c r="G1596" s="8" t="s">
        <v>11</v>
      </c>
      <c r="H1596" s="8" t="s">
        <v>22</v>
      </c>
      <c r="I1596" s="11" t="s">
        <v>23</v>
      </c>
      <c r="J1596" s="8" t="s">
        <v>26</v>
      </c>
    </row>
    <row r="1597" customFormat="false" ht="14.25" hidden="false" customHeight="false" outlineLevel="0" collapsed="false">
      <c r="A1597" s="8" t="n">
        <v>1596</v>
      </c>
      <c r="B1597" s="8" t="s">
        <v>153</v>
      </c>
      <c r="C1597" s="8" t="s">
        <v>10</v>
      </c>
      <c r="D1597" s="9" t="n">
        <v>44313</v>
      </c>
      <c r="E1597" s="9" t="str">
        <f aca="false">TEXT(D1597,"MMM")</f>
        <v>abr</v>
      </c>
      <c r="F1597" s="10" t="n">
        <v>2788</v>
      </c>
      <c r="G1597" s="8" t="s">
        <v>11</v>
      </c>
      <c r="H1597" s="8" t="s">
        <v>12</v>
      </c>
      <c r="I1597" s="11" t="s">
        <v>13</v>
      </c>
      <c r="J1597" s="8" t="s">
        <v>14</v>
      </c>
    </row>
    <row r="1598" customFormat="false" ht="14.25" hidden="false" customHeight="false" outlineLevel="0" collapsed="false">
      <c r="A1598" s="8" t="n">
        <v>1597</v>
      </c>
      <c r="B1598" s="8" t="s">
        <v>164</v>
      </c>
      <c r="C1598" s="8" t="s">
        <v>16</v>
      </c>
      <c r="D1598" s="9" t="n">
        <v>44313</v>
      </c>
      <c r="E1598" s="9" t="str">
        <f aca="false">TEXT(D1598,"MMM")</f>
        <v>abr</v>
      </c>
      <c r="F1598" s="10" t="n">
        <v>4303.28</v>
      </c>
      <c r="G1598" s="8" t="s">
        <v>11</v>
      </c>
      <c r="H1598" s="8" t="s">
        <v>22</v>
      </c>
      <c r="I1598" s="11" t="s">
        <v>23</v>
      </c>
      <c r="J1598" s="8" t="s">
        <v>19</v>
      </c>
    </row>
    <row r="1599" customFormat="false" ht="14.25" hidden="false" customHeight="false" outlineLevel="0" collapsed="false">
      <c r="A1599" s="8" t="n">
        <v>1598</v>
      </c>
      <c r="B1599" s="8" t="s">
        <v>41</v>
      </c>
      <c r="C1599" s="8" t="s">
        <v>16</v>
      </c>
      <c r="D1599" s="9" t="n">
        <v>44313</v>
      </c>
      <c r="E1599" s="9" t="str">
        <f aca="false">TEXT(D1599,"MMM")</f>
        <v>abr</v>
      </c>
      <c r="F1599" s="10" t="n">
        <v>4286.55</v>
      </c>
      <c r="G1599" s="8" t="s">
        <v>11</v>
      </c>
      <c r="H1599" s="8" t="s">
        <v>22</v>
      </c>
      <c r="I1599" s="11" t="s">
        <v>23</v>
      </c>
      <c r="J1599" s="8" t="s">
        <v>14</v>
      </c>
    </row>
    <row r="1600" customFormat="false" ht="14.25" hidden="false" customHeight="false" outlineLevel="0" collapsed="false">
      <c r="A1600" s="8" t="n">
        <v>1599</v>
      </c>
      <c r="B1600" s="8" t="s">
        <v>41</v>
      </c>
      <c r="C1600" s="8" t="s">
        <v>28</v>
      </c>
      <c r="D1600" s="9" t="n">
        <v>44313</v>
      </c>
      <c r="E1600" s="9" t="str">
        <f aca="false">TEXT(D1600,"MMM")</f>
        <v>abr</v>
      </c>
      <c r="F1600" s="10" t="n">
        <v>-2110.54</v>
      </c>
      <c r="G1600" s="8" t="s">
        <v>34</v>
      </c>
      <c r="H1600" s="8" t="s">
        <v>22</v>
      </c>
      <c r="I1600" s="11" t="s">
        <v>23</v>
      </c>
      <c r="J1600" s="8" t="s">
        <v>19</v>
      </c>
    </row>
    <row r="1601" customFormat="false" ht="14.25" hidden="false" customHeight="false" outlineLevel="0" collapsed="false">
      <c r="A1601" s="8" t="n">
        <v>1600</v>
      </c>
      <c r="B1601" s="8" t="s">
        <v>15</v>
      </c>
      <c r="C1601" s="8" t="s">
        <v>10</v>
      </c>
      <c r="D1601" s="9" t="n">
        <v>44313</v>
      </c>
      <c r="E1601" s="9" t="str">
        <f aca="false">TEXT(D1601,"MMM")</f>
        <v>abr</v>
      </c>
      <c r="F1601" s="10" t="n">
        <v>-461.51</v>
      </c>
      <c r="G1601" s="8" t="s">
        <v>34</v>
      </c>
      <c r="H1601" s="8" t="s">
        <v>12</v>
      </c>
      <c r="I1601" s="11" t="s">
        <v>13</v>
      </c>
      <c r="J1601" s="8" t="s">
        <v>14</v>
      </c>
    </row>
    <row r="1602" customFormat="false" ht="14.25" hidden="false" customHeight="false" outlineLevel="0" collapsed="false">
      <c r="A1602" s="8" t="n">
        <v>1601</v>
      </c>
      <c r="B1602" s="8" t="s">
        <v>15</v>
      </c>
      <c r="C1602" s="8" t="s">
        <v>10</v>
      </c>
      <c r="D1602" s="9" t="n">
        <v>44313</v>
      </c>
      <c r="E1602" s="9" t="str">
        <f aca="false">TEXT(D1602,"MMM")</f>
        <v>abr</v>
      </c>
      <c r="F1602" s="10" t="n">
        <v>-178472.98</v>
      </c>
      <c r="G1602" s="8" t="s">
        <v>34</v>
      </c>
      <c r="H1602" s="8" t="s">
        <v>12</v>
      </c>
      <c r="I1602" s="11" t="s">
        <v>13</v>
      </c>
      <c r="J1602" s="8" t="s">
        <v>24</v>
      </c>
    </row>
    <row r="1603" customFormat="false" ht="14.25" hidden="false" customHeight="false" outlineLevel="0" collapsed="false">
      <c r="A1603" s="8" t="n">
        <v>1602</v>
      </c>
      <c r="B1603" s="8" t="s">
        <v>39</v>
      </c>
      <c r="C1603" s="8" t="s">
        <v>16</v>
      </c>
      <c r="D1603" s="9" t="n">
        <v>44313</v>
      </c>
      <c r="E1603" s="9" t="str">
        <f aca="false">TEXT(D1603,"MMM")</f>
        <v>abr</v>
      </c>
      <c r="F1603" s="10" t="n">
        <v>15905.63</v>
      </c>
      <c r="G1603" s="8" t="s">
        <v>11</v>
      </c>
      <c r="H1603" s="8" t="s">
        <v>12</v>
      </c>
      <c r="I1603" s="11" t="s">
        <v>13</v>
      </c>
      <c r="J1603" s="8" t="s">
        <v>24</v>
      </c>
    </row>
    <row r="1604" customFormat="false" ht="14.25" hidden="false" customHeight="false" outlineLevel="0" collapsed="false">
      <c r="A1604" s="8" t="n">
        <v>1603</v>
      </c>
      <c r="B1604" s="8" t="s">
        <v>35</v>
      </c>
      <c r="C1604" s="8" t="s">
        <v>28</v>
      </c>
      <c r="D1604" s="9" t="n">
        <v>44314</v>
      </c>
      <c r="E1604" s="9" t="str">
        <f aca="false">TEXT(D1604,"MMM")</f>
        <v>abr</v>
      </c>
      <c r="F1604" s="10" t="n">
        <v>13808.25</v>
      </c>
      <c r="G1604" s="8" t="s">
        <v>11</v>
      </c>
      <c r="H1604" s="8" t="s">
        <v>12</v>
      </c>
      <c r="I1604" s="11" t="s">
        <v>13</v>
      </c>
      <c r="J1604" s="8" t="s">
        <v>26</v>
      </c>
    </row>
    <row r="1605" customFormat="false" ht="14.25" hidden="false" customHeight="false" outlineLevel="0" collapsed="false">
      <c r="A1605" s="8" t="n">
        <v>1604</v>
      </c>
      <c r="B1605" s="8" t="s">
        <v>172</v>
      </c>
      <c r="C1605" s="8" t="s">
        <v>16</v>
      </c>
      <c r="D1605" s="9" t="n">
        <v>44314</v>
      </c>
      <c r="E1605" s="9" t="str">
        <f aca="false">TEXT(D1605,"MMM")</f>
        <v>abr</v>
      </c>
      <c r="F1605" s="10" t="n">
        <v>16050.54</v>
      </c>
      <c r="G1605" s="8" t="s">
        <v>11</v>
      </c>
      <c r="H1605" s="8" t="s">
        <v>17</v>
      </c>
      <c r="I1605" s="11" t="s">
        <v>18</v>
      </c>
      <c r="J1605" s="8" t="s">
        <v>14</v>
      </c>
    </row>
    <row r="1606" customFormat="false" ht="14.25" hidden="false" customHeight="false" outlineLevel="0" collapsed="false">
      <c r="A1606" s="8" t="n">
        <v>1605</v>
      </c>
      <c r="B1606" s="8" t="s">
        <v>178</v>
      </c>
      <c r="C1606" s="8" t="s">
        <v>16</v>
      </c>
      <c r="D1606" s="9" t="n">
        <v>44314</v>
      </c>
      <c r="E1606" s="9" t="str">
        <f aca="false">TEXT(D1606,"MMM")</f>
        <v>abr</v>
      </c>
      <c r="F1606" s="10" t="n">
        <v>14844.06</v>
      </c>
      <c r="G1606" s="8" t="s">
        <v>11</v>
      </c>
      <c r="H1606" s="8" t="s">
        <v>17</v>
      </c>
      <c r="I1606" s="11" t="s">
        <v>18</v>
      </c>
      <c r="J1606" s="8" t="s">
        <v>24</v>
      </c>
    </row>
    <row r="1607" customFormat="false" ht="14.25" hidden="false" customHeight="false" outlineLevel="0" collapsed="false">
      <c r="A1607" s="8" t="n">
        <v>1606</v>
      </c>
      <c r="B1607" s="8" t="s">
        <v>171</v>
      </c>
      <c r="C1607" s="8" t="s">
        <v>16</v>
      </c>
      <c r="D1607" s="9" t="n">
        <v>44316</v>
      </c>
      <c r="E1607" s="9" t="str">
        <f aca="false">TEXT(D1607,"MMM")</f>
        <v>abr</v>
      </c>
      <c r="F1607" s="10" t="n">
        <v>-12298.02</v>
      </c>
      <c r="G1607" s="8" t="s">
        <v>34</v>
      </c>
      <c r="H1607" s="8" t="s">
        <v>12</v>
      </c>
      <c r="I1607" s="11" t="s">
        <v>13</v>
      </c>
      <c r="J1607" s="8" t="s">
        <v>14</v>
      </c>
    </row>
    <row r="1608" customFormat="false" ht="14.25" hidden="false" customHeight="false" outlineLevel="0" collapsed="false">
      <c r="A1608" s="8" t="n">
        <v>1607</v>
      </c>
      <c r="B1608" s="8" t="s">
        <v>77</v>
      </c>
      <c r="C1608" s="8" t="s">
        <v>21</v>
      </c>
      <c r="D1608" s="9" t="n">
        <v>44316</v>
      </c>
      <c r="E1608" s="9" t="str">
        <f aca="false">TEXT(D1608,"MMM")</f>
        <v>abr</v>
      </c>
      <c r="F1608" s="10" t="n">
        <v>-18161.47</v>
      </c>
      <c r="G1608" s="8" t="s">
        <v>34</v>
      </c>
      <c r="H1608" s="8" t="s">
        <v>30</v>
      </c>
      <c r="I1608" s="11" t="s">
        <v>31</v>
      </c>
      <c r="J1608" s="8" t="s">
        <v>26</v>
      </c>
    </row>
    <row r="1609" customFormat="false" ht="14.25" hidden="false" customHeight="false" outlineLevel="0" collapsed="false">
      <c r="A1609" s="8" t="n">
        <v>1608</v>
      </c>
      <c r="B1609" s="8" t="s">
        <v>9</v>
      </c>
      <c r="C1609" s="8" t="s">
        <v>16</v>
      </c>
      <c r="D1609" s="9" t="n">
        <v>44316</v>
      </c>
      <c r="E1609" s="9" t="str">
        <f aca="false">TEXT(D1609,"MMM")</f>
        <v>abr</v>
      </c>
      <c r="F1609" s="10" t="n">
        <v>-39599.21</v>
      </c>
      <c r="G1609" s="8" t="s">
        <v>34</v>
      </c>
      <c r="H1609" s="8" t="s">
        <v>12</v>
      </c>
      <c r="I1609" s="11" t="s">
        <v>13</v>
      </c>
      <c r="J1609" s="8" t="s">
        <v>19</v>
      </c>
    </row>
    <row r="1610" customFormat="false" ht="14.25" hidden="false" customHeight="false" outlineLevel="0" collapsed="false">
      <c r="A1610" s="8" t="n">
        <v>1609</v>
      </c>
      <c r="B1610" s="8" t="s">
        <v>9</v>
      </c>
      <c r="C1610" s="8" t="s">
        <v>10</v>
      </c>
      <c r="D1610" s="9" t="n">
        <v>44316</v>
      </c>
      <c r="E1610" s="9" t="str">
        <f aca="false">TEXT(D1610,"MMM")</f>
        <v>abr</v>
      </c>
      <c r="F1610" s="10" t="n">
        <v>134480.85</v>
      </c>
      <c r="G1610" s="8" t="s">
        <v>11</v>
      </c>
      <c r="H1610" s="8" t="s">
        <v>36</v>
      </c>
      <c r="I1610" s="11" t="s">
        <v>37</v>
      </c>
      <c r="J1610" s="8" t="s">
        <v>14</v>
      </c>
    </row>
    <row r="1611" customFormat="false" ht="14.25" hidden="false" customHeight="false" outlineLevel="0" collapsed="false">
      <c r="A1611" s="8" t="n">
        <v>1610</v>
      </c>
      <c r="B1611" s="8" t="s">
        <v>9</v>
      </c>
      <c r="C1611" s="8" t="s">
        <v>10</v>
      </c>
      <c r="D1611" s="9" t="n">
        <v>44316</v>
      </c>
      <c r="E1611" s="9" t="str">
        <f aca="false">TEXT(D1611,"MMM")</f>
        <v>abr</v>
      </c>
      <c r="F1611" s="10" t="n">
        <v>15202.6</v>
      </c>
      <c r="G1611" s="8" t="s">
        <v>11</v>
      </c>
      <c r="H1611" s="8" t="s">
        <v>12</v>
      </c>
      <c r="I1611" s="11" t="s">
        <v>13</v>
      </c>
      <c r="J1611" s="8" t="s">
        <v>14</v>
      </c>
    </row>
    <row r="1612" customFormat="false" ht="14.25" hidden="false" customHeight="false" outlineLevel="0" collapsed="false">
      <c r="A1612" s="8" t="n">
        <v>1611</v>
      </c>
      <c r="B1612" s="8" t="s">
        <v>51</v>
      </c>
      <c r="C1612" s="8" t="s">
        <v>21</v>
      </c>
      <c r="D1612" s="9" t="n">
        <v>44316</v>
      </c>
      <c r="E1612" s="9" t="str">
        <f aca="false">TEXT(D1612,"MMM")</f>
        <v>abr</v>
      </c>
      <c r="F1612" s="10" t="n">
        <v>15696.91</v>
      </c>
      <c r="G1612" s="8" t="s">
        <v>11</v>
      </c>
      <c r="H1612" s="8" t="s">
        <v>22</v>
      </c>
      <c r="I1612" s="11" t="s">
        <v>23</v>
      </c>
      <c r="J1612" s="8" t="s">
        <v>26</v>
      </c>
    </row>
    <row r="1613" customFormat="false" ht="14.25" hidden="false" customHeight="false" outlineLevel="0" collapsed="false">
      <c r="A1613" s="8" t="n">
        <v>1612</v>
      </c>
      <c r="B1613" s="8" t="s">
        <v>15</v>
      </c>
      <c r="C1613" s="8" t="s">
        <v>28</v>
      </c>
      <c r="D1613" s="9" t="n">
        <v>44316</v>
      </c>
      <c r="E1613" s="9" t="str">
        <f aca="false">TEXT(D1613,"MMM")</f>
        <v>abr</v>
      </c>
      <c r="F1613" s="10" t="n">
        <v>17496.19</v>
      </c>
      <c r="G1613" s="8" t="s">
        <v>11</v>
      </c>
      <c r="H1613" s="8" t="s">
        <v>30</v>
      </c>
      <c r="I1613" s="11" t="s">
        <v>31</v>
      </c>
      <c r="J1613" s="8" t="s">
        <v>14</v>
      </c>
    </row>
    <row r="1614" customFormat="false" ht="14.25" hidden="false" customHeight="false" outlineLevel="0" collapsed="false">
      <c r="A1614" s="8" t="n">
        <v>1613</v>
      </c>
      <c r="B1614" s="8" t="s">
        <v>15</v>
      </c>
      <c r="C1614" s="8" t="s">
        <v>28</v>
      </c>
      <c r="D1614" s="9" t="n">
        <v>44316</v>
      </c>
      <c r="E1614" s="9" t="str">
        <f aca="false">TEXT(D1614,"MMM")</f>
        <v>abr</v>
      </c>
      <c r="F1614" s="10" t="n">
        <v>16991.5</v>
      </c>
      <c r="G1614" s="8" t="s">
        <v>11</v>
      </c>
      <c r="H1614" s="8" t="s">
        <v>12</v>
      </c>
      <c r="I1614" s="11" t="s">
        <v>13</v>
      </c>
      <c r="J1614" s="8" t="s">
        <v>14</v>
      </c>
    </row>
    <row r="1615" customFormat="false" ht="14.25" hidden="false" customHeight="false" outlineLevel="0" collapsed="false">
      <c r="A1615" s="8" t="n">
        <v>1614</v>
      </c>
      <c r="B1615" s="8" t="s">
        <v>61</v>
      </c>
      <c r="C1615" s="8" t="s">
        <v>21</v>
      </c>
      <c r="D1615" s="9" t="n">
        <v>44316</v>
      </c>
      <c r="E1615" s="9" t="str">
        <f aca="false">TEXT(D1615,"MMM")</f>
        <v>abr</v>
      </c>
      <c r="F1615" s="10" t="n">
        <v>-11694.38</v>
      </c>
      <c r="G1615" s="8" t="s">
        <v>34</v>
      </c>
      <c r="H1615" s="8" t="s">
        <v>12</v>
      </c>
      <c r="I1615" s="11" t="s">
        <v>13</v>
      </c>
      <c r="J1615" s="8" t="s">
        <v>14</v>
      </c>
    </row>
    <row r="1616" customFormat="false" ht="14.25" hidden="false" customHeight="false" outlineLevel="0" collapsed="false">
      <c r="A1616" s="8" t="n">
        <v>1615</v>
      </c>
      <c r="B1616" s="8" t="s">
        <v>81</v>
      </c>
      <c r="C1616" s="8" t="s">
        <v>28</v>
      </c>
      <c r="D1616" s="9" t="n">
        <v>44316</v>
      </c>
      <c r="E1616" s="9" t="str">
        <f aca="false">TEXT(D1616,"MMM")</f>
        <v>abr</v>
      </c>
      <c r="F1616" s="10" t="n">
        <v>154860.88</v>
      </c>
      <c r="G1616" s="8" t="s">
        <v>11</v>
      </c>
      <c r="H1616" s="8" t="s">
        <v>17</v>
      </c>
      <c r="I1616" s="11" t="s">
        <v>18</v>
      </c>
      <c r="J1616" s="8" t="s">
        <v>24</v>
      </c>
    </row>
    <row r="1617" customFormat="false" ht="14.25" hidden="false" customHeight="false" outlineLevel="0" collapsed="false">
      <c r="A1617" s="8" t="n">
        <v>1616</v>
      </c>
      <c r="B1617" s="8" t="s">
        <v>32</v>
      </c>
      <c r="C1617" s="8" t="s">
        <v>28</v>
      </c>
      <c r="D1617" s="9" t="n">
        <v>44316</v>
      </c>
      <c r="E1617" s="9" t="str">
        <f aca="false">TEXT(D1617,"MMM")</f>
        <v>abr</v>
      </c>
      <c r="F1617" s="10" t="n">
        <v>11872.8</v>
      </c>
      <c r="G1617" s="8" t="s">
        <v>11</v>
      </c>
      <c r="H1617" s="8" t="s">
        <v>12</v>
      </c>
      <c r="I1617" s="11" t="s">
        <v>13</v>
      </c>
      <c r="J1617" s="8" t="s">
        <v>26</v>
      </c>
    </row>
    <row r="1618" customFormat="false" ht="14.25" hidden="false" customHeight="false" outlineLevel="0" collapsed="false">
      <c r="A1618" s="8" t="n">
        <v>1617</v>
      </c>
      <c r="B1618" s="8" t="s">
        <v>61</v>
      </c>
      <c r="C1618" s="8" t="s">
        <v>10</v>
      </c>
      <c r="D1618" s="9" t="n">
        <v>44316</v>
      </c>
      <c r="E1618" s="9" t="str">
        <f aca="false">TEXT(D1618,"MMM")</f>
        <v>abr</v>
      </c>
      <c r="F1618" s="10" t="n">
        <v>15275.52</v>
      </c>
      <c r="G1618" s="8" t="s">
        <v>11</v>
      </c>
      <c r="H1618" s="8" t="s">
        <v>17</v>
      </c>
      <c r="I1618" s="11" t="s">
        <v>18</v>
      </c>
      <c r="J1618" s="8" t="s">
        <v>14</v>
      </c>
    </row>
    <row r="1619" customFormat="false" ht="14.25" hidden="false" customHeight="false" outlineLevel="0" collapsed="false">
      <c r="A1619" s="8" t="n">
        <v>1618</v>
      </c>
      <c r="B1619" s="8" t="s">
        <v>62</v>
      </c>
      <c r="C1619" s="8" t="s">
        <v>28</v>
      </c>
      <c r="D1619" s="9" t="n">
        <v>44316</v>
      </c>
      <c r="E1619" s="9" t="str">
        <f aca="false">TEXT(D1619,"MMM")</f>
        <v>abr</v>
      </c>
      <c r="F1619" s="10" t="n">
        <v>15275.52</v>
      </c>
      <c r="G1619" s="8" t="s">
        <v>11</v>
      </c>
      <c r="H1619" s="8" t="s">
        <v>17</v>
      </c>
      <c r="I1619" s="11" t="s">
        <v>18</v>
      </c>
      <c r="J1619" s="8" t="s">
        <v>14</v>
      </c>
    </row>
    <row r="1620" customFormat="false" ht="14.25" hidden="false" customHeight="false" outlineLevel="0" collapsed="false">
      <c r="A1620" s="8" t="n">
        <v>1619</v>
      </c>
      <c r="B1620" s="8" t="s">
        <v>62</v>
      </c>
      <c r="C1620" s="8" t="s">
        <v>16</v>
      </c>
      <c r="D1620" s="9" t="n">
        <v>44316</v>
      </c>
      <c r="E1620" s="9" t="str">
        <f aca="false">TEXT(D1620,"MMM")</f>
        <v>abr</v>
      </c>
      <c r="F1620" s="10" t="n">
        <v>15275.52</v>
      </c>
      <c r="G1620" s="8" t="s">
        <v>11</v>
      </c>
      <c r="H1620" s="8" t="s">
        <v>22</v>
      </c>
      <c r="I1620" s="11" t="s">
        <v>23</v>
      </c>
      <c r="J1620" s="8" t="s">
        <v>24</v>
      </c>
    </row>
    <row r="1621" customFormat="false" ht="14.25" hidden="false" customHeight="false" outlineLevel="0" collapsed="false">
      <c r="A1621" s="8" t="n">
        <v>1620</v>
      </c>
      <c r="B1621" s="8" t="s">
        <v>81</v>
      </c>
      <c r="C1621" s="8" t="s">
        <v>21</v>
      </c>
      <c r="D1621" s="9" t="n">
        <v>44316</v>
      </c>
      <c r="E1621" s="9" t="str">
        <f aca="false">TEXT(D1621,"MMM")</f>
        <v>abr</v>
      </c>
      <c r="F1621" s="10" t="n">
        <v>15275.52</v>
      </c>
      <c r="G1621" s="8" t="s">
        <v>11</v>
      </c>
      <c r="H1621" s="8" t="s">
        <v>12</v>
      </c>
      <c r="I1621" s="11" t="s">
        <v>13</v>
      </c>
      <c r="J1621" s="8" t="s">
        <v>26</v>
      </c>
    </row>
    <row r="1622" customFormat="false" ht="14.25" hidden="false" customHeight="false" outlineLevel="0" collapsed="false">
      <c r="A1622" s="8" t="n">
        <v>1621</v>
      </c>
      <c r="B1622" s="8" t="s">
        <v>49</v>
      </c>
      <c r="C1622" s="8" t="s">
        <v>16</v>
      </c>
      <c r="D1622" s="9" t="n">
        <v>44316</v>
      </c>
      <c r="E1622" s="9" t="str">
        <f aca="false">TEXT(D1622,"MMM")</f>
        <v>abr</v>
      </c>
      <c r="F1622" s="10" t="n">
        <v>15275.52</v>
      </c>
      <c r="G1622" s="8" t="s">
        <v>11</v>
      </c>
      <c r="H1622" s="8" t="s">
        <v>12</v>
      </c>
      <c r="I1622" s="11" t="s">
        <v>13</v>
      </c>
      <c r="J1622" s="8" t="s">
        <v>19</v>
      </c>
    </row>
    <row r="1623" customFormat="false" ht="14.25" hidden="false" customHeight="false" outlineLevel="0" collapsed="false">
      <c r="A1623" s="8" t="n">
        <v>1622</v>
      </c>
      <c r="B1623" s="8" t="s">
        <v>61</v>
      </c>
      <c r="C1623" s="8" t="s">
        <v>28</v>
      </c>
      <c r="D1623" s="9" t="n">
        <v>44316</v>
      </c>
      <c r="E1623" s="9" t="str">
        <f aca="false">TEXT(D1623,"MMM")</f>
        <v>abr</v>
      </c>
      <c r="F1623" s="10" t="n">
        <v>-15057.53</v>
      </c>
      <c r="G1623" s="8" t="s">
        <v>34</v>
      </c>
      <c r="H1623" s="8" t="s">
        <v>12</v>
      </c>
      <c r="I1623" s="11" t="s">
        <v>13</v>
      </c>
      <c r="J1623" s="8" t="s">
        <v>19</v>
      </c>
    </row>
    <row r="1624" customFormat="false" ht="14.25" hidden="false" customHeight="false" outlineLevel="0" collapsed="false">
      <c r="A1624" s="8" t="n">
        <v>1623</v>
      </c>
      <c r="B1624" s="8" t="s">
        <v>62</v>
      </c>
      <c r="C1624" s="8" t="s">
        <v>10</v>
      </c>
      <c r="D1624" s="9" t="n">
        <v>44316</v>
      </c>
      <c r="E1624" s="9" t="str">
        <f aca="false">TEXT(D1624,"MMM")</f>
        <v>abr</v>
      </c>
      <c r="F1624" s="10" t="n">
        <v>14615.67</v>
      </c>
      <c r="G1624" s="8" t="s">
        <v>11</v>
      </c>
      <c r="H1624" s="8" t="s">
        <v>12</v>
      </c>
      <c r="I1624" s="11" t="s">
        <v>13</v>
      </c>
      <c r="J1624" s="8" t="s">
        <v>19</v>
      </c>
    </row>
    <row r="1625" customFormat="false" ht="14.25" hidden="false" customHeight="false" outlineLevel="0" collapsed="false">
      <c r="A1625" s="8" t="n">
        <v>1624</v>
      </c>
      <c r="B1625" s="8" t="s">
        <v>81</v>
      </c>
      <c r="C1625" s="8" t="s">
        <v>21</v>
      </c>
      <c r="D1625" s="9" t="n">
        <v>44316</v>
      </c>
      <c r="E1625" s="9" t="str">
        <f aca="false">TEXT(D1625,"MMM")</f>
        <v>abr</v>
      </c>
      <c r="F1625" s="10" t="n">
        <v>13908.98</v>
      </c>
      <c r="G1625" s="8" t="s">
        <v>11</v>
      </c>
      <c r="H1625" s="8" t="s">
        <v>17</v>
      </c>
      <c r="I1625" s="11" t="s">
        <v>18</v>
      </c>
      <c r="J1625" s="8" t="s">
        <v>26</v>
      </c>
    </row>
    <row r="1626" customFormat="false" ht="14.25" hidden="false" customHeight="false" outlineLevel="0" collapsed="false">
      <c r="A1626" s="8" t="n">
        <v>1625</v>
      </c>
      <c r="B1626" s="8" t="s">
        <v>81</v>
      </c>
      <c r="C1626" s="8" t="s">
        <v>28</v>
      </c>
      <c r="D1626" s="9" t="n">
        <v>44316</v>
      </c>
      <c r="E1626" s="9" t="str">
        <f aca="false">TEXT(D1626,"MMM")</f>
        <v>abr</v>
      </c>
      <c r="F1626" s="10" t="n">
        <v>14912.55</v>
      </c>
      <c r="G1626" s="8" t="s">
        <v>11</v>
      </c>
      <c r="H1626" s="8" t="s">
        <v>17</v>
      </c>
      <c r="I1626" s="11" t="s">
        <v>18</v>
      </c>
      <c r="J1626" s="8" t="s">
        <v>14</v>
      </c>
    </row>
    <row r="1627" customFormat="false" ht="14.25" hidden="false" customHeight="false" outlineLevel="0" collapsed="false">
      <c r="A1627" s="8" t="n">
        <v>1626</v>
      </c>
      <c r="B1627" s="8" t="s">
        <v>81</v>
      </c>
      <c r="C1627" s="8" t="s">
        <v>10</v>
      </c>
      <c r="D1627" s="9" t="n">
        <v>44316</v>
      </c>
      <c r="E1627" s="9" t="str">
        <f aca="false">TEXT(D1627,"MMM")</f>
        <v>abr</v>
      </c>
      <c r="F1627" s="10" t="n">
        <v>15213.99</v>
      </c>
      <c r="G1627" s="8" t="s">
        <v>11</v>
      </c>
      <c r="H1627" s="8" t="s">
        <v>12</v>
      </c>
      <c r="I1627" s="11" t="s">
        <v>13</v>
      </c>
      <c r="J1627" s="8" t="s">
        <v>19</v>
      </c>
    </row>
    <row r="1628" customFormat="false" ht="14.25" hidden="false" customHeight="false" outlineLevel="0" collapsed="false">
      <c r="A1628" s="8" t="n">
        <v>1627</v>
      </c>
      <c r="B1628" s="8" t="s">
        <v>145</v>
      </c>
      <c r="C1628" s="8" t="s">
        <v>21</v>
      </c>
      <c r="D1628" s="9" t="n">
        <v>44318</v>
      </c>
      <c r="E1628" s="9" t="str">
        <f aca="false">TEXT(D1628,"MMM")</f>
        <v>mai</v>
      </c>
      <c r="F1628" s="10" t="n">
        <v>15515.26</v>
      </c>
      <c r="G1628" s="8" t="s">
        <v>11</v>
      </c>
      <c r="H1628" s="8" t="s">
        <v>17</v>
      </c>
      <c r="I1628" s="11" t="s">
        <v>18</v>
      </c>
      <c r="J1628" s="8" t="s">
        <v>19</v>
      </c>
    </row>
    <row r="1629" customFormat="false" ht="14.25" hidden="false" customHeight="false" outlineLevel="0" collapsed="false">
      <c r="A1629" s="8" t="n">
        <v>1628</v>
      </c>
      <c r="B1629" s="8" t="s">
        <v>9</v>
      </c>
      <c r="C1629" s="8" t="s">
        <v>28</v>
      </c>
      <c r="D1629" s="9" t="n">
        <v>44318</v>
      </c>
      <c r="E1629" s="9" t="str">
        <f aca="false">TEXT(D1629,"MMM")</f>
        <v>mai</v>
      </c>
      <c r="F1629" s="10" t="n">
        <v>-190408.86</v>
      </c>
      <c r="G1629" s="8" t="s">
        <v>34</v>
      </c>
      <c r="H1629" s="8" t="s">
        <v>22</v>
      </c>
      <c r="I1629" s="11" t="s">
        <v>23</v>
      </c>
      <c r="J1629" s="8" t="s">
        <v>26</v>
      </c>
    </row>
    <row r="1630" customFormat="false" ht="14.25" hidden="false" customHeight="false" outlineLevel="0" collapsed="false">
      <c r="A1630" s="8" t="n">
        <v>1629</v>
      </c>
      <c r="B1630" s="8" t="s">
        <v>9</v>
      </c>
      <c r="C1630" s="8" t="s">
        <v>16</v>
      </c>
      <c r="D1630" s="9" t="n">
        <v>44318</v>
      </c>
      <c r="E1630" s="9" t="str">
        <f aca="false">TEXT(D1630,"MMM")</f>
        <v>mai</v>
      </c>
      <c r="F1630" s="10" t="n">
        <v>-3681.02</v>
      </c>
      <c r="G1630" s="8" t="s">
        <v>34</v>
      </c>
      <c r="H1630" s="8" t="s">
        <v>12</v>
      </c>
      <c r="I1630" s="11" t="s">
        <v>13</v>
      </c>
      <c r="J1630" s="8" t="s">
        <v>26</v>
      </c>
    </row>
    <row r="1631" customFormat="false" ht="14.25" hidden="false" customHeight="false" outlineLevel="0" collapsed="false">
      <c r="A1631" s="8" t="n">
        <v>1630</v>
      </c>
      <c r="B1631" s="8" t="s">
        <v>160</v>
      </c>
      <c r="C1631" s="8" t="s">
        <v>28</v>
      </c>
      <c r="D1631" s="9" t="n">
        <v>44319</v>
      </c>
      <c r="E1631" s="9" t="str">
        <f aca="false">TEXT(D1631,"MMM")</f>
        <v>mai</v>
      </c>
      <c r="F1631" s="10" t="n">
        <v>-8806.49</v>
      </c>
      <c r="G1631" s="8" t="s">
        <v>34</v>
      </c>
      <c r="H1631" s="8" t="s">
        <v>12</v>
      </c>
      <c r="I1631" s="11" t="s">
        <v>13</v>
      </c>
      <c r="J1631" s="8" t="s">
        <v>14</v>
      </c>
    </row>
    <row r="1632" customFormat="false" ht="14.25" hidden="false" customHeight="false" outlineLevel="0" collapsed="false">
      <c r="A1632" s="8" t="n">
        <v>1631</v>
      </c>
      <c r="B1632" s="8" t="s">
        <v>168</v>
      </c>
      <c r="C1632" s="8" t="s">
        <v>10</v>
      </c>
      <c r="D1632" s="9" t="n">
        <v>44319</v>
      </c>
      <c r="E1632" s="9" t="str">
        <f aca="false">TEXT(D1632,"MMM")</f>
        <v>mai</v>
      </c>
      <c r="F1632" s="10" t="n">
        <v>-6997.2</v>
      </c>
      <c r="G1632" s="8" t="s">
        <v>34</v>
      </c>
      <c r="H1632" s="8" t="s">
        <v>22</v>
      </c>
      <c r="I1632" s="11" t="s">
        <v>23</v>
      </c>
      <c r="J1632" s="8" t="s">
        <v>14</v>
      </c>
    </row>
    <row r="1633" customFormat="false" ht="14.25" hidden="false" customHeight="false" outlineLevel="0" collapsed="false">
      <c r="A1633" s="8" t="n">
        <v>1632</v>
      </c>
      <c r="B1633" s="8" t="s">
        <v>9</v>
      </c>
      <c r="C1633" s="8" t="s">
        <v>16</v>
      </c>
      <c r="D1633" s="9" t="n">
        <v>44319</v>
      </c>
      <c r="E1633" s="9" t="str">
        <f aca="false">TEXT(D1633,"MMM")</f>
        <v>mai</v>
      </c>
      <c r="F1633" s="10" t="n">
        <v>-11634.53</v>
      </c>
      <c r="G1633" s="8" t="s">
        <v>34</v>
      </c>
      <c r="H1633" s="8" t="s">
        <v>17</v>
      </c>
      <c r="I1633" s="11" t="s">
        <v>18</v>
      </c>
      <c r="J1633" s="8" t="s">
        <v>26</v>
      </c>
    </row>
    <row r="1634" customFormat="false" ht="14.25" hidden="false" customHeight="false" outlineLevel="0" collapsed="false">
      <c r="A1634" s="8" t="n">
        <v>1633</v>
      </c>
      <c r="B1634" s="8" t="s">
        <v>149</v>
      </c>
      <c r="C1634" s="8" t="s">
        <v>16</v>
      </c>
      <c r="D1634" s="9" t="n">
        <v>44320</v>
      </c>
      <c r="E1634" s="9" t="str">
        <f aca="false">TEXT(D1634,"MMM")</f>
        <v>mai</v>
      </c>
      <c r="F1634" s="10" t="n">
        <v>-10305.61</v>
      </c>
      <c r="G1634" s="8" t="s">
        <v>34</v>
      </c>
      <c r="H1634" s="8" t="s">
        <v>30</v>
      </c>
      <c r="I1634" s="11" t="s">
        <v>31</v>
      </c>
      <c r="J1634" s="8" t="s">
        <v>26</v>
      </c>
    </row>
    <row r="1635" customFormat="false" ht="14.25" hidden="false" customHeight="false" outlineLevel="0" collapsed="false">
      <c r="A1635" s="8" t="n">
        <v>1634</v>
      </c>
      <c r="B1635" s="8" t="s">
        <v>9</v>
      </c>
      <c r="C1635" s="8" t="s">
        <v>10</v>
      </c>
      <c r="D1635" s="9" t="n">
        <v>44320</v>
      </c>
      <c r="E1635" s="9" t="str">
        <f aca="false">TEXT(D1635,"MMM")</f>
        <v>mai</v>
      </c>
      <c r="F1635" s="10" t="n">
        <v>-5386.05</v>
      </c>
      <c r="G1635" s="8" t="s">
        <v>34</v>
      </c>
      <c r="H1635" s="8" t="s">
        <v>12</v>
      </c>
      <c r="I1635" s="11" t="s">
        <v>13</v>
      </c>
      <c r="J1635" s="8" t="s">
        <v>26</v>
      </c>
    </row>
    <row r="1636" customFormat="false" ht="14.25" hidden="false" customHeight="false" outlineLevel="0" collapsed="false">
      <c r="A1636" s="8" t="n">
        <v>1635</v>
      </c>
      <c r="B1636" s="8" t="s">
        <v>39</v>
      </c>
      <c r="C1636" s="8" t="s">
        <v>21</v>
      </c>
      <c r="D1636" s="9" t="n">
        <v>44320</v>
      </c>
      <c r="E1636" s="9" t="str">
        <f aca="false">TEXT(D1636,"MMM")</f>
        <v>mai</v>
      </c>
      <c r="F1636" s="10" t="n">
        <v>-7271.46</v>
      </c>
      <c r="G1636" s="8" t="s">
        <v>34</v>
      </c>
      <c r="H1636" s="8" t="s">
        <v>22</v>
      </c>
      <c r="I1636" s="11" t="s">
        <v>23</v>
      </c>
      <c r="J1636" s="8" t="s">
        <v>26</v>
      </c>
    </row>
    <row r="1637" customFormat="false" ht="14.25" hidden="false" customHeight="false" outlineLevel="0" collapsed="false">
      <c r="A1637" s="8" t="n">
        <v>1636</v>
      </c>
      <c r="B1637" s="8" t="s">
        <v>85</v>
      </c>
      <c r="C1637" s="8" t="s">
        <v>10</v>
      </c>
      <c r="D1637" s="9" t="n">
        <v>44323</v>
      </c>
      <c r="E1637" s="9" t="str">
        <f aca="false">TEXT(D1637,"MMM")</f>
        <v>mai</v>
      </c>
      <c r="F1637" s="10" t="n">
        <v>-12666.15</v>
      </c>
      <c r="G1637" s="8" t="s">
        <v>34</v>
      </c>
      <c r="H1637" s="8" t="s">
        <v>17</v>
      </c>
      <c r="I1637" s="11" t="s">
        <v>18</v>
      </c>
      <c r="J1637" s="8" t="s">
        <v>14</v>
      </c>
    </row>
    <row r="1638" customFormat="false" ht="14.25" hidden="false" customHeight="false" outlineLevel="0" collapsed="false">
      <c r="A1638" s="8" t="n">
        <v>1637</v>
      </c>
      <c r="B1638" s="8" t="s">
        <v>85</v>
      </c>
      <c r="C1638" s="8" t="s">
        <v>16</v>
      </c>
      <c r="D1638" s="9" t="n">
        <v>44323</v>
      </c>
      <c r="E1638" s="9" t="str">
        <f aca="false">TEXT(D1638,"MMM")</f>
        <v>mai</v>
      </c>
      <c r="F1638" s="10" t="n">
        <v>-473.31</v>
      </c>
      <c r="G1638" s="8" t="s">
        <v>34</v>
      </c>
      <c r="H1638" s="8" t="s">
        <v>22</v>
      </c>
      <c r="I1638" s="11" t="s">
        <v>23</v>
      </c>
      <c r="J1638" s="8" t="s">
        <v>14</v>
      </c>
    </row>
    <row r="1639" customFormat="false" ht="14.25" hidden="false" customHeight="false" outlineLevel="0" collapsed="false">
      <c r="A1639" s="8" t="n">
        <v>1638</v>
      </c>
      <c r="B1639" s="8" t="s">
        <v>86</v>
      </c>
      <c r="C1639" s="8" t="s">
        <v>10</v>
      </c>
      <c r="D1639" s="9" t="n">
        <v>44323</v>
      </c>
      <c r="E1639" s="9" t="str">
        <f aca="false">TEXT(D1639,"MMM")</f>
        <v>mai</v>
      </c>
      <c r="F1639" s="10" t="n">
        <v>-6995.03</v>
      </c>
      <c r="G1639" s="8" t="s">
        <v>34</v>
      </c>
      <c r="H1639" s="8" t="s">
        <v>36</v>
      </c>
      <c r="I1639" s="11" t="s">
        <v>37</v>
      </c>
      <c r="J1639" s="8" t="s">
        <v>26</v>
      </c>
    </row>
    <row r="1640" customFormat="false" ht="14.25" hidden="false" customHeight="false" outlineLevel="0" collapsed="false">
      <c r="A1640" s="8" t="n">
        <v>1639</v>
      </c>
      <c r="B1640" s="8" t="s">
        <v>39</v>
      </c>
      <c r="C1640" s="8" t="s">
        <v>10</v>
      </c>
      <c r="D1640" s="9" t="n">
        <v>44323</v>
      </c>
      <c r="E1640" s="9" t="str">
        <f aca="false">TEXT(D1640,"MMM")</f>
        <v>mai</v>
      </c>
      <c r="F1640" s="10" t="n">
        <v>-15146.99</v>
      </c>
      <c r="G1640" s="8" t="s">
        <v>34</v>
      </c>
      <c r="H1640" s="8" t="s">
        <v>12</v>
      </c>
      <c r="I1640" s="11" t="s">
        <v>13</v>
      </c>
      <c r="J1640" s="8" t="s">
        <v>14</v>
      </c>
    </row>
    <row r="1641" customFormat="false" ht="14.25" hidden="false" customHeight="false" outlineLevel="0" collapsed="false">
      <c r="A1641" s="8" t="n">
        <v>1640</v>
      </c>
      <c r="B1641" s="8" t="s">
        <v>173</v>
      </c>
      <c r="C1641" s="8" t="s">
        <v>16</v>
      </c>
      <c r="D1641" s="9" t="n">
        <v>44325</v>
      </c>
      <c r="E1641" s="9" t="str">
        <f aca="false">TEXT(D1641,"MMM")</f>
        <v>mai</v>
      </c>
      <c r="F1641" s="10" t="n">
        <v>-16700.08</v>
      </c>
      <c r="G1641" s="8" t="s">
        <v>34</v>
      </c>
      <c r="H1641" s="8" t="s">
        <v>22</v>
      </c>
      <c r="I1641" s="11" t="s">
        <v>23</v>
      </c>
      <c r="J1641" s="8" t="s">
        <v>26</v>
      </c>
    </row>
    <row r="1642" customFormat="false" ht="14.25" hidden="false" customHeight="false" outlineLevel="0" collapsed="false">
      <c r="A1642" s="8" t="n">
        <v>1641</v>
      </c>
      <c r="B1642" s="8" t="s">
        <v>174</v>
      </c>
      <c r="C1642" s="8" t="s">
        <v>21</v>
      </c>
      <c r="D1642" s="9" t="n">
        <v>44325</v>
      </c>
      <c r="E1642" s="9" t="str">
        <f aca="false">TEXT(D1642,"MMM")</f>
        <v>mai</v>
      </c>
      <c r="F1642" s="10" t="n">
        <v>-19623.73</v>
      </c>
      <c r="G1642" s="8" t="s">
        <v>34</v>
      </c>
      <c r="H1642" s="8" t="s">
        <v>22</v>
      </c>
      <c r="I1642" s="11" t="s">
        <v>23</v>
      </c>
      <c r="J1642" s="8" t="s">
        <v>14</v>
      </c>
    </row>
    <row r="1643" customFormat="false" ht="14.25" hidden="false" customHeight="false" outlineLevel="0" collapsed="false">
      <c r="A1643" s="8" t="n">
        <v>1642</v>
      </c>
      <c r="B1643" s="8" t="s">
        <v>179</v>
      </c>
      <c r="C1643" s="8" t="s">
        <v>10</v>
      </c>
      <c r="D1643" s="9" t="n">
        <v>44325</v>
      </c>
      <c r="E1643" s="9" t="str">
        <f aca="false">TEXT(D1643,"MMM")</f>
        <v>mai</v>
      </c>
      <c r="F1643" s="10" t="n">
        <v>-14786</v>
      </c>
      <c r="G1643" s="8" t="s">
        <v>34</v>
      </c>
      <c r="H1643" s="8" t="s">
        <v>17</v>
      </c>
      <c r="I1643" s="11" t="s">
        <v>18</v>
      </c>
      <c r="J1643" s="8" t="s">
        <v>24</v>
      </c>
    </row>
    <row r="1644" customFormat="false" ht="14.25" hidden="false" customHeight="false" outlineLevel="0" collapsed="false">
      <c r="A1644" s="8" t="n">
        <v>1643</v>
      </c>
      <c r="B1644" s="8" t="s">
        <v>57</v>
      </c>
      <c r="C1644" s="8" t="s">
        <v>28</v>
      </c>
      <c r="D1644" s="9" t="n">
        <v>44325</v>
      </c>
      <c r="E1644" s="9" t="str">
        <f aca="false">TEXT(D1644,"MMM")</f>
        <v>mai</v>
      </c>
      <c r="F1644" s="10" t="n">
        <v>-28782.67</v>
      </c>
      <c r="G1644" s="8" t="s">
        <v>34</v>
      </c>
      <c r="H1644" s="8" t="s">
        <v>12</v>
      </c>
      <c r="I1644" s="11" t="s">
        <v>13</v>
      </c>
      <c r="J1644" s="8" t="s">
        <v>24</v>
      </c>
    </row>
    <row r="1645" customFormat="false" ht="14.25" hidden="false" customHeight="false" outlineLevel="0" collapsed="false">
      <c r="A1645" s="8" t="n">
        <v>1644</v>
      </c>
      <c r="B1645" s="8" t="s">
        <v>72</v>
      </c>
      <c r="C1645" s="8" t="s">
        <v>28</v>
      </c>
      <c r="D1645" s="9" t="n">
        <v>44325</v>
      </c>
      <c r="E1645" s="9" t="str">
        <f aca="false">TEXT(D1645,"MMM")</f>
        <v>mai</v>
      </c>
      <c r="F1645" s="10" t="n">
        <v>-28782.67</v>
      </c>
      <c r="G1645" s="8" t="s">
        <v>34</v>
      </c>
      <c r="H1645" s="8" t="s">
        <v>36</v>
      </c>
      <c r="I1645" s="11" t="s">
        <v>37</v>
      </c>
      <c r="J1645" s="8" t="s">
        <v>14</v>
      </c>
    </row>
    <row r="1646" customFormat="false" ht="14.25" hidden="false" customHeight="false" outlineLevel="0" collapsed="false">
      <c r="A1646" s="8" t="n">
        <v>1645</v>
      </c>
      <c r="B1646" s="8" t="s">
        <v>44</v>
      </c>
      <c r="C1646" s="8" t="s">
        <v>21</v>
      </c>
      <c r="D1646" s="9" t="n">
        <v>44325</v>
      </c>
      <c r="E1646" s="9" t="str">
        <f aca="false">TEXT(D1646,"MMM")</f>
        <v>mai</v>
      </c>
      <c r="F1646" s="10" t="n">
        <v>-15170.33</v>
      </c>
      <c r="G1646" s="8" t="s">
        <v>34</v>
      </c>
      <c r="H1646" s="8" t="s">
        <v>17</v>
      </c>
      <c r="I1646" s="11" t="s">
        <v>18</v>
      </c>
      <c r="J1646" s="8" t="s">
        <v>14</v>
      </c>
    </row>
    <row r="1647" customFormat="false" ht="14.25" hidden="false" customHeight="false" outlineLevel="0" collapsed="false">
      <c r="A1647" s="8" t="n">
        <v>1646</v>
      </c>
      <c r="B1647" s="8" t="s">
        <v>73</v>
      </c>
      <c r="C1647" s="8" t="s">
        <v>10</v>
      </c>
      <c r="D1647" s="9" t="n">
        <v>44325</v>
      </c>
      <c r="E1647" s="9" t="str">
        <f aca="false">TEXT(D1647,"MMM")</f>
        <v>mai</v>
      </c>
      <c r="F1647" s="10" t="n">
        <v>-12956.93</v>
      </c>
      <c r="G1647" s="8" t="s">
        <v>34</v>
      </c>
      <c r="H1647" s="8" t="s">
        <v>12</v>
      </c>
      <c r="I1647" s="11" t="s">
        <v>13</v>
      </c>
      <c r="J1647" s="8" t="s">
        <v>14</v>
      </c>
    </row>
    <row r="1648" customFormat="false" ht="14.25" hidden="false" customHeight="false" outlineLevel="0" collapsed="false">
      <c r="A1648" s="8" t="n">
        <v>1647</v>
      </c>
      <c r="B1648" s="8" t="s">
        <v>57</v>
      </c>
      <c r="C1648" s="8" t="s">
        <v>10</v>
      </c>
      <c r="D1648" s="9" t="n">
        <v>44325</v>
      </c>
      <c r="E1648" s="9" t="str">
        <f aca="false">TEXT(D1648,"MMM")</f>
        <v>mai</v>
      </c>
      <c r="F1648" s="10" t="n">
        <v>-14931</v>
      </c>
      <c r="G1648" s="8" t="s">
        <v>34</v>
      </c>
      <c r="H1648" s="8" t="s">
        <v>17</v>
      </c>
      <c r="I1648" s="11" t="s">
        <v>18</v>
      </c>
      <c r="J1648" s="8" t="s">
        <v>26</v>
      </c>
    </row>
    <row r="1649" customFormat="false" ht="14.25" hidden="false" customHeight="false" outlineLevel="0" collapsed="false">
      <c r="A1649" s="8" t="n">
        <v>1648</v>
      </c>
      <c r="B1649" s="8" t="s">
        <v>72</v>
      </c>
      <c r="C1649" s="8" t="s">
        <v>10</v>
      </c>
      <c r="D1649" s="9" t="n">
        <v>44325</v>
      </c>
      <c r="E1649" s="9" t="str">
        <f aca="false">TEXT(D1649,"MMM")</f>
        <v>mai</v>
      </c>
      <c r="F1649" s="10" t="n">
        <v>-17741.08</v>
      </c>
      <c r="G1649" s="8" t="s">
        <v>34</v>
      </c>
      <c r="H1649" s="8" t="s">
        <v>30</v>
      </c>
      <c r="I1649" s="11" t="s">
        <v>31</v>
      </c>
      <c r="J1649" s="8" t="s">
        <v>19</v>
      </c>
    </row>
    <row r="1650" customFormat="false" ht="14.25" hidden="false" customHeight="false" outlineLevel="0" collapsed="false">
      <c r="A1650" s="8" t="n">
        <v>1649</v>
      </c>
      <c r="B1650" s="8" t="s">
        <v>44</v>
      </c>
      <c r="C1650" s="8" t="s">
        <v>16</v>
      </c>
      <c r="D1650" s="9" t="n">
        <v>44325</v>
      </c>
      <c r="E1650" s="9" t="str">
        <f aca="false">TEXT(D1650,"MMM")</f>
        <v>mai</v>
      </c>
      <c r="F1650" s="10" t="n">
        <v>128274.9</v>
      </c>
      <c r="G1650" s="8" t="s">
        <v>11</v>
      </c>
      <c r="H1650" s="8" t="s">
        <v>12</v>
      </c>
      <c r="I1650" s="11" t="s">
        <v>13</v>
      </c>
      <c r="J1650" s="8" t="s">
        <v>24</v>
      </c>
    </row>
    <row r="1651" customFormat="false" ht="14.25" hidden="false" customHeight="false" outlineLevel="0" collapsed="false">
      <c r="A1651" s="8" t="n">
        <v>1650</v>
      </c>
      <c r="B1651" s="8" t="s">
        <v>73</v>
      </c>
      <c r="C1651" s="8" t="s">
        <v>28</v>
      </c>
      <c r="D1651" s="9" t="n">
        <v>44325</v>
      </c>
      <c r="E1651" s="9" t="str">
        <f aca="false">TEXT(D1651,"MMM")</f>
        <v>mai</v>
      </c>
      <c r="F1651" s="10" t="n">
        <v>35406.61</v>
      </c>
      <c r="G1651" s="8" t="s">
        <v>11</v>
      </c>
      <c r="H1651" s="8" t="s">
        <v>12</v>
      </c>
      <c r="I1651" s="11" t="s">
        <v>13</v>
      </c>
      <c r="J1651" s="8" t="s">
        <v>14</v>
      </c>
    </row>
    <row r="1652" customFormat="false" ht="14.25" hidden="false" customHeight="false" outlineLevel="0" collapsed="false">
      <c r="A1652" s="8" t="n">
        <v>1651</v>
      </c>
      <c r="B1652" s="8" t="s">
        <v>73</v>
      </c>
      <c r="C1652" s="8" t="s">
        <v>10</v>
      </c>
      <c r="D1652" s="9" t="n">
        <v>44325</v>
      </c>
      <c r="E1652" s="9" t="str">
        <f aca="false">TEXT(D1652,"MMM")</f>
        <v>mai</v>
      </c>
      <c r="F1652" s="10" t="n">
        <v>37938.72</v>
      </c>
      <c r="G1652" s="8" t="s">
        <v>11</v>
      </c>
      <c r="H1652" s="8" t="s">
        <v>12</v>
      </c>
      <c r="I1652" s="11" t="s">
        <v>13</v>
      </c>
      <c r="J1652" s="8" t="s">
        <v>14</v>
      </c>
    </row>
    <row r="1653" customFormat="false" ht="14.25" hidden="false" customHeight="false" outlineLevel="0" collapsed="false">
      <c r="A1653" s="8" t="n">
        <v>1652</v>
      </c>
      <c r="B1653" s="8" t="s">
        <v>145</v>
      </c>
      <c r="C1653" s="8" t="s">
        <v>28</v>
      </c>
      <c r="D1653" s="9" t="n">
        <v>44326</v>
      </c>
      <c r="E1653" s="9" t="str">
        <f aca="false">TEXT(D1653,"MMM")</f>
        <v>mai</v>
      </c>
      <c r="F1653" s="10" t="n">
        <v>36468.8</v>
      </c>
      <c r="G1653" s="8" t="s">
        <v>11</v>
      </c>
      <c r="H1653" s="8" t="s">
        <v>22</v>
      </c>
      <c r="I1653" s="11" t="s">
        <v>23</v>
      </c>
      <c r="J1653" s="8" t="s">
        <v>14</v>
      </c>
    </row>
    <row r="1654" customFormat="false" ht="14.25" hidden="false" customHeight="false" outlineLevel="0" collapsed="false">
      <c r="A1654" s="8" t="n">
        <v>1653</v>
      </c>
      <c r="B1654" s="8" t="s">
        <v>40</v>
      </c>
      <c r="C1654" s="8" t="s">
        <v>21</v>
      </c>
      <c r="D1654" s="9" t="n">
        <v>44326</v>
      </c>
      <c r="E1654" s="9" t="str">
        <f aca="false">TEXT(D1654,"MMM")</f>
        <v>mai</v>
      </c>
      <c r="F1654" s="10" t="n">
        <v>37552.47</v>
      </c>
      <c r="G1654" s="8" t="s">
        <v>11</v>
      </c>
      <c r="H1654" s="8" t="s">
        <v>12</v>
      </c>
      <c r="I1654" s="11" t="s">
        <v>13</v>
      </c>
      <c r="J1654" s="8" t="s">
        <v>19</v>
      </c>
    </row>
    <row r="1655" customFormat="false" ht="14.25" hidden="false" customHeight="false" outlineLevel="0" collapsed="false">
      <c r="A1655" s="8" t="n">
        <v>1654</v>
      </c>
      <c r="B1655" s="8" t="s">
        <v>176</v>
      </c>
      <c r="C1655" s="8" t="s">
        <v>21</v>
      </c>
      <c r="D1655" s="9" t="n">
        <v>44327</v>
      </c>
      <c r="E1655" s="9" t="str">
        <f aca="false">TEXT(D1655,"MMM")</f>
        <v>mai</v>
      </c>
      <c r="F1655" s="10" t="n">
        <v>-18157.62</v>
      </c>
      <c r="G1655" s="8" t="s">
        <v>34</v>
      </c>
      <c r="H1655" s="8" t="s">
        <v>12</v>
      </c>
      <c r="I1655" s="11" t="s">
        <v>13</v>
      </c>
      <c r="J1655" s="8" t="s">
        <v>26</v>
      </c>
    </row>
    <row r="1656" customFormat="false" ht="14.25" hidden="false" customHeight="false" outlineLevel="0" collapsed="false">
      <c r="A1656" s="8" t="n">
        <v>1655</v>
      </c>
      <c r="B1656" s="8" t="s">
        <v>172</v>
      </c>
      <c r="C1656" s="8" t="s">
        <v>21</v>
      </c>
      <c r="D1656" s="9" t="n">
        <v>44327</v>
      </c>
      <c r="E1656" s="9" t="str">
        <f aca="false">TEXT(D1656,"MMM")</f>
        <v>mai</v>
      </c>
      <c r="F1656" s="10" t="n">
        <v>-20446.37</v>
      </c>
      <c r="G1656" s="8" t="s">
        <v>34</v>
      </c>
      <c r="H1656" s="8" t="s">
        <v>17</v>
      </c>
      <c r="I1656" s="11" t="s">
        <v>18</v>
      </c>
      <c r="J1656" s="8" t="s">
        <v>14</v>
      </c>
    </row>
    <row r="1657" customFormat="false" ht="14.25" hidden="false" customHeight="false" outlineLevel="0" collapsed="false">
      <c r="A1657" s="8" t="n">
        <v>1656</v>
      </c>
      <c r="B1657" s="8" t="s">
        <v>145</v>
      </c>
      <c r="C1657" s="8" t="s">
        <v>28</v>
      </c>
      <c r="D1657" s="9" t="n">
        <v>44327</v>
      </c>
      <c r="E1657" s="9" t="str">
        <f aca="false">TEXT(D1657,"MMM")</f>
        <v>mai</v>
      </c>
      <c r="F1657" s="10" t="n">
        <v>-5889.31</v>
      </c>
      <c r="G1657" s="8" t="s">
        <v>34</v>
      </c>
      <c r="H1657" s="8" t="s">
        <v>36</v>
      </c>
      <c r="I1657" s="11" t="s">
        <v>37</v>
      </c>
      <c r="J1657" s="8" t="s">
        <v>19</v>
      </c>
    </row>
    <row r="1658" customFormat="false" ht="14.25" hidden="false" customHeight="false" outlineLevel="0" collapsed="false">
      <c r="A1658" s="8" t="n">
        <v>1657</v>
      </c>
      <c r="B1658" s="8" t="s">
        <v>40</v>
      </c>
      <c r="C1658" s="8" t="s">
        <v>16</v>
      </c>
      <c r="D1658" s="9" t="n">
        <v>44327</v>
      </c>
      <c r="E1658" s="9" t="str">
        <f aca="false">TEXT(D1658,"MMM")</f>
        <v>mai</v>
      </c>
      <c r="F1658" s="10" t="n">
        <v>-25191.39</v>
      </c>
      <c r="G1658" s="8" t="s">
        <v>34</v>
      </c>
      <c r="H1658" s="8" t="s">
        <v>22</v>
      </c>
      <c r="I1658" s="11" t="s">
        <v>23</v>
      </c>
      <c r="J1658" s="8" t="s">
        <v>26</v>
      </c>
    </row>
    <row r="1659" customFormat="false" ht="14.25" hidden="false" customHeight="false" outlineLevel="0" collapsed="false">
      <c r="A1659" s="8" t="n">
        <v>1658</v>
      </c>
      <c r="B1659" s="8" t="s">
        <v>39</v>
      </c>
      <c r="C1659" s="8" t="s">
        <v>21</v>
      </c>
      <c r="D1659" s="9" t="n">
        <v>44327</v>
      </c>
      <c r="E1659" s="9" t="str">
        <f aca="false">TEXT(D1659,"MMM")</f>
        <v>mai</v>
      </c>
      <c r="F1659" s="10" t="n">
        <v>155997.48</v>
      </c>
      <c r="G1659" s="8" t="s">
        <v>11</v>
      </c>
      <c r="H1659" s="8" t="s">
        <v>12</v>
      </c>
      <c r="I1659" s="11" t="s">
        <v>13</v>
      </c>
      <c r="J1659" s="8" t="s">
        <v>26</v>
      </c>
    </row>
    <row r="1660" customFormat="false" ht="14.25" hidden="false" customHeight="false" outlineLevel="0" collapsed="false">
      <c r="A1660" s="8" t="n">
        <v>1659</v>
      </c>
      <c r="B1660" s="8" t="s">
        <v>117</v>
      </c>
      <c r="C1660" s="8" t="s">
        <v>21</v>
      </c>
      <c r="D1660" s="9" t="n">
        <v>44327</v>
      </c>
      <c r="E1660" s="9" t="str">
        <f aca="false">TEXT(D1660,"MMM")</f>
        <v>mai</v>
      </c>
      <c r="F1660" s="10" t="n">
        <v>-2215.78</v>
      </c>
      <c r="G1660" s="8" t="s">
        <v>34</v>
      </c>
      <c r="H1660" s="8" t="s">
        <v>12</v>
      </c>
      <c r="I1660" s="11" t="s">
        <v>13</v>
      </c>
      <c r="J1660" s="8" t="s">
        <v>14</v>
      </c>
    </row>
    <row r="1661" customFormat="false" ht="14.25" hidden="false" customHeight="false" outlineLevel="0" collapsed="false">
      <c r="A1661" s="8" t="n">
        <v>1660</v>
      </c>
      <c r="B1661" s="8" t="s">
        <v>39</v>
      </c>
      <c r="C1661" s="8" t="s">
        <v>28</v>
      </c>
      <c r="D1661" s="9" t="n">
        <v>44327</v>
      </c>
      <c r="E1661" s="9" t="str">
        <f aca="false">TEXT(D1661,"MMM")</f>
        <v>mai</v>
      </c>
      <c r="F1661" s="10" t="n">
        <v>-3562.97</v>
      </c>
      <c r="G1661" s="8" t="s">
        <v>34</v>
      </c>
      <c r="H1661" s="8" t="s">
        <v>22</v>
      </c>
      <c r="I1661" s="11" t="s">
        <v>23</v>
      </c>
      <c r="J1661" s="8" t="s">
        <v>14</v>
      </c>
    </row>
    <row r="1662" customFormat="false" ht="14.25" hidden="false" customHeight="false" outlineLevel="0" collapsed="false">
      <c r="A1662" s="8" t="n">
        <v>1661</v>
      </c>
      <c r="B1662" s="8" t="s">
        <v>180</v>
      </c>
      <c r="C1662" s="8" t="s">
        <v>28</v>
      </c>
      <c r="D1662" s="9" t="n">
        <v>44330</v>
      </c>
      <c r="E1662" s="9" t="str">
        <f aca="false">TEXT(D1662,"MMM")</f>
        <v>mai</v>
      </c>
      <c r="F1662" s="10" t="n">
        <v>-3288.88</v>
      </c>
      <c r="G1662" s="8" t="s">
        <v>34</v>
      </c>
      <c r="H1662" s="8" t="s">
        <v>36</v>
      </c>
      <c r="I1662" s="11" t="s">
        <v>37</v>
      </c>
      <c r="J1662" s="8" t="s">
        <v>19</v>
      </c>
    </row>
    <row r="1663" customFormat="false" ht="14.25" hidden="false" customHeight="false" outlineLevel="0" collapsed="false">
      <c r="A1663" s="8" t="n">
        <v>1662</v>
      </c>
      <c r="B1663" s="8" t="s">
        <v>50</v>
      </c>
      <c r="C1663" s="8" t="s">
        <v>21</v>
      </c>
      <c r="D1663" s="9" t="n">
        <v>44330</v>
      </c>
      <c r="E1663" s="9" t="str">
        <f aca="false">TEXT(D1663,"MMM")</f>
        <v>mai</v>
      </c>
      <c r="F1663" s="10" t="n">
        <v>-3695.23</v>
      </c>
      <c r="G1663" s="8" t="s">
        <v>34</v>
      </c>
      <c r="H1663" s="8" t="s">
        <v>30</v>
      </c>
      <c r="I1663" s="11" t="s">
        <v>31</v>
      </c>
      <c r="J1663" s="8" t="s">
        <v>26</v>
      </c>
    </row>
    <row r="1664" customFormat="false" ht="14.25" hidden="false" customHeight="false" outlineLevel="0" collapsed="false">
      <c r="A1664" s="8" t="n">
        <v>1663</v>
      </c>
      <c r="B1664" s="8" t="s">
        <v>159</v>
      </c>
      <c r="C1664" s="8" t="s">
        <v>10</v>
      </c>
      <c r="D1664" s="9" t="n">
        <v>44330</v>
      </c>
      <c r="E1664" s="9" t="str">
        <f aca="false">TEXT(D1664,"MMM")</f>
        <v>mai</v>
      </c>
      <c r="F1664" s="10" t="n">
        <v>-16937.9</v>
      </c>
      <c r="G1664" s="8" t="s">
        <v>34</v>
      </c>
      <c r="H1664" s="8" t="s">
        <v>12</v>
      </c>
      <c r="I1664" s="11" t="s">
        <v>13</v>
      </c>
      <c r="J1664" s="8" t="s">
        <v>14</v>
      </c>
    </row>
    <row r="1665" customFormat="false" ht="14.25" hidden="false" customHeight="false" outlineLevel="0" collapsed="false">
      <c r="A1665" s="8" t="n">
        <v>1664</v>
      </c>
      <c r="B1665" s="8" t="s">
        <v>85</v>
      </c>
      <c r="C1665" s="8" t="s">
        <v>28</v>
      </c>
      <c r="D1665" s="9" t="n">
        <v>44330</v>
      </c>
      <c r="E1665" s="9" t="str">
        <f aca="false">TEXT(D1665,"MMM")</f>
        <v>mai</v>
      </c>
      <c r="F1665" s="10" t="n">
        <v>-5540.64</v>
      </c>
      <c r="G1665" s="8" t="s">
        <v>34</v>
      </c>
      <c r="H1665" s="8" t="s">
        <v>17</v>
      </c>
      <c r="I1665" s="11" t="s">
        <v>18</v>
      </c>
      <c r="J1665" s="8" t="s">
        <v>14</v>
      </c>
    </row>
    <row r="1666" customFormat="false" ht="14.25" hidden="false" customHeight="false" outlineLevel="0" collapsed="false">
      <c r="A1666" s="8" t="n">
        <v>1665</v>
      </c>
      <c r="B1666" s="8" t="s">
        <v>40</v>
      </c>
      <c r="C1666" s="8" t="s">
        <v>10</v>
      </c>
      <c r="D1666" s="9" t="n">
        <v>44331</v>
      </c>
      <c r="E1666" s="9" t="str">
        <f aca="false">TEXT(D1666,"MMM")</f>
        <v>mai</v>
      </c>
      <c r="F1666" s="10" t="n">
        <v>-6247.5</v>
      </c>
      <c r="G1666" s="8" t="s">
        <v>34</v>
      </c>
      <c r="H1666" s="8" t="s">
        <v>22</v>
      </c>
      <c r="I1666" s="11" t="s">
        <v>23</v>
      </c>
      <c r="J1666" s="8" t="s">
        <v>26</v>
      </c>
    </row>
    <row r="1667" customFormat="false" ht="14.25" hidden="false" customHeight="false" outlineLevel="0" collapsed="false">
      <c r="A1667" s="8" t="n">
        <v>1666</v>
      </c>
      <c r="B1667" s="8" t="s">
        <v>181</v>
      </c>
      <c r="C1667" s="8" t="s">
        <v>28</v>
      </c>
      <c r="D1667" s="9" t="n">
        <v>44332</v>
      </c>
      <c r="E1667" s="9" t="str">
        <f aca="false">TEXT(D1667,"MMM")</f>
        <v>mai</v>
      </c>
      <c r="F1667" s="10" t="n">
        <v>-5771.5</v>
      </c>
      <c r="G1667" s="8" t="s">
        <v>34</v>
      </c>
      <c r="H1667" s="8" t="s">
        <v>17</v>
      </c>
      <c r="I1667" s="11" t="s">
        <v>18</v>
      </c>
      <c r="J1667" s="8" t="s">
        <v>19</v>
      </c>
    </row>
    <row r="1668" customFormat="false" ht="14.25" hidden="false" customHeight="false" outlineLevel="0" collapsed="false">
      <c r="A1668" s="8" t="n">
        <v>1667</v>
      </c>
      <c r="B1668" s="8" t="s">
        <v>153</v>
      </c>
      <c r="C1668" s="8" t="s">
        <v>28</v>
      </c>
      <c r="D1668" s="9" t="n">
        <v>44332</v>
      </c>
      <c r="E1668" s="9" t="str">
        <f aca="false">TEXT(D1668,"MMM")</f>
        <v>mai</v>
      </c>
      <c r="F1668" s="10" t="n">
        <v>-5826.24</v>
      </c>
      <c r="G1668" s="8" t="s">
        <v>34</v>
      </c>
      <c r="H1668" s="8" t="s">
        <v>17</v>
      </c>
      <c r="I1668" s="11" t="s">
        <v>18</v>
      </c>
      <c r="J1668" s="8" t="s">
        <v>14</v>
      </c>
    </row>
    <row r="1669" customFormat="false" ht="14.25" hidden="false" customHeight="false" outlineLevel="0" collapsed="false">
      <c r="A1669" s="8" t="n">
        <v>1668</v>
      </c>
      <c r="B1669" s="8" t="s">
        <v>144</v>
      </c>
      <c r="C1669" s="8" t="s">
        <v>21</v>
      </c>
      <c r="D1669" s="9" t="n">
        <v>44332</v>
      </c>
      <c r="E1669" s="9" t="str">
        <f aca="false">TEXT(D1669,"MMM")</f>
        <v>mai</v>
      </c>
      <c r="F1669" s="10" t="n">
        <v>-5713.79</v>
      </c>
      <c r="G1669" s="8" t="s">
        <v>34</v>
      </c>
      <c r="H1669" s="8" t="s">
        <v>22</v>
      </c>
      <c r="I1669" s="11" t="s">
        <v>23</v>
      </c>
      <c r="J1669" s="8" t="s">
        <v>26</v>
      </c>
    </row>
    <row r="1670" customFormat="false" ht="14.25" hidden="false" customHeight="false" outlineLevel="0" collapsed="false">
      <c r="A1670" s="8" t="n">
        <v>1669</v>
      </c>
      <c r="B1670" s="8" t="s">
        <v>144</v>
      </c>
      <c r="C1670" s="8" t="s">
        <v>16</v>
      </c>
      <c r="D1670" s="9" t="n">
        <v>44332</v>
      </c>
      <c r="E1670" s="9" t="str">
        <f aca="false">TEXT(D1670,"MMM")</f>
        <v>mai</v>
      </c>
      <c r="F1670" s="10" t="n">
        <v>-6372.45</v>
      </c>
      <c r="G1670" s="8" t="s">
        <v>34</v>
      </c>
      <c r="H1670" s="8" t="s">
        <v>12</v>
      </c>
      <c r="I1670" s="11" t="s">
        <v>13</v>
      </c>
      <c r="J1670" s="8" t="s">
        <v>26</v>
      </c>
    </row>
    <row r="1671" customFormat="false" ht="14.25" hidden="false" customHeight="false" outlineLevel="0" collapsed="false">
      <c r="A1671" s="8" t="n">
        <v>1670</v>
      </c>
      <c r="B1671" s="8" t="s">
        <v>49</v>
      </c>
      <c r="C1671" s="8" t="s">
        <v>10</v>
      </c>
      <c r="D1671" s="9" t="n">
        <v>44332</v>
      </c>
      <c r="E1671" s="9" t="str">
        <f aca="false">TEXT(D1671,"MMM")</f>
        <v>mai</v>
      </c>
      <c r="F1671" s="10" t="n">
        <v>-5826.24</v>
      </c>
      <c r="G1671" s="8" t="s">
        <v>34</v>
      </c>
      <c r="H1671" s="8" t="s">
        <v>36</v>
      </c>
      <c r="I1671" s="11" t="s">
        <v>37</v>
      </c>
      <c r="J1671" s="8" t="s">
        <v>14</v>
      </c>
    </row>
    <row r="1672" customFormat="false" ht="14.25" hidden="false" customHeight="false" outlineLevel="0" collapsed="false">
      <c r="A1672" s="8" t="n">
        <v>1671</v>
      </c>
      <c r="B1672" s="8" t="s">
        <v>145</v>
      </c>
      <c r="C1672" s="8" t="s">
        <v>16</v>
      </c>
      <c r="D1672" s="9" t="n">
        <v>44333</v>
      </c>
      <c r="E1672" s="9" t="str">
        <f aca="false">TEXT(D1672,"MMM")</f>
        <v>mai</v>
      </c>
      <c r="F1672" s="10" t="n">
        <v>-5771.5</v>
      </c>
      <c r="G1672" s="8" t="s">
        <v>34</v>
      </c>
      <c r="H1672" s="8" t="s">
        <v>36</v>
      </c>
      <c r="I1672" s="11" t="s">
        <v>37</v>
      </c>
      <c r="J1672" s="8" t="s">
        <v>19</v>
      </c>
    </row>
    <row r="1673" customFormat="false" ht="14.25" hidden="false" customHeight="false" outlineLevel="0" collapsed="false">
      <c r="A1673" s="8" t="n">
        <v>1672</v>
      </c>
      <c r="B1673" s="8" t="s">
        <v>39</v>
      </c>
      <c r="C1673" s="8" t="s">
        <v>16</v>
      </c>
      <c r="D1673" s="9" t="n">
        <v>44333</v>
      </c>
      <c r="E1673" s="9" t="str">
        <f aca="false">TEXT(D1673,"MMM")</f>
        <v>mai</v>
      </c>
      <c r="F1673" s="10" t="n">
        <v>-6067.22</v>
      </c>
      <c r="G1673" s="8" t="s">
        <v>34</v>
      </c>
      <c r="H1673" s="8" t="s">
        <v>12</v>
      </c>
      <c r="I1673" s="11" t="s">
        <v>13</v>
      </c>
      <c r="J1673" s="8" t="s">
        <v>26</v>
      </c>
    </row>
    <row r="1674" customFormat="false" ht="14.25" hidden="false" customHeight="false" outlineLevel="0" collapsed="false">
      <c r="A1674" s="8" t="n">
        <v>1673</v>
      </c>
      <c r="B1674" s="8" t="s">
        <v>136</v>
      </c>
      <c r="C1674" s="8" t="s">
        <v>21</v>
      </c>
      <c r="D1674" s="9" t="n">
        <v>44333</v>
      </c>
      <c r="E1674" s="9" t="str">
        <f aca="false">TEXT(D1674,"MMM")</f>
        <v>mai</v>
      </c>
      <c r="F1674" s="10" t="n">
        <v>-5652.5</v>
      </c>
      <c r="G1674" s="8" t="s">
        <v>34</v>
      </c>
      <c r="H1674" s="8" t="s">
        <v>12</v>
      </c>
      <c r="I1674" s="11" t="s">
        <v>13</v>
      </c>
      <c r="J1674" s="8" t="s">
        <v>26</v>
      </c>
    </row>
    <row r="1675" customFormat="false" ht="14.25" hidden="false" customHeight="false" outlineLevel="0" collapsed="false">
      <c r="A1675" s="8" t="n">
        <v>1674</v>
      </c>
      <c r="B1675" s="8" t="s">
        <v>136</v>
      </c>
      <c r="C1675" s="8" t="s">
        <v>16</v>
      </c>
      <c r="D1675" s="9" t="n">
        <v>44333</v>
      </c>
      <c r="E1675" s="9" t="str">
        <f aca="false">TEXT(D1675,"MMM")</f>
        <v>mai</v>
      </c>
      <c r="F1675" s="10" t="n">
        <v>145097.48</v>
      </c>
      <c r="G1675" s="8" t="s">
        <v>11</v>
      </c>
      <c r="H1675" s="8" t="s">
        <v>30</v>
      </c>
      <c r="I1675" s="11" t="s">
        <v>31</v>
      </c>
      <c r="J1675" s="8" t="s">
        <v>26</v>
      </c>
    </row>
    <row r="1676" customFormat="false" ht="14.25" hidden="false" customHeight="false" outlineLevel="0" collapsed="false">
      <c r="A1676" s="8" t="n">
        <v>1675</v>
      </c>
      <c r="B1676" s="8" t="s">
        <v>136</v>
      </c>
      <c r="C1676" s="8" t="s">
        <v>10</v>
      </c>
      <c r="D1676" s="9" t="n">
        <v>44333</v>
      </c>
      <c r="E1676" s="9" t="str">
        <f aca="false">TEXT(D1676,"MMM")</f>
        <v>mai</v>
      </c>
      <c r="F1676" s="10" t="n">
        <v>77606.14</v>
      </c>
      <c r="G1676" s="8" t="s">
        <v>11</v>
      </c>
      <c r="H1676" s="8" t="s">
        <v>17</v>
      </c>
      <c r="I1676" s="11" t="s">
        <v>18</v>
      </c>
      <c r="J1676" s="8" t="s">
        <v>14</v>
      </c>
    </row>
    <row r="1677" customFormat="false" ht="14.25" hidden="false" customHeight="false" outlineLevel="0" collapsed="false">
      <c r="A1677" s="8" t="n">
        <v>1676</v>
      </c>
      <c r="B1677" s="8" t="s">
        <v>41</v>
      </c>
      <c r="C1677" s="8" t="s">
        <v>28</v>
      </c>
      <c r="D1677" s="9" t="n">
        <v>44334</v>
      </c>
      <c r="E1677" s="9" t="str">
        <f aca="false">TEXT(D1677,"MMM")</f>
        <v>mai</v>
      </c>
      <c r="F1677" s="10" t="n">
        <v>-409.15</v>
      </c>
      <c r="G1677" s="8" t="s">
        <v>34</v>
      </c>
      <c r="H1677" s="8" t="s">
        <v>12</v>
      </c>
      <c r="I1677" s="11" t="s">
        <v>13</v>
      </c>
      <c r="J1677" s="8" t="s">
        <v>14</v>
      </c>
    </row>
    <row r="1678" customFormat="false" ht="14.25" hidden="false" customHeight="false" outlineLevel="0" collapsed="false">
      <c r="A1678" s="8" t="n">
        <v>1677</v>
      </c>
      <c r="B1678" s="8" t="s">
        <v>20</v>
      </c>
      <c r="C1678" s="8" t="s">
        <v>21</v>
      </c>
      <c r="D1678" s="9" t="n">
        <v>44334</v>
      </c>
      <c r="E1678" s="9" t="str">
        <f aca="false">TEXT(D1678,"MMM")</f>
        <v>mai</v>
      </c>
      <c r="F1678" s="10" t="n">
        <v>-2074.87</v>
      </c>
      <c r="G1678" s="8" t="s">
        <v>34</v>
      </c>
      <c r="H1678" s="8" t="s">
        <v>17</v>
      </c>
      <c r="I1678" s="11" t="s">
        <v>18</v>
      </c>
      <c r="J1678" s="8" t="s">
        <v>26</v>
      </c>
    </row>
    <row r="1679" customFormat="false" ht="14.25" hidden="false" customHeight="false" outlineLevel="0" collapsed="false">
      <c r="A1679" s="8" t="n">
        <v>1678</v>
      </c>
      <c r="B1679" s="8" t="s">
        <v>20</v>
      </c>
      <c r="C1679" s="8" t="s">
        <v>16</v>
      </c>
      <c r="D1679" s="9" t="n">
        <v>44334</v>
      </c>
      <c r="E1679" s="9" t="str">
        <f aca="false">TEXT(D1679,"MMM")</f>
        <v>mai</v>
      </c>
      <c r="F1679" s="10" t="n">
        <v>-856.38</v>
      </c>
      <c r="G1679" s="8" t="s">
        <v>34</v>
      </c>
      <c r="H1679" s="8" t="s">
        <v>12</v>
      </c>
      <c r="I1679" s="11" t="s">
        <v>13</v>
      </c>
      <c r="J1679" s="8" t="s">
        <v>19</v>
      </c>
    </row>
    <row r="1680" customFormat="false" ht="14.25" hidden="false" customHeight="false" outlineLevel="0" collapsed="false">
      <c r="A1680" s="8" t="n">
        <v>1679</v>
      </c>
      <c r="B1680" s="8" t="s">
        <v>20</v>
      </c>
      <c r="C1680" s="8" t="s">
        <v>21</v>
      </c>
      <c r="D1680" s="9" t="n">
        <v>44334</v>
      </c>
      <c r="E1680" s="9" t="str">
        <f aca="false">TEXT(D1680,"MMM")</f>
        <v>mai</v>
      </c>
      <c r="F1680" s="10" t="n">
        <v>-11954.88</v>
      </c>
      <c r="G1680" s="8" t="s">
        <v>34</v>
      </c>
      <c r="H1680" s="8" t="s">
        <v>36</v>
      </c>
      <c r="I1680" s="11" t="s">
        <v>37</v>
      </c>
      <c r="J1680" s="8" t="s">
        <v>14</v>
      </c>
    </row>
    <row r="1681" customFormat="false" ht="14.25" hidden="false" customHeight="false" outlineLevel="0" collapsed="false">
      <c r="A1681" s="8" t="n">
        <v>1680</v>
      </c>
      <c r="B1681" s="8" t="s">
        <v>39</v>
      </c>
      <c r="C1681" s="8" t="s">
        <v>16</v>
      </c>
      <c r="D1681" s="9" t="n">
        <v>44334</v>
      </c>
      <c r="E1681" s="9" t="str">
        <f aca="false">TEXT(D1681,"MMM")</f>
        <v>mai</v>
      </c>
      <c r="F1681" s="10" t="n">
        <v>-9011.52</v>
      </c>
      <c r="G1681" s="8" t="s">
        <v>34</v>
      </c>
      <c r="H1681" s="8" t="s">
        <v>12</v>
      </c>
      <c r="I1681" s="11" t="s">
        <v>13</v>
      </c>
      <c r="J1681" s="8" t="s">
        <v>26</v>
      </c>
    </row>
    <row r="1682" customFormat="false" ht="14.25" hidden="false" customHeight="false" outlineLevel="0" collapsed="false">
      <c r="A1682" s="8" t="n">
        <v>1681</v>
      </c>
      <c r="B1682" s="8" t="s">
        <v>39</v>
      </c>
      <c r="C1682" s="8" t="s">
        <v>21</v>
      </c>
      <c r="D1682" s="9" t="n">
        <v>44335</v>
      </c>
      <c r="E1682" s="9" t="str">
        <f aca="false">TEXT(D1682,"MMM")</f>
        <v>mai</v>
      </c>
      <c r="F1682" s="10" t="n">
        <v>58046.97</v>
      </c>
      <c r="G1682" s="8" t="s">
        <v>11</v>
      </c>
      <c r="H1682" s="8" t="s">
        <v>12</v>
      </c>
      <c r="I1682" s="11" t="s">
        <v>13</v>
      </c>
      <c r="J1682" s="8" t="s">
        <v>14</v>
      </c>
    </row>
    <row r="1683" customFormat="false" ht="14.25" hidden="false" customHeight="false" outlineLevel="0" collapsed="false">
      <c r="A1683" s="8" t="n">
        <v>1682</v>
      </c>
      <c r="B1683" s="8" t="s">
        <v>50</v>
      </c>
      <c r="C1683" s="8" t="s">
        <v>21</v>
      </c>
      <c r="D1683" s="9" t="n">
        <v>44337</v>
      </c>
      <c r="E1683" s="9" t="str">
        <f aca="false">TEXT(D1683,"MMM")</f>
        <v>mai</v>
      </c>
      <c r="F1683" s="10" t="n">
        <v>34782.89</v>
      </c>
      <c r="G1683" s="8" t="s">
        <v>11</v>
      </c>
      <c r="H1683" s="8" t="s">
        <v>17</v>
      </c>
      <c r="I1683" s="11" t="s">
        <v>18</v>
      </c>
      <c r="J1683" s="8" t="s">
        <v>26</v>
      </c>
    </row>
    <row r="1684" customFormat="false" ht="14.25" hidden="false" customHeight="false" outlineLevel="0" collapsed="false">
      <c r="A1684" s="8" t="n">
        <v>1683</v>
      </c>
      <c r="B1684" s="8" t="s">
        <v>134</v>
      </c>
      <c r="C1684" s="8" t="s">
        <v>28</v>
      </c>
      <c r="D1684" s="9" t="n">
        <v>44337</v>
      </c>
      <c r="E1684" s="9" t="str">
        <f aca="false">TEXT(D1684,"MMM")</f>
        <v>mai</v>
      </c>
      <c r="F1684" s="10" t="n">
        <v>56502.7</v>
      </c>
      <c r="G1684" s="8" t="s">
        <v>11</v>
      </c>
      <c r="H1684" s="8" t="s">
        <v>12</v>
      </c>
      <c r="I1684" s="11" t="s">
        <v>13</v>
      </c>
      <c r="J1684" s="8" t="s">
        <v>26</v>
      </c>
    </row>
    <row r="1685" customFormat="false" ht="14.25" hidden="false" customHeight="false" outlineLevel="0" collapsed="false">
      <c r="A1685" s="8" t="n">
        <v>1684</v>
      </c>
      <c r="B1685" s="8" t="s">
        <v>58</v>
      </c>
      <c r="C1685" s="8" t="s">
        <v>28</v>
      </c>
      <c r="D1685" s="9" t="n">
        <v>44337</v>
      </c>
      <c r="E1685" s="9" t="str">
        <f aca="false">TEXT(D1685,"MMM")</f>
        <v>mai</v>
      </c>
      <c r="F1685" s="10" t="n">
        <v>-3146.08</v>
      </c>
      <c r="G1685" s="8" t="s">
        <v>34</v>
      </c>
      <c r="H1685" s="8" t="s">
        <v>36</v>
      </c>
      <c r="I1685" s="11" t="s">
        <v>37</v>
      </c>
      <c r="J1685" s="8" t="s">
        <v>14</v>
      </c>
    </row>
    <row r="1686" customFormat="false" ht="14.25" hidden="false" customHeight="false" outlineLevel="0" collapsed="false">
      <c r="A1686" s="8" t="n">
        <v>1685</v>
      </c>
      <c r="B1686" s="8" t="s">
        <v>182</v>
      </c>
      <c r="C1686" s="8" t="s">
        <v>21</v>
      </c>
      <c r="D1686" s="9" t="n">
        <v>44337</v>
      </c>
      <c r="E1686" s="9" t="str">
        <f aca="false">TEXT(D1686,"MMM")</f>
        <v>mai</v>
      </c>
      <c r="F1686" s="10" t="n">
        <v>-10314.4</v>
      </c>
      <c r="G1686" s="8" t="s">
        <v>34</v>
      </c>
      <c r="H1686" s="8" t="s">
        <v>36</v>
      </c>
      <c r="I1686" s="11" t="s">
        <v>37</v>
      </c>
      <c r="J1686" s="8" t="s">
        <v>14</v>
      </c>
    </row>
    <row r="1687" customFormat="false" ht="14.25" hidden="false" customHeight="false" outlineLevel="0" collapsed="false">
      <c r="A1687" s="8" t="n">
        <v>1686</v>
      </c>
      <c r="B1687" s="8" t="s">
        <v>101</v>
      </c>
      <c r="C1687" s="8" t="s">
        <v>10</v>
      </c>
      <c r="D1687" s="9" t="n">
        <v>44337</v>
      </c>
      <c r="E1687" s="9" t="str">
        <f aca="false">TEXT(D1687,"MMM")</f>
        <v>mai</v>
      </c>
      <c r="F1687" s="10" t="n">
        <v>-3020.85</v>
      </c>
      <c r="G1687" s="8" t="s">
        <v>34</v>
      </c>
      <c r="H1687" s="8" t="s">
        <v>36</v>
      </c>
      <c r="I1687" s="11" t="s">
        <v>37</v>
      </c>
      <c r="J1687" s="8" t="s">
        <v>26</v>
      </c>
    </row>
    <row r="1688" customFormat="false" ht="14.25" hidden="false" customHeight="false" outlineLevel="0" collapsed="false">
      <c r="A1688" s="8" t="n">
        <v>1687</v>
      </c>
      <c r="B1688" s="8" t="s">
        <v>172</v>
      </c>
      <c r="C1688" s="8" t="s">
        <v>10</v>
      </c>
      <c r="D1688" s="9" t="n">
        <v>44337</v>
      </c>
      <c r="E1688" s="9" t="str">
        <f aca="false">TEXT(D1688,"MMM")</f>
        <v>mai</v>
      </c>
      <c r="F1688" s="10" t="n">
        <v>-1403.19</v>
      </c>
      <c r="G1688" s="8" t="s">
        <v>34</v>
      </c>
      <c r="H1688" s="8" t="s">
        <v>36</v>
      </c>
      <c r="I1688" s="11" t="s">
        <v>37</v>
      </c>
      <c r="J1688" s="8" t="s">
        <v>14</v>
      </c>
    </row>
    <row r="1689" customFormat="false" ht="14.25" hidden="false" customHeight="false" outlineLevel="0" collapsed="false">
      <c r="A1689" s="8" t="n">
        <v>1688</v>
      </c>
      <c r="B1689" s="8" t="s">
        <v>50</v>
      </c>
      <c r="C1689" s="8" t="s">
        <v>21</v>
      </c>
      <c r="D1689" s="9" t="n">
        <v>44337</v>
      </c>
      <c r="E1689" s="9" t="str">
        <f aca="false">TEXT(D1689,"MMM")</f>
        <v>mai</v>
      </c>
      <c r="F1689" s="10" t="n">
        <v>-480.59</v>
      </c>
      <c r="G1689" s="8" t="s">
        <v>34</v>
      </c>
      <c r="H1689" s="8" t="s">
        <v>17</v>
      </c>
      <c r="I1689" s="11" t="s">
        <v>18</v>
      </c>
      <c r="J1689" s="8" t="s">
        <v>14</v>
      </c>
    </row>
    <row r="1690" customFormat="false" ht="14.25" hidden="false" customHeight="false" outlineLevel="0" collapsed="false">
      <c r="A1690" s="8" t="n">
        <v>1689</v>
      </c>
      <c r="B1690" s="8" t="s">
        <v>110</v>
      </c>
      <c r="C1690" s="8" t="s">
        <v>21</v>
      </c>
      <c r="D1690" s="9" t="n">
        <v>44338</v>
      </c>
      <c r="E1690" s="9" t="str">
        <f aca="false">TEXT(D1690,"MMM")</f>
        <v>mai</v>
      </c>
      <c r="F1690" s="10" t="n">
        <v>-3831.52</v>
      </c>
      <c r="G1690" s="8" t="s">
        <v>34</v>
      </c>
      <c r="H1690" s="8" t="s">
        <v>36</v>
      </c>
      <c r="I1690" s="11" t="s">
        <v>37</v>
      </c>
      <c r="J1690" s="8" t="s">
        <v>19</v>
      </c>
    </row>
    <row r="1691" customFormat="false" ht="14.25" hidden="false" customHeight="false" outlineLevel="0" collapsed="false">
      <c r="A1691" s="8" t="n">
        <v>1690</v>
      </c>
      <c r="B1691" s="8" t="s">
        <v>183</v>
      </c>
      <c r="C1691" s="8" t="s">
        <v>16</v>
      </c>
      <c r="D1691" s="9" t="n">
        <v>44338</v>
      </c>
      <c r="E1691" s="9" t="str">
        <f aca="false">TEXT(D1691,"MMM")</f>
        <v>mai</v>
      </c>
      <c r="F1691" s="10" t="n">
        <v>6434.06</v>
      </c>
      <c r="G1691" s="8" t="s">
        <v>11</v>
      </c>
      <c r="H1691" s="8" t="s">
        <v>12</v>
      </c>
      <c r="I1691" s="11" t="s">
        <v>13</v>
      </c>
      <c r="J1691" s="8" t="s">
        <v>14</v>
      </c>
    </row>
    <row r="1692" customFormat="false" ht="14.25" hidden="false" customHeight="false" outlineLevel="0" collapsed="false">
      <c r="A1692" s="8" t="n">
        <v>1691</v>
      </c>
      <c r="B1692" s="8" t="s">
        <v>184</v>
      </c>
      <c r="C1692" s="8" t="s">
        <v>16</v>
      </c>
      <c r="D1692" s="9" t="n">
        <v>44338</v>
      </c>
      <c r="E1692" s="9" t="str">
        <f aca="false">TEXT(D1692,"MMM")</f>
        <v>mai</v>
      </c>
      <c r="F1692" s="10" t="n">
        <v>10939.37</v>
      </c>
      <c r="G1692" s="8" t="s">
        <v>11</v>
      </c>
      <c r="H1692" s="8" t="s">
        <v>36</v>
      </c>
      <c r="I1692" s="11" t="s">
        <v>37</v>
      </c>
      <c r="J1692" s="8" t="s">
        <v>19</v>
      </c>
    </row>
    <row r="1693" customFormat="false" ht="14.25" hidden="false" customHeight="false" outlineLevel="0" collapsed="false">
      <c r="A1693" s="8" t="n">
        <v>1692</v>
      </c>
      <c r="B1693" s="8" t="s">
        <v>130</v>
      </c>
      <c r="C1693" s="8" t="s">
        <v>10</v>
      </c>
      <c r="D1693" s="9" t="n">
        <v>44338</v>
      </c>
      <c r="E1693" s="9" t="str">
        <f aca="false">TEXT(D1693,"MMM")</f>
        <v>mai</v>
      </c>
      <c r="F1693" s="10" t="n">
        <v>3494.45</v>
      </c>
      <c r="G1693" s="8" t="s">
        <v>11</v>
      </c>
      <c r="H1693" s="8" t="s">
        <v>12</v>
      </c>
      <c r="I1693" s="11" t="s">
        <v>13</v>
      </c>
      <c r="J1693" s="8" t="s">
        <v>14</v>
      </c>
    </row>
    <row r="1694" customFormat="false" ht="14.25" hidden="false" customHeight="false" outlineLevel="0" collapsed="false">
      <c r="A1694" s="8" t="n">
        <v>1693</v>
      </c>
      <c r="B1694" s="8" t="s">
        <v>130</v>
      </c>
      <c r="C1694" s="8" t="s">
        <v>28</v>
      </c>
      <c r="D1694" s="9" t="n">
        <v>44338</v>
      </c>
      <c r="E1694" s="9" t="str">
        <f aca="false">TEXT(D1694,"MMM")</f>
        <v>mai</v>
      </c>
      <c r="F1694" s="10" t="n">
        <v>6833.68</v>
      </c>
      <c r="G1694" s="8" t="s">
        <v>11</v>
      </c>
      <c r="H1694" s="8" t="s">
        <v>17</v>
      </c>
      <c r="I1694" s="11" t="s">
        <v>18</v>
      </c>
      <c r="J1694" s="8" t="s">
        <v>26</v>
      </c>
    </row>
    <row r="1695" customFormat="false" ht="14.25" hidden="false" customHeight="false" outlineLevel="0" collapsed="false">
      <c r="A1695" s="8" t="n">
        <v>1694</v>
      </c>
      <c r="B1695" s="8" t="s">
        <v>58</v>
      </c>
      <c r="C1695" s="8" t="s">
        <v>28</v>
      </c>
      <c r="D1695" s="9" t="n">
        <v>44338</v>
      </c>
      <c r="E1695" s="9" t="str">
        <f aca="false">TEXT(D1695,"MMM")</f>
        <v>mai</v>
      </c>
      <c r="F1695" s="10" t="n">
        <v>10398.83</v>
      </c>
      <c r="G1695" s="8" t="s">
        <v>11</v>
      </c>
      <c r="H1695" s="8" t="s">
        <v>17</v>
      </c>
      <c r="I1695" s="11" t="s">
        <v>18</v>
      </c>
      <c r="J1695" s="8" t="s">
        <v>14</v>
      </c>
    </row>
    <row r="1696" customFormat="false" ht="14.25" hidden="false" customHeight="false" outlineLevel="0" collapsed="false">
      <c r="A1696" s="8" t="n">
        <v>1695</v>
      </c>
      <c r="B1696" s="8" t="s">
        <v>58</v>
      </c>
      <c r="C1696" s="8" t="s">
        <v>28</v>
      </c>
      <c r="D1696" s="9" t="n">
        <v>44338</v>
      </c>
      <c r="E1696" s="9" t="str">
        <f aca="false">TEXT(D1696,"MMM")</f>
        <v>mai</v>
      </c>
      <c r="F1696" s="10" t="n">
        <v>3494.45</v>
      </c>
      <c r="G1696" s="8" t="s">
        <v>11</v>
      </c>
      <c r="H1696" s="8" t="s">
        <v>17</v>
      </c>
      <c r="I1696" s="11" t="s">
        <v>18</v>
      </c>
      <c r="J1696" s="8" t="s">
        <v>14</v>
      </c>
    </row>
    <row r="1697" customFormat="false" ht="14.25" hidden="false" customHeight="false" outlineLevel="0" collapsed="false">
      <c r="A1697" s="8" t="n">
        <v>1696</v>
      </c>
      <c r="B1697" s="8" t="s">
        <v>58</v>
      </c>
      <c r="C1697" s="8" t="s">
        <v>28</v>
      </c>
      <c r="D1697" s="9" t="n">
        <v>44338</v>
      </c>
      <c r="E1697" s="9" t="str">
        <f aca="false">TEXT(D1697,"MMM")</f>
        <v>mai</v>
      </c>
      <c r="F1697" s="10" t="n">
        <v>6836.33</v>
      </c>
      <c r="G1697" s="8" t="s">
        <v>11</v>
      </c>
      <c r="H1697" s="8" t="s">
        <v>12</v>
      </c>
      <c r="I1697" s="11" t="s">
        <v>13</v>
      </c>
      <c r="J1697" s="8" t="s">
        <v>26</v>
      </c>
    </row>
    <row r="1698" customFormat="false" ht="14.25" hidden="false" customHeight="false" outlineLevel="0" collapsed="false">
      <c r="A1698" s="8" t="n">
        <v>1697</v>
      </c>
      <c r="B1698" s="8" t="s">
        <v>58</v>
      </c>
      <c r="C1698" s="8" t="s">
        <v>21</v>
      </c>
      <c r="D1698" s="9" t="n">
        <v>44338</v>
      </c>
      <c r="E1698" s="9" t="str">
        <f aca="false">TEXT(D1698,"MMM")</f>
        <v>mai</v>
      </c>
      <c r="F1698" s="10" t="n">
        <v>10810.67</v>
      </c>
      <c r="G1698" s="8" t="s">
        <v>11</v>
      </c>
      <c r="H1698" s="8" t="s">
        <v>22</v>
      </c>
      <c r="I1698" s="11" t="s">
        <v>23</v>
      </c>
      <c r="J1698" s="8" t="s">
        <v>14</v>
      </c>
    </row>
    <row r="1699" customFormat="false" ht="14.25" hidden="false" customHeight="false" outlineLevel="0" collapsed="false">
      <c r="A1699" s="8" t="n">
        <v>1698</v>
      </c>
      <c r="B1699" s="8" t="s">
        <v>58</v>
      </c>
      <c r="C1699" s="8" t="s">
        <v>28</v>
      </c>
      <c r="D1699" s="9" t="n">
        <v>44338</v>
      </c>
      <c r="E1699" s="9" t="str">
        <f aca="false">TEXT(D1699,"MMM")</f>
        <v>mai</v>
      </c>
      <c r="F1699" s="10" t="n">
        <v>3494.45</v>
      </c>
      <c r="G1699" s="8" t="s">
        <v>11</v>
      </c>
      <c r="H1699" s="8" t="s">
        <v>17</v>
      </c>
      <c r="I1699" s="11" t="s">
        <v>18</v>
      </c>
      <c r="J1699" s="8" t="s">
        <v>19</v>
      </c>
    </row>
    <row r="1700" customFormat="false" ht="14.25" hidden="false" customHeight="false" outlineLevel="0" collapsed="false">
      <c r="A1700" s="8" t="n">
        <v>1699</v>
      </c>
      <c r="B1700" s="8" t="s">
        <v>86</v>
      </c>
      <c r="C1700" s="8" t="s">
        <v>16</v>
      </c>
      <c r="D1700" s="9" t="n">
        <v>44339</v>
      </c>
      <c r="E1700" s="9" t="str">
        <f aca="false">TEXT(D1700,"MMM")</f>
        <v>mai</v>
      </c>
      <c r="F1700" s="10" t="n">
        <v>6175.35</v>
      </c>
      <c r="G1700" s="8" t="s">
        <v>11</v>
      </c>
      <c r="H1700" s="8" t="s">
        <v>12</v>
      </c>
      <c r="I1700" s="11" t="s">
        <v>13</v>
      </c>
      <c r="J1700" s="8" t="s">
        <v>14</v>
      </c>
    </row>
    <row r="1701" customFormat="false" ht="14.25" hidden="false" customHeight="false" outlineLevel="0" collapsed="false">
      <c r="A1701" s="8" t="n">
        <v>1700</v>
      </c>
      <c r="B1701" s="8" t="s">
        <v>145</v>
      </c>
      <c r="C1701" s="8" t="s">
        <v>10</v>
      </c>
      <c r="D1701" s="9" t="n">
        <v>44339</v>
      </c>
      <c r="E1701" s="9" t="str">
        <f aca="false">TEXT(D1701,"MMM")</f>
        <v>mai</v>
      </c>
      <c r="F1701" s="10" t="n">
        <v>11835.65</v>
      </c>
      <c r="G1701" s="8" t="s">
        <v>11</v>
      </c>
      <c r="H1701" s="8" t="s">
        <v>36</v>
      </c>
      <c r="I1701" s="11" t="s">
        <v>37</v>
      </c>
      <c r="J1701" s="8" t="s">
        <v>26</v>
      </c>
    </row>
    <row r="1702" customFormat="false" ht="14.25" hidden="false" customHeight="false" outlineLevel="0" collapsed="false">
      <c r="A1702" s="8" t="n">
        <v>1701</v>
      </c>
      <c r="B1702" s="8" t="s">
        <v>185</v>
      </c>
      <c r="C1702" s="8" t="s">
        <v>10</v>
      </c>
      <c r="D1702" s="9" t="n">
        <v>44340</v>
      </c>
      <c r="E1702" s="9" t="str">
        <f aca="false">TEXT(D1702,"MMM")</f>
        <v>mai</v>
      </c>
      <c r="F1702" s="10" t="n">
        <v>3494.45</v>
      </c>
      <c r="G1702" s="8" t="s">
        <v>11</v>
      </c>
      <c r="H1702" s="8" t="s">
        <v>22</v>
      </c>
      <c r="I1702" s="11" t="s">
        <v>23</v>
      </c>
      <c r="J1702" s="8" t="s">
        <v>26</v>
      </c>
    </row>
    <row r="1703" customFormat="false" ht="14.25" hidden="false" customHeight="false" outlineLevel="0" collapsed="false">
      <c r="A1703" s="8" t="n">
        <v>1702</v>
      </c>
      <c r="B1703" s="8" t="s">
        <v>150</v>
      </c>
      <c r="C1703" s="8" t="s">
        <v>28</v>
      </c>
      <c r="D1703" s="9" t="n">
        <v>44341</v>
      </c>
      <c r="E1703" s="9" t="str">
        <f aca="false">TEXT(D1703,"MMM")</f>
        <v>mai</v>
      </c>
      <c r="F1703" s="10" t="n">
        <v>3494.45</v>
      </c>
      <c r="G1703" s="8" t="s">
        <v>11</v>
      </c>
      <c r="H1703" s="8" t="s">
        <v>12</v>
      </c>
      <c r="I1703" s="11" t="s">
        <v>13</v>
      </c>
      <c r="J1703" s="8" t="s">
        <v>14</v>
      </c>
    </row>
    <row r="1704" customFormat="false" ht="14.25" hidden="false" customHeight="false" outlineLevel="0" collapsed="false">
      <c r="A1704" s="8" t="n">
        <v>1703</v>
      </c>
      <c r="B1704" s="8" t="s">
        <v>186</v>
      </c>
      <c r="C1704" s="8" t="s">
        <v>10</v>
      </c>
      <c r="D1704" s="9" t="n">
        <v>44341</v>
      </c>
      <c r="E1704" s="9" t="str">
        <f aca="false">TEXT(D1704,"MMM")</f>
        <v>mai</v>
      </c>
      <c r="F1704" s="10" t="n">
        <v>3494.45</v>
      </c>
      <c r="G1704" s="8" t="s">
        <v>11</v>
      </c>
      <c r="H1704" s="8" t="s">
        <v>17</v>
      </c>
      <c r="I1704" s="11" t="s">
        <v>18</v>
      </c>
      <c r="J1704" s="8" t="s">
        <v>19</v>
      </c>
    </row>
    <row r="1705" customFormat="false" ht="14.25" hidden="false" customHeight="false" outlineLevel="0" collapsed="false">
      <c r="A1705" s="8" t="n">
        <v>1704</v>
      </c>
      <c r="B1705" s="8" t="s">
        <v>187</v>
      </c>
      <c r="C1705" s="8" t="s">
        <v>16</v>
      </c>
      <c r="D1705" s="9" t="n">
        <v>44341</v>
      </c>
      <c r="E1705" s="9" t="str">
        <f aca="false">TEXT(D1705,"MMM")</f>
        <v>mai</v>
      </c>
      <c r="F1705" s="10" t="n">
        <v>3494.45</v>
      </c>
      <c r="G1705" s="8" t="s">
        <v>11</v>
      </c>
      <c r="H1705" s="8" t="s">
        <v>17</v>
      </c>
      <c r="I1705" s="11" t="s">
        <v>18</v>
      </c>
      <c r="J1705" s="8" t="s">
        <v>14</v>
      </c>
    </row>
    <row r="1706" customFormat="false" ht="14.25" hidden="false" customHeight="false" outlineLevel="0" collapsed="false">
      <c r="A1706" s="8" t="n">
        <v>1705</v>
      </c>
      <c r="B1706" s="8" t="s">
        <v>39</v>
      </c>
      <c r="C1706" s="8" t="s">
        <v>16</v>
      </c>
      <c r="D1706" s="9" t="n">
        <v>44341</v>
      </c>
      <c r="E1706" s="9" t="str">
        <f aca="false">TEXT(D1706,"MMM")</f>
        <v>mai</v>
      </c>
      <c r="F1706" s="10" t="n">
        <v>3494.45</v>
      </c>
      <c r="G1706" s="8" t="s">
        <v>11</v>
      </c>
      <c r="H1706" s="8" t="s">
        <v>12</v>
      </c>
      <c r="I1706" s="11" t="s">
        <v>13</v>
      </c>
      <c r="J1706" s="8" t="s">
        <v>14</v>
      </c>
    </row>
    <row r="1707" customFormat="false" ht="14.25" hidden="false" customHeight="false" outlineLevel="0" collapsed="false">
      <c r="A1707" s="8" t="n">
        <v>1706</v>
      </c>
      <c r="B1707" s="8" t="s">
        <v>57</v>
      </c>
      <c r="C1707" s="8" t="s">
        <v>16</v>
      </c>
      <c r="D1707" s="9" t="n">
        <v>44341</v>
      </c>
      <c r="E1707" s="9" t="str">
        <f aca="false">TEXT(D1707,"MMM")</f>
        <v>mai</v>
      </c>
      <c r="F1707" s="10" t="n">
        <v>3494.38</v>
      </c>
      <c r="G1707" s="8" t="s">
        <v>11</v>
      </c>
      <c r="H1707" s="8" t="s">
        <v>17</v>
      </c>
      <c r="I1707" s="11" t="s">
        <v>18</v>
      </c>
      <c r="J1707" s="8" t="s">
        <v>14</v>
      </c>
    </row>
    <row r="1708" customFormat="false" ht="14.25" hidden="false" customHeight="false" outlineLevel="0" collapsed="false">
      <c r="A1708" s="8" t="n">
        <v>1707</v>
      </c>
      <c r="B1708" s="8" t="s">
        <v>44</v>
      </c>
      <c r="C1708" s="8" t="s">
        <v>16</v>
      </c>
      <c r="D1708" s="9" t="n">
        <v>44341</v>
      </c>
      <c r="E1708" s="9" t="str">
        <f aca="false">TEXT(D1708,"MMM")</f>
        <v>mai</v>
      </c>
      <c r="F1708" s="10" t="n">
        <v>-26040.46</v>
      </c>
      <c r="G1708" s="8" t="s">
        <v>34</v>
      </c>
      <c r="H1708" s="8" t="s">
        <v>36</v>
      </c>
      <c r="I1708" s="11" t="s">
        <v>37</v>
      </c>
      <c r="J1708" s="8" t="s">
        <v>24</v>
      </c>
    </row>
    <row r="1709" customFormat="false" ht="14.25" hidden="false" customHeight="false" outlineLevel="0" collapsed="false">
      <c r="A1709" s="8" t="n">
        <v>1708</v>
      </c>
      <c r="B1709" s="8" t="s">
        <v>45</v>
      </c>
      <c r="C1709" s="8" t="s">
        <v>21</v>
      </c>
      <c r="D1709" s="9" t="n">
        <v>44341</v>
      </c>
      <c r="E1709" s="9" t="str">
        <f aca="false">TEXT(D1709,"MMM")</f>
        <v>mai</v>
      </c>
      <c r="F1709" s="10" t="n">
        <v>-2222.19</v>
      </c>
      <c r="G1709" s="8" t="s">
        <v>34</v>
      </c>
      <c r="H1709" s="8" t="s">
        <v>12</v>
      </c>
      <c r="I1709" s="11" t="s">
        <v>13</v>
      </c>
      <c r="J1709" s="8" t="s">
        <v>26</v>
      </c>
    </row>
    <row r="1710" customFormat="false" ht="14.25" hidden="false" customHeight="false" outlineLevel="0" collapsed="false">
      <c r="A1710" s="8" t="n">
        <v>1709</v>
      </c>
      <c r="B1710" s="8" t="s">
        <v>57</v>
      </c>
      <c r="C1710" s="8" t="s">
        <v>28</v>
      </c>
      <c r="D1710" s="9" t="n">
        <v>44341</v>
      </c>
      <c r="E1710" s="9" t="str">
        <f aca="false">TEXT(D1710,"MMM")</f>
        <v>mai</v>
      </c>
      <c r="F1710" s="10" t="n">
        <v>-1679.3</v>
      </c>
      <c r="G1710" s="8" t="s">
        <v>34</v>
      </c>
      <c r="H1710" s="8" t="s">
        <v>22</v>
      </c>
      <c r="I1710" s="11" t="s">
        <v>23</v>
      </c>
      <c r="J1710" s="8" t="s">
        <v>26</v>
      </c>
    </row>
    <row r="1711" customFormat="false" ht="14.25" hidden="false" customHeight="false" outlineLevel="0" collapsed="false">
      <c r="A1711" s="8" t="n">
        <v>1710</v>
      </c>
      <c r="B1711" s="8" t="s">
        <v>44</v>
      </c>
      <c r="C1711" s="8" t="s">
        <v>21</v>
      </c>
      <c r="D1711" s="9" t="n">
        <v>44341</v>
      </c>
      <c r="E1711" s="9" t="str">
        <f aca="false">TEXT(D1711,"MMM")</f>
        <v>mai</v>
      </c>
      <c r="F1711" s="10" t="n">
        <v>-21119.11</v>
      </c>
      <c r="G1711" s="8" t="s">
        <v>34</v>
      </c>
      <c r="H1711" s="8" t="s">
        <v>12</v>
      </c>
      <c r="I1711" s="11" t="s">
        <v>13</v>
      </c>
      <c r="J1711" s="8" t="s">
        <v>14</v>
      </c>
    </row>
    <row r="1712" customFormat="false" ht="14.25" hidden="false" customHeight="false" outlineLevel="0" collapsed="false">
      <c r="A1712" s="8" t="n">
        <v>1711</v>
      </c>
      <c r="B1712" s="8" t="s">
        <v>45</v>
      </c>
      <c r="C1712" s="8" t="s">
        <v>10</v>
      </c>
      <c r="D1712" s="9" t="n">
        <v>44341</v>
      </c>
      <c r="E1712" s="9" t="str">
        <f aca="false">TEXT(D1712,"MMM")</f>
        <v>mai</v>
      </c>
      <c r="F1712" s="10" t="n">
        <v>142784.7</v>
      </c>
      <c r="G1712" s="8" t="s">
        <v>11</v>
      </c>
      <c r="H1712" s="8" t="s">
        <v>17</v>
      </c>
      <c r="I1712" s="11" t="s">
        <v>18</v>
      </c>
      <c r="J1712" s="8" t="s">
        <v>14</v>
      </c>
    </row>
    <row r="1713" customFormat="false" ht="14.25" hidden="false" customHeight="false" outlineLevel="0" collapsed="false">
      <c r="A1713" s="8" t="n">
        <v>1712</v>
      </c>
      <c r="B1713" s="8" t="s">
        <v>185</v>
      </c>
      <c r="C1713" s="8" t="s">
        <v>10</v>
      </c>
      <c r="D1713" s="9" t="n">
        <v>44344</v>
      </c>
      <c r="E1713" s="9" t="str">
        <f aca="false">TEXT(D1713,"MMM")</f>
        <v>mai</v>
      </c>
      <c r="F1713" s="10" t="n">
        <v>163268.75</v>
      </c>
      <c r="G1713" s="8" t="s">
        <v>11</v>
      </c>
      <c r="H1713" s="8" t="s">
        <v>22</v>
      </c>
      <c r="I1713" s="11" t="s">
        <v>23</v>
      </c>
      <c r="J1713" s="8" t="s">
        <v>26</v>
      </c>
    </row>
    <row r="1714" customFormat="false" ht="14.25" hidden="false" customHeight="false" outlineLevel="0" collapsed="false">
      <c r="A1714" s="8" t="n">
        <v>1713</v>
      </c>
      <c r="B1714" s="8" t="s">
        <v>164</v>
      </c>
      <c r="C1714" s="8" t="s">
        <v>16</v>
      </c>
      <c r="D1714" s="9" t="n">
        <v>44344</v>
      </c>
      <c r="E1714" s="9" t="str">
        <f aca="false">TEXT(D1714,"MMM")</f>
        <v>mai</v>
      </c>
      <c r="F1714" s="10" t="n">
        <v>-18167.21</v>
      </c>
      <c r="G1714" s="8" t="s">
        <v>34</v>
      </c>
      <c r="H1714" s="8" t="s">
        <v>12</v>
      </c>
      <c r="I1714" s="11" t="s">
        <v>13</v>
      </c>
      <c r="J1714" s="8" t="s">
        <v>14</v>
      </c>
    </row>
    <row r="1715" customFormat="false" ht="14.25" hidden="false" customHeight="false" outlineLevel="0" collapsed="false">
      <c r="A1715" s="8" t="n">
        <v>1714</v>
      </c>
      <c r="B1715" s="8" t="s">
        <v>188</v>
      </c>
      <c r="C1715" s="8" t="s">
        <v>28</v>
      </c>
      <c r="D1715" s="9" t="n">
        <v>44344</v>
      </c>
      <c r="E1715" s="9" t="str">
        <f aca="false">TEXT(D1715,"MMM")</f>
        <v>mai</v>
      </c>
      <c r="F1715" s="10" t="n">
        <v>69191.51</v>
      </c>
      <c r="G1715" s="8" t="s">
        <v>11</v>
      </c>
      <c r="H1715" s="8" t="s">
        <v>36</v>
      </c>
      <c r="I1715" s="11" t="s">
        <v>37</v>
      </c>
      <c r="J1715" s="8" t="s">
        <v>26</v>
      </c>
    </row>
    <row r="1716" customFormat="false" ht="14.25" hidden="false" customHeight="false" outlineLevel="0" collapsed="false">
      <c r="A1716" s="8" t="n">
        <v>1715</v>
      </c>
      <c r="B1716" s="8" t="s">
        <v>160</v>
      </c>
      <c r="C1716" s="8" t="s">
        <v>21</v>
      </c>
      <c r="D1716" s="9" t="n">
        <v>44344</v>
      </c>
      <c r="E1716" s="9" t="str">
        <f aca="false">TEXT(D1716,"MMM")</f>
        <v>mai</v>
      </c>
      <c r="F1716" s="10" t="n">
        <v>1212.47</v>
      </c>
      <c r="G1716" s="8" t="s">
        <v>11</v>
      </c>
      <c r="H1716" s="8" t="s">
        <v>22</v>
      </c>
      <c r="I1716" s="11" t="s">
        <v>23</v>
      </c>
      <c r="J1716" s="8" t="s">
        <v>26</v>
      </c>
    </row>
    <row r="1717" customFormat="false" ht="14.25" hidden="false" customHeight="false" outlineLevel="0" collapsed="false">
      <c r="A1717" s="8" t="n">
        <v>1716</v>
      </c>
      <c r="B1717" s="8" t="s">
        <v>40</v>
      </c>
      <c r="C1717" s="8" t="s">
        <v>28</v>
      </c>
      <c r="D1717" s="9" t="n">
        <v>44344</v>
      </c>
      <c r="E1717" s="9" t="str">
        <f aca="false">TEXT(D1717,"MMM")</f>
        <v>mai</v>
      </c>
      <c r="F1717" s="10" t="n">
        <v>-416.12</v>
      </c>
      <c r="G1717" s="8" t="s">
        <v>34</v>
      </c>
      <c r="H1717" s="8" t="s">
        <v>12</v>
      </c>
      <c r="I1717" s="11" t="s">
        <v>13</v>
      </c>
      <c r="J1717" s="8" t="s">
        <v>14</v>
      </c>
    </row>
    <row r="1718" customFormat="false" ht="14.25" hidden="false" customHeight="false" outlineLevel="0" collapsed="false">
      <c r="A1718" s="8" t="n">
        <v>1717</v>
      </c>
      <c r="B1718" s="8" t="s">
        <v>15</v>
      </c>
      <c r="C1718" s="8" t="s">
        <v>16</v>
      </c>
      <c r="D1718" s="9" t="n">
        <v>44344</v>
      </c>
      <c r="E1718" s="9" t="str">
        <f aca="false">TEXT(D1718,"MMM")</f>
        <v>mai</v>
      </c>
      <c r="F1718" s="10" t="n">
        <v>-2907.31</v>
      </c>
      <c r="G1718" s="8" t="s">
        <v>34</v>
      </c>
      <c r="H1718" s="8" t="s">
        <v>17</v>
      </c>
      <c r="I1718" s="11" t="s">
        <v>18</v>
      </c>
      <c r="J1718" s="8" t="s">
        <v>14</v>
      </c>
    </row>
    <row r="1719" customFormat="false" ht="14.25" hidden="false" customHeight="false" outlineLevel="0" collapsed="false">
      <c r="A1719" s="8" t="n">
        <v>1718</v>
      </c>
      <c r="B1719" s="8" t="s">
        <v>15</v>
      </c>
      <c r="C1719" s="8" t="s">
        <v>28</v>
      </c>
      <c r="D1719" s="9" t="n">
        <v>44344</v>
      </c>
      <c r="E1719" s="9" t="str">
        <f aca="false">TEXT(D1719,"MMM")</f>
        <v>mai</v>
      </c>
      <c r="F1719" s="10" t="n">
        <v>3833.5</v>
      </c>
      <c r="G1719" s="8" t="s">
        <v>11</v>
      </c>
      <c r="H1719" s="8" t="s">
        <v>12</v>
      </c>
      <c r="I1719" s="11" t="s">
        <v>13</v>
      </c>
      <c r="J1719" s="8" t="s">
        <v>19</v>
      </c>
    </row>
    <row r="1720" customFormat="false" ht="14.25" hidden="false" customHeight="false" outlineLevel="0" collapsed="false">
      <c r="A1720" s="8" t="n">
        <v>1719</v>
      </c>
      <c r="B1720" s="8" t="s">
        <v>15</v>
      </c>
      <c r="C1720" s="8" t="s">
        <v>21</v>
      </c>
      <c r="D1720" s="9" t="n">
        <v>44344</v>
      </c>
      <c r="E1720" s="9" t="str">
        <f aca="false">TEXT(D1720,"MMM")</f>
        <v>mai</v>
      </c>
      <c r="F1720" s="10" t="n">
        <v>3833.5</v>
      </c>
      <c r="G1720" s="8" t="s">
        <v>11</v>
      </c>
      <c r="H1720" s="8" t="s">
        <v>12</v>
      </c>
      <c r="I1720" s="11" t="s">
        <v>13</v>
      </c>
      <c r="J1720" s="8" t="s">
        <v>14</v>
      </c>
    </row>
    <row r="1721" customFormat="false" ht="14.25" hidden="false" customHeight="false" outlineLevel="0" collapsed="false">
      <c r="A1721" s="8" t="n">
        <v>1720</v>
      </c>
      <c r="B1721" s="8" t="s">
        <v>189</v>
      </c>
      <c r="C1721" s="8" t="s">
        <v>21</v>
      </c>
      <c r="D1721" s="9" t="n">
        <v>44345</v>
      </c>
      <c r="E1721" s="9" t="str">
        <f aca="false">TEXT(D1721,"MMM")</f>
        <v>mai</v>
      </c>
      <c r="F1721" s="10" t="n">
        <v>4182</v>
      </c>
      <c r="G1721" s="8" t="s">
        <v>11</v>
      </c>
      <c r="H1721" s="8" t="s">
        <v>36</v>
      </c>
      <c r="I1721" s="11" t="s">
        <v>37</v>
      </c>
      <c r="J1721" s="8" t="s">
        <v>14</v>
      </c>
    </row>
    <row r="1722" customFormat="false" ht="14.25" hidden="false" customHeight="false" outlineLevel="0" collapsed="false">
      <c r="A1722" s="8" t="n">
        <v>1721</v>
      </c>
      <c r="B1722" s="8" t="s">
        <v>181</v>
      </c>
      <c r="C1722" s="8" t="s">
        <v>10</v>
      </c>
      <c r="D1722" s="9" t="n">
        <v>44345</v>
      </c>
      <c r="E1722" s="9" t="str">
        <f aca="false">TEXT(D1722,"MMM")</f>
        <v>mai</v>
      </c>
      <c r="F1722" s="10" t="n">
        <v>2648.6</v>
      </c>
      <c r="G1722" s="8" t="s">
        <v>11</v>
      </c>
      <c r="H1722" s="8" t="s">
        <v>17</v>
      </c>
      <c r="I1722" s="11" t="s">
        <v>18</v>
      </c>
      <c r="J1722" s="8" t="s">
        <v>26</v>
      </c>
    </row>
    <row r="1723" customFormat="false" ht="14.25" hidden="false" customHeight="false" outlineLevel="0" collapsed="false">
      <c r="A1723" s="8" t="n">
        <v>1722</v>
      </c>
      <c r="B1723" s="8" t="s">
        <v>159</v>
      </c>
      <c r="C1723" s="8" t="s">
        <v>16</v>
      </c>
      <c r="D1723" s="9" t="n">
        <v>44345</v>
      </c>
      <c r="E1723" s="9" t="str">
        <f aca="false">TEXT(D1723,"MMM")</f>
        <v>mai</v>
      </c>
      <c r="F1723" s="10" t="n">
        <v>2648.6</v>
      </c>
      <c r="G1723" s="8" t="s">
        <v>11</v>
      </c>
      <c r="H1723" s="8" t="s">
        <v>36</v>
      </c>
      <c r="I1723" s="11" t="s">
        <v>37</v>
      </c>
      <c r="J1723" s="8" t="s">
        <v>26</v>
      </c>
    </row>
    <row r="1724" customFormat="false" ht="14.25" hidden="false" customHeight="false" outlineLevel="0" collapsed="false">
      <c r="A1724" s="8" t="n">
        <v>1723</v>
      </c>
      <c r="B1724" s="8" t="s">
        <v>9</v>
      </c>
      <c r="C1724" s="8" t="s">
        <v>16</v>
      </c>
      <c r="D1724" s="9" t="n">
        <v>44345</v>
      </c>
      <c r="E1724" s="9" t="str">
        <f aca="false">TEXT(D1724,"MMM")</f>
        <v>mai</v>
      </c>
      <c r="F1724" s="10" t="n">
        <v>3568.64</v>
      </c>
      <c r="G1724" s="8" t="s">
        <v>11</v>
      </c>
      <c r="H1724" s="8" t="s">
        <v>12</v>
      </c>
      <c r="I1724" s="11" t="s">
        <v>13</v>
      </c>
      <c r="J1724" s="8" t="s">
        <v>14</v>
      </c>
    </row>
    <row r="1725" customFormat="false" ht="14.25" hidden="false" customHeight="false" outlineLevel="0" collapsed="false">
      <c r="A1725" s="8" t="n">
        <v>1724</v>
      </c>
      <c r="B1725" s="8" t="s">
        <v>15</v>
      </c>
      <c r="C1725" s="8" t="s">
        <v>21</v>
      </c>
      <c r="D1725" s="9" t="n">
        <v>44345</v>
      </c>
      <c r="E1725" s="9" t="str">
        <f aca="false">TEXT(D1725,"MMM")</f>
        <v>mai</v>
      </c>
      <c r="F1725" s="10" t="n">
        <v>4182</v>
      </c>
      <c r="G1725" s="8" t="s">
        <v>11</v>
      </c>
      <c r="H1725" s="8" t="s">
        <v>12</v>
      </c>
      <c r="I1725" s="11" t="s">
        <v>13</v>
      </c>
      <c r="J1725" s="8" t="s">
        <v>19</v>
      </c>
    </row>
    <row r="1726" customFormat="false" ht="14.25" hidden="false" customHeight="false" outlineLevel="0" collapsed="false">
      <c r="A1726" s="8" t="n">
        <v>1725</v>
      </c>
      <c r="B1726" s="8" t="s">
        <v>15</v>
      </c>
      <c r="C1726" s="8" t="s">
        <v>28</v>
      </c>
      <c r="D1726" s="9" t="n">
        <v>44347</v>
      </c>
      <c r="E1726" s="9" t="str">
        <f aca="false">TEXT(D1726,"MMM")</f>
        <v>mai</v>
      </c>
      <c r="F1726" s="10" t="n">
        <v>3568.64</v>
      </c>
      <c r="G1726" s="8" t="s">
        <v>11</v>
      </c>
      <c r="H1726" s="8" t="s">
        <v>36</v>
      </c>
      <c r="I1726" s="11" t="s">
        <v>37</v>
      </c>
      <c r="J1726" s="8" t="s">
        <v>26</v>
      </c>
    </row>
    <row r="1727" customFormat="false" ht="14.25" hidden="false" customHeight="false" outlineLevel="0" collapsed="false">
      <c r="A1727" s="8" t="n">
        <v>1726</v>
      </c>
      <c r="B1727" s="8" t="s">
        <v>15</v>
      </c>
      <c r="C1727" s="8" t="s">
        <v>21</v>
      </c>
      <c r="D1727" s="9" t="n">
        <v>44347</v>
      </c>
      <c r="E1727" s="9" t="str">
        <f aca="false">TEXT(D1727,"MMM")</f>
        <v>mai</v>
      </c>
      <c r="F1727" s="10" t="n">
        <v>9513.83</v>
      </c>
      <c r="G1727" s="8" t="s">
        <v>11</v>
      </c>
      <c r="H1727" s="8" t="s">
        <v>12</v>
      </c>
      <c r="I1727" s="11" t="s">
        <v>13</v>
      </c>
      <c r="J1727" s="8" t="s">
        <v>14</v>
      </c>
    </row>
    <row r="1728" customFormat="false" ht="14.25" hidden="false" customHeight="false" outlineLevel="0" collapsed="false">
      <c r="A1728" s="8" t="n">
        <v>1727</v>
      </c>
      <c r="B1728" s="8" t="s">
        <v>15</v>
      </c>
      <c r="C1728" s="8" t="s">
        <v>21</v>
      </c>
      <c r="D1728" s="9" t="n">
        <v>44347</v>
      </c>
      <c r="E1728" s="9" t="str">
        <f aca="false">TEXT(D1728,"MMM")</f>
        <v>mai</v>
      </c>
      <c r="F1728" s="10" t="n">
        <v>8776.27</v>
      </c>
      <c r="G1728" s="8" t="s">
        <v>11</v>
      </c>
      <c r="H1728" s="8" t="s">
        <v>30</v>
      </c>
      <c r="I1728" s="11" t="s">
        <v>31</v>
      </c>
      <c r="J1728" s="8" t="s">
        <v>14</v>
      </c>
    </row>
    <row r="1729" customFormat="false" ht="14.25" hidden="false" customHeight="false" outlineLevel="0" collapsed="false">
      <c r="A1729" s="8" t="n">
        <v>1728</v>
      </c>
      <c r="B1729" s="8" t="s">
        <v>51</v>
      </c>
      <c r="C1729" s="8" t="s">
        <v>21</v>
      </c>
      <c r="D1729" s="9" t="n">
        <v>44347</v>
      </c>
      <c r="E1729" s="9" t="str">
        <f aca="false">TEXT(D1729,"MMM")</f>
        <v>mai</v>
      </c>
      <c r="F1729" s="10" t="n">
        <v>8676.23</v>
      </c>
      <c r="G1729" s="8" t="s">
        <v>11</v>
      </c>
      <c r="H1729" s="8" t="s">
        <v>12</v>
      </c>
      <c r="I1729" s="11" t="s">
        <v>13</v>
      </c>
      <c r="J1729" s="8" t="s">
        <v>14</v>
      </c>
    </row>
    <row r="1730" customFormat="false" ht="14.25" hidden="false" customHeight="false" outlineLevel="0" collapsed="false">
      <c r="A1730" s="8" t="n">
        <v>1729</v>
      </c>
      <c r="B1730" s="8" t="s">
        <v>15</v>
      </c>
      <c r="C1730" s="8" t="s">
        <v>16</v>
      </c>
      <c r="D1730" s="9" t="n">
        <v>44347</v>
      </c>
      <c r="E1730" s="9" t="str">
        <f aca="false">TEXT(D1730,"MMM")</f>
        <v>mai</v>
      </c>
      <c r="F1730" s="10" t="n">
        <v>9395.65</v>
      </c>
      <c r="G1730" s="8" t="s">
        <v>11</v>
      </c>
      <c r="H1730" s="8" t="s">
        <v>17</v>
      </c>
      <c r="I1730" s="11" t="s">
        <v>18</v>
      </c>
      <c r="J1730" s="8" t="s">
        <v>26</v>
      </c>
    </row>
    <row r="1731" customFormat="false" ht="14.25" hidden="false" customHeight="false" outlineLevel="0" collapsed="false">
      <c r="A1731" s="8" t="n">
        <v>1730</v>
      </c>
      <c r="B1731" s="8" t="s">
        <v>15</v>
      </c>
      <c r="C1731" s="8" t="s">
        <v>28</v>
      </c>
      <c r="D1731" s="9" t="n">
        <v>44347</v>
      </c>
      <c r="E1731" s="9" t="str">
        <f aca="false">TEXT(D1731,"MMM")</f>
        <v>mai</v>
      </c>
      <c r="F1731" s="10" t="n">
        <v>8949.97</v>
      </c>
      <c r="G1731" s="8" t="s">
        <v>11</v>
      </c>
      <c r="H1731" s="8" t="s">
        <v>12</v>
      </c>
      <c r="I1731" s="11" t="s">
        <v>13</v>
      </c>
      <c r="J1731" s="8" t="s">
        <v>26</v>
      </c>
    </row>
    <row r="1732" customFormat="false" ht="14.25" hidden="false" customHeight="false" outlineLevel="0" collapsed="false">
      <c r="A1732" s="8" t="n">
        <v>1731</v>
      </c>
      <c r="B1732" s="8" t="s">
        <v>15</v>
      </c>
      <c r="C1732" s="8" t="s">
        <v>16</v>
      </c>
      <c r="D1732" s="9" t="n">
        <v>44347</v>
      </c>
      <c r="E1732" s="9" t="str">
        <f aca="false">TEXT(D1732,"MMM")</f>
        <v>mai</v>
      </c>
      <c r="F1732" s="10" t="n">
        <v>9050.02</v>
      </c>
      <c r="G1732" s="8" t="s">
        <v>11</v>
      </c>
      <c r="H1732" s="8" t="s">
        <v>12</v>
      </c>
      <c r="I1732" s="11" t="s">
        <v>13</v>
      </c>
      <c r="J1732" s="8" t="s">
        <v>19</v>
      </c>
    </row>
    <row r="1733" customFormat="false" ht="14.25" hidden="false" customHeight="false" outlineLevel="0" collapsed="false">
      <c r="A1733" s="8" t="n">
        <v>1732</v>
      </c>
      <c r="B1733" s="8" t="s">
        <v>32</v>
      </c>
      <c r="C1733" s="8" t="s">
        <v>21</v>
      </c>
      <c r="D1733" s="9" t="n">
        <v>44347</v>
      </c>
      <c r="E1733" s="9" t="str">
        <f aca="false">TEXT(D1733,"MMM")</f>
        <v>mai</v>
      </c>
      <c r="F1733" s="10" t="n">
        <v>8850.73</v>
      </c>
      <c r="G1733" s="8" t="s">
        <v>11</v>
      </c>
      <c r="H1733" s="8" t="s">
        <v>12</v>
      </c>
      <c r="I1733" s="11" t="s">
        <v>13</v>
      </c>
      <c r="J1733" s="8" t="s">
        <v>14</v>
      </c>
    </row>
    <row r="1734" customFormat="false" ht="14.25" hidden="false" customHeight="false" outlineLevel="0" collapsed="false">
      <c r="A1734" s="8" t="n">
        <v>1733</v>
      </c>
      <c r="B1734" s="8" t="s">
        <v>32</v>
      </c>
      <c r="C1734" s="8" t="s">
        <v>16</v>
      </c>
      <c r="D1734" s="9" t="n">
        <v>44347</v>
      </c>
      <c r="E1734" s="9" t="str">
        <f aca="false">TEXT(D1734,"MMM")</f>
        <v>mai</v>
      </c>
      <c r="F1734" s="10" t="n">
        <v>9166.39</v>
      </c>
      <c r="G1734" s="8" t="s">
        <v>11</v>
      </c>
      <c r="H1734" s="8" t="s">
        <v>22</v>
      </c>
      <c r="I1734" s="11" t="s">
        <v>23</v>
      </c>
      <c r="J1734" s="8" t="s">
        <v>14</v>
      </c>
    </row>
    <row r="1735" customFormat="false" ht="14.25" hidden="false" customHeight="false" outlineLevel="0" collapsed="false">
      <c r="A1735" s="8" t="n">
        <v>1734</v>
      </c>
      <c r="B1735" s="8" t="s">
        <v>20</v>
      </c>
      <c r="C1735" s="8" t="s">
        <v>21</v>
      </c>
      <c r="D1735" s="9" t="n">
        <v>44347</v>
      </c>
      <c r="E1735" s="9" t="str">
        <f aca="false">TEXT(D1735,"MMM")</f>
        <v>mai</v>
      </c>
      <c r="F1735" s="10" t="n">
        <v>8557.74</v>
      </c>
      <c r="G1735" s="8" t="s">
        <v>11</v>
      </c>
      <c r="H1735" s="8" t="s">
        <v>17</v>
      </c>
      <c r="I1735" s="11" t="s">
        <v>18</v>
      </c>
      <c r="J1735" s="8" t="s">
        <v>14</v>
      </c>
    </row>
    <row r="1736" customFormat="false" ht="14.25" hidden="false" customHeight="false" outlineLevel="0" collapsed="false">
      <c r="A1736" s="8" t="n">
        <v>1735</v>
      </c>
      <c r="B1736" s="8" t="s">
        <v>20</v>
      </c>
      <c r="C1736" s="8" t="s">
        <v>28</v>
      </c>
      <c r="D1736" s="9" t="n">
        <v>44347</v>
      </c>
      <c r="E1736" s="9" t="str">
        <f aca="false">TEXT(D1736,"MMM")</f>
        <v>mai</v>
      </c>
      <c r="F1736" s="10" t="n">
        <v>8986.59</v>
      </c>
      <c r="G1736" s="8" t="s">
        <v>11</v>
      </c>
      <c r="H1736" s="8" t="s">
        <v>12</v>
      </c>
      <c r="I1736" s="11" t="s">
        <v>13</v>
      </c>
      <c r="J1736" s="8" t="s">
        <v>19</v>
      </c>
    </row>
    <row r="1737" customFormat="false" ht="14.25" hidden="false" customHeight="false" outlineLevel="0" collapsed="false">
      <c r="A1737" s="8" t="n">
        <v>1736</v>
      </c>
      <c r="B1737" s="8" t="s">
        <v>73</v>
      </c>
      <c r="C1737" s="8" t="s">
        <v>28</v>
      </c>
      <c r="D1737" s="9" t="n">
        <v>44347</v>
      </c>
      <c r="E1737" s="9" t="str">
        <f aca="false">TEXT(D1737,"MMM")</f>
        <v>mai</v>
      </c>
      <c r="F1737" s="10" t="n">
        <v>-768.43</v>
      </c>
      <c r="G1737" s="8" t="s">
        <v>34</v>
      </c>
      <c r="H1737" s="8" t="s">
        <v>12</v>
      </c>
      <c r="I1737" s="11" t="s">
        <v>13</v>
      </c>
      <c r="J1737" s="8" t="s">
        <v>26</v>
      </c>
    </row>
    <row r="1738" customFormat="false" ht="14.25" hidden="false" customHeight="false" outlineLevel="0" collapsed="false">
      <c r="A1738" s="8" t="n">
        <v>1737</v>
      </c>
      <c r="B1738" s="8" t="s">
        <v>73</v>
      </c>
      <c r="C1738" s="8" t="s">
        <v>10</v>
      </c>
      <c r="D1738" s="9" t="n">
        <v>44347</v>
      </c>
      <c r="E1738" s="9" t="str">
        <f aca="false">TEXT(D1738,"MMM")</f>
        <v>mai</v>
      </c>
      <c r="F1738" s="10" t="n">
        <v>-8254.19</v>
      </c>
      <c r="G1738" s="8" t="s">
        <v>34</v>
      </c>
      <c r="H1738" s="8" t="s">
        <v>12</v>
      </c>
      <c r="I1738" s="11" t="s">
        <v>13</v>
      </c>
      <c r="J1738" s="8" t="s">
        <v>26</v>
      </c>
    </row>
    <row r="1739" customFormat="false" ht="14.25" hidden="false" customHeight="false" outlineLevel="0" collapsed="false">
      <c r="A1739" s="8" t="n">
        <v>1738</v>
      </c>
      <c r="B1739" s="8" t="s">
        <v>20</v>
      </c>
      <c r="C1739" s="8" t="s">
        <v>21</v>
      </c>
      <c r="D1739" s="9" t="n">
        <v>44347</v>
      </c>
      <c r="E1739" s="9" t="str">
        <f aca="false">TEXT(D1739,"MMM")</f>
        <v>mai</v>
      </c>
      <c r="F1739" s="10" t="n">
        <v>-3691.31</v>
      </c>
      <c r="G1739" s="8" t="s">
        <v>34</v>
      </c>
      <c r="H1739" s="8" t="s">
        <v>17</v>
      </c>
      <c r="I1739" s="11" t="s">
        <v>18</v>
      </c>
      <c r="J1739" s="8" t="s">
        <v>14</v>
      </c>
    </row>
    <row r="1740" customFormat="false" ht="14.25" hidden="false" customHeight="false" outlineLevel="0" collapsed="false">
      <c r="A1740" s="8" t="n">
        <v>1739</v>
      </c>
      <c r="B1740" s="8" t="s">
        <v>73</v>
      </c>
      <c r="C1740" s="8" t="s">
        <v>21</v>
      </c>
      <c r="D1740" s="9" t="n">
        <v>44347</v>
      </c>
      <c r="E1740" s="9" t="str">
        <f aca="false">TEXT(D1740,"MMM")</f>
        <v>mai</v>
      </c>
      <c r="F1740" s="10" t="n">
        <v>-3279.92</v>
      </c>
      <c r="G1740" s="8" t="s">
        <v>34</v>
      </c>
      <c r="H1740" s="8" t="s">
        <v>12</v>
      </c>
      <c r="I1740" s="11" t="s">
        <v>13</v>
      </c>
      <c r="J1740" s="8" t="s">
        <v>14</v>
      </c>
    </row>
    <row r="1741" customFormat="false" ht="14.25" hidden="false" customHeight="false" outlineLevel="0" collapsed="false">
      <c r="A1741" s="8" t="n">
        <v>1740</v>
      </c>
      <c r="B1741" s="8" t="s">
        <v>73</v>
      </c>
      <c r="C1741" s="8" t="s">
        <v>16</v>
      </c>
      <c r="D1741" s="9" t="n">
        <v>44347</v>
      </c>
      <c r="E1741" s="9" t="str">
        <f aca="false">TEXT(D1741,"MMM")</f>
        <v>mai</v>
      </c>
      <c r="F1741" s="10" t="n">
        <v>8299.09</v>
      </c>
      <c r="G1741" s="8" t="s">
        <v>11</v>
      </c>
      <c r="H1741" s="8" t="s">
        <v>36</v>
      </c>
      <c r="I1741" s="11" t="s">
        <v>37</v>
      </c>
      <c r="J1741" s="8" t="s">
        <v>26</v>
      </c>
    </row>
    <row r="1742" customFormat="false" ht="14.25" hidden="false" customHeight="false" outlineLevel="0" collapsed="false">
      <c r="A1742" s="8" t="n">
        <v>1741</v>
      </c>
      <c r="B1742" s="8" t="s">
        <v>20</v>
      </c>
      <c r="C1742" s="8" t="s">
        <v>21</v>
      </c>
      <c r="D1742" s="9" t="n">
        <v>44347</v>
      </c>
      <c r="E1742" s="9" t="str">
        <f aca="false">TEXT(D1742,"MMM")</f>
        <v>mai</v>
      </c>
      <c r="F1742" s="10" t="n">
        <v>138144.45</v>
      </c>
      <c r="G1742" s="8" t="s">
        <v>11</v>
      </c>
      <c r="H1742" s="8" t="s">
        <v>12</v>
      </c>
      <c r="I1742" s="11" t="s">
        <v>13</v>
      </c>
      <c r="J1742" s="8" t="s">
        <v>14</v>
      </c>
    </row>
    <row r="1743" customFormat="false" ht="14.25" hidden="false" customHeight="false" outlineLevel="0" collapsed="false">
      <c r="A1743" s="8" t="n">
        <v>1742</v>
      </c>
      <c r="B1743" s="8" t="s">
        <v>73</v>
      </c>
      <c r="C1743" s="8" t="s">
        <v>21</v>
      </c>
      <c r="D1743" s="9" t="n">
        <v>44347</v>
      </c>
      <c r="E1743" s="9" t="str">
        <f aca="false">TEXT(D1743,"MMM")</f>
        <v>mai</v>
      </c>
      <c r="F1743" s="10" t="n">
        <v>-15228.12</v>
      </c>
      <c r="G1743" s="8" t="s">
        <v>34</v>
      </c>
      <c r="H1743" s="8" t="s">
        <v>12</v>
      </c>
      <c r="I1743" s="11" t="s">
        <v>13</v>
      </c>
      <c r="J1743" s="8" t="s">
        <v>24</v>
      </c>
    </row>
    <row r="1744" customFormat="false" ht="14.25" hidden="false" customHeight="false" outlineLevel="0" collapsed="false">
      <c r="A1744" s="8" t="n">
        <v>1743</v>
      </c>
      <c r="B1744" s="8" t="s">
        <v>73</v>
      </c>
      <c r="C1744" s="8" t="s">
        <v>10</v>
      </c>
      <c r="D1744" s="9" t="n">
        <v>44347</v>
      </c>
      <c r="E1744" s="9" t="str">
        <f aca="false">TEXT(D1744,"MMM")</f>
        <v>mai</v>
      </c>
      <c r="F1744" s="10" t="n">
        <v>-6662.71</v>
      </c>
      <c r="G1744" s="8" t="s">
        <v>34</v>
      </c>
      <c r="H1744" s="8" t="s">
        <v>36</v>
      </c>
      <c r="I1744" s="11" t="s">
        <v>37</v>
      </c>
      <c r="J1744" s="8" t="s">
        <v>14</v>
      </c>
    </row>
    <row r="1745" customFormat="false" ht="14.25" hidden="false" customHeight="false" outlineLevel="0" collapsed="false">
      <c r="A1745" s="8" t="n">
        <v>1744</v>
      </c>
      <c r="B1745" s="8" t="s">
        <v>189</v>
      </c>
      <c r="C1745" s="8" t="s">
        <v>28</v>
      </c>
      <c r="D1745" s="9" t="n">
        <v>44348</v>
      </c>
      <c r="E1745" s="9" t="str">
        <f aca="false">TEXT(D1745,"MMM")</f>
        <v>jun</v>
      </c>
      <c r="F1745" s="10" t="n">
        <v>11865.55</v>
      </c>
      <c r="G1745" s="8" t="s">
        <v>11</v>
      </c>
      <c r="H1745" s="8" t="s">
        <v>12</v>
      </c>
      <c r="I1745" s="11" t="s">
        <v>13</v>
      </c>
      <c r="J1745" s="8" t="s">
        <v>19</v>
      </c>
    </row>
    <row r="1746" customFormat="false" ht="14.25" hidden="false" customHeight="false" outlineLevel="0" collapsed="false">
      <c r="A1746" s="8" t="n">
        <v>1745</v>
      </c>
      <c r="B1746" s="8" t="s">
        <v>188</v>
      </c>
      <c r="C1746" s="8" t="s">
        <v>21</v>
      </c>
      <c r="D1746" s="9" t="n">
        <v>44351</v>
      </c>
      <c r="E1746" s="9" t="str">
        <f aca="false">TEXT(D1746,"MMM")</f>
        <v>jun</v>
      </c>
      <c r="F1746" s="10" t="n">
        <v>-7064.3</v>
      </c>
      <c r="G1746" s="8" t="s">
        <v>34</v>
      </c>
      <c r="H1746" s="8" t="s">
        <v>12</v>
      </c>
      <c r="I1746" s="11" t="s">
        <v>13</v>
      </c>
      <c r="J1746" s="8" t="s">
        <v>14</v>
      </c>
    </row>
    <row r="1747" customFormat="false" ht="14.25" hidden="false" customHeight="false" outlineLevel="0" collapsed="false">
      <c r="A1747" s="8" t="n">
        <v>1746</v>
      </c>
      <c r="B1747" s="8" t="s">
        <v>176</v>
      </c>
      <c r="C1747" s="8" t="s">
        <v>21</v>
      </c>
      <c r="D1747" s="9" t="n">
        <v>44351</v>
      </c>
      <c r="E1747" s="9" t="str">
        <f aca="false">TEXT(D1747,"MMM")</f>
        <v>jun</v>
      </c>
      <c r="F1747" s="10" t="n">
        <v>151207.6</v>
      </c>
      <c r="G1747" s="8" t="s">
        <v>11</v>
      </c>
      <c r="H1747" s="8" t="s">
        <v>12</v>
      </c>
      <c r="I1747" s="11" t="s">
        <v>13</v>
      </c>
      <c r="J1747" s="8" t="s">
        <v>26</v>
      </c>
    </row>
    <row r="1748" customFormat="false" ht="14.25" hidden="false" customHeight="false" outlineLevel="0" collapsed="false">
      <c r="A1748" s="8" t="n">
        <v>1747</v>
      </c>
      <c r="B1748" s="8" t="s">
        <v>172</v>
      </c>
      <c r="C1748" s="8" t="s">
        <v>21</v>
      </c>
      <c r="D1748" s="9" t="n">
        <v>44351</v>
      </c>
      <c r="E1748" s="9" t="str">
        <f aca="false">TEXT(D1748,"MMM")</f>
        <v>jun</v>
      </c>
      <c r="F1748" s="10" t="n">
        <v>173444.25</v>
      </c>
      <c r="G1748" s="8" t="s">
        <v>11</v>
      </c>
      <c r="H1748" s="8" t="s">
        <v>12</v>
      </c>
      <c r="I1748" s="11" t="s">
        <v>13</v>
      </c>
      <c r="J1748" s="8" t="s">
        <v>26</v>
      </c>
    </row>
    <row r="1749" customFormat="false" ht="14.25" hidden="false" customHeight="false" outlineLevel="0" collapsed="false">
      <c r="A1749" s="8" t="n">
        <v>1748</v>
      </c>
      <c r="B1749" s="8" t="s">
        <v>130</v>
      </c>
      <c r="C1749" s="8" t="s">
        <v>10</v>
      </c>
      <c r="D1749" s="9" t="n">
        <v>44352</v>
      </c>
      <c r="E1749" s="9" t="str">
        <f aca="false">TEXT(D1749,"MMM")</f>
        <v>jun</v>
      </c>
      <c r="F1749" s="10" t="n">
        <v>-23800.67</v>
      </c>
      <c r="G1749" s="8" t="s">
        <v>34</v>
      </c>
      <c r="H1749" s="8" t="s">
        <v>17</v>
      </c>
      <c r="I1749" s="11" t="s">
        <v>18</v>
      </c>
      <c r="J1749" s="8" t="s">
        <v>26</v>
      </c>
    </row>
    <row r="1750" customFormat="false" ht="14.25" hidden="false" customHeight="false" outlineLevel="0" collapsed="false">
      <c r="A1750" s="8" t="n">
        <v>1749</v>
      </c>
      <c r="B1750" s="8" t="s">
        <v>86</v>
      </c>
      <c r="C1750" s="8" t="s">
        <v>28</v>
      </c>
      <c r="D1750" s="9" t="n">
        <v>44352</v>
      </c>
      <c r="E1750" s="9" t="str">
        <f aca="false">TEXT(D1750,"MMM")</f>
        <v>jun</v>
      </c>
      <c r="F1750" s="10" t="n">
        <v>7434.51</v>
      </c>
      <c r="G1750" s="8" t="s">
        <v>11</v>
      </c>
      <c r="H1750" s="8" t="s">
        <v>30</v>
      </c>
      <c r="I1750" s="11" t="s">
        <v>31</v>
      </c>
      <c r="J1750" s="8" t="s">
        <v>19</v>
      </c>
    </row>
    <row r="1751" customFormat="false" ht="14.25" hidden="false" customHeight="false" outlineLevel="0" collapsed="false">
      <c r="A1751" s="8" t="n">
        <v>1750</v>
      </c>
      <c r="B1751" s="8" t="s">
        <v>130</v>
      </c>
      <c r="C1751" s="8" t="s">
        <v>10</v>
      </c>
      <c r="D1751" s="9" t="n">
        <v>44352</v>
      </c>
      <c r="E1751" s="9" t="str">
        <f aca="false">TEXT(D1751,"MMM")</f>
        <v>jun</v>
      </c>
      <c r="F1751" s="10" t="n">
        <v>161544.82</v>
      </c>
      <c r="G1751" s="8" t="s">
        <v>11</v>
      </c>
      <c r="H1751" s="8" t="s">
        <v>12</v>
      </c>
      <c r="I1751" s="11" t="s">
        <v>13</v>
      </c>
      <c r="J1751" s="8" t="s">
        <v>26</v>
      </c>
    </row>
    <row r="1752" customFormat="false" ht="14.25" hidden="false" customHeight="false" outlineLevel="0" collapsed="false">
      <c r="A1752" s="8" t="n">
        <v>1751</v>
      </c>
      <c r="B1752" s="8" t="s">
        <v>85</v>
      </c>
      <c r="C1752" s="8" t="s">
        <v>28</v>
      </c>
      <c r="D1752" s="9" t="n">
        <v>44353</v>
      </c>
      <c r="E1752" s="9" t="str">
        <f aca="false">TEXT(D1752,"MMM")</f>
        <v>jun</v>
      </c>
      <c r="F1752" s="10" t="n">
        <v>7967.77</v>
      </c>
      <c r="G1752" s="8" t="s">
        <v>11</v>
      </c>
      <c r="H1752" s="8" t="s">
        <v>12</v>
      </c>
      <c r="I1752" s="11" t="s">
        <v>13</v>
      </c>
      <c r="J1752" s="8" t="s">
        <v>26</v>
      </c>
    </row>
    <row r="1753" customFormat="false" ht="14.25" hidden="false" customHeight="false" outlineLevel="0" collapsed="false">
      <c r="A1753" s="8" t="n">
        <v>1752</v>
      </c>
      <c r="B1753" s="8" t="s">
        <v>62</v>
      </c>
      <c r="C1753" s="8" t="s">
        <v>10</v>
      </c>
      <c r="D1753" s="9" t="n">
        <v>44354</v>
      </c>
      <c r="E1753" s="9" t="str">
        <f aca="false">TEXT(D1753,"MMM")</f>
        <v>jun</v>
      </c>
      <c r="F1753" s="10" t="n">
        <v>6200.91</v>
      </c>
      <c r="G1753" s="8" t="s">
        <v>11</v>
      </c>
      <c r="H1753" s="8" t="s">
        <v>36</v>
      </c>
      <c r="I1753" s="11" t="s">
        <v>37</v>
      </c>
      <c r="J1753" s="8" t="s">
        <v>14</v>
      </c>
    </row>
    <row r="1754" customFormat="false" ht="14.25" hidden="false" customHeight="false" outlineLevel="0" collapsed="false">
      <c r="A1754" s="8" t="n">
        <v>1753</v>
      </c>
      <c r="B1754" s="8" t="s">
        <v>62</v>
      </c>
      <c r="C1754" s="8" t="s">
        <v>10</v>
      </c>
      <c r="D1754" s="9" t="n">
        <v>44354</v>
      </c>
      <c r="E1754" s="9" t="str">
        <f aca="false">TEXT(D1754,"MMM")</f>
        <v>jun</v>
      </c>
      <c r="F1754" s="10" t="n">
        <v>10750.15</v>
      </c>
      <c r="G1754" s="8" t="s">
        <v>11</v>
      </c>
      <c r="H1754" s="8" t="s">
        <v>36</v>
      </c>
      <c r="I1754" s="11" t="s">
        <v>37</v>
      </c>
      <c r="J1754" s="8" t="s">
        <v>14</v>
      </c>
    </row>
    <row r="1755" customFormat="false" ht="14.25" hidden="false" customHeight="false" outlineLevel="0" collapsed="false">
      <c r="A1755" s="8" t="n">
        <v>1754</v>
      </c>
      <c r="B1755" s="8" t="s">
        <v>39</v>
      </c>
      <c r="C1755" s="8" t="s">
        <v>10</v>
      </c>
      <c r="D1755" s="9" t="n">
        <v>44354</v>
      </c>
      <c r="E1755" s="9" t="str">
        <f aca="false">TEXT(D1755,"MMM")</f>
        <v>jun</v>
      </c>
      <c r="F1755" s="10" t="n">
        <v>10962.27</v>
      </c>
      <c r="G1755" s="8" t="s">
        <v>11</v>
      </c>
      <c r="H1755" s="8" t="s">
        <v>17</v>
      </c>
      <c r="I1755" s="11" t="s">
        <v>18</v>
      </c>
      <c r="J1755" s="8" t="s">
        <v>26</v>
      </c>
    </row>
    <row r="1756" customFormat="false" ht="14.25" hidden="false" customHeight="false" outlineLevel="0" collapsed="false">
      <c r="A1756" s="8" t="n">
        <v>1755</v>
      </c>
      <c r="B1756" s="8" t="s">
        <v>39</v>
      </c>
      <c r="C1756" s="8" t="s">
        <v>21</v>
      </c>
      <c r="D1756" s="9" t="n">
        <v>44354</v>
      </c>
      <c r="E1756" s="9" t="str">
        <f aca="false">TEXT(D1756,"MMM")</f>
        <v>jun</v>
      </c>
      <c r="F1756" s="10" t="n">
        <v>-4492.18</v>
      </c>
      <c r="G1756" s="8" t="s">
        <v>34</v>
      </c>
      <c r="H1756" s="8" t="s">
        <v>17</v>
      </c>
      <c r="I1756" s="11" t="s">
        <v>18</v>
      </c>
      <c r="J1756" s="8" t="s">
        <v>19</v>
      </c>
    </row>
    <row r="1757" customFormat="false" ht="14.25" hidden="false" customHeight="false" outlineLevel="0" collapsed="false">
      <c r="A1757" s="8" t="n">
        <v>1756</v>
      </c>
      <c r="B1757" s="8" t="s">
        <v>62</v>
      </c>
      <c r="C1757" s="8" t="s">
        <v>10</v>
      </c>
      <c r="D1757" s="9" t="n">
        <v>44354</v>
      </c>
      <c r="E1757" s="9" t="str">
        <f aca="false">TEXT(D1757,"MMM")</f>
        <v>jun</v>
      </c>
      <c r="F1757" s="10" t="n">
        <v>-334.39</v>
      </c>
      <c r="G1757" s="8" t="s">
        <v>34</v>
      </c>
      <c r="H1757" s="8" t="s">
        <v>17</v>
      </c>
      <c r="I1757" s="11" t="s">
        <v>18</v>
      </c>
      <c r="J1757" s="8" t="s">
        <v>26</v>
      </c>
    </row>
    <row r="1758" customFormat="false" ht="14.25" hidden="false" customHeight="false" outlineLevel="0" collapsed="false">
      <c r="A1758" s="8" t="n">
        <v>1757</v>
      </c>
      <c r="B1758" s="8" t="s">
        <v>62</v>
      </c>
      <c r="C1758" s="8" t="s">
        <v>28</v>
      </c>
      <c r="D1758" s="9" t="n">
        <v>44354</v>
      </c>
      <c r="E1758" s="9" t="str">
        <f aca="false">TEXT(D1758,"MMM")</f>
        <v>jun</v>
      </c>
      <c r="F1758" s="10" t="n">
        <v>-7615.27</v>
      </c>
      <c r="G1758" s="8" t="s">
        <v>34</v>
      </c>
      <c r="H1758" s="8" t="s">
        <v>22</v>
      </c>
      <c r="I1758" s="11" t="s">
        <v>23</v>
      </c>
      <c r="J1758" s="8" t="s">
        <v>14</v>
      </c>
    </row>
    <row r="1759" customFormat="false" ht="14.25" hidden="false" customHeight="false" outlineLevel="0" collapsed="false">
      <c r="A1759" s="8" t="n">
        <v>1758</v>
      </c>
      <c r="B1759" s="8" t="s">
        <v>62</v>
      </c>
      <c r="C1759" s="8" t="s">
        <v>10</v>
      </c>
      <c r="D1759" s="9" t="n">
        <v>44354</v>
      </c>
      <c r="E1759" s="9" t="str">
        <f aca="false">TEXT(D1759,"MMM")</f>
        <v>jun</v>
      </c>
      <c r="F1759" s="10" t="n">
        <v>-2199.75</v>
      </c>
      <c r="G1759" s="8" t="s">
        <v>34</v>
      </c>
      <c r="H1759" s="8" t="s">
        <v>17</v>
      </c>
      <c r="I1759" s="11" t="s">
        <v>18</v>
      </c>
      <c r="J1759" s="8" t="s">
        <v>26</v>
      </c>
    </row>
    <row r="1760" customFormat="false" ht="14.25" hidden="false" customHeight="false" outlineLevel="0" collapsed="false">
      <c r="A1760" s="8" t="n">
        <v>1759</v>
      </c>
      <c r="B1760" s="8" t="s">
        <v>100</v>
      </c>
      <c r="C1760" s="8" t="s">
        <v>28</v>
      </c>
      <c r="D1760" s="9" t="n">
        <v>44355</v>
      </c>
      <c r="E1760" s="9" t="str">
        <f aca="false">TEXT(D1760,"MMM")</f>
        <v>jun</v>
      </c>
      <c r="F1760" s="10" t="n">
        <v>-41650.98</v>
      </c>
      <c r="G1760" s="8" t="s">
        <v>34</v>
      </c>
      <c r="H1760" s="8" t="s">
        <v>12</v>
      </c>
      <c r="I1760" s="11" t="s">
        <v>13</v>
      </c>
      <c r="J1760" s="8" t="s">
        <v>26</v>
      </c>
    </row>
    <row r="1761" customFormat="false" ht="14.25" hidden="false" customHeight="false" outlineLevel="0" collapsed="false">
      <c r="A1761" s="8" t="n">
        <v>1760</v>
      </c>
      <c r="B1761" s="8" t="s">
        <v>100</v>
      </c>
      <c r="C1761" s="8" t="s">
        <v>10</v>
      </c>
      <c r="D1761" s="9" t="n">
        <v>44355</v>
      </c>
      <c r="E1761" s="9" t="str">
        <f aca="false">TEXT(D1761,"MMM")</f>
        <v>jun</v>
      </c>
      <c r="F1761" s="10" t="n">
        <v>128001.02</v>
      </c>
      <c r="G1761" s="8" t="s">
        <v>11</v>
      </c>
      <c r="H1761" s="8" t="s">
        <v>12</v>
      </c>
      <c r="I1761" s="11" t="s">
        <v>13</v>
      </c>
      <c r="J1761" s="8" t="s">
        <v>19</v>
      </c>
    </row>
    <row r="1762" customFormat="false" ht="14.25" hidden="false" customHeight="false" outlineLevel="0" collapsed="false">
      <c r="A1762" s="8" t="n">
        <v>1761</v>
      </c>
      <c r="B1762" s="8" t="s">
        <v>100</v>
      </c>
      <c r="C1762" s="8" t="s">
        <v>16</v>
      </c>
      <c r="D1762" s="9" t="n">
        <v>44355</v>
      </c>
      <c r="E1762" s="9" t="str">
        <f aca="false">TEXT(D1762,"MMM")</f>
        <v>jun</v>
      </c>
      <c r="F1762" s="10" t="n">
        <v>1081.2</v>
      </c>
      <c r="G1762" s="8" t="s">
        <v>11</v>
      </c>
      <c r="H1762" s="8" t="s">
        <v>17</v>
      </c>
      <c r="I1762" s="11" t="s">
        <v>18</v>
      </c>
      <c r="J1762" s="8" t="s">
        <v>14</v>
      </c>
    </row>
    <row r="1763" customFormat="false" ht="14.25" hidden="false" customHeight="false" outlineLevel="0" collapsed="false">
      <c r="A1763" s="8" t="n">
        <v>1762</v>
      </c>
      <c r="B1763" s="8" t="s">
        <v>49</v>
      </c>
      <c r="C1763" s="8" t="s">
        <v>10</v>
      </c>
      <c r="D1763" s="9" t="n">
        <v>44355</v>
      </c>
      <c r="E1763" s="9" t="str">
        <f aca="false">TEXT(D1763,"MMM")</f>
        <v>jun</v>
      </c>
      <c r="F1763" s="10" t="n">
        <v>1081.2</v>
      </c>
      <c r="G1763" s="8" t="s">
        <v>11</v>
      </c>
      <c r="H1763" s="8" t="s">
        <v>36</v>
      </c>
      <c r="I1763" s="11" t="s">
        <v>37</v>
      </c>
      <c r="J1763" s="8" t="s">
        <v>14</v>
      </c>
    </row>
    <row r="1764" customFormat="false" ht="14.25" hidden="false" customHeight="false" outlineLevel="0" collapsed="false">
      <c r="A1764" s="8" t="n">
        <v>1763</v>
      </c>
      <c r="B1764" s="8" t="s">
        <v>100</v>
      </c>
      <c r="C1764" s="8" t="s">
        <v>10</v>
      </c>
      <c r="D1764" s="9" t="n">
        <v>44355</v>
      </c>
      <c r="E1764" s="9" t="str">
        <f aca="false">TEXT(D1764,"MMM")</f>
        <v>jun</v>
      </c>
      <c r="F1764" s="10" t="n">
        <v>1836.89</v>
      </c>
      <c r="G1764" s="8" t="s">
        <v>11</v>
      </c>
      <c r="H1764" s="8" t="s">
        <v>12</v>
      </c>
      <c r="I1764" s="11" t="s">
        <v>13</v>
      </c>
      <c r="J1764" s="8" t="s">
        <v>19</v>
      </c>
    </row>
    <row r="1765" customFormat="false" ht="14.25" hidden="false" customHeight="false" outlineLevel="0" collapsed="false">
      <c r="A1765" s="8" t="n">
        <v>1764</v>
      </c>
      <c r="B1765" s="8" t="s">
        <v>100</v>
      </c>
      <c r="C1765" s="8" t="s">
        <v>16</v>
      </c>
      <c r="D1765" s="9" t="n">
        <v>44355</v>
      </c>
      <c r="E1765" s="9" t="str">
        <f aca="false">TEXT(D1765,"MMM")</f>
        <v>jun</v>
      </c>
      <c r="F1765" s="10" t="n">
        <v>160309.42</v>
      </c>
      <c r="G1765" s="8" t="s">
        <v>11</v>
      </c>
      <c r="H1765" s="8" t="s">
        <v>17</v>
      </c>
      <c r="I1765" s="11" t="s">
        <v>18</v>
      </c>
      <c r="J1765" s="8" t="s">
        <v>26</v>
      </c>
    </row>
    <row r="1766" customFormat="false" ht="14.25" hidden="false" customHeight="false" outlineLevel="0" collapsed="false">
      <c r="A1766" s="8" t="n">
        <v>1765</v>
      </c>
      <c r="B1766" s="8" t="s">
        <v>100</v>
      </c>
      <c r="C1766" s="8" t="s">
        <v>16</v>
      </c>
      <c r="D1766" s="9" t="n">
        <v>44355</v>
      </c>
      <c r="E1766" s="9" t="str">
        <f aca="false">TEXT(D1766,"MMM")</f>
        <v>jun</v>
      </c>
      <c r="F1766" s="10" t="n">
        <v>184376.22</v>
      </c>
      <c r="G1766" s="8" t="s">
        <v>11</v>
      </c>
      <c r="H1766" s="8" t="s">
        <v>17</v>
      </c>
      <c r="I1766" s="11" t="s">
        <v>18</v>
      </c>
      <c r="J1766" s="8" t="s">
        <v>26</v>
      </c>
    </row>
    <row r="1767" customFormat="false" ht="14.25" hidden="false" customHeight="false" outlineLevel="0" collapsed="false">
      <c r="A1767" s="8" t="n">
        <v>1766</v>
      </c>
      <c r="B1767" s="8" t="s">
        <v>145</v>
      </c>
      <c r="C1767" s="8" t="s">
        <v>16</v>
      </c>
      <c r="D1767" s="9" t="n">
        <v>44358</v>
      </c>
      <c r="E1767" s="9" t="str">
        <f aca="false">TEXT(D1767,"MMM")</f>
        <v>jun</v>
      </c>
      <c r="F1767" s="10" t="n">
        <v>1081.2</v>
      </c>
      <c r="G1767" s="8" t="s">
        <v>11</v>
      </c>
      <c r="H1767" s="8" t="s">
        <v>12</v>
      </c>
      <c r="I1767" s="11" t="s">
        <v>13</v>
      </c>
      <c r="J1767" s="8" t="s">
        <v>14</v>
      </c>
    </row>
    <row r="1768" customFormat="false" ht="14.25" hidden="false" customHeight="false" outlineLevel="0" collapsed="false">
      <c r="A1768" s="8" t="n">
        <v>1767</v>
      </c>
      <c r="B1768" s="8" t="s">
        <v>85</v>
      </c>
      <c r="C1768" s="8" t="s">
        <v>16</v>
      </c>
      <c r="D1768" s="9" t="n">
        <v>44358</v>
      </c>
      <c r="E1768" s="9" t="str">
        <f aca="false">TEXT(D1768,"MMM")</f>
        <v>jun</v>
      </c>
      <c r="F1768" s="10" t="n">
        <v>1081.2</v>
      </c>
      <c r="G1768" s="8" t="s">
        <v>11</v>
      </c>
      <c r="H1768" s="8" t="s">
        <v>36</v>
      </c>
      <c r="I1768" s="11" t="s">
        <v>37</v>
      </c>
      <c r="J1768" s="8" t="s">
        <v>14</v>
      </c>
    </row>
    <row r="1769" customFormat="false" ht="14.25" hidden="false" customHeight="false" outlineLevel="0" collapsed="false">
      <c r="A1769" s="8" t="n">
        <v>1768</v>
      </c>
      <c r="B1769" s="8" t="s">
        <v>32</v>
      </c>
      <c r="C1769" s="8" t="s">
        <v>10</v>
      </c>
      <c r="D1769" s="9" t="n">
        <v>44358</v>
      </c>
      <c r="E1769" s="9" t="str">
        <f aca="false">TEXT(D1769,"MMM")</f>
        <v>jun</v>
      </c>
      <c r="F1769" s="10" t="n">
        <v>1081.2</v>
      </c>
      <c r="G1769" s="8" t="s">
        <v>11</v>
      </c>
      <c r="H1769" s="8" t="s">
        <v>12</v>
      </c>
      <c r="I1769" s="11" t="s">
        <v>13</v>
      </c>
      <c r="J1769" s="8" t="s">
        <v>14</v>
      </c>
    </row>
    <row r="1770" customFormat="false" ht="14.25" hidden="false" customHeight="false" outlineLevel="0" collapsed="false">
      <c r="A1770" s="8" t="n">
        <v>1769</v>
      </c>
      <c r="B1770" s="8" t="s">
        <v>57</v>
      </c>
      <c r="C1770" s="8" t="s">
        <v>10</v>
      </c>
      <c r="D1770" s="9" t="n">
        <v>44358</v>
      </c>
      <c r="E1770" s="9" t="str">
        <f aca="false">TEXT(D1770,"MMM")</f>
        <v>jun</v>
      </c>
      <c r="F1770" s="10" t="n">
        <v>1081.2</v>
      </c>
      <c r="G1770" s="8" t="s">
        <v>11</v>
      </c>
      <c r="H1770" s="8" t="s">
        <v>17</v>
      </c>
      <c r="I1770" s="11" t="s">
        <v>18</v>
      </c>
      <c r="J1770" s="8" t="s">
        <v>14</v>
      </c>
    </row>
    <row r="1771" customFormat="false" ht="14.25" hidden="false" customHeight="false" outlineLevel="0" collapsed="false">
      <c r="A1771" s="8" t="n">
        <v>1770</v>
      </c>
      <c r="B1771" s="8" t="s">
        <v>72</v>
      </c>
      <c r="C1771" s="8" t="s">
        <v>21</v>
      </c>
      <c r="D1771" s="9" t="n">
        <v>44358</v>
      </c>
      <c r="E1771" s="9" t="str">
        <f aca="false">TEXT(D1771,"MMM")</f>
        <v>jun</v>
      </c>
      <c r="F1771" s="10" t="n">
        <v>1081.2</v>
      </c>
      <c r="G1771" s="8" t="s">
        <v>11</v>
      </c>
      <c r="H1771" s="8" t="s">
        <v>22</v>
      </c>
      <c r="I1771" s="11" t="s">
        <v>23</v>
      </c>
      <c r="J1771" s="8" t="s">
        <v>24</v>
      </c>
    </row>
    <row r="1772" customFormat="false" ht="14.25" hidden="false" customHeight="false" outlineLevel="0" collapsed="false">
      <c r="A1772" s="8" t="n">
        <v>1771</v>
      </c>
      <c r="B1772" s="8" t="s">
        <v>45</v>
      </c>
      <c r="C1772" s="8" t="s">
        <v>21</v>
      </c>
      <c r="D1772" s="9" t="n">
        <v>44358</v>
      </c>
      <c r="E1772" s="9" t="str">
        <f aca="false">TEXT(D1772,"MMM")</f>
        <v>jun</v>
      </c>
      <c r="F1772" s="10" t="n">
        <v>1081.2</v>
      </c>
      <c r="G1772" s="8" t="s">
        <v>11</v>
      </c>
      <c r="H1772" s="8" t="s">
        <v>12</v>
      </c>
      <c r="I1772" s="11" t="s">
        <v>13</v>
      </c>
      <c r="J1772" s="8" t="s">
        <v>26</v>
      </c>
    </row>
    <row r="1773" customFormat="false" ht="14.25" hidden="false" customHeight="false" outlineLevel="0" collapsed="false">
      <c r="A1773" s="8" t="n">
        <v>1772</v>
      </c>
      <c r="B1773" s="8" t="s">
        <v>57</v>
      </c>
      <c r="C1773" s="8" t="s">
        <v>10</v>
      </c>
      <c r="D1773" s="9" t="n">
        <v>44358</v>
      </c>
      <c r="E1773" s="9" t="str">
        <f aca="false">TEXT(D1773,"MMM")</f>
        <v>jun</v>
      </c>
      <c r="F1773" s="10" t="n">
        <v>1081.2</v>
      </c>
      <c r="G1773" s="8" t="s">
        <v>11</v>
      </c>
      <c r="H1773" s="8" t="s">
        <v>12</v>
      </c>
      <c r="I1773" s="11" t="s">
        <v>13</v>
      </c>
      <c r="J1773" s="8" t="s">
        <v>14</v>
      </c>
    </row>
    <row r="1774" customFormat="false" ht="14.25" hidden="false" customHeight="false" outlineLevel="0" collapsed="false">
      <c r="A1774" s="8" t="n">
        <v>1773</v>
      </c>
      <c r="B1774" s="8" t="s">
        <v>72</v>
      </c>
      <c r="C1774" s="8" t="s">
        <v>10</v>
      </c>
      <c r="D1774" s="9" t="n">
        <v>44358</v>
      </c>
      <c r="E1774" s="9" t="str">
        <f aca="false">TEXT(D1774,"MMM")</f>
        <v>jun</v>
      </c>
      <c r="F1774" s="10" t="n">
        <v>-47338.2</v>
      </c>
      <c r="G1774" s="8" t="s">
        <v>34</v>
      </c>
      <c r="H1774" s="8" t="s">
        <v>12</v>
      </c>
      <c r="I1774" s="11" t="s">
        <v>13</v>
      </c>
      <c r="J1774" s="8" t="s">
        <v>14</v>
      </c>
    </row>
    <row r="1775" customFormat="false" ht="14.25" hidden="false" customHeight="false" outlineLevel="0" collapsed="false">
      <c r="A1775" s="8" t="n">
        <v>1774</v>
      </c>
      <c r="B1775" s="8" t="s">
        <v>45</v>
      </c>
      <c r="C1775" s="8" t="s">
        <v>28</v>
      </c>
      <c r="D1775" s="9" t="n">
        <v>44358</v>
      </c>
      <c r="E1775" s="9" t="str">
        <f aca="false">TEXT(D1775,"MMM")</f>
        <v>jun</v>
      </c>
      <c r="F1775" s="10" t="n">
        <v>-14103.67</v>
      </c>
      <c r="G1775" s="8" t="s">
        <v>34</v>
      </c>
      <c r="H1775" s="8" t="s">
        <v>17</v>
      </c>
      <c r="I1775" s="11" t="s">
        <v>18</v>
      </c>
      <c r="J1775" s="8" t="s">
        <v>14</v>
      </c>
    </row>
    <row r="1776" customFormat="false" ht="14.25" hidden="false" customHeight="false" outlineLevel="0" collapsed="false">
      <c r="A1776" s="8" t="n">
        <v>1775</v>
      </c>
      <c r="B1776" s="8" t="s">
        <v>178</v>
      </c>
      <c r="C1776" s="8" t="s">
        <v>28</v>
      </c>
      <c r="D1776" s="9" t="n">
        <v>44359</v>
      </c>
      <c r="E1776" s="9" t="str">
        <f aca="false">TEXT(D1776,"MMM")</f>
        <v>jun</v>
      </c>
      <c r="F1776" s="10" t="n">
        <v>-16246.2</v>
      </c>
      <c r="G1776" s="8" t="s">
        <v>34</v>
      </c>
      <c r="H1776" s="8" t="s">
        <v>17</v>
      </c>
      <c r="I1776" s="11" t="s">
        <v>18</v>
      </c>
      <c r="J1776" s="8" t="s">
        <v>19</v>
      </c>
    </row>
    <row r="1777" customFormat="false" ht="14.25" hidden="false" customHeight="false" outlineLevel="0" collapsed="false">
      <c r="A1777" s="8" t="n">
        <v>1776</v>
      </c>
      <c r="B1777" s="8" t="s">
        <v>40</v>
      </c>
      <c r="C1777" s="8" t="s">
        <v>16</v>
      </c>
      <c r="D1777" s="9" t="n">
        <v>44359</v>
      </c>
      <c r="E1777" s="9" t="str">
        <f aca="false">TEXT(D1777,"MMM")</f>
        <v>jun</v>
      </c>
      <c r="F1777" s="10" t="n">
        <v>-16438.87</v>
      </c>
      <c r="G1777" s="8" t="s">
        <v>34</v>
      </c>
      <c r="H1777" s="8" t="s">
        <v>12</v>
      </c>
      <c r="I1777" s="11" t="s">
        <v>13</v>
      </c>
      <c r="J1777" s="8" t="s">
        <v>19</v>
      </c>
    </row>
    <row r="1778" customFormat="false" ht="14.25" hidden="false" customHeight="false" outlineLevel="0" collapsed="false">
      <c r="A1778" s="8" t="n">
        <v>1777</v>
      </c>
      <c r="B1778" s="8" t="s">
        <v>39</v>
      </c>
      <c r="C1778" s="8" t="s">
        <v>16</v>
      </c>
      <c r="D1778" s="9" t="n">
        <v>44359</v>
      </c>
      <c r="E1778" s="9" t="str">
        <f aca="false">TEXT(D1778,"MMM")</f>
        <v>jun</v>
      </c>
      <c r="F1778" s="10" t="n">
        <v>-1747.87</v>
      </c>
      <c r="G1778" s="8" t="s">
        <v>34</v>
      </c>
      <c r="H1778" s="8" t="s">
        <v>12</v>
      </c>
      <c r="I1778" s="11" t="s">
        <v>13</v>
      </c>
      <c r="J1778" s="8" t="s">
        <v>26</v>
      </c>
    </row>
    <row r="1779" customFormat="false" ht="14.25" hidden="false" customHeight="false" outlineLevel="0" collapsed="false">
      <c r="A1779" s="8" t="n">
        <v>1778</v>
      </c>
      <c r="B1779" s="8" t="s">
        <v>39</v>
      </c>
      <c r="C1779" s="8" t="s">
        <v>16</v>
      </c>
      <c r="D1779" s="9" t="n">
        <v>44359</v>
      </c>
      <c r="E1779" s="9" t="str">
        <f aca="false">TEXT(D1779,"MMM")</f>
        <v>jun</v>
      </c>
      <c r="F1779" s="10" t="n">
        <v>6686.85</v>
      </c>
      <c r="G1779" s="8" t="s">
        <v>11</v>
      </c>
      <c r="H1779" s="8" t="s">
        <v>17</v>
      </c>
      <c r="I1779" s="11" t="s">
        <v>18</v>
      </c>
      <c r="J1779" s="8" t="s">
        <v>26</v>
      </c>
    </row>
    <row r="1780" customFormat="false" ht="14.25" hidden="false" customHeight="false" outlineLevel="0" collapsed="false">
      <c r="A1780" s="8" t="n">
        <v>1779</v>
      </c>
      <c r="B1780" s="8" t="s">
        <v>66</v>
      </c>
      <c r="C1780" s="8" t="s">
        <v>21</v>
      </c>
      <c r="D1780" s="9" t="n">
        <v>44360</v>
      </c>
      <c r="E1780" s="9" t="str">
        <f aca="false">TEXT(D1780,"MMM")</f>
        <v>jun</v>
      </c>
      <c r="F1780" s="10" t="n">
        <v>6226.79</v>
      </c>
      <c r="G1780" s="8" t="s">
        <v>11</v>
      </c>
      <c r="H1780" s="8" t="s">
        <v>12</v>
      </c>
      <c r="I1780" s="11" t="s">
        <v>13</v>
      </c>
      <c r="J1780" s="8" t="s">
        <v>24</v>
      </c>
    </row>
    <row r="1781" customFormat="false" ht="14.25" hidden="false" customHeight="false" outlineLevel="0" collapsed="false">
      <c r="A1781" s="8" t="n">
        <v>1780</v>
      </c>
      <c r="B1781" s="8" t="s">
        <v>52</v>
      </c>
      <c r="C1781" s="8" t="s">
        <v>16</v>
      </c>
      <c r="D1781" s="9" t="n">
        <v>44360</v>
      </c>
      <c r="E1781" s="9" t="str">
        <f aca="false">TEXT(D1781,"MMM")</f>
        <v>jun</v>
      </c>
      <c r="F1781" s="10" t="n">
        <v>6361.74</v>
      </c>
      <c r="G1781" s="8" t="s">
        <v>11</v>
      </c>
      <c r="H1781" s="8" t="s">
        <v>17</v>
      </c>
      <c r="I1781" s="11" t="s">
        <v>18</v>
      </c>
      <c r="J1781" s="8" t="s">
        <v>26</v>
      </c>
    </row>
    <row r="1782" customFormat="false" ht="14.25" hidden="false" customHeight="false" outlineLevel="0" collapsed="false">
      <c r="A1782" s="8" t="n">
        <v>1781</v>
      </c>
      <c r="B1782" s="8" t="s">
        <v>66</v>
      </c>
      <c r="C1782" s="8" t="s">
        <v>21</v>
      </c>
      <c r="D1782" s="9" t="n">
        <v>44360</v>
      </c>
      <c r="E1782" s="9" t="str">
        <f aca="false">TEXT(D1782,"MMM")</f>
        <v>jun</v>
      </c>
      <c r="F1782" s="10" t="n">
        <v>-575.75</v>
      </c>
      <c r="G1782" s="8" t="s">
        <v>34</v>
      </c>
      <c r="H1782" s="8" t="s">
        <v>17</v>
      </c>
      <c r="I1782" s="11" t="s">
        <v>18</v>
      </c>
      <c r="J1782" s="8" t="s">
        <v>14</v>
      </c>
    </row>
    <row r="1783" customFormat="false" ht="14.25" hidden="false" customHeight="false" outlineLevel="0" collapsed="false">
      <c r="A1783" s="8" t="n">
        <v>1782</v>
      </c>
      <c r="B1783" s="8" t="s">
        <v>66</v>
      </c>
      <c r="C1783" s="8" t="s">
        <v>28</v>
      </c>
      <c r="D1783" s="9" t="n">
        <v>44360</v>
      </c>
      <c r="E1783" s="9" t="str">
        <f aca="false">TEXT(D1783,"MMM")</f>
        <v>jun</v>
      </c>
      <c r="F1783" s="10" t="n">
        <v>147365.97</v>
      </c>
      <c r="G1783" s="8" t="s">
        <v>11</v>
      </c>
      <c r="H1783" s="8" t="s">
        <v>17</v>
      </c>
      <c r="I1783" s="11" t="s">
        <v>18</v>
      </c>
      <c r="J1783" s="8" t="s">
        <v>14</v>
      </c>
    </row>
    <row r="1784" customFormat="false" ht="14.25" hidden="false" customHeight="false" outlineLevel="0" collapsed="false">
      <c r="A1784" s="8" t="n">
        <v>1783</v>
      </c>
      <c r="B1784" s="8" t="s">
        <v>52</v>
      </c>
      <c r="C1784" s="8" t="s">
        <v>10</v>
      </c>
      <c r="D1784" s="9" t="n">
        <v>44360</v>
      </c>
      <c r="E1784" s="9" t="str">
        <f aca="false">TEXT(D1784,"MMM")</f>
        <v>jun</v>
      </c>
      <c r="F1784" s="10" t="n">
        <v>20530.29</v>
      </c>
      <c r="G1784" s="8" t="s">
        <v>11</v>
      </c>
      <c r="H1784" s="8" t="s">
        <v>30</v>
      </c>
      <c r="I1784" s="11" t="s">
        <v>31</v>
      </c>
      <c r="J1784" s="8" t="s">
        <v>19</v>
      </c>
    </row>
    <row r="1785" customFormat="false" ht="14.25" hidden="false" customHeight="false" outlineLevel="0" collapsed="false">
      <c r="A1785" s="8" t="n">
        <v>1784</v>
      </c>
      <c r="B1785" s="8" t="s">
        <v>66</v>
      </c>
      <c r="C1785" s="8" t="s">
        <v>28</v>
      </c>
      <c r="D1785" s="9" t="n">
        <v>44360</v>
      </c>
      <c r="E1785" s="9" t="str">
        <f aca="false">TEXT(D1785,"MMM")</f>
        <v>jun</v>
      </c>
      <c r="F1785" s="10" t="n">
        <v>22257.05</v>
      </c>
      <c r="G1785" s="8" t="s">
        <v>11</v>
      </c>
      <c r="H1785" s="8" t="s">
        <v>12</v>
      </c>
      <c r="I1785" s="11" t="s">
        <v>13</v>
      </c>
      <c r="J1785" s="8" t="s">
        <v>24</v>
      </c>
    </row>
    <row r="1786" customFormat="false" ht="14.25" hidden="false" customHeight="false" outlineLevel="0" collapsed="false">
      <c r="A1786" s="8" t="n">
        <v>1785</v>
      </c>
      <c r="B1786" s="8" t="s">
        <v>52</v>
      </c>
      <c r="C1786" s="8" t="s">
        <v>16</v>
      </c>
      <c r="D1786" s="9" t="n">
        <v>44360</v>
      </c>
      <c r="E1786" s="9" t="str">
        <f aca="false">TEXT(D1786,"MMM")</f>
        <v>jun</v>
      </c>
      <c r="F1786" s="10" t="n">
        <v>22005.79</v>
      </c>
      <c r="G1786" s="8" t="s">
        <v>11</v>
      </c>
      <c r="H1786" s="8" t="s">
        <v>17</v>
      </c>
      <c r="I1786" s="11" t="s">
        <v>18</v>
      </c>
      <c r="J1786" s="8" t="s">
        <v>14</v>
      </c>
    </row>
    <row r="1787" customFormat="false" ht="14.25" hidden="false" customHeight="false" outlineLevel="0" collapsed="false">
      <c r="A1787" s="8" t="n">
        <v>1786</v>
      </c>
      <c r="B1787" s="8" t="s">
        <v>66</v>
      </c>
      <c r="C1787" s="8" t="s">
        <v>16</v>
      </c>
      <c r="D1787" s="9" t="n">
        <v>44360</v>
      </c>
      <c r="E1787" s="9" t="str">
        <f aca="false">TEXT(D1787,"MMM")</f>
        <v>jun</v>
      </c>
      <c r="F1787" s="10" t="n">
        <v>20129.92</v>
      </c>
      <c r="G1787" s="8" t="s">
        <v>11</v>
      </c>
      <c r="H1787" s="8" t="s">
        <v>12</v>
      </c>
      <c r="I1787" s="11" t="s">
        <v>13</v>
      </c>
      <c r="J1787" s="8" t="s">
        <v>14</v>
      </c>
    </row>
    <row r="1788" customFormat="false" ht="14.25" hidden="false" customHeight="false" outlineLevel="0" collapsed="false">
      <c r="A1788" s="8" t="n">
        <v>1787</v>
      </c>
      <c r="B1788" s="8" t="s">
        <v>66</v>
      </c>
      <c r="C1788" s="8" t="s">
        <v>16</v>
      </c>
      <c r="D1788" s="9" t="n">
        <v>44360</v>
      </c>
      <c r="E1788" s="9" t="str">
        <f aca="false">TEXT(D1788,"MMM")</f>
        <v>jun</v>
      </c>
      <c r="F1788" s="10" t="n">
        <v>20557.53</v>
      </c>
      <c r="G1788" s="8" t="s">
        <v>11</v>
      </c>
      <c r="H1788" s="8" t="s">
        <v>22</v>
      </c>
      <c r="I1788" s="11" t="s">
        <v>23</v>
      </c>
      <c r="J1788" s="8" t="s">
        <v>14</v>
      </c>
    </row>
    <row r="1789" customFormat="false" ht="14.25" hidden="false" customHeight="false" outlineLevel="0" collapsed="false">
      <c r="A1789" s="8" t="n">
        <v>1788</v>
      </c>
      <c r="B1789" s="8" t="s">
        <v>66</v>
      </c>
      <c r="C1789" s="8" t="s">
        <v>10</v>
      </c>
      <c r="D1789" s="9" t="n">
        <v>44360</v>
      </c>
      <c r="E1789" s="9" t="str">
        <f aca="false">TEXT(D1789,"MMM")</f>
        <v>jun</v>
      </c>
      <c r="F1789" s="10" t="n">
        <v>21191.17</v>
      </c>
      <c r="G1789" s="8" t="s">
        <v>11</v>
      </c>
      <c r="H1789" s="8" t="s">
        <v>12</v>
      </c>
      <c r="I1789" s="11" t="s">
        <v>13</v>
      </c>
      <c r="J1789" s="8" t="s">
        <v>26</v>
      </c>
    </row>
    <row r="1790" customFormat="false" ht="14.25" hidden="false" customHeight="false" outlineLevel="0" collapsed="false">
      <c r="A1790" s="8" t="n">
        <v>1789</v>
      </c>
      <c r="B1790" s="8" t="s">
        <v>66</v>
      </c>
      <c r="C1790" s="8" t="s">
        <v>21</v>
      </c>
      <c r="D1790" s="9" t="n">
        <v>44360</v>
      </c>
      <c r="E1790" s="9" t="str">
        <f aca="false">TEXT(D1790,"MMM")</f>
        <v>jun</v>
      </c>
      <c r="F1790" s="10" t="n">
        <v>68110.5</v>
      </c>
      <c r="G1790" s="8" t="s">
        <v>11</v>
      </c>
      <c r="H1790" s="8" t="s">
        <v>17</v>
      </c>
      <c r="I1790" s="11" t="s">
        <v>18</v>
      </c>
      <c r="J1790" s="8" t="s">
        <v>14</v>
      </c>
    </row>
    <row r="1791" customFormat="false" ht="14.25" hidden="false" customHeight="false" outlineLevel="0" collapsed="false">
      <c r="A1791" s="8" t="n">
        <v>1790</v>
      </c>
      <c r="B1791" s="8" t="s">
        <v>66</v>
      </c>
      <c r="C1791" s="8" t="s">
        <v>16</v>
      </c>
      <c r="D1791" s="9" t="n">
        <v>44360</v>
      </c>
      <c r="E1791" s="9" t="str">
        <f aca="false">TEXT(D1791,"MMM")</f>
        <v>jun</v>
      </c>
      <c r="F1791" s="10" t="n">
        <v>50512.14</v>
      </c>
      <c r="G1791" s="8" t="s">
        <v>11</v>
      </c>
      <c r="H1791" s="8" t="s">
        <v>12</v>
      </c>
      <c r="I1791" s="11" t="s">
        <v>13</v>
      </c>
      <c r="J1791" s="8" t="s">
        <v>14</v>
      </c>
    </row>
    <row r="1792" customFormat="false" ht="14.25" hidden="false" customHeight="false" outlineLevel="0" collapsed="false">
      <c r="A1792" s="8" t="n">
        <v>1791</v>
      </c>
      <c r="B1792" s="8" t="s">
        <v>66</v>
      </c>
      <c r="C1792" s="8" t="s">
        <v>28</v>
      </c>
      <c r="D1792" s="9" t="n">
        <v>44360</v>
      </c>
      <c r="E1792" s="9" t="str">
        <f aca="false">TEXT(D1792,"MMM")</f>
        <v>jun</v>
      </c>
      <c r="F1792" s="10" t="n">
        <v>10290.44</v>
      </c>
      <c r="G1792" s="8" t="s">
        <v>11</v>
      </c>
      <c r="H1792" s="8" t="s">
        <v>12</v>
      </c>
      <c r="I1792" s="11" t="s">
        <v>13</v>
      </c>
      <c r="J1792" s="8" t="s">
        <v>24</v>
      </c>
    </row>
    <row r="1793" customFormat="false" ht="14.25" hidden="false" customHeight="false" outlineLevel="0" collapsed="false">
      <c r="A1793" s="8" t="n">
        <v>1792</v>
      </c>
      <c r="B1793" s="8" t="s">
        <v>50</v>
      </c>
      <c r="C1793" s="8" t="s">
        <v>10</v>
      </c>
      <c r="D1793" s="9" t="n">
        <v>44361</v>
      </c>
      <c r="E1793" s="9" t="str">
        <f aca="false">TEXT(D1793,"MMM")</f>
        <v>jun</v>
      </c>
      <c r="F1793" s="10" t="n">
        <v>7725.59</v>
      </c>
      <c r="G1793" s="8" t="s">
        <v>11</v>
      </c>
      <c r="H1793" s="8" t="s">
        <v>22</v>
      </c>
      <c r="I1793" s="11" t="s">
        <v>23</v>
      </c>
      <c r="J1793" s="8" t="s">
        <v>26</v>
      </c>
    </row>
    <row r="1794" customFormat="false" ht="14.25" hidden="false" customHeight="false" outlineLevel="0" collapsed="false">
      <c r="A1794" s="8" t="n">
        <v>1793</v>
      </c>
      <c r="B1794" s="8" t="s">
        <v>173</v>
      </c>
      <c r="C1794" s="8" t="s">
        <v>21</v>
      </c>
      <c r="D1794" s="9" t="n">
        <v>44361</v>
      </c>
      <c r="E1794" s="9" t="str">
        <f aca="false">TEXT(D1794,"MMM")</f>
        <v>jun</v>
      </c>
      <c r="F1794" s="10" t="n">
        <v>14398.73</v>
      </c>
      <c r="G1794" s="8" t="s">
        <v>11</v>
      </c>
      <c r="H1794" s="8" t="s">
        <v>36</v>
      </c>
      <c r="I1794" s="11" t="s">
        <v>37</v>
      </c>
      <c r="J1794" s="8" t="s">
        <v>14</v>
      </c>
    </row>
    <row r="1795" customFormat="false" ht="14.25" hidden="false" customHeight="false" outlineLevel="0" collapsed="false">
      <c r="A1795" s="8" t="n">
        <v>1794</v>
      </c>
      <c r="B1795" s="8" t="s">
        <v>183</v>
      </c>
      <c r="C1795" s="8" t="s">
        <v>16</v>
      </c>
      <c r="D1795" s="9" t="n">
        <v>44361</v>
      </c>
      <c r="E1795" s="9" t="str">
        <f aca="false">TEXT(D1795,"MMM")</f>
        <v>jun</v>
      </c>
      <c r="F1795" s="10" t="n">
        <v>9500.02</v>
      </c>
      <c r="G1795" s="8" t="s">
        <v>11</v>
      </c>
      <c r="H1795" s="8" t="s">
        <v>12</v>
      </c>
      <c r="I1795" s="11" t="s">
        <v>13</v>
      </c>
      <c r="J1795" s="8" t="s">
        <v>26</v>
      </c>
    </row>
    <row r="1796" customFormat="false" ht="14.25" hidden="false" customHeight="false" outlineLevel="0" collapsed="false">
      <c r="A1796" s="8" t="n">
        <v>1795</v>
      </c>
      <c r="B1796" s="8" t="s">
        <v>174</v>
      </c>
      <c r="C1796" s="8" t="s">
        <v>16</v>
      </c>
      <c r="D1796" s="9" t="n">
        <v>44361</v>
      </c>
      <c r="E1796" s="9" t="str">
        <f aca="false">TEXT(D1796,"MMM")</f>
        <v>jun</v>
      </c>
      <c r="F1796" s="10" t="n">
        <v>157740.36</v>
      </c>
      <c r="G1796" s="8" t="s">
        <v>11</v>
      </c>
      <c r="H1796" s="8" t="s">
        <v>12</v>
      </c>
      <c r="I1796" s="11" t="s">
        <v>13</v>
      </c>
      <c r="J1796" s="8" t="s">
        <v>26</v>
      </c>
    </row>
    <row r="1797" customFormat="false" ht="14.25" hidden="false" customHeight="false" outlineLevel="0" collapsed="false">
      <c r="A1797" s="8" t="n">
        <v>1796</v>
      </c>
      <c r="B1797" s="8" t="s">
        <v>171</v>
      </c>
      <c r="C1797" s="8" t="s">
        <v>10</v>
      </c>
      <c r="D1797" s="9" t="n">
        <v>44361</v>
      </c>
      <c r="E1797" s="9" t="str">
        <f aca="false">TEXT(D1797,"MMM")</f>
        <v>jun</v>
      </c>
      <c r="F1797" s="10" t="n">
        <v>6511.68</v>
      </c>
      <c r="G1797" s="8" t="s">
        <v>11</v>
      </c>
      <c r="H1797" s="8" t="s">
        <v>12</v>
      </c>
      <c r="I1797" s="11" t="s">
        <v>13</v>
      </c>
      <c r="J1797" s="8" t="s">
        <v>14</v>
      </c>
    </row>
    <row r="1798" customFormat="false" ht="14.25" hidden="false" customHeight="false" outlineLevel="0" collapsed="false">
      <c r="A1798" s="8" t="n">
        <v>1797</v>
      </c>
      <c r="B1798" s="8" t="s">
        <v>190</v>
      </c>
      <c r="C1798" s="8" t="s">
        <v>21</v>
      </c>
      <c r="D1798" s="9" t="n">
        <v>44361</v>
      </c>
      <c r="E1798" s="9" t="str">
        <f aca="false">TEXT(D1798,"MMM")</f>
        <v>jun</v>
      </c>
      <c r="F1798" s="10" t="n">
        <v>17945.91</v>
      </c>
      <c r="G1798" s="8" t="s">
        <v>11</v>
      </c>
      <c r="H1798" s="8" t="s">
        <v>12</v>
      </c>
      <c r="I1798" s="11" t="s">
        <v>13</v>
      </c>
      <c r="J1798" s="8" t="s">
        <v>14</v>
      </c>
    </row>
    <row r="1799" customFormat="false" ht="14.25" hidden="false" customHeight="false" outlineLevel="0" collapsed="false">
      <c r="A1799" s="8" t="n">
        <v>1798</v>
      </c>
      <c r="B1799" s="8" t="s">
        <v>153</v>
      </c>
      <c r="C1799" s="8" t="s">
        <v>10</v>
      </c>
      <c r="D1799" s="9" t="n">
        <v>44361</v>
      </c>
      <c r="E1799" s="9" t="str">
        <f aca="false">TEXT(D1799,"MMM")</f>
        <v>jun</v>
      </c>
      <c r="F1799" s="10" t="n">
        <v>16734.62</v>
      </c>
      <c r="G1799" s="8" t="s">
        <v>11</v>
      </c>
      <c r="H1799" s="8" t="s">
        <v>22</v>
      </c>
      <c r="I1799" s="11" t="s">
        <v>23</v>
      </c>
      <c r="J1799" s="8" t="s">
        <v>14</v>
      </c>
    </row>
    <row r="1800" customFormat="false" ht="14.25" hidden="false" customHeight="false" outlineLevel="0" collapsed="false">
      <c r="A1800" s="8" t="n">
        <v>1799</v>
      </c>
      <c r="B1800" s="8" t="s">
        <v>101</v>
      </c>
      <c r="C1800" s="8" t="s">
        <v>16</v>
      </c>
      <c r="D1800" s="9" t="n">
        <v>44361</v>
      </c>
      <c r="E1800" s="9" t="str">
        <f aca="false">TEXT(D1800,"MMM")</f>
        <v>jun</v>
      </c>
      <c r="F1800" s="10" t="n">
        <v>14104.88</v>
      </c>
      <c r="G1800" s="8" t="s">
        <v>11</v>
      </c>
      <c r="H1800" s="8" t="s">
        <v>12</v>
      </c>
      <c r="I1800" s="11" t="s">
        <v>13</v>
      </c>
      <c r="J1800" s="8" t="s">
        <v>24</v>
      </c>
    </row>
    <row r="1801" customFormat="false" ht="14.25" hidden="false" customHeight="false" outlineLevel="0" collapsed="false">
      <c r="A1801" s="8" t="n">
        <v>1800</v>
      </c>
      <c r="B1801" s="8" t="s">
        <v>149</v>
      </c>
      <c r="C1801" s="8" t="s">
        <v>16</v>
      </c>
      <c r="D1801" s="9" t="n">
        <v>44361</v>
      </c>
      <c r="E1801" s="9" t="str">
        <f aca="false">TEXT(D1801,"MMM")</f>
        <v>jun</v>
      </c>
      <c r="F1801" s="10" t="n">
        <v>9790.9</v>
      </c>
      <c r="G1801" s="8" t="s">
        <v>11</v>
      </c>
      <c r="H1801" s="8" t="s">
        <v>17</v>
      </c>
      <c r="I1801" s="11" t="s">
        <v>18</v>
      </c>
      <c r="J1801" s="8" t="s">
        <v>14</v>
      </c>
    </row>
    <row r="1802" customFormat="false" ht="14.25" hidden="false" customHeight="false" outlineLevel="0" collapsed="false">
      <c r="A1802" s="8" t="n">
        <v>1801</v>
      </c>
      <c r="B1802" s="8" t="s">
        <v>159</v>
      </c>
      <c r="C1802" s="8" t="s">
        <v>28</v>
      </c>
      <c r="D1802" s="9" t="n">
        <v>44361</v>
      </c>
      <c r="E1802" s="9" t="str">
        <f aca="false">TEXT(D1802,"MMM")</f>
        <v>jun</v>
      </c>
      <c r="F1802" s="10" t="n">
        <v>7199.86</v>
      </c>
      <c r="G1802" s="8" t="s">
        <v>11</v>
      </c>
      <c r="H1802" s="8" t="s">
        <v>12</v>
      </c>
      <c r="I1802" s="11" t="s">
        <v>13</v>
      </c>
      <c r="J1802" s="8" t="s">
        <v>14</v>
      </c>
    </row>
    <row r="1803" customFormat="false" ht="14.25" hidden="false" customHeight="false" outlineLevel="0" collapsed="false">
      <c r="A1803" s="8" t="n">
        <v>1802</v>
      </c>
      <c r="B1803" s="8" t="s">
        <v>40</v>
      </c>
      <c r="C1803" s="8" t="s">
        <v>28</v>
      </c>
      <c r="D1803" s="9" t="n">
        <v>44361</v>
      </c>
      <c r="E1803" s="9" t="str">
        <f aca="false">TEXT(D1803,"MMM")</f>
        <v>jun</v>
      </c>
      <c r="F1803" s="10" t="n">
        <v>19441.39</v>
      </c>
      <c r="G1803" s="8" t="s">
        <v>11</v>
      </c>
      <c r="H1803" s="8" t="s">
        <v>12</v>
      </c>
      <c r="I1803" s="11" t="s">
        <v>13</v>
      </c>
      <c r="J1803" s="8" t="s">
        <v>26</v>
      </c>
    </row>
    <row r="1804" customFormat="false" ht="14.25" hidden="false" customHeight="false" outlineLevel="0" collapsed="false">
      <c r="A1804" s="8" t="n">
        <v>1803</v>
      </c>
      <c r="B1804" s="8" t="s">
        <v>117</v>
      </c>
      <c r="C1804" s="8" t="s">
        <v>21</v>
      </c>
      <c r="D1804" s="9" t="n">
        <v>44361</v>
      </c>
      <c r="E1804" s="9" t="str">
        <f aca="false">TEXT(D1804,"MMM")</f>
        <v>jun</v>
      </c>
      <c r="F1804" s="10" t="n">
        <v>14981.76</v>
      </c>
      <c r="G1804" s="8" t="s">
        <v>11</v>
      </c>
      <c r="H1804" s="8" t="s">
        <v>36</v>
      </c>
      <c r="I1804" s="11" t="s">
        <v>37</v>
      </c>
      <c r="J1804" s="8" t="s">
        <v>26</v>
      </c>
    </row>
    <row r="1805" customFormat="false" ht="14.25" hidden="false" customHeight="false" outlineLevel="0" collapsed="false">
      <c r="A1805" s="8" t="n">
        <v>1804</v>
      </c>
      <c r="B1805" s="8" t="s">
        <v>39</v>
      </c>
      <c r="C1805" s="8" t="s">
        <v>10</v>
      </c>
      <c r="D1805" s="9" t="n">
        <v>44361</v>
      </c>
      <c r="E1805" s="9" t="str">
        <f aca="false">TEXT(D1805,"MMM")</f>
        <v>jun</v>
      </c>
      <c r="F1805" s="10" t="n">
        <v>14244.3</v>
      </c>
      <c r="G1805" s="8" t="s">
        <v>11</v>
      </c>
      <c r="H1805" s="8" t="s">
        <v>12</v>
      </c>
      <c r="I1805" s="11" t="s">
        <v>13</v>
      </c>
      <c r="J1805" s="8" t="s">
        <v>26</v>
      </c>
    </row>
    <row r="1806" customFormat="false" ht="14.25" hidden="false" customHeight="false" outlineLevel="0" collapsed="false">
      <c r="A1806" s="8" t="n">
        <v>1805</v>
      </c>
      <c r="B1806" s="8" t="s">
        <v>49</v>
      </c>
      <c r="C1806" s="8" t="s">
        <v>10</v>
      </c>
      <c r="D1806" s="9" t="n">
        <v>44361</v>
      </c>
      <c r="E1806" s="9" t="str">
        <f aca="false">TEXT(D1806,"MMM")</f>
        <v>jun</v>
      </c>
      <c r="F1806" s="10" t="n">
        <v>-8309.39</v>
      </c>
      <c r="G1806" s="8" t="s">
        <v>34</v>
      </c>
      <c r="H1806" s="8" t="s">
        <v>12</v>
      </c>
      <c r="I1806" s="11" t="s">
        <v>13</v>
      </c>
      <c r="J1806" s="8" t="s">
        <v>14</v>
      </c>
    </row>
    <row r="1807" customFormat="false" ht="14.25" hidden="false" customHeight="false" outlineLevel="0" collapsed="false">
      <c r="A1807" s="8" t="n">
        <v>1806</v>
      </c>
      <c r="B1807" s="8" t="s">
        <v>49</v>
      </c>
      <c r="C1807" s="8" t="s">
        <v>28</v>
      </c>
      <c r="D1807" s="9" t="n">
        <v>44361</v>
      </c>
      <c r="E1807" s="9" t="str">
        <f aca="false">TEXT(D1807,"MMM")</f>
        <v>jun</v>
      </c>
      <c r="F1807" s="10" t="n">
        <v>-224.39</v>
      </c>
      <c r="G1807" s="8" t="s">
        <v>34</v>
      </c>
      <c r="H1807" s="8" t="s">
        <v>12</v>
      </c>
      <c r="I1807" s="11" t="s">
        <v>13</v>
      </c>
      <c r="J1807" s="8" t="s">
        <v>24</v>
      </c>
    </row>
    <row r="1808" customFormat="false" ht="14.25" hidden="false" customHeight="false" outlineLevel="0" collapsed="false">
      <c r="A1808" s="8" t="n">
        <v>1807</v>
      </c>
      <c r="B1808" s="8" t="s">
        <v>173</v>
      </c>
      <c r="C1808" s="8" t="s">
        <v>21</v>
      </c>
      <c r="D1808" s="9" t="n">
        <v>44362</v>
      </c>
      <c r="E1808" s="9" t="str">
        <f aca="false">TEXT(D1808,"MMM")</f>
        <v>jun</v>
      </c>
      <c r="F1808" s="10" t="n">
        <v>-1023.65</v>
      </c>
      <c r="G1808" s="8" t="s">
        <v>34</v>
      </c>
      <c r="H1808" s="8" t="s">
        <v>22</v>
      </c>
      <c r="I1808" s="11" t="s">
        <v>23</v>
      </c>
      <c r="J1808" s="8" t="s">
        <v>14</v>
      </c>
    </row>
    <row r="1809" customFormat="false" ht="14.25" hidden="false" customHeight="false" outlineLevel="0" collapsed="false">
      <c r="A1809" s="8" t="n">
        <v>1808</v>
      </c>
      <c r="B1809" s="8" t="s">
        <v>86</v>
      </c>
      <c r="C1809" s="8" t="s">
        <v>28</v>
      </c>
      <c r="D1809" s="9" t="n">
        <v>44362</v>
      </c>
      <c r="E1809" s="9" t="str">
        <f aca="false">TEXT(D1809,"MMM")</f>
        <v>jun</v>
      </c>
      <c r="F1809" s="10" t="n">
        <v>53951.01</v>
      </c>
      <c r="G1809" s="8" t="s">
        <v>11</v>
      </c>
      <c r="H1809" s="8" t="s">
        <v>12</v>
      </c>
      <c r="I1809" s="11" t="s">
        <v>13</v>
      </c>
      <c r="J1809" s="8" t="s">
        <v>26</v>
      </c>
    </row>
    <row r="1810" customFormat="false" ht="14.25" hidden="false" customHeight="false" outlineLevel="0" collapsed="false">
      <c r="A1810" s="8" t="n">
        <v>1809</v>
      </c>
      <c r="B1810" s="8" t="s">
        <v>185</v>
      </c>
      <c r="C1810" s="8" t="s">
        <v>21</v>
      </c>
      <c r="D1810" s="9" t="n">
        <v>44365</v>
      </c>
      <c r="E1810" s="9" t="str">
        <f aca="false">TEXT(D1810,"MMM")</f>
        <v>jun</v>
      </c>
      <c r="F1810" s="10" t="n">
        <v>26959.23</v>
      </c>
      <c r="G1810" s="8" t="s">
        <v>11</v>
      </c>
      <c r="H1810" s="8" t="s">
        <v>12</v>
      </c>
      <c r="I1810" s="11" t="s">
        <v>13</v>
      </c>
      <c r="J1810" s="8" t="s">
        <v>19</v>
      </c>
    </row>
    <row r="1811" customFormat="false" ht="14.25" hidden="false" customHeight="false" outlineLevel="0" collapsed="false">
      <c r="A1811" s="8" t="n">
        <v>1810</v>
      </c>
      <c r="B1811" s="8" t="s">
        <v>182</v>
      </c>
      <c r="C1811" s="8" t="s">
        <v>21</v>
      </c>
      <c r="D1811" s="9" t="n">
        <v>44365</v>
      </c>
      <c r="E1811" s="9" t="str">
        <f aca="false">TEXT(D1811,"MMM")</f>
        <v>jun</v>
      </c>
      <c r="F1811" s="10" t="n">
        <v>10624.17</v>
      </c>
      <c r="G1811" s="8" t="s">
        <v>11</v>
      </c>
      <c r="H1811" s="8" t="s">
        <v>17</v>
      </c>
      <c r="I1811" s="11" t="s">
        <v>18</v>
      </c>
      <c r="J1811" s="8" t="s">
        <v>26</v>
      </c>
    </row>
    <row r="1812" customFormat="false" ht="14.25" hidden="false" customHeight="false" outlineLevel="0" collapsed="false">
      <c r="A1812" s="8" t="n">
        <v>1811</v>
      </c>
      <c r="B1812" s="8" t="s">
        <v>150</v>
      </c>
      <c r="C1812" s="8" t="s">
        <v>16</v>
      </c>
      <c r="D1812" s="9" t="n">
        <v>44365</v>
      </c>
      <c r="E1812" s="9" t="str">
        <f aca="false">TEXT(D1812,"MMM")</f>
        <v>jun</v>
      </c>
      <c r="F1812" s="10" t="n">
        <v>1909.44</v>
      </c>
      <c r="G1812" s="8" t="s">
        <v>11</v>
      </c>
      <c r="H1812" s="8" t="s">
        <v>12</v>
      </c>
      <c r="I1812" s="11" t="s">
        <v>13</v>
      </c>
      <c r="J1812" s="8" t="s">
        <v>24</v>
      </c>
    </row>
    <row r="1813" customFormat="false" ht="14.25" hidden="false" customHeight="false" outlineLevel="0" collapsed="false">
      <c r="A1813" s="8" t="n">
        <v>1812</v>
      </c>
      <c r="B1813" s="8" t="s">
        <v>160</v>
      </c>
      <c r="C1813" s="8" t="s">
        <v>10</v>
      </c>
      <c r="D1813" s="9" t="n">
        <v>44365</v>
      </c>
      <c r="E1813" s="9" t="str">
        <f aca="false">TEXT(D1813,"MMM")</f>
        <v>jun</v>
      </c>
      <c r="F1813" s="10" t="n">
        <v>105266.45</v>
      </c>
      <c r="G1813" s="8" t="s">
        <v>11</v>
      </c>
      <c r="H1813" s="8" t="s">
        <v>17</v>
      </c>
      <c r="I1813" s="11" t="s">
        <v>18</v>
      </c>
      <c r="J1813" s="8" t="s">
        <v>19</v>
      </c>
    </row>
    <row r="1814" customFormat="false" ht="14.25" hidden="false" customHeight="false" outlineLevel="0" collapsed="false">
      <c r="A1814" s="8" t="n">
        <v>1813</v>
      </c>
      <c r="B1814" s="8" t="s">
        <v>179</v>
      </c>
      <c r="C1814" s="8" t="s">
        <v>16</v>
      </c>
      <c r="D1814" s="9" t="n">
        <v>44365</v>
      </c>
      <c r="E1814" s="9" t="str">
        <f aca="false">TEXT(D1814,"MMM")</f>
        <v>jun</v>
      </c>
      <c r="F1814" s="10" t="n">
        <v>1909.44</v>
      </c>
      <c r="G1814" s="8" t="s">
        <v>11</v>
      </c>
      <c r="H1814" s="8" t="s">
        <v>12</v>
      </c>
      <c r="I1814" s="11" t="s">
        <v>13</v>
      </c>
      <c r="J1814" s="8" t="s">
        <v>24</v>
      </c>
    </row>
    <row r="1815" customFormat="false" ht="14.25" hidden="false" customHeight="false" outlineLevel="0" collapsed="false">
      <c r="A1815" s="8" t="n">
        <v>1814</v>
      </c>
      <c r="B1815" s="8" t="s">
        <v>73</v>
      </c>
      <c r="C1815" s="8" t="s">
        <v>16</v>
      </c>
      <c r="D1815" s="9" t="n">
        <v>44365</v>
      </c>
      <c r="E1815" s="9" t="str">
        <f aca="false">TEXT(D1815,"MMM")</f>
        <v>jun</v>
      </c>
      <c r="F1815" s="10" t="n">
        <v>48208.98</v>
      </c>
      <c r="G1815" s="8" t="s">
        <v>11</v>
      </c>
      <c r="H1815" s="8" t="s">
        <v>36</v>
      </c>
      <c r="I1815" s="11" t="s">
        <v>37</v>
      </c>
      <c r="J1815" s="8" t="s">
        <v>19</v>
      </c>
    </row>
    <row r="1816" customFormat="false" ht="14.25" hidden="false" customHeight="false" outlineLevel="0" collapsed="false">
      <c r="A1816" s="8" t="n">
        <v>1815</v>
      </c>
      <c r="B1816" s="8" t="s">
        <v>73</v>
      </c>
      <c r="C1816" s="8" t="s">
        <v>16</v>
      </c>
      <c r="D1816" s="9" t="n">
        <v>44365</v>
      </c>
      <c r="E1816" s="9" t="str">
        <f aca="false">TEXT(D1816,"MMM")</f>
        <v>jun</v>
      </c>
      <c r="F1816" s="10" t="n">
        <v>10414.51</v>
      </c>
      <c r="G1816" s="8" t="s">
        <v>11</v>
      </c>
      <c r="H1816" s="8" t="s">
        <v>12</v>
      </c>
      <c r="I1816" s="11" t="s">
        <v>13</v>
      </c>
      <c r="J1816" s="8" t="s">
        <v>19</v>
      </c>
    </row>
    <row r="1817" customFormat="false" ht="14.25" hidden="false" customHeight="false" outlineLevel="0" collapsed="false">
      <c r="A1817" s="8" t="n">
        <v>1816</v>
      </c>
      <c r="B1817" s="8" t="s">
        <v>73</v>
      </c>
      <c r="C1817" s="8" t="s">
        <v>16</v>
      </c>
      <c r="D1817" s="9" t="n">
        <v>44365</v>
      </c>
      <c r="E1817" s="9" t="str">
        <f aca="false">TEXT(D1817,"MMM")</f>
        <v>jun</v>
      </c>
      <c r="F1817" s="10" t="n">
        <v>48301.46</v>
      </c>
      <c r="G1817" s="8" t="s">
        <v>11</v>
      </c>
      <c r="H1817" s="8" t="s">
        <v>30</v>
      </c>
      <c r="I1817" s="11" t="s">
        <v>31</v>
      </c>
      <c r="J1817" s="8" t="s">
        <v>26</v>
      </c>
    </row>
    <row r="1818" customFormat="false" ht="14.25" hidden="false" customHeight="false" outlineLevel="0" collapsed="false">
      <c r="A1818" s="8" t="n">
        <v>1817</v>
      </c>
      <c r="B1818" s="8" t="s">
        <v>73</v>
      </c>
      <c r="C1818" s="8" t="s">
        <v>16</v>
      </c>
      <c r="D1818" s="9" t="n">
        <v>44365</v>
      </c>
      <c r="E1818" s="9" t="str">
        <f aca="false">TEXT(D1818,"MMM")</f>
        <v>jun</v>
      </c>
      <c r="F1818" s="10" t="n">
        <v>31018.71</v>
      </c>
      <c r="G1818" s="8" t="s">
        <v>11</v>
      </c>
      <c r="H1818" s="8" t="s">
        <v>12</v>
      </c>
      <c r="I1818" s="11" t="s">
        <v>13</v>
      </c>
      <c r="J1818" s="8" t="s">
        <v>14</v>
      </c>
    </row>
    <row r="1819" customFormat="false" ht="14.25" hidden="false" customHeight="false" outlineLevel="0" collapsed="false">
      <c r="A1819" s="8" t="n">
        <v>1818</v>
      </c>
      <c r="B1819" s="8" t="s">
        <v>73</v>
      </c>
      <c r="C1819" s="8" t="s">
        <v>16</v>
      </c>
      <c r="D1819" s="9" t="n">
        <v>44365</v>
      </c>
      <c r="E1819" s="9" t="str">
        <f aca="false">TEXT(D1819,"MMM")</f>
        <v>jun</v>
      </c>
      <c r="F1819" s="10" t="n">
        <v>10118.26</v>
      </c>
      <c r="G1819" s="8" t="s">
        <v>11</v>
      </c>
      <c r="H1819" s="8" t="s">
        <v>12</v>
      </c>
      <c r="I1819" s="11" t="s">
        <v>13</v>
      </c>
      <c r="J1819" s="8" t="s">
        <v>14</v>
      </c>
    </row>
    <row r="1820" customFormat="false" ht="14.25" hidden="false" customHeight="false" outlineLevel="0" collapsed="false">
      <c r="A1820" s="8" t="n">
        <v>1819</v>
      </c>
      <c r="B1820" s="8" t="s">
        <v>73</v>
      </c>
      <c r="C1820" s="8" t="s">
        <v>21</v>
      </c>
      <c r="D1820" s="9" t="n">
        <v>44365</v>
      </c>
      <c r="E1820" s="9" t="str">
        <f aca="false">TEXT(D1820,"MMM")</f>
        <v>jun</v>
      </c>
      <c r="F1820" s="10" t="n">
        <v>1909.44</v>
      </c>
      <c r="G1820" s="8" t="s">
        <v>11</v>
      </c>
      <c r="H1820" s="8" t="s">
        <v>12</v>
      </c>
      <c r="I1820" s="11" t="s">
        <v>13</v>
      </c>
      <c r="J1820" s="8" t="s">
        <v>14</v>
      </c>
    </row>
    <row r="1821" customFormat="false" ht="14.25" hidden="false" customHeight="false" outlineLevel="0" collapsed="false">
      <c r="A1821" s="8" t="n">
        <v>1820</v>
      </c>
      <c r="B1821" s="8" t="s">
        <v>20</v>
      </c>
      <c r="C1821" s="8" t="s">
        <v>21</v>
      </c>
      <c r="D1821" s="9" t="n">
        <v>44366</v>
      </c>
      <c r="E1821" s="9" t="str">
        <f aca="false">TEXT(D1821,"MMM")</f>
        <v>jun</v>
      </c>
      <c r="F1821" s="10" t="n">
        <v>46354.78</v>
      </c>
      <c r="G1821" s="8" t="s">
        <v>11</v>
      </c>
      <c r="H1821" s="8" t="s">
        <v>17</v>
      </c>
      <c r="I1821" s="11" t="s">
        <v>18</v>
      </c>
      <c r="J1821" s="8" t="s">
        <v>26</v>
      </c>
    </row>
    <row r="1822" customFormat="false" ht="14.25" hidden="false" customHeight="false" outlineLevel="0" collapsed="false">
      <c r="A1822" s="8" t="n">
        <v>1821</v>
      </c>
      <c r="B1822" s="8" t="s">
        <v>128</v>
      </c>
      <c r="C1822" s="8" t="s">
        <v>28</v>
      </c>
      <c r="D1822" s="9" t="n">
        <v>44366</v>
      </c>
      <c r="E1822" s="9" t="str">
        <f aca="false">TEXT(D1822,"MMM")</f>
        <v>jun</v>
      </c>
      <c r="F1822" s="10" t="n">
        <v>28661.28</v>
      </c>
      <c r="G1822" s="8" t="s">
        <v>11</v>
      </c>
      <c r="H1822" s="8" t="s">
        <v>12</v>
      </c>
      <c r="I1822" s="11" t="s">
        <v>13</v>
      </c>
      <c r="J1822" s="8" t="s">
        <v>14</v>
      </c>
    </row>
    <row r="1823" customFormat="false" ht="14.25" hidden="false" customHeight="false" outlineLevel="0" collapsed="false">
      <c r="A1823" s="8" t="n">
        <v>1822</v>
      </c>
      <c r="B1823" s="8" t="s">
        <v>65</v>
      </c>
      <c r="C1823" s="8" t="s">
        <v>10</v>
      </c>
      <c r="D1823" s="9" t="n">
        <v>44366</v>
      </c>
      <c r="E1823" s="9" t="str">
        <f aca="false">TEXT(D1823,"MMM")</f>
        <v>jun</v>
      </c>
      <c r="F1823" s="10" t="n">
        <v>8872.93</v>
      </c>
      <c r="G1823" s="8" t="s">
        <v>11</v>
      </c>
      <c r="H1823" s="8" t="s">
        <v>12</v>
      </c>
      <c r="I1823" s="11" t="s">
        <v>13</v>
      </c>
      <c r="J1823" s="8" t="s">
        <v>14</v>
      </c>
    </row>
    <row r="1824" customFormat="false" ht="14.25" hidden="false" customHeight="false" outlineLevel="0" collapsed="false">
      <c r="A1824" s="8" t="n">
        <v>1823</v>
      </c>
      <c r="B1824" s="8" t="s">
        <v>124</v>
      </c>
      <c r="C1824" s="8" t="s">
        <v>10</v>
      </c>
      <c r="D1824" s="9" t="n">
        <v>44366</v>
      </c>
      <c r="E1824" s="9" t="str">
        <f aca="false">TEXT(D1824,"MMM")</f>
        <v>jun</v>
      </c>
      <c r="F1824" s="10" t="n">
        <v>1909.44</v>
      </c>
      <c r="G1824" s="8" t="s">
        <v>11</v>
      </c>
      <c r="H1824" s="8" t="s">
        <v>36</v>
      </c>
      <c r="I1824" s="11" t="s">
        <v>37</v>
      </c>
      <c r="J1824" s="8" t="s">
        <v>14</v>
      </c>
    </row>
    <row r="1825" customFormat="false" ht="14.25" hidden="false" customHeight="false" outlineLevel="0" collapsed="false">
      <c r="A1825" s="8" t="n">
        <v>1824</v>
      </c>
      <c r="B1825" s="8" t="s">
        <v>126</v>
      </c>
      <c r="C1825" s="8" t="s">
        <v>21</v>
      </c>
      <c r="D1825" s="9" t="n">
        <v>44366</v>
      </c>
      <c r="E1825" s="9" t="str">
        <f aca="false">TEXT(D1825,"MMM")</f>
        <v>jun</v>
      </c>
      <c r="F1825" s="10" t="n">
        <v>1909.44</v>
      </c>
      <c r="G1825" s="8" t="s">
        <v>11</v>
      </c>
      <c r="H1825" s="8" t="s">
        <v>17</v>
      </c>
      <c r="I1825" s="11" t="s">
        <v>18</v>
      </c>
      <c r="J1825" s="8" t="s">
        <v>14</v>
      </c>
    </row>
    <row r="1826" customFormat="false" ht="14.25" hidden="false" customHeight="false" outlineLevel="0" collapsed="false">
      <c r="A1826" s="8" t="n">
        <v>1825</v>
      </c>
      <c r="B1826" s="8" t="s">
        <v>83</v>
      </c>
      <c r="C1826" s="8" t="s">
        <v>10</v>
      </c>
      <c r="D1826" s="9" t="n">
        <v>44366</v>
      </c>
      <c r="E1826" s="9" t="str">
        <f aca="false">TEXT(D1826,"MMM")</f>
        <v>jun</v>
      </c>
      <c r="F1826" s="10" t="n">
        <v>30689.51</v>
      </c>
      <c r="G1826" s="8" t="s">
        <v>11</v>
      </c>
      <c r="H1826" s="8" t="s">
        <v>17</v>
      </c>
      <c r="I1826" s="11" t="s">
        <v>18</v>
      </c>
      <c r="J1826" s="8" t="s">
        <v>19</v>
      </c>
    </row>
    <row r="1827" customFormat="false" ht="14.25" hidden="false" customHeight="false" outlineLevel="0" collapsed="false">
      <c r="A1827" s="8" t="n">
        <v>1826</v>
      </c>
      <c r="B1827" s="8" t="s">
        <v>191</v>
      </c>
      <c r="C1827" s="8" t="s">
        <v>28</v>
      </c>
      <c r="D1827" s="9" t="n">
        <v>44366</v>
      </c>
      <c r="E1827" s="9" t="str">
        <f aca="false">TEXT(D1827,"MMM")</f>
        <v>jun</v>
      </c>
      <c r="F1827" s="10" t="n">
        <v>10022.91</v>
      </c>
      <c r="G1827" s="8" t="s">
        <v>11</v>
      </c>
      <c r="H1827" s="8" t="s">
        <v>12</v>
      </c>
      <c r="I1827" s="11" t="s">
        <v>13</v>
      </c>
      <c r="J1827" s="8" t="s">
        <v>24</v>
      </c>
    </row>
    <row r="1828" customFormat="false" ht="14.25" hidden="false" customHeight="false" outlineLevel="0" collapsed="false">
      <c r="A1828" s="8" t="n">
        <v>1827</v>
      </c>
      <c r="B1828" s="8" t="s">
        <v>192</v>
      </c>
      <c r="C1828" s="8" t="s">
        <v>28</v>
      </c>
      <c r="D1828" s="9" t="n">
        <v>44366</v>
      </c>
      <c r="E1828" s="9" t="str">
        <f aca="false">TEXT(D1828,"MMM")</f>
        <v>jun</v>
      </c>
      <c r="F1828" s="10" t="n">
        <v>9627.83</v>
      </c>
      <c r="G1828" s="8" t="s">
        <v>11</v>
      </c>
      <c r="H1828" s="8" t="s">
        <v>36</v>
      </c>
      <c r="I1828" s="11" t="s">
        <v>37</v>
      </c>
      <c r="J1828" s="8" t="s">
        <v>14</v>
      </c>
    </row>
    <row r="1829" customFormat="false" ht="14.25" hidden="false" customHeight="false" outlineLevel="0" collapsed="false">
      <c r="A1829" s="8" t="n">
        <v>1828</v>
      </c>
      <c r="B1829" s="8" t="s">
        <v>193</v>
      </c>
      <c r="C1829" s="8" t="s">
        <v>10</v>
      </c>
      <c r="D1829" s="9" t="n">
        <v>44366</v>
      </c>
      <c r="E1829" s="9" t="str">
        <f aca="false">TEXT(D1829,"MMM")</f>
        <v>jun</v>
      </c>
      <c r="F1829" s="10" t="n">
        <v>-13372.98</v>
      </c>
      <c r="G1829" s="8" t="s">
        <v>34</v>
      </c>
      <c r="H1829" s="8" t="s">
        <v>12</v>
      </c>
      <c r="I1829" s="11" t="s">
        <v>13</v>
      </c>
      <c r="J1829" s="8" t="s">
        <v>26</v>
      </c>
    </row>
    <row r="1830" customFormat="false" ht="14.25" hidden="false" customHeight="false" outlineLevel="0" collapsed="false">
      <c r="A1830" s="8" t="n">
        <v>1829</v>
      </c>
      <c r="B1830" s="8" t="s">
        <v>194</v>
      </c>
      <c r="C1830" s="8" t="s">
        <v>21</v>
      </c>
      <c r="D1830" s="9" t="n">
        <v>44366</v>
      </c>
      <c r="E1830" s="9" t="str">
        <f aca="false">TEXT(D1830,"MMM")</f>
        <v>jun</v>
      </c>
      <c r="F1830" s="10" t="n">
        <v>-55308.61</v>
      </c>
      <c r="G1830" s="8" t="s">
        <v>34</v>
      </c>
      <c r="H1830" s="8" t="s">
        <v>17</v>
      </c>
      <c r="I1830" s="11" t="s">
        <v>18</v>
      </c>
      <c r="J1830" s="8" t="s">
        <v>26</v>
      </c>
    </row>
    <row r="1831" customFormat="false" ht="14.25" hidden="false" customHeight="false" outlineLevel="0" collapsed="false">
      <c r="A1831" s="8" t="n">
        <v>1830</v>
      </c>
      <c r="B1831" s="8" t="s">
        <v>195</v>
      </c>
      <c r="C1831" s="8" t="s">
        <v>16</v>
      </c>
      <c r="D1831" s="9" t="n">
        <v>44366</v>
      </c>
      <c r="E1831" s="9" t="str">
        <f aca="false">TEXT(D1831,"MMM")</f>
        <v>jun</v>
      </c>
      <c r="F1831" s="10" t="n">
        <v>161241.6</v>
      </c>
      <c r="G1831" s="8" t="s">
        <v>11</v>
      </c>
      <c r="H1831" s="8" t="s">
        <v>17</v>
      </c>
      <c r="I1831" s="11" t="s">
        <v>18</v>
      </c>
      <c r="J1831" s="8" t="s">
        <v>19</v>
      </c>
    </row>
    <row r="1832" customFormat="false" ht="14.25" hidden="false" customHeight="false" outlineLevel="0" collapsed="false">
      <c r="A1832" s="8" t="n">
        <v>1831</v>
      </c>
      <c r="B1832" s="8" t="s">
        <v>196</v>
      </c>
      <c r="C1832" s="8" t="s">
        <v>16</v>
      </c>
      <c r="D1832" s="9" t="n">
        <v>44366</v>
      </c>
      <c r="E1832" s="9" t="str">
        <f aca="false">TEXT(D1832,"MMM")</f>
        <v>jun</v>
      </c>
      <c r="F1832" s="10" t="n">
        <v>-8667090.74</v>
      </c>
      <c r="G1832" s="8" t="s">
        <v>34</v>
      </c>
      <c r="H1832" s="8" t="s">
        <v>17</v>
      </c>
      <c r="I1832" s="11" t="s">
        <v>18</v>
      </c>
      <c r="J1832" s="8" t="s">
        <v>26</v>
      </c>
    </row>
    <row r="1833" customFormat="false" ht="14.25" hidden="false" customHeight="false" outlineLevel="0" collapsed="false">
      <c r="A1833" s="8" t="n">
        <v>1832</v>
      </c>
      <c r="B1833" s="8" t="s">
        <v>197</v>
      </c>
      <c r="C1833" s="8" t="s">
        <v>10</v>
      </c>
      <c r="D1833" s="9" t="n">
        <v>44366</v>
      </c>
      <c r="E1833" s="9" t="str">
        <f aca="false">TEXT(D1833,"MMM")</f>
        <v>jun</v>
      </c>
      <c r="F1833" s="10" t="n">
        <v>-1143.38</v>
      </c>
      <c r="G1833" s="8" t="s">
        <v>34</v>
      </c>
      <c r="H1833" s="8" t="s">
        <v>12</v>
      </c>
      <c r="I1833" s="11" t="s">
        <v>13</v>
      </c>
      <c r="J1833" s="8" t="s">
        <v>26</v>
      </c>
    </row>
    <row r="1834" customFormat="false" ht="14.25" hidden="false" customHeight="false" outlineLevel="0" collapsed="false">
      <c r="A1834" s="8" t="n">
        <v>1833</v>
      </c>
      <c r="B1834" s="8" t="s">
        <v>198</v>
      </c>
      <c r="C1834" s="8" t="s">
        <v>10</v>
      </c>
      <c r="D1834" s="9" t="n">
        <v>44366</v>
      </c>
      <c r="E1834" s="9" t="str">
        <f aca="false">TEXT(D1834,"MMM")</f>
        <v>jun</v>
      </c>
      <c r="F1834" s="10" t="n">
        <v>-10066.74</v>
      </c>
      <c r="G1834" s="8" t="s">
        <v>34</v>
      </c>
      <c r="H1834" s="8" t="s">
        <v>22</v>
      </c>
      <c r="I1834" s="11" t="s">
        <v>23</v>
      </c>
      <c r="J1834" s="8" t="s">
        <v>26</v>
      </c>
    </row>
    <row r="1835" customFormat="false" ht="14.25" hidden="false" customHeight="false" outlineLevel="0" collapsed="false">
      <c r="A1835" s="8" t="n">
        <v>1834</v>
      </c>
      <c r="B1835" s="8" t="s">
        <v>199</v>
      </c>
      <c r="C1835" s="8" t="s">
        <v>21</v>
      </c>
      <c r="D1835" s="9" t="n">
        <v>44366</v>
      </c>
      <c r="E1835" s="9" t="str">
        <f aca="false">TEXT(D1835,"MMM")</f>
        <v>jun</v>
      </c>
      <c r="F1835" s="10" t="n">
        <v>-3869.71</v>
      </c>
      <c r="G1835" s="8" t="s">
        <v>34</v>
      </c>
      <c r="H1835" s="8" t="s">
        <v>12</v>
      </c>
      <c r="I1835" s="11" t="s">
        <v>13</v>
      </c>
      <c r="J1835" s="8" t="s">
        <v>19</v>
      </c>
    </row>
    <row r="1836" customFormat="false" ht="14.25" hidden="false" customHeight="false" outlineLevel="0" collapsed="false">
      <c r="A1836" s="8" t="n">
        <v>1835</v>
      </c>
      <c r="B1836" s="8" t="s">
        <v>125</v>
      </c>
      <c r="C1836" s="8" t="s">
        <v>21</v>
      </c>
      <c r="D1836" s="9" t="n">
        <v>44366</v>
      </c>
      <c r="E1836" s="9" t="str">
        <f aca="false">TEXT(D1836,"MMM")</f>
        <v>jun</v>
      </c>
      <c r="F1836" s="10" t="n">
        <v>-6968.68</v>
      </c>
      <c r="G1836" s="8" t="s">
        <v>34</v>
      </c>
      <c r="H1836" s="8" t="s">
        <v>22</v>
      </c>
      <c r="I1836" s="11" t="s">
        <v>23</v>
      </c>
      <c r="J1836" s="8" t="s">
        <v>14</v>
      </c>
    </row>
    <row r="1837" customFormat="false" ht="14.25" hidden="false" customHeight="false" outlineLevel="0" collapsed="false">
      <c r="A1837" s="8" t="n">
        <v>1836</v>
      </c>
      <c r="B1837" s="8" t="s">
        <v>200</v>
      </c>
      <c r="C1837" s="8" t="s">
        <v>21</v>
      </c>
      <c r="D1837" s="9" t="n">
        <v>44366</v>
      </c>
      <c r="E1837" s="9" t="str">
        <f aca="false">TEXT(D1837,"MMM")</f>
        <v>jun</v>
      </c>
      <c r="F1837" s="10" t="n">
        <v>-11749.78</v>
      </c>
      <c r="G1837" s="8" t="s">
        <v>34</v>
      </c>
      <c r="H1837" s="8" t="s">
        <v>12</v>
      </c>
      <c r="I1837" s="11" t="s">
        <v>13</v>
      </c>
      <c r="J1837" s="8" t="s">
        <v>26</v>
      </c>
    </row>
    <row r="1838" customFormat="false" ht="14.25" hidden="false" customHeight="false" outlineLevel="0" collapsed="false">
      <c r="A1838" s="8" t="n">
        <v>1837</v>
      </c>
      <c r="B1838" s="8" t="s">
        <v>116</v>
      </c>
      <c r="C1838" s="8" t="s">
        <v>16</v>
      </c>
      <c r="D1838" s="9" t="n">
        <v>44366</v>
      </c>
      <c r="E1838" s="9" t="str">
        <f aca="false">TEXT(D1838,"MMM")</f>
        <v>jun</v>
      </c>
      <c r="F1838" s="10" t="n">
        <v>-2741.97</v>
      </c>
      <c r="G1838" s="8" t="s">
        <v>34</v>
      </c>
      <c r="H1838" s="8" t="s">
        <v>12</v>
      </c>
      <c r="I1838" s="11" t="s">
        <v>13</v>
      </c>
      <c r="J1838" s="8" t="s">
        <v>19</v>
      </c>
    </row>
    <row r="1839" customFormat="false" ht="14.25" hidden="false" customHeight="false" outlineLevel="0" collapsed="false">
      <c r="A1839" s="8" t="n">
        <v>1838</v>
      </c>
      <c r="B1839" s="8" t="s">
        <v>201</v>
      </c>
      <c r="C1839" s="8" t="s">
        <v>16</v>
      </c>
      <c r="D1839" s="9" t="n">
        <v>44366</v>
      </c>
      <c r="E1839" s="9" t="str">
        <f aca="false">TEXT(D1839,"MMM")</f>
        <v>jun</v>
      </c>
      <c r="F1839" s="10" t="n">
        <v>-36921.54</v>
      </c>
      <c r="G1839" s="8" t="s">
        <v>34</v>
      </c>
      <c r="H1839" s="8" t="s">
        <v>12</v>
      </c>
      <c r="I1839" s="11" t="s">
        <v>13</v>
      </c>
      <c r="J1839" s="8" t="s">
        <v>14</v>
      </c>
    </row>
    <row r="1840" customFormat="false" ht="14.25" hidden="false" customHeight="false" outlineLevel="0" collapsed="false">
      <c r="A1840" s="8" t="n">
        <v>1839</v>
      </c>
      <c r="B1840" s="8" t="s">
        <v>145</v>
      </c>
      <c r="C1840" s="8" t="s">
        <v>16</v>
      </c>
      <c r="D1840" s="9" t="n">
        <v>44366</v>
      </c>
      <c r="E1840" s="9" t="str">
        <f aca="false">TEXT(D1840,"MMM")</f>
        <v>jun</v>
      </c>
      <c r="F1840" s="10" t="n">
        <v>-8818.04</v>
      </c>
      <c r="G1840" s="8" t="s">
        <v>34</v>
      </c>
      <c r="H1840" s="8" t="s">
        <v>30</v>
      </c>
      <c r="I1840" s="11" t="s">
        <v>31</v>
      </c>
      <c r="J1840" s="8" t="s">
        <v>24</v>
      </c>
    </row>
    <row r="1841" customFormat="false" ht="14.25" hidden="false" customHeight="false" outlineLevel="0" collapsed="false">
      <c r="A1841" s="8" t="n">
        <v>1840</v>
      </c>
      <c r="B1841" s="8" t="s">
        <v>29</v>
      </c>
      <c r="C1841" s="8" t="s">
        <v>10</v>
      </c>
      <c r="D1841" s="9" t="n">
        <v>44367</v>
      </c>
      <c r="E1841" s="9" t="str">
        <f aca="false">TEXT(D1841,"MMM")</f>
        <v>jun</v>
      </c>
      <c r="F1841" s="10" t="n">
        <v>-8377.08</v>
      </c>
      <c r="G1841" s="8" t="s">
        <v>34</v>
      </c>
      <c r="H1841" s="8" t="s">
        <v>36</v>
      </c>
      <c r="I1841" s="11" t="s">
        <v>37</v>
      </c>
      <c r="J1841" s="8" t="s">
        <v>19</v>
      </c>
    </row>
    <row r="1842" customFormat="false" ht="14.25" hidden="false" customHeight="false" outlineLevel="0" collapsed="false">
      <c r="A1842" s="8" t="n">
        <v>1841</v>
      </c>
      <c r="B1842" s="8" t="s">
        <v>202</v>
      </c>
      <c r="C1842" s="8" t="s">
        <v>16</v>
      </c>
      <c r="D1842" s="9" t="n">
        <v>44367</v>
      </c>
      <c r="E1842" s="9" t="str">
        <f aca="false">TEXT(D1842,"MMM")</f>
        <v>jun</v>
      </c>
      <c r="F1842" s="10" t="n">
        <v>-8720.81</v>
      </c>
      <c r="G1842" s="8" t="s">
        <v>34</v>
      </c>
      <c r="H1842" s="8" t="s">
        <v>17</v>
      </c>
      <c r="I1842" s="11" t="s">
        <v>18</v>
      </c>
      <c r="J1842" s="8" t="s">
        <v>24</v>
      </c>
    </row>
    <row r="1843" customFormat="false" ht="14.25" hidden="false" customHeight="false" outlineLevel="0" collapsed="false">
      <c r="A1843" s="8" t="n">
        <v>1842</v>
      </c>
      <c r="B1843" s="8" t="s">
        <v>203</v>
      </c>
      <c r="C1843" s="8" t="s">
        <v>10</v>
      </c>
      <c r="D1843" s="9" t="n">
        <v>44367</v>
      </c>
      <c r="E1843" s="9" t="str">
        <f aca="false">TEXT(D1843,"MMM")</f>
        <v>jun</v>
      </c>
      <c r="F1843" s="10" t="n">
        <v>7552.76</v>
      </c>
      <c r="G1843" s="8" t="s">
        <v>11</v>
      </c>
      <c r="H1843" s="8" t="s">
        <v>12</v>
      </c>
      <c r="I1843" s="11" t="s">
        <v>13</v>
      </c>
      <c r="J1843" s="8" t="s">
        <v>26</v>
      </c>
    </row>
    <row r="1844" customFormat="false" ht="14.25" hidden="false" customHeight="false" outlineLevel="0" collapsed="false">
      <c r="A1844" s="8" t="n">
        <v>1843</v>
      </c>
      <c r="B1844" s="8" t="s">
        <v>204</v>
      </c>
      <c r="C1844" s="8" t="s">
        <v>10</v>
      </c>
      <c r="D1844" s="9" t="n">
        <v>44367</v>
      </c>
      <c r="E1844" s="9" t="str">
        <f aca="false">TEXT(D1844,"MMM")</f>
        <v>jun</v>
      </c>
      <c r="F1844" s="10" t="n">
        <v>-3056.76</v>
      </c>
      <c r="G1844" s="8" t="s">
        <v>34</v>
      </c>
      <c r="H1844" s="8" t="s">
        <v>12</v>
      </c>
      <c r="I1844" s="11" t="s">
        <v>13</v>
      </c>
      <c r="J1844" s="8" t="s">
        <v>19</v>
      </c>
    </row>
    <row r="1845" customFormat="false" ht="14.25" hidden="false" customHeight="false" outlineLevel="0" collapsed="false">
      <c r="A1845" s="8" t="n">
        <v>1844</v>
      </c>
      <c r="B1845" s="8" t="s">
        <v>145</v>
      </c>
      <c r="C1845" s="8" t="s">
        <v>10</v>
      </c>
      <c r="D1845" s="9" t="n">
        <v>44367</v>
      </c>
      <c r="E1845" s="9" t="str">
        <f aca="false">TEXT(D1845,"MMM")</f>
        <v>jun</v>
      </c>
      <c r="F1845" s="10" t="n">
        <v>-1662.19</v>
      </c>
      <c r="G1845" s="8" t="s">
        <v>34</v>
      </c>
      <c r="H1845" s="8" t="s">
        <v>36</v>
      </c>
      <c r="I1845" s="11" t="s">
        <v>37</v>
      </c>
      <c r="J1845" s="8" t="s">
        <v>26</v>
      </c>
    </row>
    <row r="1846" customFormat="false" ht="14.25" hidden="false" customHeight="false" outlineLevel="0" collapsed="false">
      <c r="A1846" s="8" t="n">
        <v>1845</v>
      </c>
      <c r="B1846" s="8" t="s">
        <v>145</v>
      </c>
      <c r="C1846" s="8" t="s">
        <v>21</v>
      </c>
      <c r="D1846" s="9" t="n">
        <v>44367</v>
      </c>
      <c r="E1846" s="9" t="str">
        <f aca="false">TEXT(D1846,"MMM")</f>
        <v>jun</v>
      </c>
      <c r="F1846" s="10" t="n">
        <v>-2242.98</v>
      </c>
      <c r="G1846" s="8" t="s">
        <v>34</v>
      </c>
      <c r="H1846" s="8" t="s">
        <v>36</v>
      </c>
      <c r="I1846" s="11" t="s">
        <v>37</v>
      </c>
      <c r="J1846" s="8" t="s">
        <v>14</v>
      </c>
    </row>
    <row r="1847" customFormat="false" ht="14.25" hidden="false" customHeight="false" outlineLevel="0" collapsed="false">
      <c r="A1847" s="8" t="n">
        <v>1846</v>
      </c>
      <c r="B1847" s="8" t="s">
        <v>189</v>
      </c>
      <c r="C1847" s="8" t="s">
        <v>16</v>
      </c>
      <c r="D1847" s="9" t="n">
        <v>44368</v>
      </c>
      <c r="E1847" s="9" t="str">
        <f aca="false">TEXT(D1847,"MMM")</f>
        <v>jun</v>
      </c>
      <c r="F1847" s="10" t="n">
        <v>-487.31</v>
      </c>
      <c r="G1847" s="8" t="s">
        <v>34</v>
      </c>
      <c r="H1847" s="8" t="s">
        <v>12</v>
      </c>
      <c r="I1847" s="11" t="s">
        <v>13</v>
      </c>
      <c r="J1847" s="8" t="s">
        <v>24</v>
      </c>
    </row>
    <row r="1848" customFormat="false" ht="14.25" hidden="false" customHeight="false" outlineLevel="0" collapsed="false">
      <c r="A1848" s="8" t="n">
        <v>1847</v>
      </c>
      <c r="B1848" s="8" t="s">
        <v>50</v>
      </c>
      <c r="C1848" s="8" t="s">
        <v>16</v>
      </c>
      <c r="D1848" s="9" t="n">
        <v>44368</v>
      </c>
      <c r="E1848" s="9" t="str">
        <f aca="false">TEXT(D1848,"MMM")</f>
        <v>jun</v>
      </c>
      <c r="F1848" s="10" t="n">
        <v>-2856.63</v>
      </c>
      <c r="G1848" s="8" t="s">
        <v>34</v>
      </c>
      <c r="H1848" s="8" t="s">
        <v>12</v>
      </c>
      <c r="I1848" s="11" t="s">
        <v>13</v>
      </c>
      <c r="J1848" s="8" t="s">
        <v>26</v>
      </c>
    </row>
    <row r="1849" customFormat="false" ht="14.25" hidden="false" customHeight="false" outlineLevel="0" collapsed="false">
      <c r="A1849" s="8" t="n">
        <v>1848</v>
      </c>
      <c r="B1849" s="8" t="s">
        <v>129</v>
      </c>
      <c r="C1849" s="8" t="s">
        <v>16</v>
      </c>
      <c r="D1849" s="9" t="n">
        <v>44368</v>
      </c>
      <c r="E1849" s="9" t="str">
        <f aca="false">TEXT(D1849,"MMM")</f>
        <v>jun</v>
      </c>
      <c r="F1849" s="10" t="n">
        <v>-1600.34</v>
      </c>
      <c r="G1849" s="8" t="s">
        <v>34</v>
      </c>
      <c r="H1849" s="8" t="s">
        <v>17</v>
      </c>
      <c r="I1849" s="11" t="s">
        <v>18</v>
      </c>
      <c r="J1849" s="8" t="s">
        <v>26</v>
      </c>
    </row>
    <row r="1850" customFormat="false" ht="14.25" hidden="false" customHeight="false" outlineLevel="0" collapsed="false">
      <c r="A1850" s="8" t="n">
        <v>1849</v>
      </c>
      <c r="B1850" s="8" t="s">
        <v>165</v>
      </c>
      <c r="C1850" s="8" t="s">
        <v>21</v>
      </c>
      <c r="D1850" s="9" t="n">
        <v>44368</v>
      </c>
      <c r="E1850" s="9" t="str">
        <f aca="false">TEXT(D1850,"MMM")</f>
        <v>jun</v>
      </c>
      <c r="F1850" s="10" t="n">
        <v>-608.34</v>
      </c>
      <c r="G1850" s="8" t="s">
        <v>34</v>
      </c>
      <c r="H1850" s="8" t="s">
        <v>12</v>
      </c>
      <c r="I1850" s="11" t="s">
        <v>13</v>
      </c>
      <c r="J1850" s="8" t="s">
        <v>14</v>
      </c>
    </row>
    <row r="1851" customFormat="false" ht="14.25" hidden="false" customHeight="false" outlineLevel="0" collapsed="false">
      <c r="A1851" s="8" t="n">
        <v>1850</v>
      </c>
      <c r="B1851" s="8" t="s">
        <v>205</v>
      </c>
      <c r="C1851" s="8" t="s">
        <v>21</v>
      </c>
      <c r="D1851" s="9" t="n">
        <v>44368</v>
      </c>
      <c r="E1851" s="9" t="str">
        <f aca="false">TEXT(D1851,"MMM")</f>
        <v>jun</v>
      </c>
      <c r="F1851" s="10" t="n">
        <v>-12812.87</v>
      </c>
      <c r="G1851" s="8" t="s">
        <v>34</v>
      </c>
      <c r="H1851" s="8" t="s">
        <v>36</v>
      </c>
      <c r="I1851" s="11" t="s">
        <v>37</v>
      </c>
      <c r="J1851" s="8" t="s">
        <v>26</v>
      </c>
    </row>
    <row r="1852" customFormat="false" ht="14.25" hidden="false" customHeight="false" outlineLevel="0" collapsed="false">
      <c r="A1852" s="8" t="n">
        <v>1851</v>
      </c>
      <c r="B1852" s="8" t="s">
        <v>206</v>
      </c>
      <c r="C1852" s="8" t="s">
        <v>10</v>
      </c>
      <c r="D1852" s="9" t="n">
        <v>44368</v>
      </c>
      <c r="E1852" s="9" t="str">
        <f aca="false">TEXT(D1852,"MMM")</f>
        <v>jun</v>
      </c>
      <c r="F1852" s="10" t="n">
        <v>161998.95</v>
      </c>
      <c r="G1852" s="8" t="s">
        <v>11</v>
      </c>
      <c r="H1852" s="8" t="s">
        <v>12</v>
      </c>
      <c r="I1852" s="11" t="s">
        <v>13</v>
      </c>
      <c r="J1852" s="8" t="s">
        <v>26</v>
      </c>
    </row>
    <row r="1853" customFormat="false" ht="14.25" hidden="false" customHeight="false" outlineLevel="0" collapsed="false">
      <c r="A1853" s="8" t="n">
        <v>1852</v>
      </c>
      <c r="B1853" s="8" t="s">
        <v>145</v>
      </c>
      <c r="C1853" s="8" t="s">
        <v>10</v>
      </c>
      <c r="D1853" s="9" t="n">
        <v>44368</v>
      </c>
      <c r="E1853" s="9" t="str">
        <f aca="false">TEXT(D1853,"MMM")</f>
        <v>jun</v>
      </c>
      <c r="F1853" s="10" t="n">
        <v>-10634.51</v>
      </c>
      <c r="G1853" s="8" t="s">
        <v>34</v>
      </c>
      <c r="H1853" s="8" t="s">
        <v>22</v>
      </c>
      <c r="I1853" s="11" t="s">
        <v>23</v>
      </c>
      <c r="J1853" s="8" t="s">
        <v>26</v>
      </c>
    </row>
    <row r="1854" customFormat="false" ht="14.25" hidden="false" customHeight="false" outlineLevel="0" collapsed="false">
      <c r="A1854" s="8" t="n">
        <v>1853</v>
      </c>
      <c r="B1854" s="8" t="s">
        <v>15</v>
      </c>
      <c r="C1854" s="8" t="s">
        <v>21</v>
      </c>
      <c r="D1854" s="9" t="n">
        <v>44368</v>
      </c>
      <c r="E1854" s="9" t="str">
        <f aca="false">TEXT(D1854,"MMM")</f>
        <v>jun</v>
      </c>
      <c r="F1854" s="10" t="n">
        <v>2509.2</v>
      </c>
      <c r="G1854" s="8" t="s">
        <v>11</v>
      </c>
      <c r="H1854" s="8" t="s">
        <v>17</v>
      </c>
      <c r="I1854" s="11" t="s">
        <v>18</v>
      </c>
      <c r="J1854" s="8" t="s">
        <v>14</v>
      </c>
    </row>
    <row r="1855" customFormat="false" ht="14.25" hidden="false" customHeight="false" outlineLevel="0" collapsed="false">
      <c r="A1855" s="8" t="n">
        <v>1854</v>
      </c>
      <c r="B1855" s="8" t="s">
        <v>15</v>
      </c>
      <c r="C1855" s="8" t="s">
        <v>10</v>
      </c>
      <c r="D1855" s="9" t="n">
        <v>44368</v>
      </c>
      <c r="E1855" s="9" t="str">
        <f aca="false">TEXT(D1855,"MMM")</f>
        <v>jun</v>
      </c>
      <c r="F1855" s="10" t="n">
        <v>2439.5</v>
      </c>
      <c r="G1855" s="8" t="s">
        <v>11</v>
      </c>
      <c r="H1855" s="8" t="s">
        <v>12</v>
      </c>
      <c r="I1855" s="11" t="s">
        <v>13</v>
      </c>
      <c r="J1855" s="8" t="s">
        <v>26</v>
      </c>
    </row>
    <row r="1856" customFormat="false" ht="14.25" hidden="false" customHeight="false" outlineLevel="0" collapsed="false">
      <c r="A1856" s="8" t="n">
        <v>1855</v>
      </c>
      <c r="B1856" s="8" t="s">
        <v>57</v>
      </c>
      <c r="C1856" s="8" t="s">
        <v>16</v>
      </c>
      <c r="D1856" s="9" t="n">
        <v>44369</v>
      </c>
      <c r="E1856" s="9" t="str">
        <f aca="false">TEXT(D1856,"MMM")</f>
        <v>jun</v>
      </c>
      <c r="F1856" s="10" t="n">
        <v>2439.5</v>
      </c>
      <c r="G1856" s="8" t="s">
        <v>11</v>
      </c>
      <c r="H1856" s="8" t="s">
        <v>17</v>
      </c>
      <c r="I1856" s="11" t="s">
        <v>18</v>
      </c>
      <c r="J1856" s="8" t="s">
        <v>14</v>
      </c>
    </row>
    <row r="1857" customFormat="false" ht="14.25" hidden="false" customHeight="false" outlineLevel="0" collapsed="false">
      <c r="A1857" s="8" t="n">
        <v>1856</v>
      </c>
      <c r="B1857" s="8" t="s">
        <v>44</v>
      </c>
      <c r="C1857" s="8" t="s">
        <v>28</v>
      </c>
      <c r="D1857" s="9" t="n">
        <v>44369</v>
      </c>
      <c r="E1857" s="9" t="str">
        <f aca="false">TEXT(D1857,"MMM")</f>
        <v>jun</v>
      </c>
      <c r="F1857" s="10" t="n">
        <v>2509.2</v>
      </c>
      <c r="G1857" s="8" t="s">
        <v>11</v>
      </c>
      <c r="H1857" s="8" t="s">
        <v>17</v>
      </c>
      <c r="I1857" s="11" t="s">
        <v>18</v>
      </c>
      <c r="J1857" s="8" t="s">
        <v>14</v>
      </c>
    </row>
    <row r="1858" customFormat="false" ht="14.25" hidden="false" customHeight="false" outlineLevel="0" collapsed="false">
      <c r="A1858" s="8" t="n">
        <v>1857</v>
      </c>
      <c r="B1858" s="8" t="s">
        <v>45</v>
      </c>
      <c r="C1858" s="8" t="s">
        <v>16</v>
      </c>
      <c r="D1858" s="9" t="n">
        <v>44369</v>
      </c>
      <c r="E1858" s="9" t="str">
        <f aca="false">TEXT(D1858,"MMM")</f>
        <v>jun</v>
      </c>
      <c r="F1858" s="10" t="n">
        <v>2439.5</v>
      </c>
      <c r="G1858" s="8" t="s">
        <v>11</v>
      </c>
      <c r="H1858" s="8" t="s">
        <v>12</v>
      </c>
      <c r="I1858" s="11" t="s">
        <v>13</v>
      </c>
      <c r="J1858" s="8" t="s">
        <v>26</v>
      </c>
    </row>
    <row r="1859" customFormat="false" ht="14.25" hidden="false" customHeight="false" outlineLevel="0" collapsed="false">
      <c r="A1859" s="8" t="n">
        <v>1858</v>
      </c>
      <c r="B1859" s="8" t="s">
        <v>57</v>
      </c>
      <c r="C1859" s="8" t="s">
        <v>28</v>
      </c>
      <c r="D1859" s="9" t="n">
        <v>44369</v>
      </c>
      <c r="E1859" s="9" t="str">
        <f aca="false">TEXT(D1859,"MMM")</f>
        <v>jun</v>
      </c>
      <c r="F1859" s="10" t="n">
        <v>3833.5</v>
      </c>
      <c r="G1859" s="8" t="s">
        <v>11</v>
      </c>
      <c r="H1859" s="8" t="s">
        <v>12</v>
      </c>
      <c r="I1859" s="11" t="s">
        <v>13</v>
      </c>
      <c r="J1859" s="8" t="s">
        <v>26</v>
      </c>
    </row>
    <row r="1860" customFormat="false" ht="14.25" hidden="false" customHeight="false" outlineLevel="0" collapsed="false">
      <c r="A1860" s="8" t="n">
        <v>1859</v>
      </c>
      <c r="B1860" s="8" t="s">
        <v>44</v>
      </c>
      <c r="C1860" s="8" t="s">
        <v>10</v>
      </c>
      <c r="D1860" s="9" t="n">
        <v>44369</v>
      </c>
      <c r="E1860" s="9" t="str">
        <f aca="false">TEXT(D1860,"MMM")</f>
        <v>jun</v>
      </c>
      <c r="F1860" s="10" t="n">
        <v>2439.5</v>
      </c>
      <c r="G1860" s="8" t="s">
        <v>11</v>
      </c>
      <c r="H1860" s="8" t="s">
        <v>36</v>
      </c>
      <c r="I1860" s="11" t="s">
        <v>37</v>
      </c>
      <c r="J1860" s="8" t="s">
        <v>24</v>
      </c>
    </row>
    <row r="1861" customFormat="false" ht="14.25" hidden="false" customHeight="false" outlineLevel="0" collapsed="false">
      <c r="A1861" s="8" t="n">
        <v>1860</v>
      </c>
      <c r="B1861" s="8" t="s">
        <v>45</v>
      </c>
      <c r="C1861" s="8" t="s">
        <v>28</v>
      </c>
      <c r="D1861" s="9" t="n">
        <v>44369</v>
      </c>
      <c r="E1861" s="9" t="str">
        <f aca="false">TEXT(D1861,"MMM")</f>
        <v>jun</v>
      </c>
      <c r="F1861" s="10" t="n">
        <v>3833.5</v>
      </c>
      <c r="G1861" s="8" t="s">
        <v>11</v>
      </c>
      <c r="H1861" s="8" t="s">
        <v>12</v>
      </c>
      <c r="I1861" s="11" t="s">
        <v>13</v>
      </c>
      <c r="J1861" s="8" t="s">
        <v>26</v>
      </c>
    </row>
    <row r="1862" customFormat="false" ht="14.25" hidden="false" customHeight="false" outlineLevel="0" collapsed="false">
      <c r="A1862" s="8" t="n">
        <v>1861</v>
      </c>
      <c r="B1862" s="8" t="s">
        <v>49</v>
      </c>
      <c r="C1862" s="8" t="s">
        <v>16</v>
      </c>
      <c r="D1862" s="9" t="n">
        <v>44369</v>
      </c>
      <c r="E1862" s="9" t="str">
        <f aca="false">TEXT(D1862,"MMM")</f>
        <v>jun</v>
      </c>
      <c r="F1862" s="10" t="n">
        <v>133415.02</v>
      </c>
      <c r="G1862" s="8" t="s">
        <v>11</v>
      </c>
      <c r="H1862" s="8" t="s">
        <v>17</v>
      </c>
      <c r="I1862" s="11" t="s">
        <v>18</v>
      </c>
      <c r="J1862" s="8" t="s">
        <v>14</v>
      </c>
    </row>
    <row r="1863" customFormat="false" ht="14.25" hidden="false" customHeight="false" outlineLevel="0" collapsed="false">
      <c r="A1863" s="8" t="n">
        <v>1862</v>
      </c>
      <c r="B1863" s="8" t="s">
        <v>85</v>
      </c>
      <c r="C1863" s="8" t="s">
        <v>28</v>
      </c>
      <c r="D1863" s="9" t="n">
        <v>44372</v>
      </c>
      <c r="E1863" s="9" t="str">
        <f aca="false">TEXT(D1863,"MMM")</f>
        <v>jun</v>
      </c>
      <c r="F1863" s="10" t="n">
        <v>-1972.78</v>
      </c>
      <c r="G1863" s="8" t="s">
        <v>34</v>
      </c>
      <c r="H1863" s="8" t="s">
        <v>12</v>
      </c>
      <c r="I1863" s="11" t="s">
        <v>13</v>
      </c>
      <c r="J1863" s="8" t="s">
        <v>24</v>
      </c>
    </row>
    <row r="1864" customFormat="false" ht="14.25" hidden="false" customHeight="false" outlineLevel="0" collapsed="false">
      <c r="A1864" s="8" t="n">
        <v>1863</v>
      </c>
      <c r="B1864" s="8" t="s">
        <v>77</v>
      </c>
      <c r="C1864" s="8" t="s">
        <v>16</v>
      </c>
      <c r="D1864" s="9" t="n">
        <v>44372</v>
      </c>
      <c r="E1864" s="9" t="str">
        <f aca="false">TEXT(D1864,"MMM")</f>
        <v>jun</v>
      </c>
      <c r="F1864" s="10" t="n">
        <v>-1915.87</v>
      </c>
      <c r="G1864" s="8" t="s">
        <v>34</v>
      </c>
      <c r="H1864" s="8" t="s">
        <v>22</v>
      </c>
      <c r="I1864" s="11" t="s">
        <v>23</v>
      </c>
      <c r="J1864" s="8" t="s">
        <v>19</v>
      </c>
    </row>
    <row r="1865" customFormat="false" ht="14.25" hidden="false" customHeight="false" outlineLevel="0" collapsed="false">
      <c r="A1865" s="8" t="n">
        <v>1864</v>
      </c>
      <c r="B1865" s="8" t="s">
        <v>61</v>
      </c>
      <c r="C1865" s="8" t="s">
        <v>21</v>
      </c>
      <c r="D1865" s="9" t="n">
        <v>44372</v>
      </c>
      <c r="E1865" s="9" t="str">
        <f aca="false">TEXT(D1865,"MMM")</f>
        <v>jun</v>
      </c>
      <c r="F1865" s="10" t="n">
        <v>-9658.11</v>
      </c>
      <c r="G1865" s="8" t="s">
        <v>34</v>
      </c>
      <c r="H1865" s="8" t="s">
        <v>17</v>
      </c>
      <c r="I1865" s="11" t="s">
        <v>18</v>
      </c>
      <c r="J1865" s="8" t="s">
        <v>24</v>
      </c>
    </row>
    <row r="1866" customFormat="false" ht="14.25" hidden="false" customHeight="false" outlineLevel="0" collapsed="false">
      <c r="A1866" s="8" t="n">
        <v>1865</v>
      </c>
      <c r="B1866" s="8" t="s">
        <v>62</v>
      </c>
      <c r="C1866" s="8" t="s">
        <v>21</v>
      </c>
      <c r="D1866" s="9" t="n">
        <v>44372</v>
      </c>
      <c r="E1866" s="9" t="str">
        <f aca="false">TEXT(D1866,"MMM")</f>
        <v>jun</v>
      </c>
      <c r="F1866" s="10" t="n">
        <v>-3615.15</v>
      </c>
      <c r="G1866" s="8" t="s">
        <v>34</v>
      </c>
      <c r="H1866" s="8" t="s">
        <v>12</v>
      </c>
      <c r="I1866" s="11" t="s">
        <v>13</v>
      </c>
      <c r="J1866" s="8" t="s">
        <v>26</v>
      </c>
    </row>
    <row r="1867" customFormat="false" ht="14.25" hidden="false" customHeight="false" outlineLevel="0" collapsed="false">
      <c r="A1867" s="8" t="n">
        <v>1866</v>
      </c>
      <c r="B1867" s="8" t="s">
        <v>61</v>
      </c>
      <c r="C1867" s="8" t="s">
        <v>10</v>
      </c>
      <c r="D1867" s="9" t="n">
        <v>44372</v>
      </c>
      <c r="E1867" s="9" t="str">
        <f aca="false">TEXT(D1867,"MMM")</f>
        <v>jun</v>
      </c>
      <c r="F1867" s="10" t="n">
        <v>-3184.55</v>
      </c>
      <c r="G1867" s="8" t="s">
        <v>34</v>
      </c>
      <c r="H1867" s="8" t="s">
        <v>12</v>
      </c>
      <c r="I1867" s="11" t="s">
        <v>13</v>
      </c>
      <c r="J1867" s="8" t="s">
        <v>26</v>
      </c>
    </row>
    <row r="1868" customFormat="false" ht="14.25" hidden="false" customHeight="false" outlineLevel="0" collapsed="false">
      <c r="A1868" s="8" t="n">
        <v>1867</v>
      </c>
      <c r="B1868" s="8" t="s">
        <v>62</v>
      </c>
      <c r="C1868" s="8" t="s">
        <v>10</v>
      </c>
      <c r="D1868" s="9" t="n">
        <v>44372</v>
      </c>
      <c r="E1868" s="9" t="str">
        <f aca="false">TEXT(D1868,"MMM")</f>
        <v>jun</v>
      </c>
      <c r="F1868" s="10" t="n">
        <v>170292.67</v>
      </c>
      <c r="G1868" s="8" t="s">
        <v>11</v>
      </c>
      <c r="H1868" s="8" t="s">
        <v>22</v>
      </c>
      <c r="I1868" s="11" t="s">
        <v>23</v>
      </c>
      <c r="J1868" s="8" t="s">
        <v>26</v>
      </c>
    </row>
    <row r="1869" customFormat="false" ht="14.25" hidden="false" customHeight="false" outlineLevel="0" collapsed="false">
      <c r="A1869" s="8" t="n">
        <v>1868</v>
      </c>
      <c r="B1869" s="8" t="s">
        <v>61</v>
      </c>
      <c r="C1869" s="8" t="s">
        <v>28</v>
      </c>
      <c r="D1869" s="9" t="n">
        <v>44372</v>
      </c>
      <c r="E1869" s="9" t="str">
        <f aca="false">TEXT(D1869,"MMM")</f>
        <v>jun</v>
      </c>
      <c r="F1869" s="10" t="n">
        <v>-7082.71</v>
      </c>
      <c r="G1869" s="8" t="s">
        <v>34</v>
      </c>
      <c r="H1869" s="8" t="s">
        <v>36</v>
      </c>
      <c r="I1869" s="11" t="s">
        <v>37</v>
      </c>
      <c r="J1869" s="8" t="s">
        <v>26</v>
      </c>
    </row>
    <row r="1870" customFormat="false" ht="14.25" hidden="false" customHeight="false" outlineLevel="0" collapsed="false">
      <c r="A1870" s="8" t="n">
        <v>1869</v>
      </c>
      <c r="B1870" s="8" t="s">
        <v>62</v>
      </c>
      <c r="C1870" s="8" t="s">
        <v>16</v>
      </c>
      <c r="D1870" s="9" t="n">
        <v>44372</v>
      </c>
      <c r="E1870" s="9" t="str">
        <f aca="false">TEXT(D1870,"MMM")</f>
        <v>jun</v>
      </c>
      <c r="F1870" s="10" t="n">
        <v>-3045.63</v>
      </c>
      <c r="G1870" s="8" t="s">
        <v>34</v>
      </c>
      <c r="H1870" s="8" t="s">
        <v>17</v>
      </c>
      <c r="I1870" s="11" t="s">
        <v>18</v>
      </c>
      <c r="J1870" s="8" t="s">
        <v>26</v>
      </c>
    </row>
    <row r="1871" customFormat="false" ht="14.25" hidden="false" customHeight="false" outlineLevel="0" collapsed="false">
      <c r="A1871" s="8" t="n">
        <v>1870</v>
      </c>
      <c r="B1871" s="8" t="s">
        <v>61</v>
      </c>
      <c r="C1871" s="8" t="s">
        <v>21</v>
      </c>
      <c r="D1871" s="9" t="n">
        <v>44372</v>
      </c>
      <c r="E1871" s="9" t="str">
        <f aca="false">TEXT(D1871,"MMM")</f>
        <v>jun</v>
      </c>
      <c r="F1871" s="10" t="n">
        <v>2110.13</v>
      </c>
      <c r="G1871" s="8" t="s">
        <v>11</v>
      </c>
      <c r="H1871" s="8" t="s">
        <v>17</v>
      </c>
      <c r="I1871" s="11" t="s">
        <v>18</v>
      </c>
      <c r="J1871" s="8" t="s">
        <v>14</v>
      </c>
    </row>
    <row r="1872" customFormat="false" ht="14.25" hidden="false" customHeight="false" outlineLevel="0" collapsed="false">
      <c r="A1872" s="8" t="n">
        <v>1871</v>
      </c>
      <c r="B1872" s="8" t="s">
        <v>62</v>
      </c>
      <c r="C1872" s="8" t="s">
        <v>28</v>
      </c>
      <c r="D1872" s="9" t="n">
        <v>44372</v>
      </c>
      <c r="E1872" s="9" t="str">
        <f aca="false">TEXT(D1872,"MMM")</f>
        <v>jun</v>
      </c>
      <c r="F1872" s="10" t="n">
        <v>-2188.41</v>
      </c>
      <c r="G1872" s="8" t="s">
        <v>34</v>
      </c>
      <c r="H1872" s="8" t="s">
        <v>17</v>
      </c>
      <c r="I1872" s="11" t="s">
        <v>18</v>
      </c>
      <c r="J1872" s="8" t="s">
        <v>14</v>
      </c>
    </row>
    <row r="1873" customFormat="false" ht="14.25" hidden="false" customHeight="false" outlineLevel="0" collapsed="false">
      <c r="A1873" s="8" t="n">
        <v>1872</v>
      </c>
      <c r="B1873" s="8" t="s">
        <v>61</v>
      </c>
      <c r="C1873" s="8" t="s">
        <v>16</v>
      </c>
      <c r="D1873" s="9" t="n">
        <v>44372</v>
      </c>
      <c r="E1873" s="9" t="str">
        <f aca="false">TEXT(D1873,"MMM")</f>
        <v>jun</v>
      </c>
      <c r="F1873" s="10" t="n">
        <v>-40383.35</v>
      </c>
      <c r="G1873" s="8" t="s">
        <v>34</v>
      </c>
      <c r="H1873" s="8" t="s">
        <v>12</v>
      </c>
      <c r="I1873" s="11" t="s">
        <v>13</v>
      </c>
      <c r="J1873" s="8" t="s">
        <v>14</v>
      </c>
    </row>
    <row r="1874" customFormat="false" ht="14.25" hidden="false" customHeight="false" outlineLevel="0" collapsed="false">
      <c r="A1874" s="8" t="n">
        <v>1873</v>
      </c>
      <c r="B1874" s="8" t="s">
        <v>62</v>
      </c>
      <c r="C1874" s="8" t="s">
        <v>21</v>
      </c>
      <c r="D1874" s="9" t="n">
        <v>44372</v>
      </c>
      <c r="E1874" s="9" t="str">
        <f aca="false">TEXT(D1874,"MMM")</f>
        <v>jun</v>
      </c>
      <c r="F1874" s="10" t="n">
        <v>-41889.75</v>
      </c>
      <c r="G1874" s="8" t="s">
        <v>34</v>
      </c>
      <c r="H1874" s="8" t="s">
        <v>22</v>
      </c>
      <c r="I1874" s="11" t="s">
        <v>23</v>
      </c>
      <c r="J1874" s="8" t="s">
        <v>24</v>
      </c>
    </row>
    <row r="1875" customFormat="false" ht="14.25" hidden="false" customHeight="false" outlineLevel="0" collapsed="false">
      <c r="A1875" s="8" t="n">
        <v>1874</v>
      </c>
      <c r="B1875" s="8" t="s">
        <v>101</v>
      </c>
      <c r="C1875" s="8" t="s">
        <v>10</v>
      </c>
      <c r="D1875" s="9" t="n">
        <v>44373</v>
      </c>
      <c r="E1875" s="9" t="str">
        <f aca="false">TEXT(D1875,"MMM")</f>
        <v>jun</v>
      </c>
      <c r="F1875" s="10" t="n">
        <v>-9328.38</v>
      </c>
      <c r="G1875" s="8" t="s">
        <v>34</v>
      </c>
      <c r="H1875" s="8" t="s">
        <v>22</v>
      </c>
      <c r="I1875" s="11" t="s">
        <v>23</v>
      </c>
      <c r="J1875" s="8" t="s">
        <v>24</v>
      </c>
    </row>
    <row r="1876" customFormat="false" ht="14.25" hidden="false" customHeight="false" outlineLevel="0" collapsed="false">
      <c r="A1876" s="8" t="n">
        <v>1875</v>
      </c>
      <c r="B1876" s="8" t="s">
        <v>165</v>
      </c>
      <c r="C1876" s="8" t="s">
        <v>21</v>
      </c>
      <c r="D1876" s="9" t="n">
        <v>44373</v>
      </c>
      <c r="E1876" s="9" t="str">
        <f aca="false">TEXT(D1876,"MMM")</f>
        <v>jun</v>
      </c>
      <c r="F1876" s="10" t="n">
        <v>139711.6</v>
      </c>
      <c r="G1876" s="8" t="s">
        <v>11</v>
      </c>
      <c r="H1876" s="8" t="s">
        <v>17</v>
      </c>
      <c r="I1876" s="11" t="s">
        <v>18</v>
      </c>
      <c r="J1876" s="8" t="s">
        <v>14</v>
      </c>
    </row>
    <row r="1877" customFormat="false" ht="14.25" hidden="false" customHeight="false" outlineLevel="0" collapsed="false">
      <c r="A1877" s="8" t="n">
        <v>1876</v>
      </c>
      <c r="B1877" s="8" t="s">
        <v>162</v>
      </c>
      <c r="C1877" s="8" t="s">
        <v>28</v>
      </c>
      <c r="D1877" s="9" t="n">
        <v>44373</v>
      </c>
      <c r="E1877" s="9" t="str">
        <f aca="false">TEXT(D1877,"MMM")</f>
        <v>jun</v>
      </c>
      <c r="F1877" s="10" t="n">
        <v>129254.79</v>
      </c>
      <c r="G1877" s="8" t="s">
        <v>11</v>
      </c>
      <c r="H1877" s="8" t="s">
        <v>17</v>
      </c>
      <c r="I1877" s="11" t="s">
        <v>18</v>
      </c>
      <c r="J1877" s="8" t="s">
        <v>14</v>
      </c>
    </row>
    <row r="1878" customFormat="false" ht="14.25" hidden="false" customHeight="false" outlineLevel="0" collapsed="false">
      <c r="A1878" s="8" t="n">
        <v>1877</v>
      </c>
      <c r="B1878" s="8" t="s">
        <v>171</v>
      </c>
      <c r="C1878" s="8" t="s">
        <v>21</v>
      </c>
      <c r="D1878" s="9" t="n">
        <v>44373</v>
      </c>
      <c r="E1878" s="9" t="str">
        <f aca="false">TEXT(D1878,"MMM")</f>
        <v>jun</v>
      </c>
      <c r="F1878" s="10" t="n">
        <v>11456.64</v>
      </c>
      <c r="G1878" s="8" t="s">
        <v>11</v>
      </c>
      <c r="H1878" s="8" t="s">
        <v>22</v>
      </c>
      <c r="I1878" s="11" t="s">
        <v>23</v>
      </c>
      <c r="J1878" s="8" t="s">
        <v>14</v>
      </c>
    </row>
    <row r="1879" customFormat="false" ht="14.25" hidden="false" customHeight="false" outlineLevel="0" collapsed="false">
      <c r="A1879" s="8" t="n">
        <v>1878</v>
      </c>
      <c r="B1879" s="8" t="s">
        <v>73</v>
      </c>
      <c r="C1879" s="8" t="s">
        <v>10</v>
      </c>
      <c r="D1879" s="9" t="n">
        <v>44374</v>
      </c>
      <c r="E1879" s="9" t="str">
        <f aca="false">TEXT(D1879,"MMM")</f>
        <v>jun</v>
      </c>
      <c r="F1879" s="10" t="n">
        <v>11456.64</v>
      </c>
      <c r="G1879" s="8" t="s">
        <v>11</v>
      </c>
      <c r="H1879" s="8" t="s">
        <v>36</v>
      </c>
      <c r="I1879" s="11" t="s">
        <v>37</v>
      </c>
      <c r="J1879" s="8" t="s">
        <v>26</v>
      </c>
    </row>
    <row r="1880" customFormat="false" ht="14.25" hidden="false" customHeight="false" outlineLevel="0" collapsed="false">
      <c r="A1880" s="8" t="n">
        <v>1879</v>
      </c>
      <c r="B1880" s="8" t="s">
        <v>73</v>
      </c>
      <c r="C1880" s="8" t="s">
        <v>21</v>
      </c>
      <c r="D1880" s="9" t="n">
        <v>44374</v>
      </c>
      <c r="E1880" s="9" t="str">
        <f aca="false">TEXT(D1880,"MMM")</f>
        <v>jun</v>
      </c>
      <c r="F1880" s="10" t="n">
        <v>11456.64</v>
      </c>
      <c r="G1880" s="8" t="s">
        <v>11</v>
      </c>
      <c r="H1880" s="8" t="s">
        <v>17</v>
      </c>
      <c r="I1880" s="11" t="s">
        <v>18</v>
      </c>
      <c r="J1880" s="8" t="s">
        <v>26</v>
      </c>
    </row>
    <row r="1881" customFormat="false" ht="14.25" hidden="false" customHeight="false" outlineLevel="0" collapsed="false">
      <c r="A1881" s="8" t="n">
        <v>1880</v>
      </c>
      <c r="B1881" s="8" t="s">
        <v>39</v>
      </c>
      <c r="C1881" s="8" t="s">
        <v>21</v>
      </c>
      <c r="D1881" s="9" t="n">
        <v>44374</v>
      </c>
      <c r="E1881" s="9" t="str">
        <f aca="false">TEXT(D1881,"MMM")</f>
        <v>jun</v>
      </c>
      <c r="F1881" s="10" t="n">
        <v>11456.64</v>
      </c>
      <c r="G1881" s="8" t="s">
        <v>11</v>
      </c>
      <c r="H1881" s="8" t="s">
        <v>36</v>
      </c>
      <c r="I1881" s="11" t="s">
        <v>37</v>
      </c>
      <c r="J1881" s="8" t="s">
        <v>19</v>
      </c>
    </row>
    <row r="1882" customFormat="false" ht="14.25" hidden="false" customHeight="false" outlineLevel="0" collapsed="false">
      <c r="A1882" s="8" t="n">
        <v>1881</v>
      </c>
      <c r="B1882" s="8" t="s">
        <v>39</v>
      </c>
      <c r="C1882" s="8" t="s">
        <v>16</v>
      </c>
      <c r="D1882" s="9" t="n">
        <v>44374</v>
      </c>
      <c r="E1882" s="9" t="str">
        <f aca="false">TEXT(D1882,"MMM")</f>
        <v>jun</v>
      </c>
      <c r="F1882" s="10" t="n">
        <v>11456.64</v>
      </c>
      <c r="G1882" s="8" t="s">
        <v>11</v>
      </c>
      <c r="H1882" s="8" t="s">
        <v>12</v>
      </c>
      <c r="I1882" s="11" t="s">
        <v>13</v>
      </c>
      <c r="J1882" s="8" t="s">
        <v>26</v>
      </c>
    </row>
    <row r="1883" customFormat="false" ht="14.25" hidden="false" customHeight="false" outlineLevel="0" collapsed="false">
      <c r="A1883" s="8" t="n">
        <v>1882</v>
      </c>
      <c r="B1883" s="8" t="s">
        <v>73</v>
      </c>
      <c r="C1883" s="8" t="s">
        <v>16</v>
      </c>
      <c r="D1883" s="9" t="n">
        <v>44374</v>
      </c>
      <c r="E1883" s="9" t="str">
        <f aca="false">TEXT(D1883,"MMM")</f>
        <v>jun</v>
      </c>
      <c r="F1883" s="10" t="n">
        <v>-17940.2</v>
      </c>
      <c r="G1883" s="8" t="s">
        <v>34</v>
      </c>
      <c r="H1883" s="8" t="s">
        <v>22</v>
      </c>
      <c r="I1883" s="11" t="s">
        <v>23</v>
      </c>
      <c r="J1883" s="8" t="s">
        <v>24</v>
      </c>
    </row>
    <row r="1884" customFormat="false" ht="14.25" hidden="false" customHeight="false" outlineLevel="0" collapsed="false">
      <c r="A1884" s="8" t="n">
        <v>1883</v>
      </c>
      <c r="B1884" s="8" t="s">
        <v>207</v>
      </c>
      <c r="C1884" s="8" t="s">
        <v>21</v>
      </c>
      <c r="D1884" s="9" t="n">
        <v>44375</v>
      </c>
      <c r="E1884" s="9" t="str">
        <f aca="false">TEXT(D1884,"MMM")</f>
        <v>jun</v>
      </c>
      <c r="F1884" s="10" t="n">
        <v>-5894.49</v>
      </c>
      <c r="G1884" s="8" t="s">
        <v>34</v>
      </c>
      <c r="H1884" s="8" t="s">
        <v>30</v>
      </c>
      <c r="I1884" s="11" t="s">
        <v>31</v>
      </c>
      <c r="J1884" s="8" t="s">
        <v>14</v>
      </c>
    </row>
    <row r="1885" customFormat="false" ht="14.25" hidden="false" customHeight="false" outlineLevel="0" collapsed="false">
      <c r="A1885" s="8" t="n">
        <v>1884</v>
      </c>
      <c r="B1885" s="8" t="s">
        <v>49</v>
      </c>
      <c r="C1885" s="8" t="s">
        <v>21</v>
      </c>
      <c r="D1885" s="9" t="n">
        <v>44375</v>
      </c>
      <c r="E1885" s="9" t="str">
        <f aca="false">TEXT(D1885,"MMM")</f>
        <v>jun</v>
      </c>
      <c r="F1885" s="10" t="n">
        <v>-7508.1</v>
      </c>
      <c r="G1885" s="8" t="s">
        <v>34</v>
      </c>
      <c r="H1885" s="8" t="s">
        <v>17</v>
      </c>
      <c r="I1885" s="11" t="s">
        <v>18</v>
      </c>
      <c r="J1885" s="8" t="s">
        <v>26</v>
      </c>
    </row>
    <row r="1886" customFormat="false" ht="14.25" hidden="false" customHeight="false" outlineLevel="0" collapsed="false">
      <c r="A1886" s="8" t="n">
        <v>1885</v>
      </c>
      <c r="B1886" s="8" t="s">
        <v>174</v>
      </c>
      <c r="C1886" s="8" t="s">
        <v>28</v>
      </c>
      <c r="D1886" s="9" t="n">
        <v>44376</v>
      </c>
      <c r="E1886" s="9" t="str">
        <f aca="false">TEXT(D1886,"MMM")</f>
        <v>jun</v>
      </c>
      <c r="F1886" s="10" t="n">
        <v>-72160.62</v>
      </c>
      <c r="G1886" s="8" t="s">
        <v>34</v>
      </c>
      <c r="H1886" s="8" t="s">
        <v>12</v>
      </c>
      <c r="I1886" s="11" t="s">
        <v>13</v>
      </c>
      <c r="J1886" s="8" t="s">
        <v>26</v>
      </c>
    </row>
    <row r="1887" customFormat="false" ht="14.25" hidden="false" customHeight="false" outlineLevel="0" collapsed="false">
      <c r="A1887" s="8" t="n">
        <v>1886</v>
      </c>
      <c r="B1887" s="8" t="s">
        <v>190</v>
      </c>
      <c r="C1887" s="8" t="s">
        <v>10</v>
      </c>
      <c r="D1887" s="9" t="n">
        <v>44376</v>
      </c>
      <c r="E1887" s="9" t="str">
        <f aca="false">TEXT(D1887,"MMM")</f>
        <v>jun</v>
      </c>
      <c r="F1887" s="10" t="n">
        <v>-13990.1</v>
      </c>
      <c r="G1887" s="8" t="s">
        <v>34</v>
      </c>
      <c r="H1887" s="8" t="s">
        <v>12</v>
      </c>
      <c r="I1887" s="11" t="s">
        <v>13</v>
      </c>
      <c r="J1887" s="8" t="s">
        <v>26</v>
      </c>
    </row>
    <row r="1888" customFormat="false" ht="14.25" hidden="false" customHeight="false" outlineLevel="0" collapsed="false">
      <c r="A1888" s="8" t="n">
        <v>1887</v>
      </c>
      <c r="B1888" s="8" t="s">
        <v>190</v>
      </c>
      <c r="C1888" s="8" t="s">
        <v>28</v>
      </c>
      <c r="D1888" s="9" t="n">
        <v>44376</v>
      </c>
      <c r="E1888" s="9" t="str">
        <f aca="false">TEXT(D1888,"MMM")</f>
        <v>jun</v>
      </c>
      <c r="F1888" s="10" t="n">
        <v>-9288.44</v>
      </c>
      <c r="G1888" s="8" t="s">
        <v>34</v>
      </c>
      <c r="H1888" s="8" t="s">
        <v>12</v>
      </c>
      <c r="I1888" s="11" t="s">
        <v>13</v>
      </c>
      <c r="J1888" s="8" t="s">
        <v>14</v>
      </c>
    </row>
    <row r="1889" customFormat="false" ht="14.25" hidden="false" customHeight="false" outlineLevel="0" collapsed="false">
      <c r="A1889" s="8" t="n">
        <v>1888</v>
      </c>
      <c r="B1889" s="8" t="s">
        <v>208</v>
      </c>
      <c r="C1889" s="8" t="s">
        <v>10</v>
      </c>
      <c r="D1889" s="9" t="n">
        <v>44376</v>
      </c>
      <c r="E1889" s="9" t="str">
        <f aca="false">TEXT(D1889,"MMM")</f>
        <v>jun</v>
      </c>
      <c r="F1889" s="10" t="n">
        <v>-29824.55</v>
      </c>
      <c r="G1889" s="8" t="s">
        <v>34</v>
      </c>
      <c r="H1889" s="8" t="s">
        <v>17</v>
      </c>
      <c r="I1889" s="11" t="s">
        <v>18</v>
      </c>
      <c r="J1889" s="8" t="s">
        <v>19</v>
      </c>
    </row>
    <row r="1890" customFormat="false" ht="14.25" hidden="false" customHeight="false" outlineLevel="0" collapsed="false">
      <c r="A1890" s="8" t="n">
        <v>1889</v>
      </c>
      <c r="B1890" s="8" t="s">
        <v>9</v>
      </c>
      <c r="C1890" s="8" t="s">
        <v>28</v>
      </c>
      <c r="D1890" s="9" t="n">
        <v>44376</v>
      </c>
      <c r="E1890" s="9" t="str">
        <f aca="false">TEXT(D1890,"MMM")</f>
        <v>jun</v>
      </c>
      <c r="F1890" s="10" t="n">
        <v>-4875.75</v>
      </c>
      <c r="G1890" s="8" t="s">
        <v>34</v>
      </c>
      <c r="H1890" s="8" t="s">
        <v>12</v>
      </c>
      <c r="I1890" s="11" t="s">
        <v>13</v>
      </c>
      <c r="J1890" s="8" t="s">
        <v>24</v>
      </c>
    </row>
    <row r="1891" customFormat="false" ht="14.25" hidden="false" customHeight="false" outlineLevel="0" collapsed="false">
      <c r="A1891" s="8" t="n">
        <v>1890</v>
      </c>
      <c r="B1891" s="8" t="s">
        <v>20</v>
      </c>
      <c r="C1891" s="8" t="s">
        <v>16</v>
      </c>
      <c r="D1891" s="9" t="n">
        <v>44376</v>
      </c>
      <c r="E1891" s="9" t="str">
        <f aca="false">TEXT(D1891,"MMM")</f>
        <v>jun</v>
      </c>
      <c r="F1891" s="10" t="n">
        <v>-21279.62</v>
      </c>
      <c r="G1891" s="8" t="s">
        <v>34</v>
      </c>
      <c r="H1891" s="8" t="s">
        <v>17</v>
      </c>
      <c r="I1891" s="11" t="s">
        <v>18</v>
      </c>
      <c r="J1891" s="8" t="s">
        <v>14</v>
      </c>
    </row>
    <row r="1892" customFormat="false" ht="14.25" hidden="false" customHeight="false" outlineLevel="0" collapsed="false">
      <c r="A1892" s="8" t="n">
        <v>1891</v>
      </c>
      <c r="B1892" s="8" t="s">
        <v>20</v>
      </c>
      <c r="C1892" s="8" t="s">
        <v>21</v>
      </c>
      <c r="D1892" s="9" t="n">
        <v>44376</v>
      </c>
      <c r="E1892" s="9" t="str">
        <f aca="false">TEXT(D1892,"MMM")</f>
        <v>jun</v>
      </c>
      <c r="F1892" s="10" t="n">
        <v>-4800.15</v>
      </c>
      <c r="G1892" s="8" t="s">
        <v>34</v>
      </c>
      <c r="H1892" s="8" t="s">
        <v>17</v>
      </c>
      <c r="I1892" s="11" t="s">
        <v>18</v>
      </c>
      <c r="J1892" s="8" t="s">
        <v>26</v>
      </c>
    </row>
    <row r="1893" customFormat="false" ht="14.25" hidden="false" customHeight="false" outlineLevel="0" collapsed="false">
      <c r="A1893" s="8" t="n">
        <v>1892</v>
      </c>
      <c r="B1893" s="8" t="s">
        <v>20</v>
      </c>
      <c r="C1893" s="8" t="s">
        <v>16</v>
      </c>
      <c r="D1893" s="9" t="n">
        <v>44376</v>
      </c>
      <c r="E1893" s="9" t="str">
        <f aca="false">TEXT(D1893,"MMM")</f>
        <v>jun</v>
      </c>
      <c r="F1893" s="10" t="n">
        <v>-1749.27</v>
      </c>
      <c r="G1893" s="8" t="s">
        <v>34</v>
      </c>
      <c r="H1893" s="8" t="s">
        <v>17</v>
      </c>
      <c r="I1893" s="11" t="s">
        <v>18</v>
      </c>
      <c r="J1893" s="8" t="s">
        <v>26</v>
      </c>
    </row>
    <row r="1894" customFormat="false" ht="14.25" hidden="false" customHeight="false" outlineLevel="0" collapsed="false">
      <c r="A1894" s="8" t="n">
        <v>1893</v>
      </c>
      <c r="B1894" s="8" t="s">
        <v>20</v>
      </c>
      <c r="C1894" s="8" t="s">
        <v>10</v>
      </c>
      <c r="D1894" s="9" t="n">
        <v>44376</v>
      </c>
      <c r="E1894" s="9" t="str">
        <f aca="false">TEXT(D1894,"MMM")</f>
        <v>jun</v>
      </c>
      <c r="F1894" s="10" t="n">
        <v>-1299.1</v>
      </c>
      <c r="G1894" s="8" t="s">
        <v>34</v>
      </c>
      <c r="H1894" s="8" t="s">
        <v>12</v>
      </c>
      <c r="I1894" s="11" t="s">
        <v>13</v>
      </c>
      <c r="J1894" s="8" t="s">
        <v>14</v>
      </c>
    </row>
    <row r="1895" customFormat="false" ht="14.25" hidden="false" customHeight="false" outlineLevel="0" collapsed="false">
      <c r="A1895" s="8" t="n">
        <v>1894</v>
      </c>
      <c r="B1895" s="8" t="s">
        <v>15</v>
      </c>
      <c r="C1895" s="8" t="s">
        <v>10</v>
      </c>
      <c r="D1895" s="9" t="n">
        <v>44377</v>
      </c>
      <c r="E1895" s="9" t="str">
        <f aca="false">TEXT(D1895,"MMM")</f>
        <v>jun</v>
      </c>
      <c r="F1895" s="10" t="n">
        <v>-7831.85</v>
      </c>
      <c r="G1895" s="8" t="s">
        <v>34</v>
      </c>
      <c r="H1895" s="8" t="s">
        <v>12</v>
      </c>
      <c r="I1895" s="11" t="s">
        <v>13</v>
      </c>
      <c r="J1895" s="8" t="s">
        <v>26</v>
      </c>
    </row>
    <row r="1896" customFormat="false" ht="14.25" hidden="false" customHeight="false" outlineLevel="0" collapsed="false">
      <c r="A1896" s="8" t="n">
        <v>1895</v>
      </c>
      <c r="B1896" s="8" t="s">
        <v>51</v>
      </c>
      <c r="C1896" s="8" t="s">
        <v>10</v>
      </c>
      <c r="D1896" s="9" t="n">
        <v>44377</v>
      </c>
      <c r="E1896" s="9" t="str">
        <f aca="false">TEXT(D1896,"MMM")</f>
        <v>jun</v>
      </c>
      <c r="F1896" s="10" t="n">
        <v>-27154.12</v>
      </c>
      <c r="G1896" s="8" t="s">
        <v>34</v>
      </c>
      <c r="H1896" s="8" t="s">
        <v>17</v>
      </c>
      <c r="I1896" s="11" t="s">
        <v>18</v>
      </c>
      <c r="J1896" s="8" t="s">
        <v>14</v>
      </c>
    </row>
    <row r="1897" customFormat="false" ht="14.25" hidden="false" customHeight="false" outlineLevel="0" collapsed="false">
      <c r="A1897" s="8" t="n">
        <v>1896</v>
      </c>
      <c r="B1897" s="8" t="s">
        <v>51</v>
      </c>
      <c r="C1897" s="8" t="s">
        <v>10</v>
      </c>
      <c r="D1897" s="9" t="n">
        <v>44377</v>
      </c>
      <c r="E1897" s="9" t="str">
        <f aca="false">TEXT(D1897,"MMM")</f>
        <v>jun</v>
      </c>
      <c r="F1897" s="10" t="n">
        <v>-1682.14</v>
      </c>
      <c r="G1897" s="8" t="s">
        <v>34</v>
      </c>
      <c r="H1897" s="8" t="s">
        <v>36</v>
      </c>
      <c r="I1897" s="11" t="s">
        <v>37</v>
      </c>
      <c r="J1897" s="8" t="s">
        <v>14</v>
      </c>
    </row>
    <row r="1898" customFormat="false" ht="14.25" hidden="false" customHeight="false" outlineLevel="0" collapsed="false">
      <c r="A1898" s="8" t="n">
        <v>1897</v>
      </c>
      <c r="B1898" s="8" t="s">
        <v>15</v>
      </c>
      <c r="C1898" s="8" t="s">
        <v>21</v>
      </c>
      <c r="D1898" s="9" t="n">
        <v>44377</v>
      </c>
      <c r="E1898" s="9" t="str">
        <f aca="false">TEXT(D1898,"MMM")</f>
        <v>jun</v>
      </c>
      <c r="F1898" s="10" t="n">
        <v>8648.87</v>
      </c>
      <c r="G1898" s="8" t="s">
        <v>11</v>
      </c>
      <c r="H1898" s="8" t="s">
        <v>22</v>
      </c>
      <c r="I1898" s="11" t="s">
        <v>23</v>
      </c>
      <c r="J1898" s="8" t="s">
        <v>19</v>
      </c>
    </row>
    <row r="1899" customFormat="false" ht="14.25" hidden="false" customHeight="false" outlineLevel="0" collapsed="false">
      <c r="A1899" s="8" t="n">
        <v>1898</v>
      </c>
      <c r="B1899" s="8" t="s">
        <v>136</v>
      </c>
      <c r="C1899" s="8" t="s">
        <v>21</v>
      </c>
      <c r="D1899" s="9" t="n">
        <v>44377</v>
      </c>
      <c r="E1899" s="9" t="str">
        <f aca="false">TEXT(D1899,"MMM")</f>
        <v>jun</v>
      </c>
      <c r="F1899" s="10" t="n">
        <v>8563.24</v>
      </c>
      <c r="G1899" s="8" t="s">
        <v>11</v>
      </c>
      <c r="H1899" s="8" t="s">
        <v>36</v>
      </c>
      <c r="I1899" s="11" t="s">
        <v>37</v>
      </c>
      <c r="J1899" s="8" t="s">
        <v>26</v>
      </c>
    </row>
    <row r="1900" customFormat="false" ht="14.25" hidden="false" customHeight="false" outlineLevel="0" collapsed="false">
      <c r="A1900" s="8" t="n">
        <v>1899</v>
      </c>
      <c r="B1900" s="8" t="s">
        <v>15</v>
      </c>
      <c r="C1900" s="8" t="s">
        <v>21</v>
      </c>
      <c r="D1900" s="9" t="n">
        <v>44377</v>
      </c>
      <c r="E1900" s="9" t="str">
        <f aca="false">TEXT(D1900,"MMM")</f>
        <v>jun</v>
      </c>
      <c r="F1900" s="10" t="n">
        <v>9640.94</v>
      </c>
      <c r="G1900" s="8" t="s">
        <v>11</v>
      </c>
      <c r="H1900" s="8" t="s">
        <v>12</v>
      </c>
      <c r="I1900" s="11" t="s">
        <v>13</v>
      </c>
      <c r="J1900" s="8" t="s">
        <v>19</v>
      </c>
    </row>
    <row r="1901" customFormat="false" ht="14.25" hidden="false" customHeight="false" outlineLevel="0" collapsed="false">
      <c r="A1901" s="8" t="n">
        <v>1900</v>
      </c>
      <c r="B1901" s="8" t="s">
        <v>136</v>
      </c>
      <c r="C1901" s="8" t="s">
        <v>21</v>
      </c>
      <c r="D1901" s="9" t="n">
        <v>44377</v>
      </c>
      <c r="E1901" s="9" t="str">
        <f aca="false">TEXT(D1901,"MMM")</f>
        <v>jun</v>
      </c>
      <c r="F1901" s="10" t="n">
        <v>165124.92</v>
      </c>
      <c r="G1901" s="8" t="s">
        <v>11</v>
      </c>
      <c r="H1901" s="8" t="s">
        <v>17</v>
      </c>
      <c r="I1901" s="11" t="s">
        <v>18</v>
      </c>
      <c r="J1901" s="8" t="s">
        <v>26</v>
      </c>
    </row>
    <row r="1902" customFormat="false" ht="14.25" hidden="false" customHeight="false" outlineLevel="0" collapsed="false">
      <c r="A1902" s="8" t="n">
        <v>1901</v>
      </c>
      <c r="B1902" s="8" t="s">
        <v>136</v>
      </c>
      <c r="C1902" s="8" t="s">
        <v>10</v>
      </c>
      <c r="D1902" s="9" t="n">
        <v>44377</v>
      </c>
      <c r="E1902" s="9" t="str">
        <f aca="false">TEXT(D1902,"MMM")</f>
        <v>jun</v>
      </c>
      <c r="F1902" s="10" t="n">
        <v>8052.94</v>
      </c>
      <c r="G1902" s="8" t="s">
        <v>11</v>
      </c>
      <c r="H1902" s="8" t="s">
        <v>12</v>
      </c>
      <c r="I1902" s="11" t="s">
        <v>13</v>
      </c>
      <c r="J1902" s="8" t="s">
        <v>19</v>
      </c>
    </row>
    <row r="1903" customFormat="false" ht="14.25" hidden="false" customHeight="false" outlineLevel="0" collapsed="false">
      <c r="A1903" s="8" t="n">
        <v>1902</v>
      </c>
      <c r="B1903" s="8" t="s">
        <v>136</v>
      </c>
      <c r="C1903" s="8" t="s">
        <v>16</v>
      </c>
      <c r="D1903" s="9" t="n">
        <v>44377</v>
      </c>
      <c r="E1903" s="9" t="str">
        <f aca="false">TEXT(D1903,"MMM")</f>
        <v>jun</v>
      </c>
      <c r="F1903" s="10" t="n">
        <v>9172.94</v>
      </c>
      <c r="G1903" s="8" t="s">
        <v>11</v>
      </c>
      <c r="H1903" s="8" t="s">
        <v>22</v>
      </c>
      <c r="I1903" s="11" t="s">
        <v>23</v>
      </c>
      <c r="J1903" s="8" t="s">
        <v>24</v>
      </c>
    </row>
    <row r="1904" customFormat="false" ht="14.25" hidden="false" customHeight="false" outlineLevel="0" collapsed="false">
      <c r="A1904" s="8" t="n">
        <v>1903</v>
      </c>
      <c r="B1904" s="8" t="s">
        <v>136</v>
      </c>
      <c r="C1904" s="8" t="s">
        <v>21</v>
      </c>
      <c r="D1904" s="9" t="n">
        <v>44377</v>
      </c>
      <c r="E1904" s="9" t="str">
        <f aca="false">TEXT(D1904,"MMM")</f>
        <v>jun</v>
      </c>
      <c r="F1904" s="10" t="n">
        <v>704.59</v>
      </c>
      <c r="G1904" s="8" t="s">
        <v>11</v>
      </c>
      <c r="H1904" s="8" t="s">
        <v>17</v>
      </c>
      <c r="I1904" s="11" t="s">
        <v>18</v>
      </c>
      <c r="J1904" s="8" t="s">
        <v>26</v>
      </c>
    </row>
    <row r="1905" customFormat="false" ht="14.25" hidden="false" customHeight="false" outlineLevel="0" collapsed="false">
      <c r="A1905" s="8" t="n">
        <v>1904</v>
      </c>
      <c r="B1905" s="8" t="s">
        <v>160</v>
      </c>
      <c r="C1905" s="8" t="s">
        <v>10</v>
      </c>
      <c r="D1905" s="9" t="n">
        <v>44379</v>
      </c>
      <c r="E1905" s="9" t="str">
        <f aca="false">TEXT(D1905,"MMM")</f>
        <v>jul</v>
      </c>
      <c r="F1905" s="10" t="n">
        <v>8330</v>
      </c>
      <c r="G1905" s="8" t="s">
        <v>11</v>
      </c>
      <c r="H1905" s="8" t="s">
        <v>12</v>
      </c>
      <c r="I1905" s="11" t="s">
        <v>13</v>
      </c>
      <c r="J1905" s="8" t="s">
        <v>26</v>
      </c>
    </row>
    <row r="1906" customFormat="false" ht="14.25" hidden="false" customHeight="false" outlineLevel="0" collapsed="false">
      <c r="A1906" s="8" t="n">
        <v>1905</v>
      </c>
      <c r="B1906" s="8" t="s">
        <v>165</v>
      </c>
      <c r="C1906" s="8" t="s">
        <v>10</v>
      </c>
      <c r="D1906" s="9" t="n">
        <v>44379</v>
      </c>
      <c r="E1906" s="9" t="str">
        <f aca="false">TEXT(D1906,"MMM")</f>
        <v>jul</v>
      </c>
      <c r="F1906" s="10" t="n">
        <v>144796.25</v>
      </c>
      <c r="G1906" s="8" t="s">
        <v>11</v>
      </c>
      <c r="H1906" s="8" t="s">
        <v>22</v>
      </c>
      <c r="I1906" s="11" t="s">
        <v>23</v>
      </c>
      <c r="J1906" s="8" t="s">
        <v>14</v>
      </c>
    </row>
    <row r="1907" customFormat="false" ht="14.25" hidden="false" customHeight="false" outlineLevel="0" collapsed="false">
      <c r="A1907" s="8" t="n">
        <v>1906</v>
      </c>
      <c r="B1907" s="8" t="s">
        <v>190</v>
      </c>
      <c r="C1907" s="8" t="s">
        <v>16</v>
      </c>
      <c r="D1907" s="9" t="n">
        <v>44379</v>
      </c>
      <c r="E1907" s="9" t="str">
        <f aca="false">TEXT(D1907,"MMM")</f>
        <v>jul</v>
      </c>
      <c r="F1907" s="10" t="n">
        <v>8330</v>
      </c>
      <c r="G1907" s="8" t="s">
        <v>11</v>
      </c>
      <c r="H1907" s="8" t="s">
        <v>12</v>
      </c>
      <c r="I1907" s="11" t="s">
        <v>13</v>
      </c>
      <c r="J1907" s="8" t="s">
        <v>26</v>
      </c>
    </row>
    <row r="1908" customFormat="false" ht="14.25" hidden="false" customHeight="false" outlineLevel="0" collapsed="false">
      <c r="A1908" s="8" t="n">
        <v>1907</v>
      </c>
      <c r="B1908" s="8" t="s">
        <v>209</v>
      </c>
      <c r="C1908" s="8" t="s">
        <v>28</v>
      </c>
      <c r="D1908" s="9" t="n">
        <v>44379</v>
      </c>
      <c r="E1908" s="9" t="str">
        <f aca="false">TEXT(D1908,"MMM")</f>
        <v>jul</v>
      </c>
      <c r="F1908" s="10" t="n">
        <v>8330</v>
      </c>
      <c r="G1908" s="8" t="s">
        <v>11</v>
      </c>
      <c r="H1908" s="8" t="s">
        <v>30</v>
      </c>
      <c r="I1908" s="11" t="s">
        <v>31</v>
      </c>
      <c r="J1908" s="8" t="s">
        <v>19</v>
      </c>
    </row>
    <row r="1909" customFormat="false" ht="14.25" hidden="false" customHeight="false" outlineLevel="0" collapsed="false">
      <c r="A1909" s="8" t="n">
        <v>1908</v>
      </c>
      <c r="B1909" s="8" t="s">
        <v>210</v>
      </c>
      <c r="C1909" s="8" t="s">
        <v>10</v>
      </c>
      <c r="D1909" s="9" t="n">
        <v>44380</v>
      </c>
      <c r="E1909" s="9" t="str">
        <f aca="false">TEXT(D1909,"MMM")</f>
        <v>jul</v>
      </c>
      <c r="F1909" s="10" t="n">
        <v>8330</v>
      </c>
      <c r="G1909" s="8" t="s">
        <v>11</v>
      </c>
      <c r="H1909" s="8" t="s">
        <v>12</v>
      </c>
      <c r="I1909" s="11" t="s">
        <v>13</v>
      </c>
      <c r="J1909" s="8" t="s">
        <v>14</v>
      </c>
    </row>
    <row r="1910" customFormat="false" ht="14.25" hidden="false" customHeight="false" outlineLevel="0" collapsed="false">
      <c r="A1910" s="8" t="n">
        <v>1909</v>
      </c>
      <c r="B1910" s="8" t="s">
        <v>172</v>
      </c>
      <c r="C1910" s="8" t="s">
        <v>10</v>
      </c>
      <c r="D1910" s="9" t="n">
        <v>44380</v>
      </c>
      <c r="E1910" s="9" t="str">
        <f aca="false">TEXT(D1910,"MMM")</f>
        <v>jul</v>
      </c>
      <c r="F1910" s="10" t="n">
        <v>8330</v>
      </c>
      <c r="G1910" s="8" t="s">
        <v>11</v>
      </c>
      <c r="H1910" s="8" t="s">
        <v>30</v>
      </c>
      <c r="I1910" s="11" t="s">
        <v>31</v>
      </c>
      <c r="J1910" s="8" t="s">
        <v>26</v>
      </c>
    </row>
    <row r="1911" customFormat="false" ht="14.25" hidden="false" customHeight="false" outlineLevel="0" collapsed="false">
      <c r="A1911" s="8" t="n">
        <v>1910</v>
      </c>
      <c r="B1911" s="8" t="s">
        <v>173</v>
      </c>
      <c r="C1911" s="8" t="s">
        <v>16</v>
      </c>
      <c r="D1911" s="9" t="n">
        <v>44380</v>
      </c>
      <c r="E1911" s="9" t="str">
        <f aca="false">TEXT(D1911,"MMM")</f>
        <v>jul</v>
      </c>
      <c r="F1911" s="10" t="n">
        <v>-52571.37</v>
      </c>
      <c r="G1911" s="8" t="s">
        <v>34</v>
      </c>
      <c r="H1911" s="8" t="s">
        <v>17</v>
      </c>
      <c r="I1911" s="11" t="s">
        <v>18</v>
      </c>
      <c r="J1911" s="8" t="s">
        <v>14</v>
      </c>
    </row>
    <row r="1912" customFormat="false" ht="14.25" hidden="false" customHeight="false" outlineLevel="0" collapsed="false">
      <c r="A1912" s="8" t="n">
        <v>1911</v>
      </c>
      <c r="B1912" s="8" t="s">
        <v>182</v>
      </c>
      <c r="C1912" s="8" t="s">
        <v>10</v>
      </c>
      <c r="D1912" s="9" t="n">
        <v>44380</v>
      </c>
      <c r="E1912" s="9" t="str">
        <f aca="false">TEXT(D1912,"MMM")</f>
        <v>jul</v>
      </c>
      <c r="F1912" s="10" t="n">
        <v>-11858.88</v>
      </c>
      <c r="G1912" s="8" t="s">
        <v>34</v>
      </c>
      <c r="H1912" s="8" t="s">
        <v>17</v>
      </c>
      <c r="I1912" s="11" t="s">
        <v>18</v>
      </c>
      <c r="J1912" s="8" t="s">
        <v>14</v>
      </c>
    </row>
    <row r="1913" customFormat="false" ht="14.25" hidden="false" customHeight="false" outlineLevel="0" collapsed="false">
      <c r="A1913" s="8" t="n">
        <v>1912</v>
      </c>
      <c r="B1913" s="8" t="s">
        <v>154</v>
      </c>
      <c r="C1913" s="8" t="s">
        <v>10</v>
      </c>
      <c r="D1913" s="9" t="n">
        <v>44380</v>
      </c>
      <c r="E1913" s="9" t="str">
        <f aca="false">TEXT(D1913,"MMM")</f>
        <v>jul</v>
      </c>
      <c r="F1913" s="10" t="n">
        <v>-30050.97</v>
      </c>
      <c r="G1913" s="8" t="s">
        <v>34</v>
      </c>
      <c r="H1913" s="8" t="s">
        <v>17</v>
      </c>
      <c r="I1913" s="11" t="s">
        <v>18</v>
      </c>
      <c r="J1913" s="8" t="s">
        <v>26</v>
      </c>
    </row>
    <row r="1914" customFormat="false" ht="14.25" hidden="false" customHeight="false" outlineLevel="0" collapsed="false">
      <c r="A1914" s="8" t="n">
        <v>1913</v>
      </c>
      <c r="B1914" s="8" t="s">
        <v>161</v>
      </c>
      <c r="C1914" s="8" t="s">
        <v>28</v>
      </c>
      <c r="D1914" s="9" t="n">
        <v>44380</v>
      </c>
      <c r="E1914" s="9" t="str">
        <f aca="false">TEXT(D1914,"MMM")</f>
        <v>jul</v>
      </c>
      <c r="F1914" s="10" t="n">
        <v>-32881</v>
      </c>
      <c r="G1914" s="8" t="s">
        <v>34</v>
      </c>
      <c r="H1914" s="8" t="s">
        <v>17</v>
      </c>
      <c r="I1914" s="11" t="s">
        <v>18</v>
      </c>
      <c r="J1914" s="8" t="s">
        <v>26</v>
      </c>
    </row>
    <row r="1915" customFormat="false" ht="14.25" hidden="false" customHeight="false" outlineLevel="0" collapsed="false">
      <c r="A1915" s="8" t="n">
        <v>1914</v>
      </c>
      <c r="B1915" s="8" t="s">
        <v>178</v>
      </c>
      <c r="C1915" s="8" t="s">
        <v>16</v>
      </c>
      <c r="D1915" s="9" t="n">
        <v>44380</v>
      </c>
      <c r="E1915" s="9" t="str">
        <f aca="false">TEXT(D1915,"MMM")</f>
        <v>jul</v>
      </c>
      <c r="F1915" s="10" t="n">
        <v>-29546.44</v>
      </c>
      <c r="G1915" s="8" t="s">
        <v>34</v>
      </c>
      <c r="H1915" s="8" t="s">
        <v>12</v>
      </c>
      <c r="I1915" s="11" t="s">
        <v>13</v>
      </c>
      <c r="J1915" s="8" t="s">
        <v>14</v>
      </c>
    </row>
    <row r="1916" customFormat="false" ht="14.25" hidden="false" customHeight="false" outlineLevel="0" collapsed="false">
      <c r="A1916" s="8" t="n">
        <v>1915</v>
      </c>
      <c r="B1916" s="8" t="s">
        <v>211</v>
      </c>
      <c r="C1916" s="8" t="s">
        <v>21</v>
      </c>
      <c r="D1916" s="9" t="n">
        <v>44380</v>
      </c>
      <c r="E1916" s="9" t="str">
        <f aca="false">TEXT(D1916,"MMM")</f>
        <v>jul</v>
      </c>
      <c r="F1916" s="10" t="n">
        <v>-46308.26</v>
      </c>
      <c r="G1916" s="8" t="s">
        <v>34</v>
      </c>
      <c r="H1916" s="8" t="s">
        <v>12</v>
      </c>
      <c r="I1916" s="11" t="s">
        <v>13</v>
      </c>
      <c r="J1916" s="8" t="s">
        <v>14</v>
      </c>
    </row>
    <row r="1917" customFormat="false" ht="14.25" hidden="false" customHeight="false" outlineLevel="0" collapsed="false">
      <c r="A1917" s="8" t="n">
        <v>1916</v>
      </c>
      <c r="B1917" s="8" t="s">
        <v>85</v>
      </c>
      <c r="C1917" s="8" t="s">
        <v>21</v>
      </c>
      <c r="D1917" s="9" t="n">
        <v>44380</v>
      </c>
      <c r="E1917" s="9" t="str">
        <f aca="false">TEXT(D1917,"MMM")</f>
        <v>jul</v>
      </c>
      <c r="F1917" s="10" t="n">
        <v>-23560.92</v>
      </c>
      <c r="G1917" s="8" t="s">
        <v>34</v>
      </c>
      <c r="H1917" s="8" t="s">
        <v>22</v>
      </c>
      <c r="I1917" s="11" t="s">
        <v>23</v>
      </c>
      <c r="J1917" s="8" t="s">
        <v>26</v>
      </c>
    </row>
    <row r="1918" customFormat="false" ht="14.25" hidden="false" customHeight="false" outlineLevel="0" collapsed="false">
      <c r="A1918" s="8" t="n">
        <v>1917</v>
      </c>
      <c r="B1918" s="8" t="s">
        <v>85</v>
      </c>
      <c r="C1918" s="8" t="s">
        <v>28</v>
      </c>
      <c r="D1918" s="9" t="n">
        <v>44380</v>
      </c>
      <c r="E1918" s="9" t="str">
        <f aca="false">TEXT(D1918,"MMM")</f>
        <v>jul</v>
      </c>
      <c r="F1918" s="10" t="n">
        <v>-23471.6</v>
      </c>
      <c r="G1918" s="8" t="s">
        <v>34</v>
      </c>
      <c r="H1918" s="8" t="s">
        <v>36</v>
      </c>
      <c r="I1918" s="11" t="s">
        <v>37</v>
      </c>
      <c r="J1918" s="8" t="s">
        <v>26</v>
      </c>
    </row>
    <row r="1919" customFormat="false" ht="14.25" hidden="false" customHeight="false" outlineLevel="0" collapsed="false">
      <c r="A1919" s="8" t="n">
        <v>1918</v>
      </c>
      <c r="B1919" s="8" t="s">
        <v>181</v>
      </c>
      <c r="C1919" s="8" t="s">
        <v>28</v>
      </c>
      <c r="D1919" s="9" t="n">
        <v>44381</v>
      </c>
      <c r="E1919" s="9" t="str">
        <f aca="false">TEXT(D1919,"MMM")</f>
        <v>jul</v>
      </c>
      <c r="F1919" s="10" t="n">
        <v>-34827.87</v>
      </c>
      <c r="G1919" s="8" t="s">
        <v>34</v>
      </c>
      <c r="H1919" s="8" t="s">
        <v>12</v>
      </c>
      <c r="I1919" s="11" t="s">
        <v>13</v>
      </c>
      <c r="J1919" s="8" t="s">
        <v>14</v>
      </c>
    </row>
    <row r="1920" customFormat="false" ht="14.25" hidden="false" customHeight="false" outlineLevel="0" collapsed="false">
      <c r="A1920" s="8" t="n">
        <v>1919</v>
      </c>
      <c r="B1920" s="8" t="s">
        <v>85</v>
      </c>
      <c r="C1920" s="8" t="s">
        <v>10</v>
      </c>
      <c r="D1920" s="9" t="n">
        <v>44383</v>
      </c>
      <c r="E1920" s="9" t="str">
        <f aca="false">TEXT(D1920,"MMM")</f>
        <v>jul</v>
      </c>
      <c r="F1920" s="10" t="n">
        <v>-36762.99</v>
      </c>
      <c r="G1920" s="8" t="s">
        <v>34</v>
      </c>
      <c r="H1920" s="8" t="s">
        <v>36</v>
      </c>
      <c r="I1920" s="11" t="s">
        <v>37</v>
      </c>
      <c r="J1920" s="8" t="s">
        <v>26</v>
      </c>
    </row>
    <row r="1921" customFormat="false" ht="14.25" hidden="false" customHeight="false" outlineLevel="0" collapsed="false">
      <c r="A1921" s="8" t="n">
        <v>1920</v>
      </c>
      <c r="B1921" s="8" t="s">
        <v>145</v>
      </c>
      <c r="C1921" s="8" t="s">
        <v>16</v>
      </c>
      <c r="D1921" s="9" t="n">
        <v>44383</v>
      </c>
      <c r="E1921" s="9" t="str">
        <f aca="false">TEXT(D1921,"MMM")</f>
        <v>jul</v>
      </c>
      <c r="F1921" s="10" t="n">
        <v>-30602.85</v>
      </c>
      <c r="G1921" s="8" t="s">
        <v>34</v>
      </c>
      <c r="H1921" s="8" t="s">
        <v>12</v>
      </c>
      <c r="I1921" s="11" t="s">
        <v>13</v>
      </c>
      <c r="J1921" s="8" t="s">
        <v>14</v>
      </c>
    </row>
    <row r="1922" customFormat="false" ht="14.25" hidden="false" customHeight="false" outlineLevel="0" collapsed="false">
      <c r="A1922" s="8" t="n">
        <v>1921</v>
      </c>
      <c r="B1922" s="8" t="s">
        <v>143</v>
      </c>
      <c r="C1922" s="8" t="s">
        <v>28</v>
      </c>
      <c r="D1922" s="9" t="n">
        <v>44383</v>
      </c>
      <c r="E1922" s="9" t="str">
        <f aca="false">TEXT(D1922,"MMM")</f>
        <v>jul</v>
      </c>
      <c r="F1922" s="10" t="n">
        <v>-27710.87</v>
      </c>
      <c r="G1922" s="8" t="s">
        <v>34</v>
      </c>
      <c r="H1922" s="8" t="s">
        <v>17</v>
      </c>
      <c r="I1922" s="11" t="s">
        <v>18</v>
      </c>
      <c r="J1922" s="8" t="s">
        <v>14</v>
      </c>
    </row>
    <row r="1923" customFormat="false" ht="14.25" hidden="false" customHeight="false" outlineLevel="0" collapsed="false">
      <c r="A1923" s="8" t="n">
        <v>1922</v>
      </c>
      <c r="B1923" s="8" t="s">
        <v>143</v>
      </c>
      <c r="C1923" s="8" t="s">
        <v>16</v>
      </c>
      <c r="D1923" s="9" t="n">
        <v>44383</v>
      </c>
      <c r="E1923" s="9" t="str">
        <f aca="false">TEXT(D1923,"MMM")</f>
        <v>jul</v>
      </c>
      <c r="F1923" s="10" t="n">
        <v>-29054.87</v>
      </c>
      <c r="G1923" s="8" t="s">
        <v>34</v>
      </c>
      <c r="H1923" s="8" t="s">
        <v>22</v>
      </c>
      <c r="I1923" s="11" t="s">
        <v>23</v>
      </c>
      <c r="J1923" s="8" t="s">
        <v>14</v>
      </c>
    </row>
    <row r="1924" customFormat="false" ht="14.25" hidden="false" customHeight="false" outlineLevel="0" collapsed="false">
      <c r="A1924" s="8" t="n">
        <v>1923</v>
      </c>
      <c r="B1924" s="8" t="s">
        <v>183</v>
      </c>
      <c r="C1924" s="8" t="s">
        <v>21</v>
      </c>
      <c r="D1924" s="9" t="n">
        <v>44386</v>
      </c>
      <c r="E1924" s="9" t="str">
        <f aca="false">TEXT(D1924,"MMM")</f>
        <v>jul</v>
      </c>
      <c r="F1924" s="10" t="n">
        <v>-96356.19</v>
      </c>
      <c r="G1924" s="8" t="s">
        <v>34</v>
      </c>
      <c r="H1924" s="8" t="s">
        <v>22</v>
      </c>
      <c r="I1924" s="11" t="s">
        <v>23</v>
      </c>
      <c r="J1924" s="8" t="s">
        <v>26</v>
      </c>
    </row>
    <row r="1925" customFormat="false" ht="14.25" hidden="false" customHeight="false" outlineLevel="0" collapsed="false">
      <c r="A1925" s="8" t="n">
        <v>1924</v>
      </c>
      <c r="B1925" s="8" t="s">
        <v>188</v>
      </c>
      <c r="C1925" s="8" t="s">
        <v>10</v>
      </c>
      <c r="D1925" s="9" t="n">
        <v>44387</v>
      </c>
      <c r="E1925" s="9" t="str">
        <f aca="false">TEXT(D1925,"MMM")</f>
        <v>jul</v>
      </c>
      <c r="F1925" s="10" t="n">
        <v>-17876.53</v>
      </c>
      <c r="G1925" s="8" t="s">
        <v>34</v>
      </c>
      <c r="H1925" s="8" t="s">
        <v>22</v>
      </c>
      <c r="I1925" s="11" t="s">
        <v>23</v>
      </c>
      <c r="J1925" s="8" t="s">
        <v>14</v>
      </c>
    </row>
    <row r="1926" customFormat="false" ht="14.25" hidden="false" customHeight="false" outlineLevel="0" collapsed="false">
      <c r="A1926" s="8" t="n">
        <v>1925</v>
      </c>
      <c r="B1926" s="8" t="s">
        <v>164</v>
      </c>
      <c r="C1926" s="8" t="s">
        <v>16</v>
      </c>
      <c r="D1926" s="9" t="n">
        <v>44387</v>
      </c>
      <c r="E1926" s="9" t="str">
        <f aca="false">TEXT(D1926,"MMM")</f>
        <v>jul</v>
      </c>
      <c r="F1926" s="10" t="n">
        <v>-228.34</v>
      </c>
      <c r="G1926" s="8" t="s">
        <v>34</v>
      </c>
      <c r="H1926" s="8" t="s">
        <v>12</v>
      </c>
      <c r="I1926" s="11" t="s">
        <v>13</v>
      </c>
      <c r="J1926" s="8" t="s">
        <v>26</v>
      </c>
    </row>
    <row r="1927" customFormat="false" ht="14.25" hidden="false" customHeight="false" outlineLevel="0" collapsed="false">
      <c r="A1927" s="8" t="n">
        <v>1926</v>
      </c>
      <c r="B1927" s="8" t="s">
        <v>211</v>
      </c>
      <c r="C1927" s="8" t="s">
        <v>21</v>
      </c>
      <c r="D1927" s="9" t="n">
        <v>44387</v>
      </c>
      <c r="E1927" s="9" t="str">
        <f aca="false">TEXT(D1927,"MMM")</f>
        <v>jul</v>
      </c>
      <c r="F1927" s="10" t="n">
        <v>-413.63</v>
      </c>
      <c r="G1927" s="8" t="s">
        <v>34</v>
      </c>
      <c r="H1927" s="8" t="s">
        <v>17</v>
      </c>
      <c r="I1927" s="11" t="s">
        <v>18</v>
      </c>
      <c r="J1927" s="8" t="s">
        <v>26</v>
      </c>
    </row>
    <row r="1928" customFormat="false" ht="14.25" hidden="false" customHeight="false" outlineLevel="0" collapsed="false">
      <c r="A1928" s="8" t="n">
        <v>1927</v>
      </c>
      <c r="B1928" s="8" t="s">
        <v>86</v>
      </c>
      <c r="C1928" s="8" t="s">
        <v>21</v>
      </c>
      <c r="D1928" s="9" t="n">
        <v>44387</v>
      </c>
      <c r="E1928" s="9" t="str">
        <f aca="false">TEXT(D1928,"MMM")</f>
        <v>jul</v>
      </c>
      <c r="F1928" s="10" t="n">
        <v>-1731.8</v>
      </c>
      <c r="G1928" s="8" t="s">
        <v>34</v>
      </c>
      <c r="H1928" s="8" t="s">
        <v>12</v>
      </c>
      <c r="I1928" s="11" t="s">
        <v>13</v>
      </c>
      <c r="J1928" s="8" t="s">
        <v>14</v>
      </c>
    </row>
    <row r="1929" customFormat="false" ht="14.25" hidden="false" customHeight="false" outlineLevel="0" collapsed="false">
      <c r="A1929" s="8" t="n">
        <v>1928</v>
      </c>
      <c r="B1929" s="8" t="s">
        <v>73</v>
      </c>
      <c r="C1929" s="8" t="s">
        <v>10</v>
      </c>
      <c r="D1929" s="9" t="n">
        <v>44387</v>
      </c>
      <c r="E1929" s="9" t="str">
        <f aca="false">TEXT(D1929,"MMM")</f>
        <v>jul</v>
      </c>
      <c r="F1929" s="10" t="n">
        <v>-21327.99</v>
      </c>
      <c r="G1929" s="8" t="s">
        <v>34</v>
      </c>
      <c r="H1929" s="8" t="s">
        <v>12</v>
      </c>
      <c r="I1929" s="11" t="s">
        <v>13</v>
      </c>
      <c r="J1929" s="8" t="s">
        <v>14</v>
      </c>
    </row>
    <row r="1930" customFormat="false" ht="14.25" hidden="false" customHeight="false" outlineLevel="0" collapsed="false">
      <c r="A1930" s="8" t="n">
        <v>1929</v>
      </c>
      <c r="B1930" s="8" t="s">
        <v>73</v>
      </c>
      <c r="C1930" s="8" t="s">
        <v>28</v>
      </c>
      <c r="D1930" s="9" t="n">
        <v>44387</v>
      </c>
      <c r="E1930" s="9" t="str">
        <f aca="false">TEXT(D1930,"MMM")</f>
        <v>jul</v>
      </c>
      <c r="F1930" s="10" t="n">
        <v>-2380.07</v>
      </c>
      <c r="G1930" s="8" t="s">
        <v>34</v>
      </c>
      <c r="H1930" s="8" t="s">
        <v>12</v>
      </c>
      <c r="I1930" s="11" t="s">
        <v>13</v>
      </c>
      <c r="J1930" s="8" t="s">
        <v>24</v>
      </c>
    </row>
    <row r="1931" customFormat="false" ht="14.25" hidden="false" customHeight="false" outlineLevel="0" collapsed="false">
      <c r="A1931" s="8" t="n">
        <v>1930</v>
      </c>
      <c r="B1931" s="8" t="s">
        <v>73</v>
      </c>
      <c r="C1931" s="8" t="s">
        <v>28</v>
      </c>
      <c r="D1931" s="9" t="n">
        <v>44387</v>
      </c>
      <c r="E1931" s="9" t="str">
        <f aca="false">TEXT(D1931,"MMM")</f>
        <v>jul</v>
      </c>
      <c r="F1931" s="10" t="n">
        <v>-47621.81</v>
      </c>
      <c r="G1931" s="8" t="s">
        <v>34</v>
      </c>
      <c r="H1931" s="8" t="s">
        <v>36</v>
      </c>
      <c r="I1931" s="11" t="s">
        <v>37</v>
      </c>
      <c r="J1931" s="8" t="s">
        <v>26</v>
      </c>
    </row>
    <row r="1932" customFormat="false" ht="14.25" hidden="false" customHeight="false" outlineLevel="0" collapsed="false">
      <c r="A1932" s="8" t="n">
        <v>1931</v>
      </c>
      <c r="B1932" s="8" t="s">
        <v>73</v>
      </c>
      <c r="C1932" s="8" t="s">
        <v>16</v>
      </c>
      <c r="D1932" s="9" t="n">
        <v>44387</v>
      </c>
      <c r="E1932" s="9" t="str">
        <f aca="false">TEXT(D1932,"MMM")</f>
        <v>jul</v>
      </c>
      <c r="F1932" s="10" t="n">
        <v>-459519.24</v>
      </c>
      <c r="G1932" s="8" t="s">
        <v>34</v>
      </c>
      <c r="H1932" s="8" t="s">
        <v>12</v>
      </c>
      <c r="I1932" s="11" t="s">
        <v>13</v>
      </c>
      <c r="J1932" s="8" t="s">
        <v>26</v>
      </c>
    </row>
    <row r="1933" customFormat="false" ht="14.25" hidden="false" customHeight="false" outlineLevel="0" collapsed="false">
      <c r="A1933" s="8" t="n">
        <v>1932</v>
      </c>
      <c r="B1933" s="8" t="s">
        <v>73</v>
      </c>
      <c r="C1933" s="8" t="s">
        <v>28</v>
      </c>
      <c r="D1933" s="9" t="n">
        <v>44387</v>
      </c>
      <c r="E1933" s="9" t="str">
        <f aca="false">TEXT(D1933,"MMM")</f>
        <v>jul</v>
      </c>
      <c r="F1933" s="10" t="n">
        <v>-37859.85</v>
      </c>
      <c r="G1933" s="8" t="s">
        <v>34</v>
      </c>
      <c r="H1933" s="8" t="s">
        <v>36</v>
      </c>
      <c r="I1933" s="11" t="s">
        <v>37</v>
      </c>
      <c r="J1933" s="8" t="s">
        <v>14</v>
      </c>
    </row>
    <row r="1934" customFormat="false" ht="14.25" hidden="false" customHeight="false" outlineLevel="0" collapsed="false">
      <c r="A1934" s="8" t="n">
        <v>1933</v>
      </c>
      <c r="B1934" s="8" t="s">
        <v>73</v>
      </c>
      <c r="C1934" s="8" t="s">
        <v>28</v>
      </c>
      <c r="D1934" s="9" t="n">
        <v>44387</v>
      </c>
      <c r="E1934" s="9" t="str">
        <f aca="false">TEXT(D1934,"MMM")</f>
        <v>jul</v>
      </c>
      <c r="F1934" s="10" t="n">
        <v>-2217.15</v>
      </c>
      <c r="G1934" s="8" t="s">
        <v>34</v>
      </c>
      <c r="H1934" s="8" t="s">
        <v>36</v>
      </c>
      <c r="I1934" s="11" t="s">
        <v>37</v>
      </c>
      <c r="J1934" s="8" t="s">
        <v>19</v>
      </c>
    </row>
    <row r="1935" customFormat="false" ht="14.25" hidden="false" customHeight="false" outlineLevel="0" collapsed="false">
      <c r="A1935" s="8" t="n">
        <v>1934</v>
      </c>
      <c r="B1935" s="8" t="s">
        <v>149</v>
      </c>
      <c r="C1935" s="8" t="s">
        <v>16</v>
      </c>
      <c r="D1935" s="9" t="n">
        <v>44388</v>
      </c>
      <c r="E1935" s="9" t="str">
        <f aca="false">TEXT(D1935,"MMM")</f>
        <v>jul</v>
      </c>
      <c r="F1935" s="10" t="n">
        <v>2762.32</v>
      </c>
      <c r="G1935" s="8" t="s">
        <v>11</v>
      </c>
      <c r="H1935" s="8" t="s">
        <v>12</v>
      </c>
      <c r="I1935" s="11" t="s">
        <v>13</v>
      </c>
      <c r="J1935" s="8" t="s">
        <v>14</v>
      </c>
    </row>
    <row r="1936" customFormat="false" ht="14.25" hidden="false" customHeight="false" outlineLevel="0" collapsed="false">
      <c r="A1936" s="8" t="n">
        <v>1935</v>
      </c>
      <c r="B1936" s="8" t="s">
        <v>150</v>
      </c>
      <c r="C1936" s="8" t="s">
        <v>10</v>
      </c>
      <c r="D1936" s="9" t="n">
        <v>44388</v>
      </c>
      <c r="E1936" s="9" t="str">
        <f aca="false">TEXT(D1936,"MMM")</f>
        <v>jul</v>
      </c>
      <c r="F1936" s="10" t="n">
        <v>15980.3</v>
      </c>
      <c r="G1936" s="8" t="s">
        <v>11</v>
      </c>
      <c r="H1936" s="8" t="s">
        <v>36</v>
      </c>
      <c r="I1936" s="11" t="s">
        <v>37</v>
      </c>
      <c r="J1936" s="8" t="s">
        <v>14</v>
      </c>
    </row>
    <row r="1937" customFormat="false" ht="14.25" hidden="false" customHeight="false" outlineLevel="0" collapsed="false">
      <c r="A1937" s="8" t="n">
        <v>1936</v>
      </c>
      <c r="B1937" s="8" t="s">
        <v>176</v>
      </c>
      <c r="C1937" s="8" t="s">
        <v>28</v>
      </c>
      <c r="D1937" s="9" t="n">
        <v>44388</v>
      </c>
      <c r="E1937" s="9" t="str">
        <f aca="false">TEXT(D1937,"MMM")</f>
        <v>jul</v>
      </c>
      <c r="F1937" s="10" t="n">
        <v>12937.19</v>
      </c>
      <c r="G1937" s="8" t="s">
        <v>11</v>
      </c>
      <c r="H1937" s="8" t="s">
        <v>12</v>
      </c>
      <c r="I1937" s="11" t="s">
        <v>13</v>
      </c>
      <c r="J1937" s="8" t="s">
        <v>24</v>
      </c>
    </row>
    <row r="1938" customFormat="false" ht="14.25" hidden="false" customHeight="false" outlineLevel="0" collapsed="false">
      <c r="A1938" s="8" t="n">
        <v>1937</v>
      </c>
      <c r="B1938" s="8" t="s">
        <v>165</v>
      </c>
      <c r="C1938" s="8" t="s">
        <v>21</v>
      </c>
      <c r="D1938" s="9" t="n">
        <v>44388</v>
      </c>
      <c r="E1938" s="9" t="str">
        <f aca="false">TEXT(D1938,"MMM")</f>
        <v>jul</v>
      </c>
      <c r="F1938" s="10" t="n">
        <v>2850.83</v>
      </c>
      <c r="G1938" s="8" t="s">
        <v>11</v>
      </c>
      <c r="H1938" s="8" t="s">
        <v>36</v>
      </c>
      <c r="I1938" s="11" t="s">
        <v>37</v>
      </c>
      <c r="J1938" s="8" t="s">
        <v>14</v>
      </c>
    </row>
    <row r="1939" customFormat="false" ht="14.25" hidden="false" customHeight="false" outlineLevel="0" collapsed="false">
      <c r="A1939" s="8" t="n">
        <v>1938</v>
      </c>
      <c r="B1939" s="8" t="s">
        <v>164</v>
      </c>
      <c r="C1939" s="8" t="s">
        <v>21</v>
      </c>
      <c r="D1939" s="9" t="n">
        <v>44388</v>
      </c>
      <c r="E1939" s="9" t="str">
        <f aca="false">TEXT(D1939,"MMM")</f>
        <v>jul</v>
      </c>
      <c r="F1939" s="10" t="n">
        <v>13726.31</v>
      </c>
      <c r="G1939" s="8" t="s">
        <v>11</v>
      </c>
      <c r="H1939" s="8" t="s">
        <v>12</v>
      </c>
      <c r="I1939" s="11" t="s">
        <v>13</v>
      </c>
      <c r="J1939" s="8" t="s">
        <v>26</v>
      </c>
    </row>
    <row r="1940" customFormat="false" ht="14.25" hidden="false" customHeight="false" outlineLevel="0" collapsed="false">
      <c r="A1940" s="8" t="n">
        <v>1939</v>
      </c>
      <c r="B1940" s="8" t="s">
        <v>77</v>
      </c>
      <c r="C1940" s="8" t="s">
        <v>28</v>
      </c>
      <c r="D1940" s="9" t="n">
        <v>44388</v>
      </c>
      <c r="E1940" s="9" t="str">
        <f aca="false">TEXT(D1940,"MMM")</f>
        <v>jul</v>
      </c>
      <c r="F1940" s="10" t="n">
        <v>2355.05</v>
      </c>
      <c r="G1940" s="8" t="s">
        <v>11</v>
      </c>
      <c r="H1940" s="8" t="s">
        <v>36</v>
      </c>
      <c r="I1940" s="11" t="s">
        <v>37</v>
      </c>
      <c r="J1940" s="8" t="s">
        <v>14</v>
      </c>
    </row>
    <row r="1941" customFormat="false" ht="14.25" hidden="false" customHeight="false" outlineLevel="0" collapsed="false">
      <c r="A1941" s="8" t="n">
        <v>1940</v>
      </c>
      <c r="B1941" s="8" t="s">
        <v>143</v>
      </c>
      <c r="C1941" s="8" t="s">
        <v>28</v>
      </c>
      <c r="D1941" s="9" t="n">
        <v>44388</v>
      </c>
      <c r="E1941" s="9" t="str">
        <f aca="false">TEXT(D1941,"MMM")</f>
        <v>jul</v>
      </c>
      <c r="F1941" s="10" t="n">
        <v>2452.43</v>
      </c>
      <c r="G1941" s="8" t="s">
        <v>11</v>
      </c>
      <c r="H1941" s="8" t="s">
        <v>12</v>
      </c>
      <c r="I1941" s="11" t="s">
        <v>13</v>
      </c>
      <c r="J1941" s="8" t="s">
        <v>26</v>
      </c>
    </row>
    <row r="1942" customFormat="false" ht="14.25" hidden="false" customHeight="false" outlineLevel="0" collapsed="false">
      <c r="A1942" s="8" t="n">
        <v>1941</v>
      </c>
      <c r="B1942" s="8" t="s">
        <v>212</v>
      </c>
      <c r="C1942" s="8" t="s">
        <v>28</v>
      </c>
      <c r="D1942" s="9" t="n">
        <v>44389</v>
      </c>
      <c r="E1942" s="9" t="str">
        <f aca="false">TEXT(D1942,"MMM")</f>
        <v>jul</v>
      </c>
      <c r="F1942" s="10" t="n">
        <v>15509.01</v>
      </c>
      <c r="G1942" s="8" t="s">
        <v>11</v>
      </c>
      <c r="H1942" s="8" t="s">
        <v>12</v>
      </c>
      <c r="I1942" s="11" t="s">
        <v>13</v>
      </c>
      <c r="J1942" s="8" t="s">
        <v>26</v>
      </c>
    </row>
    <row r="1943" customFormat="false" ht="14.25" hidden="false" customHeight="false" outlineLevel="0" collapsed="false">
      <c r="A1943" s="8" t="n">
        <v>1942</v>
      </c>
      <c r="B1943" s="8" t="s">
        <v>145</v>
      </c>
      <c r="C1943" s="8" t="s">
        <v>10</v>
      </c>
      <c r="D1943" s="9" t="n">
        <v>44389</v>
      </c>
      <c r="E1943" s="9" t="str">
        <f aca="false">TEXT(D1943,"MMM")</f>
        <v>jul</v>
      </c>
      <c r="F1943" s="10" t="n">
        <v>-66647.46</v>
      </c>
      <c r="G1943" s="8" t="s">
        <v>34</v>
      </c>
      <c r="H1943" s="8" t="s">
        <v>36</v>
      </c>
      <c r="I1943" s="11" t="s">
        <v>37</v>
      </c>
      <c r="J1943" s="8" t="s">
        <v>26</v>
      </c>
    </row>
    <row r="1944" customFormat="false" ht="14.25" hidden="false" customHeight="false" outlineLevel="0" collapsed="false">
      <c r="A1944" s="8" t="n">
        <v>1943</v>
      </c>
      <c r="B1944" s="8" t="s">
        <v>182</v>
      </c>
      <c r="C1944" s="8" t="s">
        <v>28</v>
      </c>
      <c r="D1944" s="9" t="n">
        <v>44390</v>
      </c>
      <c r="E1944" s="9" t="str">
        <f aca="false">TEXT(D1944,"MMM")</f>
        <v>jul</v>
      </c>
      <c r="F1944" s="10" t="n">
        <v>-12260.4</v>
      </c>
      <c r="G1944" s="8" t="s">
        <v>34</v>
      </c>
      <c r="H1944" s="8" t="s">
        <v>17</v>
      </c>
      <c r="I1944" s="11" t="s">
        <v>18</v>
      </c>
      <c r="J1944" s="8" t="s">
        <v>24</v>
      </c>
    </row>
    <row r="1945" customFormat="false" ht="14.25" hidden="false" customHeight="false" outlineLevel="0" collapsed="false">
      <c r="A1945" s="8" t="n">
        <v>1944</v>
      </c>
      <c r="B1945" s="8" t="s">
        <v>213</v>
      </c>
      <c r="C1945" s="8" t="s">
        <v>21</v>
      </c>
      <c r="D1945" s="9" t="n">
        <v>44390</v>
      </c>
      <c r="E1945" s="9" t="str">
        <f aca="false">TEXT(D1945,"MMM")</f>
        <v>jul</v>
      </c>
      <c r="F1945" s="10" t="n">
        <v>8371.56</v>
      </c>
      <c r="G1945" s="8" t="s">
        <v>11</v>
      </c>
      <c r="H1945" s="8" t="s">
        <v>12</v>
      </c>
      <c r="I1945" s="11" t="s">
        <v>13</v>
      </c>
      <c r="J1945" s="8" t="s">
        <v>26</v>
      </c>
    </row>
    <row r="1946" customFormat="false" ht="14.25" hidden="false" customHeight="false" outlineLevel="0" collapsed="false">
      <c r="A1946" s="8" t="n">
        <v>1945</v>
      </c>
      <c r="B1946" s="8" t="s">
        <v>170</v>
      </c>
      <c r="C1946" s="8" t="s">
        <v>28</v>
      </c>
      <c r="D1946" s="9" t="n">
        <v>44390</v>
      </c>
      <c r="E1946" s="9" t="str">
        <f aca="false">TEXT(D1946,"MMM")</f>
        <v>jul</v>
      </c>
      <c r="F1946" s="10" t="n">
        <v>-37149.7</v>
      </c>
      <c r="G1946" s="8" t="s">
        <v>34</v>
      </c>
      <c r="H1946" s="8" t="s">
        <v>12</v>
      </c>
      <c r="I1946" s="11" t="s">
        <v>13</v>
      </c>
      <c r="J1946" s="8" t="s">
        <v>19</v>
      </c>
    </row>
    <row r="1947" customFormat="false" ht="14.25" hidden="false" customHeight="false" outlineLevel="0" collapsed="false">
      <c r="A1947" s="8" t="n">
        <v>1946</v>
      </c>
      <c r="B1947" s="8" t="s">
        <v>40</v>
      </c>
      <c r="C1947" s="8" t="s">
        <v>21</v>
      </c>
      <c r="D1947" s="9" t="n">
        <v>44390</v>
      </c>
      <c r="E1947" s="9" t="str">
        <f aca="false">TEXT(D1947,"MMM")</f>
        <v>jul</v>
      </c>
      <c r="F1947" s="10" t="n">
        <v>-55054.72</v>
      </c>
      <c r="G1947" s="8" t="s">
        <v>34</v>
      </c>
      <c r="H1947" s="8" t="s">
        <v>22</v>
      </c>
      <c r="I1947" s="11" t="s">
        <v>23</v>
      </c>
      <c r="J1947" s="8" t="s">
        <v>26</v>
      </c>
    </row>
    <row r="1948" customFormat="false" ht="14.25" hidden="false" customHeight="false" outlineLevel="0" collapsed="false">
      <c r="A1948" s="8" t="n">
        <v>1947</v>
      </c>
      <c r="B1948" s="8" t="s">
        <v>39</v>
      </c>
      <c r="C1948" s="8" t="s">
        <v>21</v>
      </c>
      <c r="D1948" s="9" t="n">
        <v>44390</v>
      </c>
      <c r="E1948" s="9" t="str">
        <f aca="false">TEXT(D1948,"MMM")</f>
        <v>jul</v>
      </c>
      <c r="F1948" s="10" t="n">
        <v>142797.7</v>
      </c>
      <c r="G1948" s="8" t="s">
        <v>11</v>
      </c>
      <c r="H1948" s="8" t="s">
        <v>22</v>
      </c>
      <c r="I1948" s="11" t="s">
        <v>23</v>
      </c>
      <c r="J1948" s="8" t="s">
        <v>14</v>
      </c>
    </row>
    <row r="1949" customFormat="false" ht="14.25" hidden="false" customHeight="false" outlineLevel="0" collapsed="false">
      <c r="A1949" s="8" t="n">
        <v>1948</v>
      </c>
      <c r="B1949" s="8" t="s">
        <v>39</v>
      </c>
      <c r="C1949" s="8" t="s">
        <v>28</v>
      </c>
      <c r="D1949" s="9" t="n">
        <v>44390</v>
      </c>
      <c r="E1949" s="9" t="str">
        <f aca="false">TEXT(D1949,"MMM")</f>
        <v>jul</v>
      </c>
      <c r="F1949" s="10" t="n">
        <v>3673.24</v>
      </c>
      <c r="G1949" s="8" t="s">
        <v>11</v>
      </c>
      <c r="H1949" s="8" t="s">
        <v>30</v>
      </c>
      <c r="I1949" s="11" t="s">
        <v>31</v>
      </c>
      <c r="J1949" s="8" t="s">
        <v>14</v>
      </c>
    </row>
    <row r="1950" customFormat="false" ht="14.25" hidden="false" customHeight="false" outlineLevel="0" collapsed="false">
      <c r="A1950" s="8" t="n">
        <v>1949</v>
      </c>
      <c r="B1950" s="8" t="s">
        <v>143</v>
      </c>
      <c r="C1950" s="8" t="s">
        <v>16</v>
      </c>
      <c r="D1950" s="9" t="n">
        <v>44390</v>
      </c>
      <c r="E1950" s="9" t="str">
        <f aca="false">TEXT(D1950,"MMM")</f>
        <v>jul</v>
      </c>
      <c r="F1950" s="10" t="n">
        <v>3441.44</v>
      </c>
      <c r="G1950" s="8" t="s">
        <v>11</v>
      </c>
      <c r="H1950" s="8" t="s">
        <v>12</v>
      </c>
      <c r="I1950" s="11" t="s">
        <v>13</v>
      </c>
      <c r="J1950" s="8" t="s">
        <v>26</v>
      </c>
    </row>
    <row r="1951" customFormat="false" ht="14.25" hidden="false" customHeight="false" outlineLevel="0" collapsed="false">
      <c r="A1951" s="8" t="n">
        <v>1950</v>
      </c>
      <c r="B1951" s="8" t="s">
        <v>143</v>
      </c>
      <c r="C1951" s="8" t="s">
        <v>16</v>
      </c>
      <c r="D1951" s="9" t="n">
        <v>44390</v>
      </c>
      <c r="E1951" s="9" t="str">
        <f aca="false">TEXT(D1951,"MMM")</f>
        <v>jul</v>
      </c>
      <c r="F1951" s="10" t="n">
        <v>3560.63</v>
      </c>
      <c r="G1951" s="8" t="s">
        <v>11</v>
      </c>
      <c r="H1951" s="8" t="s">
        <v>12</v>
      </c>
      <c r="I1951" s="11" t="s">
        <v>13</v>
      </c>
      <c r="J1951" s="8" t="s">
        <v>26</v>
      </c>
    </row>
    <row r="1952" customFormat="false" ht="14.25" hidden="false" customHeight="false" outlineLevel="0" collapsed="false">
      <c r="A1952" s="8" t="n">
        <v>1951</v>
      </c>
      <c r="B1952" s="8" t="s">
        <v>179</v>
      </c>
      <c r="C1952" s="8" t="s">
        <v>28</v>
      </c>
      <c r="D1952" s="9" t="n">
        <v>44393</v>
      </c>
      <c r="E1952" s="9" t="str">
        <f aca="false">TEXT(D1952,"MMM")</f>
        <v>jul</v>
      </c>
      <c r="F1952" s="10" t="n">
        <v>11296.39</v>
      </c>
      <c r="G1952" s="8" t="s">
        <v>11</v>
      </c>
      <c r="H1952" s="8" t="s">
        <v>17</v>
      </c>
      <c r="I1952" s="11" t="s">
        <v>18</v>
      </c>
      <c r="J1952" s="8" t="s">
        <v>14</v>
      </c>
    </row>
    <row r="1953" customFormat="false" ht="14.25" hidden="false" customHeight="false" outlineLevel="0" collapsed="false">
      <c r="A1953" s="8" t="n">
        <v>1952</v>
      </c>
      <c r="B1953" s="8" t="s">
        <v>119</v>
      </c>
      <c r="C1953" s="8" t="s">
        <v>21</v>
      </c>
      <c r="D1953" s="9" t="n">
        <v>44393</v>
      </c>
      <c r="E1953" s="9" t="str">
        <f aca="false">TEXT(D1953,"MMM")</f>
        <v>jul</v>
      </c>
      <c r="F1953" s="10" t="n">
        <v>11984.4</v>
      </c>
      <c r="G1953" s="8" t="s">
        <v>11</v>
      </c>
      <c r="H1953" s="8" t="s">
        <v>17</v>
      </c>
      <c r="I1953" s="11" t="s">
        <v>18</v>
      </c>
      <c r="J1953" s="8" t="s">
        <v>26</v>
      </c>
    </row>
    <row r="1954" customFormat="false" ht="14.25" hidden="false" customHeight="false" outlineLevel="0" collapsed="false">
      <c r="A1954" s="8" t="n">
        <v>1953</v>
      </c>
      <c r="B1954" s="8" t="s">
        <v>214</v>
      </c>
      <c r="C1954" s="8" t="s">
        <v>16</v>
      </c>
      <c r="D1954" s="9" t="n">
        <v>44393</v>
      </c>
      <c r="E1954" s="9" t="str">
        <f aca="false">TEXT(D1954,"MMM")</f>
        <v>jul</v>
      </c>
      <c r="F1954" s="10" t="n">
        <v>9910.15</v>
      </c>
      <c r="G1954" s="8" t="s">
        <v>11</v>
      </c>
      <c r="H1954" s="8" t="s">
        <v>17</v>
      </c>
      <c r="I1954" s="11" t="s">
        <v>18</v>
      </c>
      <c r="J1954" s="8" t="s">
        <v>14</v>
      </c>
    </row>
    <row r="1955" customFormat="false" ht="14.25" hidden="false" customHeight="false" outlineLevel="0" collapsed="false">
      <c r="A1955" s="8" t="n">
        <v>1954</v>
      </c>
      <c r="B1955" s="8" t="s">
        <v>215</v>
      </c>
      <c r="C1955" s="8" t="s">
        <v>28</v>
      </c>
      <c r="D1955" s="9" t="n">
        <v>44393</v>
      </c>
      <c r="E1955" s="9" t="str">
        <f aca="false">TEXT(D1955,"MMM")</f>
        <v>jul</v>
      </c>
      <c r="F1955" s="10" t="n">
        <v>10849</v>
      </c>
      <c r="G1955" s="8" t="s">
        <v>11</v>
      </c>
      <c r="H1955" s="8" t="s">
        <v>12</v>
      </c>
      <c r="I1955" s="11" t="s">
        <v>13</v>
      </c>
      <c r="J1955" s="8" t="s">
        <v>19</v>
      </c>
    </row>
    <row r="1956" customFormat="false" ht="14.25" hidden="false" customHeight="false" outlineLevel="0" collapsed="false">
      <c r="A1956" s="8" t="n">
        <v>1955</v>
      </c>
      <c r="B1956" s="8" t="s">
        <v>131</v>
      </c>
      <c r="C1956" s="8" t="s">
        <v>21</v>
      </c>
      <c r="D1956" s="9" t="n">
        <v>44393</v>
      </c>
      <c r="E1956" s="9" t="str">
        <f aca="false">TEXT(D1956,"MMM")</f>
        <v>jul</v>
      </c>
      <c r="F1956" s="10" t="n">
        <v>10752.19</v>
      </c>
      <c r="G1956" s="8" t="s">
        <v>11</v>
      </c>
      <c r="H1956" s="8" t="s">
        <v>12</v>
      </c>
      <c r="I1956" s="11" t="s">
        <v>13</v>
      </c>
      <c r="J1956" s="8" t="s">
        <v>14</v>
      </c>
    </row>
    <row r="1957" customFormat="false" ht="14.25" hidden="false" customHeight="false" outlineLevel="0" collapsed="false">
      <c r="A1957" s="8" t="n">
        <v>1956</v>
      </c>
      <c r="B1957" s="8" t="s">
        <v>216</v>
      </c>
      <c r="C1957" s="8" t="s">
        <v>10</v>
      </c>
      <c r="D1957" s="9" t="n">
        <v>44393</v>
      </c>
      <c r="E1957" s="9" t="str">
        <f aca="false">TEXT(D1957,"MMM")</f>
        <v>jul</v>
      </c>
      <c r="F1957" s="10" t="n">
        <v>3737.76</v>
      </c>
      <c r="G1957" s="8" t="s">
        <v>11</v>
      </c>
      <c r="H1957" s="8" t="s">
        <v>12</v>
      </c>
      <c r="I1957" s="11" t="s">
        <v>13</v>
      </c>
      <c r="J1957" s="8" t="s">
        <v>19</v>
      </c>
    </row>
    <row r="1958" customFormat="false" ht="14.25" hidden="false" customHeight="false" outlineLevel="0" collapsed="false">
      <c r="A1958" s="8" t="n">
        <v>1957</v>
      </c>
      <c r="B1958" s="8" t="s">
        <v>217</v>
      </c>
      <c r="C1958" s="8" t="s">
        <v>16</v>
      </c>
      <c r="D1958" s="9" t="n">
        <v>44393</v>
      </c>
      <c r="E1958" s="9" t="str">
        <f aca="false">TEXT(D1958,"MMM")</f>
        <v>jul</v>
      </c>
      <c r="F1958" s="10" t="n">
        <v>-9593.85</v>
      </c>
      <c r="G1958" s="8" t="s">
        <v>34</v>
      </c>
      <c r="H1958" s="8" t="s">
        <v>12</v>
      </c>
      <c r="I1958" s="11" t="s">
        <v>13</v>
      </c>
      <c r="J1958" s="8" t="s">
        <v>26</v>
      </c>
    </row>
    <row r="1959" customFormat="false" ht="14.25" hidden="false" customHeight="false" outlineLevel="0" collapsed="false">
      <c r="A1959" s="8" t="n">
        <v>1958</v>
      </c>
      <c r="B1959" s="8" t="s">
        <v>218</v>
      </c>
      <c r="C1959" s="8" t="s">
        <v>21</v>
      </c>
      <c r="D1959" s="9" t="n">
        <v>44393</v>
      </c>
      <c r="E1959" s="9" t="str">
        <f aca="false">TEXT(D1959,"MMM")</f>
        <v>jul</v>
      </c>
      <c r="F1959" s="10" t="n">
        <v>-18327.12</v>
      </c>
      <c r="G1959" s="8" t="s">
        <v>34</v>
      </c>
      <c r="H1959" s="8" t="s">
        <v>12</v>
      </c>
      <c r="I1959" s="11" t="s">
        <v>13</v>
      </c>
      <c r="J1959" s="8" t="s">
        <v>26</v>
      </c>
    </row>
    <row r="1960" customFormat="false" ht="14.25" hidden="false" customHeight="false" outlineLevel="0" collapsed="false">
      <c r="A1960" s="8" t="n">
        <v>1959</v>
      </c>
      <c r="B1960" s="8" t="s">
        <v>219</v>
      </c>
      <c r="C1960" s="8" t="s">
        <v>16</v>
      </c>
      <c r="D1960" s="9" t="n">
        <v>44393</v>
      </c>
      <c r="E1960" s="9" t="str">
        <f aca="false">TEXT(D1960,"MMM")</f>
        <v>jul</v>
      </c>
      <c r="F1960" s="10" t="n">
        <v>-9910.92</v>
      </c>
      <c r="G1960" s="8" t="s">
        <v>34</v>
      </c>
      <c r="H1960" s="8" t="s">
        <v>17</v>
      </c>
      <c r="I1960" s="11" t="s">
        <v>18</v>
      </c>
      <c r="J1960" s="8" t="s">
        <v>14</v>
      </c>
    </row>
    <row r="1961" customFormat="false" ht="14.25" hidden="false" customHeight="false" outlineLevel="0" collapsed="false">
      <c r="A1961" s="8" t="n">
        <v>1960</v>
      </c>
      <c r="B1961" s="8" t="s">
        <v>220</v>
      </c>
      <c r="C1961" s="8" t="s">
        <v>16</v>
      </c>
      <c r="D1961" s="9" t="n">
        <v>44393</v>
      </c>
      <c r="E1961" s="9" t="str">
        <f aca="false">TEXT(D1961,"MMM")</f>
        <v>jul</v>
      </c>
      <c r="F1961" s="10" t="n">
        <v>-31200.61</v>
      </c>
      <c r="G1961" s="8" t="s">
        <v>34</v>
      </c>
      <c r="H1961" s="8" t="s">
        <v>17</v>
      </c>
      <c r="I1961" s="11" t="s">
        <v>18</v>
      </c>
      <c r="J1961" s="8" t="s">
        <v>26</v>
      </c>
    </row>
    <row r="1962" customFormat="false" ht="14.25" hidden="false" customHeight="false" outlineLevel="0" collapsed="false">
      <c r="A1962" s="8" t="n">
        <v>1961</v>
      </c>
      <c r="B1962" s="8" t="s">
        <v>85</v>
      </c>
      <c r="C1962" s="8" t="s">
        <v>28</v>
      </c>
      <c r="D1962" s="9" t="n">
        <v>44393</v>
      </c>
      <c r="E1962" s="9" t="str">
        <f aca="false">TEXT(D1962,"MMM")</f>
        <v>jul</v>
      </c>
      <c r="F1962" s="10" t="n">
        <v>1821.74</v>
      </c>
      <c r="G1962" s="8" t="s">
        <v>11</v>
      </c>
      <c r="H1962" s="8" t="s">
        <v>22</v>
      </c>
      <c r="I1962" s="11" t="s">
        <v>23</v>
      </c>
      <c r="J1962" s="8" t="s">
        <v>24</v>
      </c>
    </row>
    <row r="1963" customFormat="false" ht="14.25" hidden="false" customHeight="false" outlineLevel="0" collapsed="false">
      <c r="A1963" s="8" t="n">
        <v>1962</v>
      </c>
      <c r="B1963" s="8" t="s">
        <v>221</v>
      </c>
      <c r="C1963" s="8" t="s">
        <v>16</v>
      </c>
      <c r="D1963" s="9" t="n">
        <v>44393</v>
      </c>
      <c r="E1963" s="9" t="str">
        <f aca="false">TEXT(D1963,"MMM")</f>
        <v>jul</v>
      </c>
      <c r="F1963" s="10" t="n">
        <v>256906.12</v>
      </c>
      <c r="G1963" s="8" t="s">
        <v>11</v>
      </c>
      <c r="H1963" s="8" t="s">
        <v>36</v>
      </c>
      <c r="I1963" s="11" t="s">
        <v>37</v>
      </c>
      <c r="J1963" s="8" t="s">
        <v>14</v>
      </c>
    </row>
    <row r="1964" customFormat="false" ht="14.25" hidden="false" customHeight="false" outlineLevel="0" collapsed="false">
      <c r="A1964" s="8" t="n">
        <v>1963</v>
      </c>
      <c r="B1964" s="8" t="s">
        <v>143</v>
      </c>
      <c r="C1964" s="8" t="s">
        <v>21</v>
      </c>
      <c r="D1964" s="9" t="n">
        <v>44393</v>
      </c>
      <c r="E1964" s="9" t="str">
        <f aca="false">TEXT(D1964,"MMM")</f>
        <v>jul</v>
      </c>
      <c r="F1964" s="10" t="n">
        <v>7318.5</v>
      </c>
      <c r="G1964" s="8" t="s">
        <v>11</v>
      </c>
      <c r="H1964" s="8" t="s">
        <v>12</v>
      </c>
      <c r="I1964" s="11" t="s">
        <v>13</v>
      </c>
      <c r="J1964" s="8" t="s">
        <v>14</v>
      </c>
    </row>
    <row r="1965" customFormat="false" ht="14.25" hidden="false" customHeight="false" outlineLevel="0" collapsed="false">
      <c r="A1965" s="8" t="n">
        <v>1964</v>
      </c>
      <c r="B1965" s="8" t="s">
        <v>189</v>
      </c>
      <c r="C1965" s="8" t="s">
        <v>21</v>
      </c>
      <c r="D1965" s="9" t="n">
        <v>44395</v>
      </c>
      <c r="E1965" s="9" t="str">
        <f aca="false">TEXT(D1965,"MMM")</f>
        <v>jul</v>
      </c>
      <c r="F1965" s="10" t="n">
        <v>7318.5</v>
      </c>
      <c r="G1965" s="8" t="s">
        <v>11</v>
      </c>
      <c r="H1965" s="8" t="s">
        <v>36</v>
      </c>
      <c r="I1965" s="11" t="s">
        <v>37</v>
      </c>
      <c r="J1965" s="8" t="s">
        <v>26</v>
      </c>
    </row>
    <row r="1966" customFormat="false" ht="14.25" hidden="false" customHeight="false" outlineLevel="0" collapsed="false">
      <c r="A1966" s="8" t="n">
        <v>1965</v>
      </c>
      <c r="B1966" s="8" t="s">
        <v>222</v>
      </c>
      <c r="C1966" s="8" t="s">
        <v>16</v>
      </c>
      <c r="D1966" s="9" t="n">
        <v>44395</v>
      </c>
      <c r="E1966" s="9" t="str">
        <f aca="false">TEXT(D1966,"MMM")</f>
        <v>jul</v>
      </c>
      <c r="F1966" s="10" t="n">
        <v>3485</v>
      </c>
      <c r="G1966" s="8" t="s">
        <v>11</v>
      </c>
      <c r="H1966" s="8" t="s">
        <v>36</v>
      </c>
      <c r="I1966" s="11" t="s">
        <v>37</v>
      </c>
      <c r="J1966" s="8" t="s">
        <v>14</v>
      </c>
    </row>
    <row r="1967" customFormat="false" ht="14.25" hidden="false" customHeight="false" outlineLevel="0" collapsed="false">
      <c r="A1967" s="8" t="n">
        <v>1966</v>
      </c>
      <c r="B1967" s="8" t="s">
        <v>173</v>
      </c>
      <c r="C1967" s="8" t="s">
        <v>10</v>
      </c>
      <c r="D1967" s="9" t="n">
        <v>44395</v>
      </c>
      <c r="E1967" s="9" t="str">
        <f aca="false">TEXT(D1967,"MMM")</f>
        <v>jul</v>
      </c>
      <c r="F1967" s="10" t="n">
        <v>2439.5</v>
      </c>
      <c r="G1967" s="8" t="s">
        <v>11</v>
      </c>
      <c r="H1967" s="8" t="s">
        <v>12</v>
      </c>
      <c r="I1967" s="11" t="s">
        <v>13</v>
      </c>
      <c r="J1967" s="8" t="s">
        <v>26</v>
      </c>
    </row>
    <row r="1968" customFormat="false" ht="14.25" hidden="false" customHeight="false" outlineLevel="0" collapsed="false">
      <c r="A1968" s="8" t="n">
        <v>1967</v>
      </c>
      <c r="B1968" s="8" t="s">
        <v>145</v>
      </c>
      <c r="C1968" s="8" t="s">
        <v>21</v>
      </c>
      <c r="D1968" s="9" t="n">
        <v>44395</v>
      </c>
      <c r="E1968" s="9" t="str">
        <f aca="false">TEXT(D1968,"MMM")</f>
        <v>jul</v>
      </c>
      <c r="F1968" s="10" t="n">
        <v>3485</v>
      </c>
      <c r="G1968" s="8" t="s">
        <v>11</v>
      </c>
      <c r="H1968" s="8" t="s">
        <v>12</v>
      </c>
      <c r="I1968" s="11" t="s">
        <v>13</v>
      </c>
      <c r="J1968" s="8" t="s">
        <v>14</v>
      </c>
    </row>
    <row r="1969" customFormat="false" ht="14.25" hidden="false" customHeight="false" outlineLevel="0" collapsed="false">
      <c r="A1969" s="8" t="n">
        <v>1968</v>
      </c>
      <c r="B1969" s="8" t="s">
        <v>143</v>
      </c>
      <c r="C1969" s="8" t="s">
        <v>21</v>
      </c>
      <c r="D1969" s="9" t="n">
        <v>44395</v>
      </c>
      <c r="E1969" s="9" t="str">
        <f aca="false">TEXT(D1969,"MMM")</f>
        <v>jul</v>
      </c>
      <c r="F1969" s="10" t="n">
        <v>2857.7</v>
      </c>
      <c r="G1969" s="8" t="s">
        <v>11</v>
      </c>
      <c r="H1969" s="8" t="s">
        <v>12</v>
      </c>
      <c r="I1969" s="11" t="s">
        <v>13</v>
      </c>
      <c r="J1969" s="8" t="s">
        <v>19</v>
      </c>
    </row>
    <row r="1970" customFormat="false" ht="14.25" hidden="false" customHeight="false" outlineLevel="0" collapsed="false">
      <c r="A1970" s="8" t="n">
        <v>1969</v>
      </c>
      <c r="B1970" s="8" t="s">
        <v>15</v>
      </c>
      <c r="C1970" s="8" t="s">
        <v>28</v>
      </c>
      <c r="D1970" s="9" t="n">
        <v>44396</v>
      </c>
      <c r="E1970" s="9" t="str">
        <f aca="false">TEXT(D1970,"MMM")</f>
        <v>jul</v>
      </c>
      <c r="F1970" s="10" t="n">
        <v>2857.7</v>
      </c>
      <c r="G1970" s="8" t="s">
        <v>11</v>
      </c>
      <c r="H1970" s="8" t="s">
        <v>22</v>
      </c>
      <c r="I1970" s="11" t="s">
        <v>23</v>
      </c>
      <c r="J1970" s="8" t="s">
        <v>14</v>
      </c>
    </row>
    <row r="1971" customFormat="false" ht="14.25" hidden="false" customHeight="false" outlineLevel="0" collapsed="false">
      <c r="A1971" s="8" t="n">
        <v>1970</v>
      </c>
      <c r="B1971" s="8" t="s">
        <v>15</v>
      </c>
      <c r="C1971" s="8" t="s">
        <v>10</v>
      </c>
      <c r="D1971" s="9" t="n">
        <v>44396</v>
      </c>
      <c r="E1971" s="9" t="str">
        <f aca="false">TEXT(D1971,"MMM")</f>
        <v>jul</v>
      </c>
      <c r="F1971" s="10" t="n">
        <v>133796.95</v>
      </c>
      <c r="G1971" s="8" t="s">
        <v>11</v>
      </c>
      <c r="H1971" s="8" t="s">
        <v>17</v>
      </c>
      <c r="I1971" s="11" t="s">
        <v>18</v>
      </c>
      <c r="J1971" s="8" t="s">
        <v>24</v>
      </c>
    </row>
    <row r="1972" customFormat="false" ht="14.25" hidden="false" customHeight="false" outlineLevel="0" collapsed="false">
      <c r="A1972" s="8" t="n">
        <v>1971</v>
      </c>
      <c r="B1972" s="8" t="s">
        <v>32</v>
      </c>
      <c r="C1972" s="8" t="s">
        <v>21</v>
      </c>
      <c r="D1972" s="9" t="n">
        <v>44396</v>
      </c>
      <c r="E1972" s="9" t="str">
        <f aca="false">TEXT(D1972,"MMM")</f>
        <v>jul</v>
      </c>
      <c r="F1972" s="10" t="n">
        <v>3485</v>
      </c>
      <c r="G1972" s="8" t="s">
        <v>11</v>
      </c>
      <c r="H1972" s="8" t="s">
        <v>36</v>
      </c>
      <c r="I1972" s="11" t="s">
        <v>37</v>
      </c>
      <c r="J1972" s="8" t="s">
        <v>26</v>
      </c>
    </row>
    <row r="1973" customFormat="false" ht="14.25" hidden="false" customHeight="false" outlineLevel="0" collapsed="false">
      <c r="A1973" s="8" t="n">
        <v>1972</v>
      </c>
      <c r="B1973" s="8" t="s">
        <v>32</v>
      </c>
      <c r="C1973" s="8" t="s">
        <v>16</v>
      </c>
      <c r="D1973" s="9" t="n">
        <v>44396</v>
      </c>
      <c r="E1973" s="9" t="str">
        <f aca="false">TEXT(D1973,"MMM")</f>
        <v>jul</v>
      </c>
      <c r="F1973" s="10" t="n">
        <v>2439.5</v>
      </c>
      <c r="G1973" s="8" t="s">
        <v>11</v>
      </c>
      <c r="H1973" s="8" t="s">
        <v>30</v>
      </c>
      <c r="I1973" s="11" t="s">
        <v>31</v>
      </c>
      <c r="J1973" s="8" t="s">
        <v>14</v>
      </c>
    </row>
    <row r="1974" customFormat="false" ht="14.25" hidden="false" customHeight="false" outlineLevel="0" collapsed="false">
      <c r="A1974" s="8" t="n">
        <v>1973</v>
      </c>
      <c r="B1974" s="8" t="s">
        <v>81</v>
      </c>
      <c r="C1974" s="8" t="s">
        <v>21</v>
      </c>
      <c r="D1974" s="9" t="n">
        <v>44396</v>
      </c>
      <c r="E1974" s="9" t="str">
        <f aca="false">TEXT(D1974,"MMM")</f>
        <v>jul</v>
      </c>
      <c r="F1974" s="10" t="n">
        <v>3561.67</v>
      </c>
      <c r="G1974" s="8" t="s">
        <v>11</v>
      </c>
      <c r="H1974" s="8" t="s">
        <v>30</v>
      </c>
      <c r="I1974" s="11" t="s">
        <v>31</v>
      </c>
      <c r="J1974" s="8" t="s">
        <v>14</v>
      </c>
    </row>
    <row r="1975" customFormat="false" ht="14.25" hidden="false" customHeight="false" outlineLevel="0" collapsed="false">
      <c r="A1975" s="8" t="n">
        <v>1974</v>
      </c>
      <c r="B1975" s="8" t="s">
        <v>81</v>
      </c>
      <c r="C1975" s="8" t="s">
        <v>16</v>
      </c>
      <c r="D1975" s="9" t="n">
        <v>44396</v>
      </c>
      <c r="E1975" s="9" t="str">
        <f aca="false">TEXT(D1975,"MMM")</f>
        <v>jul</v>
      </c>
      <c r="F1975" s="10" t="n">
        <v>3952.43</v>
      </c>
      <c r="G1975" s="8" t="s">
        <v>11</v>
      </c>
      <c r="H1975" s="8" t="s">
        <v>17</v>
      </c>
      <c r="I1975" s="11" t="s">
        <v>18</v>
      </c>
      <c r="J1975" s="8" t="s">
        <v>24</v>
      </c>
    </row>
    <row r="1976" customFormat="false" ht="14.25" hidden="false" customHeight="false" outlineLevel="0" collapsed="false">
      <c r="A1976" s="8" t="n">
        <v>1975</v>
      </c>
      <c r="B1976" s="8" t="s">
        <v>81</v>
      </c>
      <c r="C1976" s="8" t="s">
        <v>16</v>
      </c>
      <c r="D1976" s="9" t="n">
        <v>44396</v>
      </c>
      <c r="E1976" s="9" t="str">
        <f aca="false">TEXT(D1976,"MMM")</f>
        <v>jul</v>
      </c>
      <c r="F1976" s="10" t="n">
        <v>3845.4</v>
      </c>
      <c r="G1976" s="8" t="s">
        <v>11</v>
      </c>
      <c r="H1976" s="8" t="s">
        <v>12</v>
      </c>
      <c r="I1976" s="11" t="s">
        <v>13</v>
      </c>
      <c r="J1976" s="8" t="s">
        <v>26</v>
      </c>
    </row>
    <row r="1977" customFormat="false" ht="14.25" hidden="false" customHeight="false" outlineLevel="0" collapsed="false">
      <c r="A1977" s="8" t="n">
        <v>1976</v>
      </c>
      <c r="B1977" s="8" t="s">
        <v>81</v>
      </c>
      <c r="C1977" s="8" t="s">
        <v>16</v>
      </c>
      <c r="D1977" s="9" t="n">
        <v>44396</v>
      </c>
      <c r="E1977" s="9" t="str">
        <f aca="false">TEXT(D1977,"MMM")</f>
        <v>jul</v>
      </c>
      <c r="F1977" s="10" t="n">
        <v>-5947.62</v>
      </c>
      <c r="G1977" s="8" t="s">
        <v>34</v>
      </c>
      <c r="H1977" s="8" t="s">
        <v>36</v>
      </c>
      <c r="I1977" s="11" t="s">
        <v>37</v>
      </c>
      <c r="J1977" s="8" t="s">
        <v>26</v>
      </c>
    </row>
    <row r="1978" customFormat="false" ht="14.25" hidden="false" customHeight="false" outlineLevel="0" collapsed="false">
      <c r="A1978" s="8" t="n">
        <v>1977</v>
      </c>
      <c r="B1978" s="8" t="s">
        <v>81</v>
      </c>
      <c r="C1978" s="8" t="s">
        <v>21</v>
      </c>
      <c r="D1978" s="9" t="n">
        <v>44396</v>
      </c>
      <c r="E1978" s="9" t="str">
        <f aca="false">TEXT(D1978,"MMM")</f>
        <v>jul</v>
      </c>
      <c r="F1978" s="10" t="n">
        <v>-6435.52</v>
      </c>
      <c r="G1978" s="8" t="s">
        <v>34</v>
      </c>
      <c r="H1978" s="8" t="s">
        <v>12</v>
      </c>
      <c r="I1978" s="11" t="s">
        <v>13</v>
      </c>
      <c r="J1978" s="8" t="s">
        <v>26</v>
      </c>
    </row>
    <row r="1979" customFormat="false" ht="14.25" hidden="false" customHeight="false" outlineLevel="0" collapsed="false">
      <c r="A1979" s="8" t="n">
        <v>1978</v>
      </c>
      <c r="B1979" s="8" t="s">
        <v>81</v>
      </c>
      <c r="C1979" s="8" t="s">
        <v>28</v>
      </c>
      <c r="D1979" s="9" t="n">
        <v>44396</v>
      </c>
      <c r="E1979" s="9" t="str">
        <f aca="false">TEXT(D1979,"MMM")</f>
        <v>jul</v>
      </c>
      <c r="F1979" s="10" t="n">
        <v>-6122.55</v>
      </c>
      <c r="G1979" s="8" t="s">
        <v>34</v>
      </c>
      <c r="H1979" s="8" t="s">
        <v>17</v>
      </c>
      <c r="I1979" s="11" t="s">
        <v>18</v>
      </c>
      <c r="J1979" s="8" t="s">
        <v>14</v>
      </c>
    </row>
    <row r="1980" customFormat="false" ht="14.25" hidden="false" customHeight="false" outlineLevel="0" collapsed="false">
      <c r="A1980" s="8" t="n">
        <v>1979</v>
      </c>
      <c r="B1980" s="8" t="s">
        <v>81</v>
      </c>
      <c r="C1980" s="8" t="s">
        <v>21</v>
      </c>
      <c r="D1980" s="9" t="n">
        <v>44396</v>
      </c>
      <c r="E1980" s="9" t="str">
        <f aca="false">TEXT(D1980,"MMM")</f>
        <v>jul</v>
      </c>
      <c r="F1980" s="10" t="n">
        <v>-5935.13</v>
      </c>
      <c r="G1980" s="8" t="s">
        <v>34</v>
      </c>
      <c r="H1980" s="8" t="s">
        <v>36</v>
      </c>
      <c r="I1980" s="11" t="s">
        <v>37</v>
      </c>
      <c r="J1980" s="8" t="s">
        <v>26</v>
      </c>
    </row>
    <row r="1981" customFormat="false" ht="14.25" hidden="false" customHeight="false" outlineLevel="0" collapsed="false">
      <c r="A1981" s="8" t="n">
        <v>1980</v>
      </c>
      <c r="B1981" s="8" t="s">
        <v>81</v>
      </c>
      <c r="C1981" s="8" t="s">
        <v>28</v>
      </c>
      <c r="D1981" s="9" t="n">
        <v>44396</v>
      </c>
      <c r="E1981" s="9" t="str">
        <f aca="false">TEXT(D1981,"MMM")</f>
        <v>jul</v>
      </c>
      <c r="F1981" s="10" t="n">
        <v>-6129.69</v>
      </c>
      <c r="G1981" s="8" t="s">
        <v>34</v>
      </c>
      <c r="H1981" s="8" t="s">
        <v>22</v>
      </c>
      <c r="I1981" s="11" t="s">
        <v>23</v>
      </c>
      <c r="J1981" s="8" t="s">
        <v>14</v>
      </c>
    </row>
    <row r="1982" customFormat="false" ht="14.25" hidden="false" customHeight="false" outlineLevel="0" collapsed="false">
      <c r="A1982" s="8" t="n">
        <v>1981</v>
      </c>
      <c r="B1982" s="8" t="s">
        <v>81</v>
      </c>
      <c r="C1982" s="8" t="s">
        <v>10</v>
      </c>
      <c r="D1982" s="9" t="n">
        <v>44396</v>
      </c>
      <c r="E1982" s="9" t="str">
        <f aca="false">TEXT(D1982,"MMM")</f>
        <v>jul</v>
      </c>
      <c r="F1982" s="10" t="n">
        <v>-5709.03</v>
      </c>
      <c r="G1982" s="8" t="s">
        <v>34</v>
      </c>
      <c r="H1982" s="8" t="s">
        <v>30</v>
      </c>
      <c r="I1982" s="11" t="s">
        <v>31</v>
      </c>
      <c r="J1982" s="8" t="s">
        <v>14</v>
      </c>
    </row>
    <row r="1983" customFormat="false" ht="14.25" hidden="false" customHeight="false" outlineLevel="0" collapsed="false">
      <c r="A1983" s="8" t="n">
        <v>1982</v>
      </c>
      <c r="B1983" s="8" t="s">
        <v>81</v>
      </c>
      <c r="C1983" s="8" t="s">
        <v>21</v>
      </c>
      <c r="D1983" s="9" t="n">
        <v>44396</v>
      </c>
      <c r="E1983" s="9" t="str">
        <f aca="false">TEXT(D1983,"MMM")</f>
        <v>jul</v>
      </c>
      <c r="F1983" s="10" t="n">
        <v>-6005.93</v>
      </c>
      <c r="G1983" s="8" t="s">
        <v>34</v>
      </c>
      <c r="H1983" s="8" t="s">
        <v>12</v>
      </c>
      <c r="I1983" s="11" t="s">
        <v>13</v>
      </c>
      <c r="J1983" s="8" t="s">
        <v>19</v>
      </c>
    </row>
    <row r="1984" customFormat="false" ht="14.25" hidden="false" customHeight="false" outlineLevel="0" collapsed="false">
      <c r="A1984" s="8" t="n">
        <v>1983</v>
      </c>
      <c r="B1984" s="8" t="s">
        <v>145</v>
      </c>
      <c r="C1984" s="8" t="s">
        <v>28</v>
      </c>
      <c r="D1984" s="9" t="n">
        <v>44397</v>
      </c>
      <c r="E1984" s="9" t="str">
        <f aca="false">TEXT(D1984,"MMM")</f>
        <v>jul</v>
      </c>
      <c r="F1984" s="10" t="n">
        <v>-14034.2</v>
      </c>
      <c r="G1984" s="8" t="s">
        <v>34</v>
      </c>
      <c r="H1984" s="8" t="s">
        <v>22</v>
      </c>
      <c r="I1984" s="11" t="s">
        <v>23</v>
      </c>
      <c r="J1984" s="8" t="s">
        <v>26</v>
      </c>
    </row>
    <row r="1985" customFormat="false" ht="14.25" hidden="false" customHeight="false" outlineLevel="0" collapsed="false">
      <c r="A1985" s="8" t="n">
        <v>1984</v>
      </c>
      <c r="B1985" s="8" t="s">
        <v>39</v>
      </c>
      <c r="C1985" s="8" t="s">
        <v>21</v>
      </c>
      <c r="D1985" s="9" t="n">
        <v>44397</v>
      </c>
      <c r="E1985" s="9" t="str">
        <f aca="false">TEXT(D1985,"MMM")</f>
        <v>jul</v>
      </c>
      <c r="F1985" s="10" t="n">
        <v>130337.35</v>
      </c>
      <c r="G1985" s="8" t="s">
        <v>11</v>
      </c>
      <c r="H1985" s="8" t="s">
        <v>17</v>
      </c>
      <c r="I1985" s="11" t="s">
        <v>18</v>
      </c>
      <c r="J1985" s="8" t="s">
        <v>14</v>
      </c>
    </row>
    <row r="1986" customFormat="false" ht="14.25" hidden="false" customHeight="false" outlineLevel="0" collapsed="false">
      <c r="A1986" s="8" t="n">
        <v>1985</v>
      </c>
      <c r="B1986" s="8" t="s">
        <v>223</v>
      </c>
      <c r="C1986" s="8" t="s">
        <v>16</v>
      </c>
      <c r="D1986" s="9" t="n">
        <v>44400</v>
      </c>
      <c r="E1986" s="9" t="str">
        <f aca="false">TEXT(D1986,"MMM")</f>
        <v>jul</v>
      </c>
      <c r="F1986" s="10" t="n">
        <v>14519.36</v>
      </c>
      <c r="G1986" s="8" t="s">
        <v>11</v>
      </c>
      <c r="H1986" s="8" t="s">
        <v>17</v>
      </c>
      <c r="I1986" s="11" t="s">
        <v>18</v>
      </c>
      <c r="J1986" s="8" t="s">
        <v>14</v>
      </c>
    </row>
    <row r="1987" customFormat="false" ht="14.25" hidden="false" customHeight="false" outlineLevel="0" collapsed="false">
      <c r="A1987" s="8" t="n">
        <v>1986</v>
      </c>
      <c r="B1987" s="8" t="s">
        <v>224</v>
      </c>
      <c r="C1987" s="8" t="s">
        <v>21</v>
      </c>
      <c r="D1987" s="9" t="n">
        <v>44400</v>
      </c>
      <c r="E1987" s="9" t="str">
        <f aca="false">TEXT(D1987,"MMM")</f>
        <v>jul</v>
      </c>
      <c r="F1987" s="10" t="n">
        <v>14519.36</v>
      </c>
      <c r="G1987" s="8" t="s">
        <v>11</v>
      </c>
      <c r="H1987" s="8" t="s">
        <v>17</v>
      </c>
      <c r="I1987" s="11" t="s">
        <v>18</v>
      </c>
      <c r="J1987" s="8" t="s">
        <v>19</v>
      </c>
    </row>
    <row r="1988" customFormat="false" ht="14.25" hidden="false" customHeight="false" outlineLevel="0" collapsed="false">
      <c r="A1988" s="8" t="n">
        <v>1987</v>
      </c>
      <c r="B1988" s="8" t="s">
        <v>225</v>
      </c>
      <c r="C1988" s="8" t="s">
        <v>16</v>
      </c>
      <c r="D1988" s="9" t="n">
        <v>44400</v>
      </c>
      <c r="E1988" s="9" t="str">
        <f aca="false">TEXT(D1988,"MMM")</f>
        <v>jul</v>
      </c>
      <c r="F1988" s="10" t="n">
        <v>184784.57</v>
      </c>
      <c r="G1988" s="8" t="s">
        <v>11</v>
      </c>
      <c r="H1988" s="8" t="s">
        <v>12</v>
      </c>
      <c r="I1988" s="11" t="s">
        <v>13</v>
      </c>
      <c r="J1988" s="8" t="s">
        <v>14</v>
      </c>
    </row>
    <row r="1989" customFormat="false" ht="14.25" hidden="false" customHeight="false" outlineLevel="0" collapsed="false">
      <c r="A1989" s="8" t="n">
        <v>1988</v>
      </c>
      <c r="B1989" s="8" t="s">
        <v>226</v>
      </c>
      <c r="C1989" s="8" t="s">
        <v>16</v>
      </c>
      <c r="D1989" s="9" t="n">
        <v>44400</v>
      </c>
      <c r="E1989" s="9" t="str">
        <f aca="false">TEXT(D1989,"MMM")</f>
        <v>jul</v>
      </c>
      <c r="F1989" s="10" t="n">
        <v>14519.36</v>
      </c>
      <c r="G1989" s="8" t="s">
        <v>11</v>
      </c>
      <c r="H1989" s="8" t="s">
        <v>36</v>
      </c>
      <c r="I1989" s="11" t="s">
        <v>37</v>
      </c>
      <c r="J1989" s="8" t="s">
        <v>14</v>
      </c>
    </row>
    <row r="1990" customFormat="false" ht="14.25" hidden="false" customHeight="false" outlineLevel="0" collapsed="false">
      <c r="A1990" s="8" t="n">
        <v>1989</v>
      </c>
      <c r="B1990" s="8" t="s">
        <v>227</v>
      </c>
      <c r="C1990" s="8" t="s">
        <v>16</v>
      </c>
      <c r="D1990" s="9" t="n">
        <v>44400</v>
      </c>
      <c r="E1990" s="9" t="str">
        <f aca="false">TEXT(D1990,"MMM")</f>
        <v>jul</v>
      </c>
      <c r="F1990" s="10" t="n">
        <v>-1895.39</v>
      </c>
      <c r="G1990" s="8" t="s">
        <v>34</v>
      </c>
      <c r="H1990" s="8" t="s">
        <v>36</v>
      </c>
      <c r="I1990" s="11" t="s">
        <v>37</v>
      </c>
      <c r="J1990" s="8" t="s">
        <v>24</v>
      </c>
    </row>
    <row r="1991" customFormat="false" ht="14.25" hidden="false" customHeight="false" outlineLevel="0" collapsed="false">
      <c r="A1991" s="8" t="n">
        <v>1990</v>
      </c>
      <c r="B1991" s="8" t="s">
        <v>228</v>
      </c>
      <c r="C1991" s="8" t="s">
        <v>10</v>
      </c>
      <c r="D1991" s="9" t="n">
        <v>44400</v>
      </c>
      <c r="E1991" s="9" t="str">
        <f aca="false">TEXT(D1991,"MMM")</f>
        <v>jul</v>
      </c>
      <c r="F1991" s="10" t="n">
        <v>-6932.45</v>
      </c>
      <c r="G1991" s="8" t="s">
        <v>34</v>
      </c>
      <c r="H1991" s="8" t="s">
        <v>17</v>
      </c>
      <c r="I1991" s="11" t="s">
        <v>18</v>
      </c>
      <c r="J1991" s="8" t="s">
        <v>14</v>
      </c>
    </row>
    <row r="1992" customFormat="false" ht="14.25" hidden="false" customHeight="false" outlineLevel="0" collapsed="false">
      <c r="A1992" s="8" t="n">
        <v>1991</v>
      </c>
      <c r="B1992" s="8" t="s">
        <v>229</v>
      </c>
      <c r="C1992" s="8" t="s">
        <v>21</v>
      </c>
      <c r="D1992" s="9" t="n">
        <v>44400</v>
      </c>
      <c r="E1992" s="9" t="str">
        <f aca="false">TEXT(D1992,"MMM")</f>
        <v>jul</v>
      </c>
      <c r="F1992" s="10" t="n">
        <v>-4807.39</v>
      </c>
      <c r="G1992" s="8" t="s">
        <v>34</v>
      </c>
      <c r="H1992" s="8" t="s">
        <v>12</v>
      </c>
      <c r="I1992" s="11" t="s">
        <v>13</v>
      </c>
      <c r="J1992" s="8" t="s">
        <v>14</v>
      </c>
    </row>
    <row r="1993" customFormat="false" ht="14.25" hidden="false" customHeight="false" outlineLevel="0" collapsed="false">
      <c r="A1993" s="8" t="n">
        <v>1992</v>
      </c>
      <c r="B1993" s="8" t="s">
        <v>230</v>
      </c>
      <c r="C1993" s="8" t="s">
        <v>16</v>
      </c>
      <c r="D1993" s="9" t="n">
        <v>44400</v>
      </c>
      <c r="E1993" s="9" t="str">
        <f aca="false">TEXT(D1993,"MMM")</f>
        <v>jul</v>
      </c>
      <c r="F1993" s="10" t="n">
        <v>-3047.21</v>
      </c>
      <c r="G1993" s="8" t="s">
        <v>34</v>
      </c>
      <c r="H1993" s="8" t="s">
        <v>17</v>
      </c>
      <c r="I1993" s="11" t="s">
        <v>18</v>
      </c>
      <c r="J1993" s="8" t="s">
        <v>24</v>
      </c>
    </row>
    <row r="1994" customFormat="false" ht="14.25" hidden="false" customHeight="false" outlineLevel="0" collapsed="false">
      <c r="A1994" s="8" t="n">
        <v>1993</v>
      </c>
      <c r="B1994" s="8" t="s">
        <v>231</v>
      </c>
      <c r="C1994" s="8" t="s">
        <v>10</v>
      </c>
      <c r="D1994" s="9" t="n">
        <v>44400</v>
      </c>
      <c r="E1994" s="9" t="str">
        <f aca="false">TEXT(D1994,"MMM")</f>
        <v>jul</v>
      </c>
      <c r="F1994" s="10" t="n">
        <v>-2860.31</v>
      </c>
      <c r="G1994" s="8" t="s">
        <v>34</v>
      </c>
      <c r="H1994" s="8" t="s">
        <v>36</v>
      </c>
      <c r="I1994" s="11" t="s">
        <v>37</v>
      </c>
      <c r="J1994" s="8" t="s">
        <v>26</v>
      </c>
    </row>
    <row r="1995" customFormat="false" ht="14.25" hidden="false" customHeight="false" outlineLevel="0" collapsed="false">
      <c r="A1995" s="8" t="n">
        <v>1994</v>
      </c>
      <c r="B1995" s="8" t="s">
        <v>232</v>
      </c>
      <c r="C1995" s="8" t="s">
        <v>21</v>
      </c>
      <c r="D1995" s="9" t="n">
        <v>44400</v>
      </c>
      <c r="E1995" s="9" t="str">
        <f aca="false">TEXT(D1995,"MMM")</f>
        <v>jul</v>
      </c>
      <c r="F1995" s="10" t="n">
        <v>-183.44</v>
      </c>
      <c r="G1995" s="8" t="s">
        <v>34</v>
      </c>
      <c r="H1995" s="8" t="s">
        <v>12</v>
      </c>
      <c r="I1995" s="11" t="s">
        <v>13</v>
      </c>
      <c r="J1995" s="8" t="s">
        <v>19</v>
      </c>
    </row>
    <row r="1996" customFormat="false" ht="14.25" hidden="false" customHeight="false" outlineLevel="0" collapsed="false">
      <c r="A1996" s="8" t="n">
        <v>1995</v>
      </c>
      <c r="B1996" s="8" t="s">
        <v>233</v>
      </c>
      <c r="C1996" s="8" t="s">
        <v>16</v>
      </c>
      <c r="D1996" s="9" t="n">
        <v>44401</v>
      </c>
      <c r="E1996" s="9" t="str">
        <f aca="false">TEXT(D1996,"MMM")</f>
        <v>jul</v>
      </c>
      <c r="F1996" s="10" t="n">
        <v>-2769.66</v>
      </c>
      <c r="G1996" s="8" t="s">
        <v>34</v>
      </c>
      <c r="H1996" s="8" t="s">
        <v>12</v>
      </c>
      <c r="I1996" s="11" t="s">
        <v>13</v>
      </c>
      <c r="J1996" s="8" t="s">
        <v>14</v>
      </c>
    </row>
    <row r="1997" customFormat="false" ht="14.25" hidden="false" customHeight="false" outlineLevel="0" collapsed="false">
      <c r="A1997" s="8" t="n">
        <v>1996</v>
      </c>
      <c r="B1997" s="8" t="s">
        <v>66</v>
      </c>
      <c r="C1997" s="8" t="s">
        <v>21</v>
      </c>
      <c r="D1997" s="9" t="n">
        <v>44401</v>
      </c>
      <c r="E1997" s="9" t="str">
        <f aca="false">TEXT(D1997,"MMM")</f>
        <v>jul</v>
      </c>
      <c r="F1997" s="10" t="n">
        <v>-14244.3</v>
      </c>
      <c r="G1997" s="8" t="s">
        <v>34</v>
      </c>
      <c r="H1997" s="8" t="s">
        <v>17</v>
      </c>
      <c r="I1997" s="11" t="s">
        <v>18</v>
      </c>
      <c r="J1997" s="8" t="s">
        <v>26</v>
      </c>
    </row>
    <row r="1998" customFormat="false" ht="14.25" hidden="false" customHeight="false" outlineLevel="0" collapsed="false">
      <c r="A1998" s="8" t="n">
        <v>1997</v>
      </c>
      <c r="B1998" s="8" t="s">
        <v>75</v>
      </c>
      <c r="C1998" s="8" t="s">
        <v>16</v>
      </c>
      <c r="D1998" s="9" t="n">
        <v>44401</v>
      </c>
      <c r="E1998" s="9" t="str">
        <f aca="false">TEXT(D1998,"MMM")</f>
        <v>jul</v>
      </c>
      <c r="F1998" s="10" t="n">
        <v>-98349.41</v>
      </c>
      <c r="G1998" s="8" t="s">
        <v>34</v>
      </c>
      <c r="H1998" s="8" t="s">
        <v>12</v>
      </c>
      <c r="I1998" s="11" t="s">
        <v>13</v>
      </c>
      <c r="J1998" s="8" t="s">
        <v>19</v>
      </c>
    </row>
    <row r="1999" customFormat="false" ht="14.25" hidden="false" customHeight="false" outlineLevel="0" collapsed="false">
      <c r="A1999" s="8" t="n">
        <v>1998</v>
      </c>
      <c r="B1999" s="8" t="s">
        <v>66</v>
      </c>
      <c r="C1999" s="8" t="s">
        <v>21</v>
      </c>
      <c r="D1999" s="9" t="n">
        <v>44401</v>
      </c>
      <c r="E1999" s="9" t="str">
        <f aca="false">TEXT(D1999,"MMM")</f>
        <v>jul</v>
      </c>
      <c r="F1999" s="10" t="n">
        <v>-27883.03</v>
      </c>
      <c r="G1999" s="8" t="s">
        <v>34</v>
      </c>
      <c r="H1999" s="8" t="s">
        <v>30</v>
      </c>
      <c r="I1999" s="11" t="s">
        <v>31</v>
      </c>
      <c r="J1999" s="8" t="s">
        <v>24</v>
      </c>
    </row>
    <row r="2000" customFormat="false" ht="14.25" hidden="false" customHeight="false" outlineLevel="0" collapsed="false">
      <c r="A2000" s="8" t="n">
        <v>1999</v>
      </c>
      <c r="B2000" s="8" t="s">
        <v>39</v>
      </c>
      <c r="C2000" s="8" t="s">
        <v>21</v>
      </c>
      <c r="D2000" s="9" t="n">
        <v>44401</v>
      </c>
      <c r="E2000" s="9" t="str">
        <f aca="false">TEXT(D2000,"MMM")</f>
        <v>jul</v>
      </c>
      <c r="F2000" s="10" t="n">
        <v>-28192.61</v>
      </c>
      <c r="G2000" s="8" t="s">
        <v>34</v>
      </c>
      <c r="H2000" s="8" t="s">
        <v>22</v>
      </c>
      <c r="I2000" s="11" t="s">
        <v>23</v>
      </c>
      <c r="J2000" s="8" t="s">
        <v>14</v>
      </c>
    </row>
    <row r="2001" customFormat="false" ht="14.25" hidden="false" customHeight="false" outlineLevel="0" collapsed="false">
      <c r="A2001" s="8" t="n">
        <v>2000</v>
      </c>
      <c r="B2001" s="8" t="s">
        <v>66</v>
      </c>
      <c r="C2001" s="8" t="s">
        <v>10</v>
      </c>
      <c r="D2001" s="9" t="n">
        <v>44401</v>
      </c>
      <c r="E2001" s="9" t="str">
        <f aca="false">TEXT(D2001,"MMM")</f>
        <v>jul</v>
      </c>
      <c r="F2001" s="10" t="n">
        <v>21250</v>
      </c>
      <c r="G2001" s="8" t="s">
        <v>11</v>
      </c>
      <c r="H2001" s="8" t="s">
        <v>17</v>
      </c>
      <c r="I2001" s="11" t="s">
        <v>18</v>
      </c>
      <c r="J2001" s="8" t="s">
        <v>24</v>
      </c>
    </row>
    <row r="2002" customFormat="false" ht="14.25" hidden="false" customHeight="false" outlineLevel="0" collapsed="false">
      <c r="A2002" s="8" t="n">
        <v>2001</v>
      </c>
      <c r="B2002" s="8" t="s">
        <v>66</v>
      </c>
      <c r="C2002" s="8" t="s">
        <v>10</v>
      </c>
      <c r="D2002" s="9" t="n">
        <v>44401</v>
      </c>
      <c r="E2002" s="9" t="str">
        <f aca="false">TEXT(D2002,"MMM")</f>
        <v>jul</v>
      </c>
      <c r="F2002" s="10" t="n">
        <v>21250</v>
      </c>
      <c r="G2002" s="8" t="s">
        <v>11</v>
      </c>
      <c r="H2002" s="8" t="s">
        <v>30</v>
      </c>
      <c r="I2002" s="11" t="s">
        <v>31</v>
      </c>
      <c r="J2002" s="8" t="s">
        <v>24</v>
      </c>
    </row>
    <row r="2003" customFormat="false" ht="14.25" hidden="false" customHeight="false" outlineLevel="0" collapsed="false">
      <c r="A2003" s="8" t="n">
        <v>2002</v>
      </c>
      <c r="B2003" s="8" t="s">
        <v>66</v>
      </c>
      <c r="C2003" s="8" t="s">
        <v>10</v>
      </c>
      <c r="D2003" s="9" t="n">
        <v>44401</v>
      </c>
      <c r="E2003" s="9" t="str">
        <f aca="false">TEXT(D2003,"MMM")</f>
        <v>jul</v>
      </c>
      <c r="F2003" s="10" t="n">
        <v>21250</v>
      </c>
      <c r="G2003" s="8" t="s">
        <v>11</v>
      </c>
      <c r="H2003" s="8" t="s">
        <v>22</v>
      </c>
      <c r="I2003" s="11" t="s">
        <v>23</v>
      </c>
      <c r="J2003" s="8" t="s">
        <v>26</v>
      </c>
    </row>
    <row r="2004" customFormat="false" ht="14.25" hidden="false" customHeight="false" outlineLevel="0" collapsed="false">
      <c r="A2004" s="8" t="n">
        <v>2003</v>
      </c>
      <c r="B2004" s="8" t="s">
        <v>66</v>
      </c>
      <c r="C2004" s="8" t="s">
        <v>21</v>
      </c>
      <c r="D2004" s="9" t="n">
        <v>44401</v>
      </c>
      <c r="E2004" s="9" t="str">
        <f aca="false">TEXT(D2004,"MMM")</f>
        <v>jul</v>
      </c>
      <c r="F2004" s="10" t="n">
        <v>-737.14</v>
      </c>
      <c r="G2004" s="8" t="s">
        <v>34</v>
      </c>
      <c r="H2004" s="8" t="s">
        <v>17</v>
      </c>
      <c r="I2004" s="11" t="s">
        <v>18</v>
      </c>
      <c r="J2004" s="8" t="s">
        <v>14</v>
      </c>
    </row>
    <row r="2005" customFormat="false" ht="14.25" hidden="false" customHeight="false" outlineLevel="0" collapsed="false">
      <c r="A2005" s="8" t="n">
        <v>2004</v>
      </c>
      <c r="B2005" s="8" t="s">
        <v>66</v>
      </c>
      <c r="C2005" s="8" t="s">
        <v>28</v>
      </c>
      <c r="D2005" s="9" t="n">
        <v>44401</v>
      </c>
      <c r="E2005" s="9" t="str">
        <f aca="false">TEXT(D2005,"MMM")</f>
        <v>jul</v>
      </c>
      <c r="F2005" s="10" t="n">
        <v>-6991.46</v>
      </c>
      <c r="G2005" s="8" t="s">
        <v>34</v>
      </c>
      <c r="H2005" s="8" t="s">
        <v>17</v>
      </c>
      <c r="I2005" s="11" t="s">
        <v>18</v>
      </c>
      <c r="J2005" s="8" t="s">
        <v>14</v>
      </c>
    </row>
    <row r="2006" customFormat="false" ht="14.25" hidden="false" customHeight="false" outlineLevel="0" collapsed="false">
      <c r="A2006" s="8" t="n">
        <v>2005</v>
      </c>
      <c r="B2006" s="8" t="s">
        <v>66</v>
      </c>
      <c r="C2006" s="8" t="s">
        <v>21</v>
      </c>
      <c r="D2006" s="9" t="n">
        <v>44401</v>
      </c>
      <c r="E2006" s="9" t="str">
        <f aca="false">TEXT(D2006,"MMM")</f>
        <v>jul</v>
      </c>
      <c r="F2006" s="10" t="n">
        <v>-9425.36</v>
      </c>
      <c r="G2006" s="8" t="s">
        <v>34</v>
      </c>
      <c r="H2006" s="8" t="s">
        <v>12</v>
      </c>
      <c r="I2006" s="11" t="s">
        <v>13</v>
      </c>
      <c r="J2006" s="8" t="s">
        <v>26</v>
      </c>
    </row>
    <row r="2007" customFormat="false" ht="14.25" hidden="false" customHeight="false" outlineLevel="0" collapsed="false">
      <c r="A2007" s="8" t="n">
        <v>2006</v>
      </c>
      <c r="B2007" s="8" t="s">
        <v>66</v>
      </c>
      <c r="C2007" s="8" t="s">
        <v>21</v>
      </c>
      <c r="D2007" s="9" t="n">
        <v>44401</v>
      </c>
      <c r="E2007" s="9" t="str">
        <f aca="false">TEXT(D2007,"MMM")</f>
        <v>jul</v>
      </c>
      <c r="F2007" s="10" t="n">
        <v>-150.4</v>
      </c>
      <c r="G2007" s="8" t="s">
        <v>34</v>
      </c>
      <c r="H2007" s="8" t="s">
        <v>12</v>
      </c>
      <c r="I2007" s="11" t="s">
        <v>13</v>
      </c>
      <c r="J2007" s="8" t="s">
        <v>26</v>
      </c>
    </row>
    <row r="2008" customFormat="false" ht="14.25" hidden="false" customHeight="false" outlineLevel="0" collapsed="false">
      <c r="A2008" s="8" t="n">
        <v>2007</v>
      </c>
      <c r="B2008" s="8" t="s">
        <v>66</v>
      </c>
      <c r="C2008" s="8" t="s">
        <v>10</v>
      </c>
      <c r="D2008" s="9" t="n">
        <v>44401</v>
      </c>
      <c r="E2008" s="9" t="str">
        <f aca="false">TEXT(D2008,"MMM")</f>
        <v>jul</v>
      </c>
      <c r="F2008" s="10" t="n">
        <v>-28426.16</v>
      </c>
      <c r="G2008" s="8" t="s">
        <v>34</v>
      </c>
      <c r="H2008" s="8" t="s">
        <v>36</v>
      </c>
      <c r="I2008" s="11" t="s">
        <v>37</v>
      </c>
      <c r="J2008" s="8" t="s">
        <v>26</v>
      </c>
    </row>
    <row r="2009" customFormat="false" ht="14.25" hidden="false" customHeight="false" outlineLevel="0" collapsed="false">
      <c r="A2009" s="8" t="n">
        <v>2008</v>
      </c>
      <c r="B2009" s="8" t="s">
        <v>41</v>
      </c>
      <c r="C2009" s="8" t="s">
        <v>28</v>
      </c>
      <c r="D2009" s="9" t="n">
        <v>44402</v>
      </c>
      <c r="E2009" s="9" t="str">
        <f aca="false">TEXT(D2009,"MMM")</f>
        <v>jul</v>
      </c>
      <c r="F2009" s="10" t="n">
        <v>145490.38</v>
      </c>
      <c r="G2009" s="8" t="s">
        <v>11</v>
      </c>
      <c r="H2009" s="8" t="s">
        <v>17</v>
      </c>
      <c r="I2009" s="11" t="s">
        <v>18</v>
      </c>
      <c r="J2009" s="8" t="s">
        <v>14</v>
      </c>
    </row>
    <row r="2010" customFormat="false" ht="14.25" hidden="false" customHeight="false" outlineLevel="0" collapsed="false">
      <c r="A2010" s="8" t="n">
        <v>2009</v>
      </c>
      <c r="B2010" s="8" t="s">
        <v>145</v>
      </c>
      <c r="C2010" s="8" t="s">
        <v>21</v>
      </c>
      <c r="D2010" s="9" t="n">
        <v>44402</v>
      </c>
      <c r="E2010" s="9" t="str">
        <f aca="false">TEXT(D2010,"MMM")</f>
        <v>jul</v>
      </c>
      <c r="F2010" s="10" t="n">
        <v>141167.45</v>
      </c>
      <c r="G2010" s="8" t="s">
        <v>11</v>
      </c>
      <c r="H2010" s="8" t="s">
        <v>36</v>
      </c>
      <c r="I2010" s="11" t="s">
        <v>37</v>
      </c>
      <c r="J2010" s="8" t="s">
        <v>14</v>
      </c>
    </row>
    <row r="2011" customFormat="false" ht="14.25" hidden="false" customHeight="false" outlineLevel="0" collapsed="false">
      <c r="A2011" s="8" t="n">
        <v>2010</v>
      </c>
      <c r="B2011" s="8" t="s">
        <v>52</v>
      </c>
      <c r="C2011" s="8" t="s">
        <v>16</v>
      </c>
      <c r="D2011" s="9" t="n">
        <v>44402</v>
      </c>
      <c r="E2011" s="9" t="str">
        <f aca="false">TEXT(D2011,"MMM")</f>
        <v>jul</v>
      </c>
      <c r="F2011" s="10" t="n">
        <v>163523.64</v>
      </c>
      <c r="G2011" s="8" t="s">
        <v>11</v>
      </c>
      <c r="H2011" s="8" t="s">
        <v>12</v>
      </c>
      <c r="I2011" s="11" t="s">
        <v>13</v>
      </c>
      <c r="J2011" s="8" t="s">
        <v>26</v>
      </c>
    </row>
    <row r="2012" customFormat="false" ht="14.25" hidden="false" customHeight="false" outlineLevel="0" collapsed="false">
      <c r="A2012" s="8" t="n">
        <v>2011</v>
      </c>
      <c r="B2012" s="8" t="s">
        <v>52</v>
      </c>
      <c r="C2012" s="8" t="s">
        <v>10</v>
      </c>
      <c r="D2012" s="9" t="n">
        <v>44402</v>
      </c>
      <c r="E2012" s="9" t="str">
        <f aca="false">TEXT(D2012,"MMM")</f>
        <v>jul</v>
      </c>
      <c r="F2012" s="10" t="n">
        <v>-23064.9</v>
      </c>
      <c r="G2012" s="8" t="s">
        <v>34</v>
      </c>
      <c r="H2012" s="8" t="s">
        <v>36</v>
      </c>
      <c r="I2012" s="11" t="s">
        <v>37</v>
      </c>
      <c r="J2012" s="8" t="s">
        <v>14</v>
      </c>
    </row>
    <row r="2013" customFormat="false" ht="14.25" hidden="false" customHeight="false" outlineLevel="0" collapsed="false">
      <c r="A2013" s="8" t="n">
        <v>2012</v>
      </c>
      <c r="B2013" s="8" t="s">
        <v>52</v>
      </c>
      <c r="C2013" s="8" t="s">
        <v>10</v>
      </c>
      <c r="D2013" s="9" t="n">
        <v>44402</v>
      </c>
      <c r="E2013" s="9" t="str">
        <f aca="false">TEXT(D2013,"MMM")</f>
        <v>jul</v>
      </c>
      <c r="F2013" s="10" t="n">
        <v>-11143.27</v>
      </c>
      <c r="G2013" s="8" t="s">
        <v>34</v>
      </c>
      <c r="H2013" s="8" t="s">
        <v>12</v>
      </c>
      <c r="I2013" s="11" t="s">
        <v>13</v>
      </c>
      <c r="J2013" s="8" t="s">
        <v>26</v>
      </c>
    </row>
    <row r="2014" customFormat="false" ht="14.25" hidden="false" customHeight="false" outlineLevel="0" collapsed="false">
      <c r="A2014" s="8" t="n">
        <v>2013</v>
      </c>
      <c r="B2014" s="8" t="s">
        <v>117</v>
      </c>
      <c r="C2014" s="8" t="s">
        <v>21</v>
      </c>
      <c r="D2014" s="9" t="n">
        <v>44403</v>
      </c>
      <c r="E2014" s="9" t="str">
        <f aca="false">TEXT(D2014,"MMM")</f>
        <v>jul</v>
      </c>
      <c r="F2014" s="10" t="n">
        <v>15346.59</v>
      </c>
      <c r="G2014" s="8" t="s">
        <v>11</v>
      </c>
      <c r="H2014" s="8" t="s">
        <v>12</v>
      </c>
      <c r="I2014" s="11" t="s">
        <v>13</v>
      </c>
      <c r="J2014" s="8" t="s">
        <v>14</v>
      </c>
    </row>
    <row r="2015" customFormat="false" ht="14.25" hidden="false" customHeight="false" outlineLevel="0" collapsed="false">
      <c r="A2015" s="8" t="n">
        <v>2014</v>
      </c>
      <c r="B2015" s="8" t="s">
        <v>174</v>
      </c>
      <c r="C2015" s="8" t="s">
        <v>16</v>
      </c>
      <c r="D2015" s="9" t="n">
        <v>44404</v>
      </c>
      <c r="E2015" s="9" t="str">
        <f aca="false">TEXT(D2015,"MMM")</f>
        <v>jul</v>
      </c>
      <c r="F2015" s="10" t="n">
        <v>17897.69</v>
      </c>
      <c r="G2015" s="8" t="s">
        <v>11</v>
      </c>
      <c r="H2015" s="8" t="s">
        <v>17</v>
      </c>
      <c r="I2015" s="11" t="s">
        <v>18</v>
      </c>
      <c r="J2015" s="8" t="s">
        <v>26</v>
      </c>
    </row>
    <row r="2016" customFormat="false" ht="14.25" hidden="false" customHeight="false" outlineLevel="0" collapsed="false">
      <c r="A2016" s="8" t="n">
        <v>2015</v>
      </c>
      <c r="B2016" s="8" t="s">
        <v>213</v>
      </c>
      <c r="C2016" s="8" t="s">
        <v>10</v>
      </c>
      <c r="D2016" s="9" t="n">
        <v>44404</v>
      </c>
      <c r="E2016" s="9" t="str">
        <f aca="false">TEXT(D2016,"MMM")</f>
        <v>jul</v>
      </c>
      <c r="F2016" s="10" t="n">
        <v>15909.89</v>
      </c>
      <c r="G2016" s="8" t="s">
        <v>11</v>
      </c>
      <c r="H2016" s="8" t="s">
        <v>17</v>
      </c>
      <c r="I2016" s="11" t="s">
        <v>18</v>
      </c>
      <c r="J2016" s="8" t="s">
        <v>24</v>
      </c>
    </row>
    <row r="2017" customFormat="false" ht="14.25" hidden="false" customHeight="false" outlineLevel="0" collapsed="false">
      <c r="A2017" s="8" t="n">
        <v>2016</v>
      </c>
      <c r="B2017" s="8" t="s">
        <v>145</v>
      </c>
      <c r="C2017" s="8" t="s">
        <v>28</v>
      </c>
      <c r="D2017" s="9" t="n">
        <v>44404</v>
      </c>
      <c r="E2017" s="9" t="str">
        <f aca="false">TEXT(D2017,"MMM")</f>
        <v>jul</v>
      </c>
      <c r="F2017" s="10" t="n">
        <v>16228.27</v>
      </c>
      <c r="G2017" s="8" t="s">
        <v>11</v>
      </c>
      <c r="H2017" s="8" t="s">
        <v>30</v>
      </c>
      <c r="I2017" s="11" t="s">
        <v>31</v>
      </c>
      <c r="J2017" s="8" t="s">
        <v>14</v>
      </c>
    </row>
    <row r="2018" customFormat="false" ht="14.25" hidden="false" customHeight="false" outlineLevel="0" collapsed="false">
      <c r="A2018" s="8" t="n">
        <v>2017</v>
      </c>
      <c r="B2018" s="8" t="s">
        <v>183</v>
      </c>
      <c r="C2018" s="8" t="s">
        <v>16</v>
      </c>
      <c r="D2018" s="9" t="n">
        <v>44407</v>
      </c>
      <c r="E2018" s="9" t="str">
        <f aca="false">TEXT(D2018,"MMM")</f>
        <v>jul</v>
      </c>
      <c r="F2018" s="10" t="n">
        <v>15078.71</v>
      </c>
      <c r="G2018" s="8" t="s">
        <v>11</v>
      </c>
      <c r="H2018" s="8" t="s">
        <v>12</v>
      </c>
      <c r="I2018" s="11" t="s">
        <v>13</v>
      </c>
      <c r="J2018" s="8" t="s">
        <v>24</v>
      </c>
    </row>
    <row r="2019" customFormat="false" ht="14.25" hidden="false" customHeight="false" outlineLevel="0" collapsed="false">
      <c r="A2019" s="8" t="n">
        <v>2018</v>
      </c>
      <c r="B2019" s="8" t="s">
        <v>160</v>
      </c>
      <c r="C2019" s="8" t="s">
        <v>21</v>
      </c>
      <c r="D2019" s="9" t="n">
        <v>44407</v>
      </c>
      <c r="E2019" s="9" t="str">
        <f aca="false">TEXT(D2019,"MMM")</f>
        <v>jul</v>
      </c>
      <c r="F2019" s="10" t="n">
        <v>15279.54</v>
      </c>
      <c r="G2019" s="8" t="s">
        <v>11</v>
      </c>
      <c r="H2019" s="8" t="s">
        <v>36</v>
      </c>
      <c r="I2019" s="11" t="s">
        <v>37</v>
      </c>
      <c r="J2019" s="8" t="s">
        <v>14</v>
      </c>
    </row>
    <row r="2020" customFormat="false" ht="14.25" hidden="false" customHeight="false" outlineLevel="0" collapsed="false">
      <c r="A2020" s="8" t="n">
        <v>2019</v>
      </c>
      <c r="B2020" s="8" t="s">
        <v>179</v>
      </c>
      <c r="C2020" s="8" t="s">
        <v>28</v>
      </c>
      <c r="D2020" s="9" t="n">
        <v>44407</v>
      </c>
      <c r="E2020" s="9" t="str">
        <f aca="false">TEXT(D2020,"MMM")</f>
        <v>jul</v>
      </c>
      <c r="F2020" s="10" t="n">
        <v>15114.57</v>
      </c>
      <c r="G2020" s="8" t="s">
        <v>11</v>
      </c>
      <c r="H2020" s="8" t="s">
        <v>12</v>
      </c>
      <c r="I2020" s="11" t="s">
        <v>13</v>
      </c>
      <c r="J2020" s="8" t="s">
        <v>14</v>
      </c>
    </row>
    <row r="2021" customFormat="false" ht="14.25" hidden="false" customHeight="false" outlineLevel="0" collapsed="false">
      <c r="A2021" s="8" t="n">
        <v>2020</v>
      </c>
      <c r="B2021" s="8" t="s">
        <v>171</v>
      </c>
      <c r="C2021" s="8" t="s">
        <v>16</v>
      </c>
      <c r="D2021" s="9" t="n">
        <v>44407</v>
      </c>
      <c r="E2021" s="9" t="str">
        <f aca="false">TEXT(D2021,"MMM")</f>
        <v>jul</v>
      </c>
      <c r="F2021" s="10" t="n">
        <v>17492.21</v>
      </c>
      <c r="G2021" s="8" t="s">
        <v>11</v>
      </c>
      <c r="H2021" s="8" t="s">
        <v>12</v>
      </c>
      <c r="I2021" s="11" t="s">
        <v>13</v>
      </c>
      <c r="J2021" s="8" t="s">
        <v>14</v>
      </c>
    </row>
    <row r="2022" customFormat="false" ht="14.25" hidden="false" customHeight="false" outlineLevel="0" collapsed="false">
      <c r="A2022" s="8" t="n">
        <v>2021</v>
      </c>
      <c r="B2022" s="8" t="s">
        <v>211</v>
      </c>
      <c r="C2022" s="8" t="s">
        <v>21</v>
      </c>
      <c r="D2022" s="9" t="n">
        <v>44407</v>
      </c>
      <c r="E2022" s="9" t="str">
        <f aca="false">TEXT(D2022,"MMM")</f>
        <v>jul</v>
      </c>
      <c r="F2022" s="10" t="n">
        <v>15135.12</v>
      </c>
      <c r="G2022" s="8" t="s">
        <v>11</v>
      </c>
      <c r="H2022" s="8" t="s">
        <v>17</v>
      </c>
      <c r="I2022" s="11" t="s">
        <v>18</v>
      </c>
      <c r="J2022" s="8" t="s">
        <v>19</v>
      </c>
    </row>
    <row r="2023" customFormat="false" ht="14.25" hidden="false" customHeight="false" outlineLevel="0" collapsed="false">
      <c r="A2023" s="8" t="n">
        <v>2022</v>
      </c>
      <c r="B2023" s="8" t="s">
        <v>207</v>
      </c>
      <c r="C2023" s="8" t="s">
        <v>10</v>
      </c>
      <c r="D2023" s="9" t="n">
        <v>44407</v>
      </c>
      <c r="E2023" s="9" t="str">
        <f aca="false">TEXT(D2023,"MMM")</f>
        <v>jul</v>
      </c>
      <c r="F2023" s="10" t="n">
        <v>14795</v>
      </c>
      <c r="G2023" s="8" t="s">
        <v>11</v>
      </c>
      <c r="H2023" s="8" t="s">
        <v>12</v>
      </c>
      <c r="I2023" s="11" t="s">
        <v>13</v>
      </c>
      <c r="J2023" s="8" t="s">
        <v>14</v>
      </c>
    </row>
    <row r="2024" customFormat="false" ht="14.25" hidden="false" customHeight="false" outlineLevel="0" collapsed="false">
      <c r="A2024" s="8" t="n">
        <v>2023</v>
      </c>
      <c r="B2024" s="8" t="s">
        <v>85</v>
      </c>
      <c r="C2024" s="8" t="s">
        <v>16</v>
      </c>
      <c r="D2024" s="9" t="n">
        <v>44407</v>
      </c>
      <c r="E2024" s="9" t="str">
        <f aca="false">TEXT(D2024,"MMM")</f>
        <v>jul</v>
      </c>
      <c r="F2024" s="10" t="n">
        <v>16068.9</v>
      </c>
      <c r="G2024" s="8" t="s">
        <v>11</v>
      </c>
      <c r="H2024" s="8" t="s">
        <v>36</v>
      </c>
      <c r="I2024" s="11" t="s">
        <v>37</v>
      </c>
      <c r="J2024" s="8" t="s">
        <v>26</v>
      </c>
    </row>
    <row r="2025" customFormat="false" ht="14.25" hidden="false" customHeight="false" outlineLevel="0" collapsed="false">
      <c r="A2025" s="8" t="n">
        <v>2024</v>
      </c>
      <c r="B2025" s="8" t="s">
        <v>40</v>
      </c>
      <c r="C2025" s="8" t="s">
        <v>21</v>
      </c>
      <c r="D2025" s="9" t="n">
        <v>44407</v>
      </c>
      <c r="E2025" s="9" t="str">
        <f aca="false">TEXT(D2025,"MMM")</f>
        <v>jul</v>
      </c>
      <c r="F2025" s="10" t="n">
        <v>8831.52</v>
      </c>
      <c r="G2025" s="8" t="s">
        <v>11</v>
      </c>
      <c r="H2025" s="8" t="s">
        <v>36</v>
      </c>
      <c r="I2025" s="11" t="s">
        <v>37</v>
      </c>
      <c r="J2025" s="8" t="s">
        <v>26</v>
      </c>
    </row>
    <row r="2026" customFormat="false" ht="14.25" hidden="false" customHeight="false" outlineLevel="0" collapsed="false">
      <c r="A2026" s="8" t="n">
        <v>2025</v>
      </c>
      <c r="B2026" s="8" t="s">
        <v>15</v>
      </c>
      <c r="C2026" s="8" t="s">
        <v>28</v>
      </c>
      <c r="D2026" s="9" t="n">
        <v>44407</v>
      </c>
      <c r="E2026" s="9" t="str">
        <f aca="false">TEXT(D2026,"MMM")</f>
        <v>jul</v>
      </c>
      <c r="F2026" s="10" t="n">
        <v>13127.19</v>
      </c>
      <c r="G2026" s="8" t="s">
        <v>11</v>
      </c>
      <c r="H2026" s="8" t="s">
        <v>36</v>
      </c>
      <c r="I2026" s="11" t="s">
        <v>37</v>
      </c>
      <c r="J2026" s="8" t="s">
        <v>19</v>
      </c>
    </row>
    <row r="2027" customFormat="false" ht="14.25" hidden="false" customHeight="false" outlineLevel="0" collapsed="false">
      <c r="A2027" s="8" t="n">
        <v>2026</v>
      </c>
      <c r="B2027" s="8" t="s">
        <v>58</v>
      </c>
      <c r="C2027" s="8" t="s">
        <v>16</v>
      </c>
      <c r="D2027" s="9" t="n">
        <v>44407</v>
      </c>
      <c r="E2027" s="9" t="str">
        <f aca="false">TEXT(D2027,"MMM")</f>
        <v>jul</v>
      </c>
      <c r="F2027" s="10" t="n">
        <v>13179.98</v>
      </c>
      <c r="G2027" s="8" t="s">
        <v>11</v>
      </c>
      <c r="H2027" s="8" t="s">
        <v>17</v>
      </c>
      <c r="I2027" s="11" t="s">
        <v>18</v>
      </c>
      <c r="J2027" s="8" t="s">
        <v>26</v>
      </c>
    </row>
    <row r="2028" customFormat="false" ht="14.25" hidden="false" customHeight="false" outlineLevel="0" collapsed="false">
      <c r="A2028" s="8" t="n">
        <v>2027</v>
      </c>
      <c r="B2028" s="8" t="s">
        <v>61</v>
      </c>
      <c r="C2028" s="8" t="s">
        <v>10</v>
      </c>
      <c r="D2028" s="9" t="n">
        <v>44407</v>
      </c>
      <c r="E2028" s="9" t="str">
        <f aca="false">TEXT(D2028,"MMM")</f>
        <v>jul</v>
      </c>
      <c r="F2028" s="10" t="n">
        <v>12079.26</v>
      </c>
      <c r="G2028" s="8" t="s">
        <v>11</v>
      </c>
      <c r="H2028" s="8" t="s">
        <v>12</v>
      </c>
      <c r="I2028" s="11" t="s">
        <v>13</v>
      </c>
      <c r="J2028" s="8" t="s">
        <v>26</v>
      </c>
    </row>
    <row r="2029" customFormat="false" ht="14.25" hidden="false" customHeight="false" outlineLevel="0" collapsed="false">
      <c r="A2029" s="8" t="n">
        <v>2028</v>
      </c>
      <c r="B2029" s="8" t="s">
        <v>62</v>
      </c>
      <c r="C2029" s="8" t="s">
        <v>28</v>
      </c>
      <c r="D2029" s="9" t="n">
        <v>44407</v>
      </c>
      <c r="E2029" s="9" t="str">
        <f aca="false">TEXT(D2029,"MMM")</f>
        <v>jul</v>
      </c>
      <c r="F2029" s="10" t="n">
        <v>13120.2</v>
      </c>
      <c r="G2029" s="8" t="s">
        <v>11</v>
      </c>
      <c r="H2029" s="8" t="s">
        <v>17</v>
      </c>
      <c r="I2029" s="11" t="s">
        <v>18</v>
      </c>
      <c r="J2029" s="8" t="s">
        <v>19</v>
      </c>
    </row>
    <row r="2030" customFormat="false" ht="14.25" hidden="false" customHeight="false" outlineLevel="0" collapsed="false">
      <c r="A2030" s="8" t="n">
        <v>2029</v>
      </c>
      <c r="B2030" s="8" t="s">
        <v>61</v>
      </c>
      <c r="C2030" s="8" t="s">
        <v>21</v>
      </c>
      <c r="D2030" s="9" t="n">
        <v>44407</v>
      </c>
      <c r="E2030" s="9" t="str">
        <f aca="false">TEXT(D2030,"MMM")</f>
        <v>jul</v>
      </c>
      <c r="F2030" s="10" t="n">
        <v>13273.4</v>
      </c>
      <c r="G2030" s="8" t="s">
        <v>11</v>
      </c>
      <c r="H2030" s="8" t="s">
        <v>17</v>
      </c>
      <c r="I2030" s="11" t="s">
        <v>18</v>
      </c>
      <c r="J2030" s="8" t="s">
        <v>14</v>
      </c>
    </row>
    <row r="2031" customFormat="false" ht="14.25" hidden="false" customHeight="false" outlineLevel="0" collapsed="false">
      <c r="A2031" s="8" t="n">
        <v>2030</v>
      </c>
      <c r="B2031" s="8" t="s">
        <v>62</v>
      </c>
      <c r="C2031" s="8" t="s">
        <v>28</v>
      </c>
      <c r="D2031" s="9" t="n">
        <v>44407</v>
      </c>
      <c r="E2031" s="9" t="str">
        <f aca="false">TEXT(D2031,"MMM")</f>
        <v>jul</v>
      </c>
      <c r="F2031" s="10" t="n">
        <v>12143.42</v>
      </c>
      <c r="G2031" s="8" t="s">
        <v>11</v>
      </c>
      <c r="H2031" s="8" t="s">
        <v>12</v>
      </c>
      <c r="I2031" s="11" t="s">
        <v>13</v>
      </c>
      <c r="J2031" s="8" t="s">
        <v>14</v>
      </c>
    </row>
    <row r="2032" customFormat="false" ht="14.25" hidden="false" customHeight="false" outlineLevel="0" collapsed="false">
      <c r="A2032" s="8" t="n">
        <v>2031</v>
      </c>
      <c r="B2032" s="8" t="s">
        <v>58</v>
      </c>
      <c r="C2032" s="8" t="s">
        <v>16</v>
      </c>
      <c r="D2032" s="9" t="n">
        <v>44407</v>
      </c>
      <c r="E2032" s="9" t="str">
        <f aca="false">TEXT(D2032,"MMM")</f>
        <v>jul</v>
      </c>
      <c r="F2032" s="10" t="n">
        <v>13313.33</v>
      </c>
      <c r="G2032" s="8" t="s">
        <v>11</v>
      </c>
      <c r="H2032" s="8" t="s">
        <v>12</v>
      </c>
      <c r="I2032" s="11" t="s">
        <v>13</v>
      </c>
      <c r="J2032" s="8" t="s">
        <v>14</v>
      </c>
    </row>
    <row r="2033" customFormat="false" ht="14.25" hidden="false" customHeight="false" outlineLevel="0" collapsed="false">
      <c r="A2033" s="8" t="n">
        <v>2032</v>
      </c>
      <c r="B2033" s="8" t="s">
        <v>58</v>
      </c>
      <c r="C2033" s="8" t="s">
        <v>21</v>
      </c>
      <c r="D2033" s="9" t="n">
        <v>44407</v>
      </c>
      <c r="E2033" s="9" t="str">
        <f aca="false">TEXT(D2033,"MMM")</f>
        <v>jul</v>
      </c>
      <c r="F2033" s="10" t="n">
        <v>12444.73</v>
      </c>
      <c r="G2033" s="8" t="s">
        <v>11</v>
      </c>
      <c r="H2033" s="8" t="s">
        <v>12</v>
      </c>
      <c r="I2033" s="11" t="s">
        <v>13</v>
      </c>
      <c r="J2033" s="8" t="s">
        <v>14</v>
      </c>
    </row>
    <row r="2034" customFormat="false" ht="14.25" hidden="false" customHeight="false" outlineLevel="0" collapsed="false">
      <c r="A2034" s="8" t="n">
        <v>2033</v>
      </c>
      <c r="B2034" s="8" t="s">
        <v>61</v>
      </c>
      <c r="C2034" s="8" t="s">
        <v>10</v>
      </c>
      <c r="D2034" s="9" t="n">
        <v>44407</v>
      </c>
      <c r="E2034" s="9" t="str">
        <f aca="false">TEXT(D2034,"MMM")</f>
        <v>jul</v>
      </c>
      <c r="F2034" s="10" t="n">
        <v>13122.43</v>
      </c>
      <c r="G2034" s="8" t="s">
        <v>11</v>
      </c>
      <c r="H2034" s="8" t="s">
        <v>22</v>
      </c>
      <c r="I2034" s="11" t="s">
        <v>23</v>
      </c>
      <c r="J2034" s="8" t="s">
        <v>19</v>
      </c>
    </row>
    <row r="2035" customFormat="false" ht="14.25" hidden="false" customHeight="false" outlineLevel="0" collapsed="false">
      <c r="A2035" s="8" t="n">
        <v>2034</v>
      </c>
      <c r="B2035" s="8" t="s">
        <v>62</v>
      </c>
      <c r="C2035" s="8" t="s">
        <v>21</v>
      </c>
      <c r="D2035" s="9" t="n">
        <v>44407</v>
      </c>
      <c r="E2035" s="9" t="str">
        <f aca="false">TEXT(D2035,"MMM")</f>
        <v>jul</v>
      </c>
      <c r="F2035" s="10" t="n">
        <v>13243.77</v>
      </c>
      <c r="G2035" s="8" t="s">
        <v>11</v>
      </c>
      <c r="H2035" s="8" t="s">
        <v>12</v>
      </c>
      <c r="I2035" s="11" t="s">
        <v>13</v>
      </c>
      <c r="J2035" s="8" t="s">
        <v>26</v>
      </c>
    </row>
    <row r="2036" customFormat="false" ht="14.25" hidden="false" customHeight="false" outlineLevel="0" collapsed="false">
      <c r="A2036" s="8" t="n">
        <v>2035</v>
      </c>
      <c r="B2036" s="8" t="s">
        <v>61</v>
      </c>
      <c r="C2036" s="8" t="s">
        <v>28</v>
      </c>
      <c r="D2036" s="9" t="n">
        <v>44407</v>
      </c>
      <c r="E2036" s="9" t="str">
        <f aca="false">TEXT(D2036,"MMM")</f>
        <v>jul</v>
      </c>
      <c r="F2036" s="10" t="n">
        <v>-6197.52</v>
      </c>
      <c r="G2036" s="8" t="s">
        <v>34</v>
      </c>
      <c r="H2036" s="8" t="s">
        <v>36</v>
      </c>
      <c r="I2036" s="11" t="s">
        <v>37</v>
      </c>
      <c r="J2036" s="8" t="s">
        <v>14</v>
      </c>
    </row>
    <row r="2037" customFormat="false" ht="14.25" hidden="false" customHeight="false" outlineLevel="0" collapsed="false">
      <c r="A2037" s="8" t="n">
        <v>2036</v>
      </c>
      <c r="B2037" s="8" t="s">
        <v>62</v>
      </c>
      <c r="C2037" s="8" t="s">
        <v>21</v>
      </c>
      <c r="D2037" s="9" t="n">
        <v>44407</v>
      </c>
      <c r="E2037" s="9" t="str">
        <f aca="false">TEXT(D2037,"MMM")</f>
        <v>jul</v>
      </c>
      <c r="F2037" s="10" t="n">
        <v>23258.42</v>
      </c>
      <c r="G2037" s="8" t="s">
        <v>11</v>
      </c>
      <c r="H2037" s="8" t="s">
        <v>17</v>
      </c>
      <c r="I2037" s="11" t="s">
        <v>18</v>
      </c>
      <c r="J2037" s="8" t="s">
        <v>26</v>
      </c>
    </row>
    <row r="2038" customFormat="false" ht="14.25" hidden="false" customHeight="false" outlineLevel="0" collapsed="false">
      <c r="A2038" s="8" t="n">
        <v>2037</v>
      </c>
      <c r="B2038" s="8" t="s">
        <v>58</v>
      </c>
      <c r="C2038" s="8" t="s">
        <v>28</v>
      </c>
      <c r="D2038" s="9" t="n">
        <v>44407</v>
      </c>
      <c r="E2038" s="9" t="str">
        <f aca="false">TEXT(D2038,"MMM")</f>
        <v>jul</v>
      </c>
      <c r="F2038" s="10" t="n">
        <v>151353.79</v>
      </c>
      <c r="G2038" s="8" t="s">
        <v>11</v>
      </c>
      <c r="H2038" s="8" t="s">
        <v>36</v>
      </c>
      <c r="I2038" s="11" t="s">
        <v>37</v>
      </c>
      <c r="J2038" s="8" t="s">
        <v>14</v>
      </c>
    </row>
    <row r="2039" customFormat="false" ht="14.25" hidden="false" customHeight="false" outlineLevel="0" collapsed="false">
      <c r="A2039" s="8" t="n">
        <v>2038</v>
      </c>
      <c r="B2039" s="8" t="s">
        <v>62</v>
      </c>
      <c r="C2039" s="8" t="s">
        <v>10</v>
      </c>
      <c r="D2039" s="9" t="n">
        <v>44407</v>
      </c>
      <c r="E2039" s="9" t="str">
        <f aca="false">TEXT(D2039,"MMM")</f>
        <v>jul</v>
      </c>
      <c r="F2039" s="10" t="n">
        <v>25444.35</v>
      </c>
      <c r="G2039" s="8" t="s">
        <v>11</v>
      </c>
      <c r="H2039" s="8" t="s">
        <v>12</v>
      </c>
      <c r="I2039" s="11" t="s">
        <v>13</v>
      </c>
      <c r="J2039" s="8" t="s">
        <v>14</v>
      </c>
    </row>
    <row r="2040" customFormat="false" ht="14.25" hidden="false" customHeight="false" outlineLevel="0" collapsed="false">
      <c r="A2040" s="8" t="n">
        <v>2039</v>
      </c>
      <c r="B2040" s="8" t="s">
        <v>58</v>
      </c>
      <c r="C2040" s="8" t="s">
        <v>16</v>
      </c>
      <c r="D2040" s="9" t="n">
        <v>44407</v>
      </c>
      <c r="E2040" s="9" t="str">
        <f aca="false">TEXT(D2040,"MMM")</f>
        <v>jul</v>
      </c>
      <c r="F2040" s="10" t="n">
        <v>27280.56</v>
      </c>
      <c r="G2040" s="8" t="s">
        <v>11</v>
      </c>
      <c r="H2040" s="8" t="s">
        <v>12</v>
      </c>
      <c r="I2040" s="11" t="s">
        <v>13</v>
      </c>
      <c r="J2040" s="8" t="s">
        <v>14</v>
      </c>
    </row>
    <row r="2041" customFormat="false" ht="14.25" hidden="false" customHeight="false" outlineLevel="0" collapsed="false">
      <c r="A2041" s="8" t="n">
        <v>2040</v>
      </c>
      <c r="B2041" s="8" t="s">
        <v>50</v>
      </c>
      <c r="C2041" s="8" t="s">
        <v>16</v>
      </c>
      <c r="D2041" s="9" t="n">
        <v>44408</v>
      </c>
      <c r="E2041" s="9" t="str">
        <f aca="false">TEXT(D2041,"MMM")</f>
        <v>jul</v>
      </c>
      <c r="F2041" s="10" t="n">
        <v>11706.24</v>
      </c>
      <c r="G2041" s="8" t="s">
        <v>11</v>
      </c>
      <c r="H2041" s="8" t="s">
        <v>30</v>
      </c>
      <c r="I2041" s="11" t="s">
        <v>31</v>
      </c>
      <c r="J2041" s="8" t="s">
        <v>26</v>
      </c>
    </row>
    <row r="2042" customFormat="false" ht="14.25" hidden="false" customHeight="false" outlineLevel="0" collapsed="false">
      <c r="A2042" s="8" t="n">
        <v>2041</v>
      </c>
      <c r="B2042" s="8" t="s">
        <v>181</v>
      </c>
      <c r="C2042" s="8" t="s">
        <v>28</v>
      </c>
      <c r="D2042" s="9" t="n">
        <v>44408</v>
      </c>
      <c r="E2042" s="9" t="str">
        <f aca="false">TEXT(D2042,"MMM")</f>
        <v>jul</v>
      </c>
      <c r="F2042" s="10" t="n">
        <v>11966.91</v>
      </c>
      <c r="G2042" s="8" t="s">
        <v>11</v>
      </c>
      <c r="H2042" s="8" t="s">
        <v>17</v>
      </c>
      <c r="I2042" s="11" t="s">
        <v>18</v>
      </c>
      <c r="J2042" s="8" t="s">
        <v>26</v>
      </c>
    </row>
    <row r="2043" customFormat="false" ht="14.25" hidden="false" customHeight="false" outlineLevel="0" collapsed="false">
      <c r="A2043" s="8" t="n">
        <v>2042</v>
      </c>
      <c r="B2043" s="8" t="s">
        <v>173</v>
      </c>
      <c r="C2043" s="8" t="s">
        <v>28</v>
      </c>
      <c r="D2043" s="9" t="n">
        <v>44408</v>
      </c>
      <c r="E2043" s="9" t="str">
        <f aca="false">TEXT(D2043,"MMM")</f>
        <v>jul</v>
      </c>
      <c r="F2043" s="10" t="n">
        <v>132642.92</v>
      </c>
      <c r="G2043" s="8" t="s">
        <v>11</v>
      </c>
      <c r="H2043" s="8" t="s">
        <v>12</v>
      </c>
      <c r="I2043" s="11" t="s">
        <v>13</v>
      </c>
      <c r="J2043" s="8" t="s">
        <v>19</v>
      </c>
    </row>
    <row r="2044" customFormat="false" ht="14.25" hidden="false" customHeight="false" outlineLevel="0" collapsed="false">
      <c r="A2044" s="8" t="n">
        <v>2043</v>
      </c>
      <c r="B2044" s="8" t="s">
        <v>188</v>
      </c>
      <c r="C2044" s="8" t="s">
        <v>28</v>
      </c>
      <c r="D2044" s="9" t="n">
        <v>44408</v>
      </c>
      <c r="E2044" s="9" t="str">
        <f aca="false">TEXT(D2044,"MMM")</f>
        <v>jul</v>
      </c>
      <c r="F2044" s="10" t="n">
        <v>10693.19</v>
      </c>
      <c r="G2044" s="8" t="s">
        <v>11</v>
      </c>
      <c r="H2044" s="8" t="s">
        <v>17</v>
      </c>
      <c r="I2044" s="11" t="s">
        <v>18</v>
      </c>
      <c r="J2044" s="8" t="s">
        <v>26</v>
      </c>
    </row>
    <row r="2045" customFormat="false" ht="14.25" hidden="false" customHeight="false" outlineLevel="0" collapsed="false">
      <c r="A2045" s="8" t="n">
        <v>2044</v>
      </c>
      <c r="B2045" s="8" t="s">
        <v>153</v>
      </c>
      <c r="C2045" s="8" t="s">
        <v>16</v>
      </c>
      <c r="D2045" s="9" t="n">
        <v>44408</v>
      </c>
      <c r="E2045" s="9" t="str">
        <f aca="false">TEXT(D2045,"MMM")</f>
        <v>jul</v>
      </c>
      <c r="F2045" s="10" t="n">
        <v>12585.09</v>
      </c>
      <c r="G2045" s="8" t="s">
        <v>11</v>
      </c>
      <c r="H2045" s="8" t="s">
        <v>12</v>
      </c>
      <c r="I2045" s="11" t="s">
        <v>13</v>
      </c>
      <c r="J2045" s="8" t="s">
        <v>14</v>
      </c>
    </row>
    <row r="2046" customFormat="false" ht="14.25" hidden="false" customHeight="false" outlineLevel="0" collapsed="false">
      <c r="A2046" s="8" t="n">
        <v>2045</v>
      </c>
      <c r="B2046" s="8" t="s">
        <v>178</v>
      </c>
      <c r="C2046" s="8" t="s">
        <v>21</v>
      </c>
      <c r="D2046" s="9" t="n">
        <v>44408</v>
      </c>
      <c r="E2046" s="9" t="str">
        <f aca="false">TEXT(D2046,"MMM")</f>
        <v>jul</v>
      </c>
      <c r="F2046" s="10" t="n">
        <v>33295.03</v>
      </c>
      <c r="G2046" s="8" t="s">
        <v>11</v>
      </c>
      <c r="H2046" s="8" t="s">
        <v>12</v>
      </c>
      <c r="I2046" s="11" t="s">
        <v>13</v>
      </c>
      <c r="J2046" s="8" t="s">
        <v>14</v>
      </c>
    </row>
    <row r="2047" customFormat="false" ht="14.25" hidden="false" customHeight="false" outlineLevel="0" collapsed="false">
      <c r="A2047" s="8" t="n">
        <v>2046</v>
      </c>
      <c r="B2047" s="8" t="s">
        <v>51</v>
      </c>
      <c r="C2047" s="8" t="s">
        <v>10</v>
      </c>
      <c r="D2047" s="9" t="n">
        <v>44408</v>
      </c>
      <c r="E2047" s="9" t="str">
        <f aca="false">TEXT(D2047,"MMM")</f>
        <v>jul</v>
      </c>
      <c r="F2047" s="10" t="n">
        <v>11456.64</v>
      </c>
      <c r="G2047" s="8" t="s">
        <v>11</v>
      </c>
      <c r="H2047" s="8" t="s">
        <v>17</v>
      </c>
      <c r="I2047" s="11" t="s">
        <v>18</v>
      </c>
      <c r="J2047" s="8" t="s">
        <v>26</v>
      </c>
    </row>
    <row r="2048" customFormat="false" ht="14.25" hidden="false" customHeight="false" outlineLevel="0" collapsed="false">
      <c r="A2048" s="8" t="n">
        <v>2047</v>
      </c>
      <c r="B2048" s="8" t="s">
        <v>143</v>
      </c>
      <c r="C2048" s="8" t="s">
        <v>28</v>
      </c>
      <c r="D2048" s="9" t="n">
        <v>44408</v>
      </c>
      <c r="E2048" s="9" t="str">
        <f aca="false">TEXT(D2048,"MMM")</f>
        <v>jul</v>
      </c>
      <c r="F2048" s="10" t="n">
        <v>16585.97</v>
      </c>
      <c r="G2048" s="8" t="s">
        <v>11</v>
      </c>
      <c r="H2048" s="8" t="s">
        <v>36</v>
      </c>
      <c r="I2048" s="11" t="s">
        <v>37</v>
      </c>
      <c r="J2048" s="8" t="s">
        <v>26</v>
      </c>
    </row>
    <row r="2049" customFormat="false" ht="14.25" hidden="false" customHeight="false" outlineLevel="0" collapsed="false">
      <c r="A2049" s="8" t="n">
        <v>2048</v>
      </c>
      <c r="B2049" s="8" t="s">
        <v>32</v>
      </c>
      <c r="C2049" s="8" t="s">
        <v>16</v>
      </c>
      <c r="D2049" s="9" t="n">
        <v>44408</v>
      </c>
      <c r="E2049" s="9" t="str">
        <f aca="false">TEXT(D2049,"MMM")</f>
        <v>jul</v>
      </c>
      <c r="F2049" s="10" t="n">
        <v>11456.64</v>
      </c>
      <c r="G2049" s="8" t="s">
        <v>11</v>
      </c>
      <c r="H2049" s="8" t="s">
        <v>36</v>
      </c>
      <c r="I2049" s="11" t="s">
        <v>37</v>
      </c>
      <c r="J2049" s="8" t="s">
        <v>19</v>
      </c>
    </row>
    <row r="2050" customFormat="false" ht="14.25" hidden="false" customHeight="false" outlineLevel="0" collapsed="false">
      <c r="A2050" s="8" t="n">
        <v>2049</v>
      </c>
      <c r="B2050" s="8" t="s">
        <v>32</v>
      </c>
      <c r="C2050" s="8" t="s">
        <v>28</v>
      </c>
      <c r="D2050" s="9" t="n">
        <v>44408</v>
      </c>
      <c r="E2050" s="9" t="str">
        <f aca="false">TEXT(D2050,"MMM")</f>
        <v>jul</v>
      </c>
      <c r="F2050" s="10" t="n">
        <v>11862.27</v>
      </c>
      <c r="G2050" s="8" t="s">
        <v>11</v>
      </c>
      <c r="H2050" s="8" t="s">
        <v>36</v>
      </c>
      <c r="I2050" s="11" t="s">
        <v>37</v>
      </c>
      <c r="J2050" s="8" t="s">
        <v>14</v>
      </c>
    </row>
    <row r="2051" customFormat="false" ht="14.25" hidden="false" customHeight="false" outlineLevel="0" collapsed="false">
      <c r="A2051" s="8" t="n">
        <v>2050</v>
      </c>
      <c r="B2051" s="8" t="s">
        <v>73</v>
      </c>
      <c r="C2051" s="8" t="s">
        <v>16</v>
      </c>
      <c r="D2051" s="9" t="n">
        <v>44408</v>
      </c>
      <c r="E2051" s="9" t="str">
        <f aca="false">TEXT(D2051,"MMM")</f>
        <v>jul</v>
      </c>
      <c r="F2051" s="10" t="n">
        <v>11456.64</v>
      </c>
      <c r="G2051" s="8" t="s">
        <v>11</v>
      </c>
      <c r="H2051" s="8" t="s">
        <v>36</v>
      </c>
      <c r="I2051" s="11" t="s">
        <v>37</v>
      </c>
      <c r="J2051" s="8" t="s">
        <v>26</v>
      </c>
    </row>
    <row r="2052" customFormat="false" ht="14.25" hidden="false" customHeight="false" outlineLevel="0" collapsed="false">
      <c r="A2052" s="8" t="n">
        <v>2051</v>
      </c>
      <c r="B2052" s="8" t="s">
        <v>73</v>
      </c>
      <c r="C2052" s="8" t="s">
        <v>10</v>
      </c>
      <c r="D2052" s="9" t="n">
        <v>44408</v>
      </c>
      <c r="E2052" s="9" t="str">
        <f aca="false">TEXT(D2052,"MMM")</f>
        <v>jul</v>
      </c>
      <c r="F2052" s="10" t="n">
        <v>6655.91</v>
      </c>
      <c r="G2052" s="8" t="s">
        <v>11</v>
      </c>
      <c r="H2052" s="8" t="s">
        <v>36</v>
      </c>
      <c r="I2052" s="11" t="s">
        <v>37</v>
      </c>
      <c r="J2052" s="8" t="s">
        <v>19</v>
      </c>
    </row>
    <row r="2053" customFormat="false" ht="14.25" hidden="false" customHeight="false" outlineLevel="0" collapsed="false">
      <c r="A2053" s="8" t="n">
        <v>2052</v>
      </c>
      <c r="B2053" s="8" t="s">
        <v>100</v>
      </c>
      <c r="C2053" s="8" t="s">
        <v>10</v>
      </c>
      <c r="D2053" s="9" t="n">
        <v>44408</v>
      </c>
      <c r="E2053" s="9" t="str">
        <f aca="false">TEXT(D2053,"MMM")</f>
        <v>jul</v>
      </c>
      <c r="F2053" s="10" t="n">
        <v>17945.91</v>
      </c>
      <c r="G2053" s="8" t="s">
        <v>11</v>
      </c>
      <c r="H2053" s="8" t="s">
        <v>30</v>
      </c>
      <c r="I2053" s="11" t="s">
        <v>31</v>
      </c>
      <c r="J2053" s="8" t="s">
        <v>14</v>
      </c>
    </row>
    <row r="2054" customFormat="false" ht="14.25" hidden="false" customHeight="false" outlineLevel="0" collapsed="false">
      <c r="A2054" s="8" t="n">
        <v>2053</v>
      </c>
      <c r="B2054" s="8" t="s">
        <v>73</v>
      </c>
      <c r="C2054" s="8" t="s">
        <v>21</v>
      </c>
      <c r="D2054" s="9" t="n">
        <v>44408</v>
      </c>
      <c r="E2054" s="9" t="str">
        <f aca="false">TEXT(D2054,"MMM")</f>
        <v>jul</v>
      </c>
      <c r="F2054" s="10" t="n">
        <v>11456.64</v>
      </c>
      <c r="G2054" s="8" t="s">
        <v>11</v>
      </c>
      <c r="H2054" s="8" t="s">
        <v>17</v>
      </c>
      <c r="I2054" s="11" t="s">
        <v>18</v>
      </c>
      <c r="J2054" s="8" t="s">
        <v>19</v>
      </c>
    </row>
    <row r="2055" customFormat="false" ht="14.25" hidden="false" customHeight="false" outlineLevel="0" collapsed="false">
      <c r="A2055" s="8" t="n">
        <v>2054</v>
      </c>
      <c r="B2055" s="8" t="s">
        <v>73</v>
      </c>
      <c r="C2055" s="8" t="s">
        <v>28</v>
      </c>
      <c r="D2055" s="9" t="n">
        <v>44408</v>
      </c>
      <c r="E2055" s="9" t="str">
        <f aca="false">TEXT(D2055,"MMM")</f>
        <v>jul</v>
      </c>
      <c r="F2055" s="10" t="n">
        <v>7253.42</v>
      </c>
      <c r="G2055" s="8" t="s">
        <v>11</v>
      </c>
      <c r="H2055" s="8" t="s">
        <v>12</v>
      </c>
      <c r="I2055" s="11" t="s">
        <v>13</v>
      </c>
      <c r="J2055" s="8" t="s">
        <v>14</v>
      </c>
    </row>
    <row r="2056" customFormat="false" ht="14.25" hidden="false" customHeight="false" outlineLevel="0" collapsed="false">
      <c r="A2056" s="8" t="n">
        <v>2055</v>
      </c>
      <c r="B2056" s="8" t="s">
        <v>100</v>
      </c>
      <c r="C2056" s="8" t="s">
        <v>10</v>
      </c>
      <c r="D2056" s="9" t="n">
        <v>44408</v>
      </c>
      <c r="E2056" s="9" t="str">
        <f aca="false">TEXT(D2056,"MMM")</f>
        <v>jul</v>
      </c>
      <c r="F2056" s="10" t="n">
        <v>7253.42</v>
      </c>
      <c r="G2056" s="8" t="s">
        <v>11</v>
      </c>
      <c r="H2056" s="8" t="s">
        <v>12</v>
      </c>
      <c r="I2056" s="11" t="s">
        <v>13</v>
      </c>
      <c r="J2056" s="8" t="s">
        <v>14</v>
      </c>
    </row>
    <row r="2057" customFormat="false" ht="14.25" hidden="false" customHeight="false" outlineLevel="0" collapsed="false">
      <c r="A2057" s="8" t="n">
        <v>2056</v>
      </c>
      <c r="B2057" s="8" t="s">
        <v>100</v>
      </c>
      <c r="C2057" s="8" t="s">
        <v>16</v>
      </c>
      <c r="D2057" s="9" t="n">
        <v>44408</v>
      </c>
      <c r="E2057" s="9" t="str">
        <f aca="false">TEXT(D2057,"MMM")</f>
        <v>jul</v>
      </c>
      <c r="F2057" s="10" t="n">
        <v>18325.45</v>
      </c>
      <c r="G2057" s="8" t="s">
        <v>11</v>
      </c>
      <c r="H2057" s="8" t="s">
        <v>30</v>
      </c>
      <c r="I2057" s="11" t="s">
        <v>31</v>
      </c>
      <c r="J2057" s="8" t="s">
        <v>26</v>
      </c>
    </row>
    <row r="2058" customFormat="false" ht="14.25" hidden="false" customHeight="false" outlineLevel="0" collapsed="false">
      <c r="A2058" s="8" t="n">
        <v>2057</v>
      </c>
      <c r="B2058" s="8" t="s">
        <v>73</v>
      </c>
      <c r="C2058" s="8" t="s">
        <v>16</v>
      </c>
      <c r="D2058" s="9" t="n">
        <v>44408</v>
      </c>
      <c r="E2058" s="9" t="str">
        <f aca="false">TEXT(D2058,"MMM")</f>
        <v>jul</v>
      </c>
      <c r="F2058" s="10" t="n">
        <v>11456.64</v>
      </c>
      <c r="G2058" s="8" t="s">
        <v>11</v>
      </c>
      <c r="H2058" s="8" t="s">
        <v>12</v>
      </c>
      <c r="I2058" s="11" t="s">
        <v>13</v>
      </c>
      <c r="J2058" s="8" t="s">
        <v>14</v>
      </c>
    </row>
    <row r="2059" customFormat="false" ht="14.25" hidden="false" customHeight="false" outlineLevel="0" collapsed="false">
      <c r="A2059" s="8" t="n">
        <v>2058</v>
      </c>
      <c r="B2059" s="8" t="s">
        <v>73</v>
      </c>
      <c r="C2059" s="8" t="s">
        <v>10</v>
      </c>
      <c r="D2059" s="9" t="n">
        <v>44408</v>
      </c>
      <c r="E2059" s="9" t="str">
        <f aca="false">TEXT(D2059,"MMM")</f>
        <v>jul</v>
      </c>
      <c r="F2059" s="10" t="n">
        <v>18488.69</v>
      </c>
      <c r="G2059" s="8" t="s">
        <v>11</v>
      </c>
      <c r="H2059" s="8" t="s">
        <v>17</v>
      </c>
      <c r="I2059" s="11" t="s">
        <v>18</v>
      </c>
      <c r="J2059" s="8" t="s">
        <v>26</v>
      </c>
    </row>
    <row r="2060" customFormat="false" ht="14.25" hidden="false" customHeight="false" outlineLevel="0" collapsed="false">
      <c r="A2060" s="8" t="n">
        <v>2059</v>
      </c>
      <c r="B2060" s="8" t="s">
        <v>100</v>
      </c>
      <c r="C2060" s="8" t="s">
        <v>28</v>
      </c>
      <c r="D2060" s="9" t="n">
        <v>44408</v>
      </c>
      <c r="E2060" s="9" t="str">
        <f aca="false">TEXT(D2060,"MMM")</f>
        <v>jul</v>
      </c>
      <c r="F2060" s="10" t="n">
        <v>7253.42</v>
      </c>
      <c r="G2060" s="8" t="s">
        <v>11</v>
      </c>
      <c r="H2060" s="8" t="s">
        <v>12</v>
      </c>
      <c r="I2060" s="11" t="s">
        <v>13</v>
      </c>
      <c r="J2060" s="8" t="s">
        <v>24</v>
      </c>
    </row>
    <row r="2061" customFormat="false" ht="14.25" hidden="false" customHeight="false" outlineLevel="0" collapsed="false">
      <c r="A2061" s="8" t="n">
        <v>2060</v>
      </c>
      <c r="B2061" s="8" t="s">
        <v>100</v>
      </c>
      <c r="C2061" s="8" t="s">
        <v>10</v>
      </c>
      <c r="D2061" s="9" t="n">
        <v>44408</v>
      </c>
      <c r="E2061" s="9" t="str">
        <f aca="false">TEXT(D2061,"MMM")</f>
        <v>jul</v>
      </c>
      <c r="F2061" s="10" t="n">
        <v>7253.42</v>
      </c>
      <c r="G2061" s="8" t="s">
        <v>11</v>
      </c>
      <c r="H2061" s="8" t="s">
        <v>12</v>
      </c>
      <c r="I2061" s="11" t="s">
        <v>13</v>
      </c>
      <c r="J2061" s="8" t="s">
        <v>14</v>
      </c>
    </row>
    <row r="2062" customFormat="false" ht="14.25" hidden="false" customHeight="false" outlineLevel="0" collapsed="false">
      <c r="A2062" s="8" t="n">
        <v>2061</v>
      </c>
      <c r="B2062" s="8" t="s">
        <v>100</v>
      </c>
      <c r="C2062" s="8" t="s">
        <v>16</v>
      </c>
      <c r="D2062" s="9" t="n">
        <v>44408</v>
      </c>
      <c r="E2062" s="9" t="str">
        <f aca="false">TEXT(D2062,"MMM")</f>
        <v>jul</v>
      </c>
      <c r="F2062" s="10" t="n">
        <v>17957.02</v>
      </c>
      <c r="G2062" s="8" t="s">
        <v>11</v>
      </c>
      <c r="H2062" s="8" t="s">
        <v>12</v>
      </c>
      <c r="I2062" s="11" t="s">
        <v>13</v>
      </c>
      <c r="J2062" s="8" t="s">
        <v>14</v>
      </c>
    </row>
    <row r="2063" customFormat="false" ht="14.25" hidden="false" customHeight="false" outlineLevel="0" collapsed="false">
      <c r="A2063" s="8" t="n">
        <v>2062</v>
      </c>
      <c r="B2063" s="8" t="s">
        <v>100</v>
      </c>
      <c r="C2063" s="8" t="s">
        <v>10</v>
      </c>
      <c r="D2063" s="9" t="n">
        <v>44408</v>
      </c>
      <c r="E2063" s="9" t="str">
        <f aca="false">TEXT(D2063,"MMM")</f>
        <v>jul</v>
      </c>
      <c r="F2063" s="10" t="n">
        <v>20418.37</v>
      </c>
      <c r="G2063" s="8" t="s">
        <v>11</v>
      </c>
      <c r="H2063" s="8" t="s">
        <v>22</v>
      </c>
      <c r="I2063" s="11" t="s">
        <v>23</v>
      </c>
      <c r="J2063" s="8" t="s">
        <v>19</v>
      </c>
    </row>
    <row r="2064" customFormat="false" ht="14.25" hidden="false" customHeight="false" outlineLevel="0" collapsed="false">
      <c r="A2064" s="8" t="n">
        <v>2063</v>
      </c>
      <c r="B2064" s="8" t="s">
        <v>100</v>
      </c>
      <c r="C2064" s="8" t="s">
        <v>28</v>
      </c>
      <c r="D2064" s="9" t="n">
        <v>44408</v>
      </c>
      <c r="E2064" s="9" t="str">
        <f aca="false">TEXT(D2064,"MMM")</f>
        <v>jul</v>
      </c>
      <c r="F2064" s="10" t="n">
        <v>7253.42</v>
      </c>
      <c r="G2064" s="8" t="s">
        <v>11</v>
      </c>
      <c r="H2064" s="8" t="s">
        <v>12</v>
      </c>
      <c r="I2064" s="11" t="s">
        <v>13</v>
      </c>
      <c r="J2064" s="8" t="s">
        <v>24</v>
      </c>
    </row>
    <row r="2065" customFormat="false" ht="14.25" hidden="false" customHeight="false" outlineLevel="0" collapsed="false">
      <c r="A2065" s="8" t="n">
        <v>2064</v>
      </c>
      <c r="B2065" s="8" t="s">
        <v>100</v>
      </c>
      <c r="C2065" s="8" t="s">
        <v>21</v>
      </c>
      <c r="D2065" s="9" t="n">
        <v>44408</v>
      </c>
      <c r="E2065" s="9" t="str">
        <f aca="false">TEXT(D2065,"MMM")</f>
        <v>jul</v>
      </c>
      <c r="F2065" s="10" t="n">
        <v>7413</v>
      </c>
      <c r="G2065" s="8" t="s">
        <v>11</v>
      </c>
      <c r="H2065" s="8" t="s">
        <v>30</v>
      </c>
      <c r="I2065" s="11" t="s">
        <v>31</v>
      </c>
      <c r="J2065" s="8" t="s">
        <v>19</v>
      </c>
    </row>
    <row r="2066" customFormat="false" ht="14.25" hidden="false" customHeight="false" outlineLevel="0" collapsed="false">
      <c r="A2066" s="8" t="n">
        <v>2065</v>
      </c>
      <c r="B2066" s="8" t="s">
        <v>145</v>
      </c>
      <c r="C2066" s="8" t="s">
        <v>16</v>
      </c>
      <c r="D2066" s="9" t="n">
        <v>44409</v>
      </c>
      <c r="E2066" s="9" t="str">
        <f aca="false">TEXT(D2066,"MMM")</f>
        <v>ago</v>
      </c>
      <c r="F2066" s="10" t="n">
        <v>7413</v>
      </c>
      <c r="G2066" s="8" t="s">
        <v>11</v>
      </c>
      <c r="H2066" s="8" t="s">
        <v>30</v>
      </c>
      <c r="I2066" s="11" t="s">
        <v>31</v>
      </c>
      <c r="J2066" s="8" t="s">
        <v>26</v>
      </c>
    </row>
    <row r="2067" customFormat="false" ht="14.25" hidden="false" customHeight="false" outlineLevel="0" collapsed="false">
      <c r="A2067" s="8" t="n">
        <v>2066</v>
      </c>
      <c r="B2067" s="8" t="s">
        <v>210</v>
      </c>
      <c r="C2067" s="8" t="s">
        <v>21</v>
      </c>
      <c r="D2067" s="9" t="n">
        <v>44410</v>
      </c>
      <c r="E2067" s="9" t="str">
        <f aca="false">TEXT(D2067,"MMM")</f>
        <v>ago</v>
      </c>
      <c r="F2067" s="10" t="n">
        <v>7266.86</v>
      </c>
      <c r="G2067" s="8" t="s">
        <v>11</v>
      </c>
      <c r="H2067" s="8" t="s">
        <v>36</v>
      </c>
      <c r="I2067" s="11" t="s">
        <v>37</v>
      </c>
      <c r="J2067" s="8" t="s">
        <v>26</v>
      </c>
    </row>
    <row r="2068" customFormat="false" ht="14.25" hidden="false" customHeight="false" outlineLevel="0" collapsed="false">
      <c r="A2068" s="8" t="n">
        <v>2067</v>
      </c>
      <c r="B2068" s="8" t="s">
        <v>234</v>
      </c>
      <c r="C2068" s="8" t="s">
        <v>10</v>
      </c>
      <c r="D2068" s="9" t="n">
        <v>44410</v>
      </c>
      <c r="E2068" s="9" t="str">
        <f aca="false">TEXT(D2068,"MMM")</f>
        <v>ago</v>
      </c>
      <c r="F2068" s="10" t="n">
        <v>34397.94</v>
      </c>
      <c r="G2068" s="8" t="s">
        <v>11</v>
      </c>
      <c r="H2068" s="8" t="s">
        <v>30</v>
      </c>
      <c r="I2068" s="11" t="s">
        <v>31</v>
      </c>
      <c r="J2068" s="8" t="s">
        <v>14</v>
      </c>
    </row>
    <row r="2069" customFormat="false" ht="14.25" hidden="false" customHeight="false" outlineLevel="0" collapsed="false">
      <c r="A2069" s="8" t="n">
        <v>2068</v>
      </c>
      <c r="B2069" s="8" t="s">
        <v>86</v>
      </c>
      <c r="C2069" s="8" t="s">
        <v>10</v>
      </c>
      <c r="D2069" s="9" t="n">
        <v>44410</v>
      </c>
      <c r="E2069" s="9" t="str">
        <f aca="false">TEXT(D2069,"MMM")</f>
        <v>ago</v>
      </c>
      <c r="F2069" s="10" t="n">
        <v>4165.17</v>
      </c>
      <c r="G2069" s="8" t="s">
        <v>11</v>
      </c>
      <c r="H2069" s="8" t="s">
        <v>12</v>
      </c>
      <c r="I2069" s="11" t="s">
        <v>13</v>
      </c>
      <c r="J2069" s="8" t="s">
        <v>26</v>
      </c>
    </row>
    <row r="2070" customFormat="false" ht="14.25" hidden="false" customHeight="false" outlineLevel="0" collapsed="false">
      <c r="A2070" s="8" t="n">
        <v>2069</v>
      </c>
      <c r="B2070" s="8" t="s">
        <v>143</v>
      </c>
      <c r="C2070" s="8" t="s">
        <v>21</v>
      </c>
      <c r="D2070" s="9" t="n">
        <v>44410</v>
      </c>
      <c r="E2070" s="9" t="str">
        <f aca="false">TEXT(D2070,"MMM")</f>
        <v>ago</v>
      </c>
      <c r="F2070" s="10" t="n">
        <v>21447.84</v>
      </c>
      <c r="G2070" s="8" t="s">
        <v>11</v>
      </c>
      <c r="H2070" s="8" t="s">
        <v>17</v>
      </c>
      <c r="I2070" s="11" t="s">
        <v>18</v>
      </c>
      <c r="J2070" s="8" t="s">
        <v>14</v>
      </c>
    </row>
    <row r="2071" customFormat="false" ht="14.25" hidden="false" customHeight="false" outlineLevel="0" collapsed="false">
      <c r="A2071" s="8" t="n">
        <v>2070</v>
      </c>
      <c r="B2071" s="8" t="s">
        <v>222</v>
      </c>
      <c r="C2071" s="8" t="s">
        <v>28</v>
      </c>
      <c r="D2071" s="9" t="n">
        <v>44411</v>
      </c>
      <c r="E2071" s="9" t="str">
        <f aca="false">TEXT(D2071,"MMM")</f>
        <v>ago</v>
      </c>
      <c r="F2071" s="10" t="n">
        <v>131988.43</v>
      </c>
      <c r="G2071" s="8" t="s">
        <v>11</v>
      </c>
      <c r="H2071" s="8" t="s">
        <v>17</v>
      </c>
      <c r="I2071" s="11" t="s">
        <v>18</v>
      </c>
      <c r="J2071" s="8" t="s">
        <v>14</v>
      </c>
    </row>
    <row r="2072" customFormat="false" ht="14.25" hidden="false" customHeight="false" outlineLevel="0" collapsed="false">
      <c r="A2072" s="8" t="n">
        <v>2071</v>
      </c>
      <c r="B2072" s="8" t="s">
        <v>222</v>
      </c>
      <c r="C2072" s="8" t="s">
        <v>16</v>
      </c>
      <c r="D2072" s="9" t="n">
        <v>44411</v>
      </c>
      <c r="E2072" s="9" t="str">
        <f aca="false">TEXT(D2072,"MMM")</f>
        <v>ago</v>
      </c>
      <c r="F2072" s="10" t="n">
        <v>34797.21</v>
      </c>
      <c r="G2072" s="8" t="s">
        <v>11</v>
      </c>
      <c r="H2072" s="8" t="s">
        <v>36</v>
      </c>
      <c r="I2072" s="11" t="s">
        <v>37</v>
      </c>
      <c r="J2072" s="8" t="s">
        <v>26</v>
      </c>
    </row>
    <row r="2073" customFormat="false" ht="14.25" hidden="false" customHeight="false" outlineLevel="0" collapsed="false">
      <c r="A2073" s="8" t="n">
        <v>2072</v>
      </c>
      <c r="B2073" s="8" t="s">
        <v>130</v>
      </c>
      <c r="C2073" s="8" t="s">
        <v>21</v>
      </c>
      <c r="D2073" s="9" t="n">
        <v>44411</v>
      </c>
      <c r="E2073" s="9" t="str">
        <f aca="false">TEXT(D2073,"MMM")</f>
        <v>ago</v>
      </c>
      <c r="F2073" s="10" t="n">
        <v>21933.78</v>
      </c>
      <c r="G2073" s="8" t="s">
        <v>11</v>
      </c>
      <c r="H2073" s="8" t="s">
        <v>12</v>
      </c>
      <c r="I2073" s="11" t="s">
        <v>13</v>
      </c>
      <c r="J2073" s="8" t="s">
        <v>14</v>
      </c>
    </row>
    <row r="2074" customFormat="false" ht="14.25" hidden="false" customHeight="false" outlineLevel="0" collapsed="false">
      <c r="A2074" s="8" t="n">
        <v>2073</v>
      </c>
      <c r="B2074" s="8" t="s">
        <v>130</v>
      </c>
      <c r="C2074" s="8" t="s">
        <v>16</v>
      </c>
      <c r="D2074" s="9" t="n">
        <v>44411</v>
      </c>
      <c r="E2074" s="9" t="str">
        <f aca="false">TEXT(D2074,"MMM")</f>
        <v>ago</v>
      </c>
      <c r="F2074" s="10" t="n">
        <v>4603.87</v>
      </c>
      <c r="G2074" s="8" t="s">
        <v>11</v>
      </c>
      <c r="H2074" s="8" t="s">
        <v>12</v>
      </c>
      <c r="I2074" s="11" t="s">
        <v>13</v>
      </c>
      <c r="J2074" s="8" t="s">
        <v>24</v>
      </c>
    </row>
    <row r="2075" customFormat="false" ht="14.25" hidden="false" customHeight="false" outlineLevel="0" collapsed="false">
      <c r="A2075" s="8" t="n">
        <v>2074</v>
      </c>
      <c r="B2075" s="8" t="s">
        <v>143</v>
      </c>
      <c r="C2075" s="8" t="s">
        <v>28</v>
      </c>
      <c r="D2075" s="9" t="n">
        <v>44411</v>
      </c>
      <c r="E2075" s="9" t="str">
        <f aca="false">TEXT(D2075,"MMM")</f>
        <v>ago</v>
      </c>
      <c r="F2075" s="10" t="n">
        <v>7254.69</v>
      </c>
      <c r="G2075" s="8" t="s">
        <v>11</v>
      </c>
      <c r="H2075" s="8" t="s">
        <v>17</v>
      </c>
      <c r="I2075" s="11" t="s">
        <v>18</v>
      </c>
      <c r="J2075" s="8" t="s">
        <v>14</v>
      </c>
    </row>
    <row r="2076" customFormat="false" ht="14.25" hidden="false" customHeight="false" outlineLevel="0" collapsed="false">
      <c r="A2076" s="8" t="n">
        <v>2075</v>
      </c>
      <c r="B2076" s="8" t="s">
        <v>143</v>
      </c>
      <c r="C2076" s="8" t="s">
        <v>28</v>
      </c>
      <c r="D2076" s="9" t="n">
        <v>44411</v>
      </c>
      <c r="E2076" s="9" t="str">
        <f aca="false">TEXT(D2076,"MMM")</f>
        <v>ago</v>
      </c>
      <c r="F2076" s="10" t="n">
        <v>7554.46</v>
      </c>
      <c r="G2076" s="8" t="s">
        <v>11</v>
      </c>
      <c r="H2076" s="8" t="s">
        <v>17</v>
      </c>
      <c r="I2076" s="11" t="s">
        <v>18</v>
      </c>
      <c r="J2076" s="8" t="s">
        <v>26</v>
      </c>
    </row>
    <row r="2077" customFormat="false" ht="14.25" hidden="false" customHeight="false" outlineLevel="0" collapsed="false">
      <c r="A2077" s="8" t="n">
        <v>2076</v>
      </c>
      <c r="B2077" s="8" t="s">
        <v>86</v>
      </c>
      <c r="C2077" s="8" t="s">
        <v>28</v>
      </c>
      <c r="D2077" s="9" t="n">
        <v>44412</v>
      </c>
      <c r="E2077" s="9" t="str">
        <f aca="false">TEXT(D2077,"MMM")</f>
        <v>ago</v>
      </c>
      <c r="F2077" s="10" t="n">
        <v>33445.86</v>
      </c>
      <c r="G2077" s="8" t="s">
        <v>11</v>
      </c>
      <c r="H2077" s="8" t="s">
        <v>12</v>
      </c>
      <c r="I2077" s="11" t="s">
        <v>13</v>
      </c>
      <c r="J2077" s="8" t="s">
        <v>14</v>
      </c>
    </row>
    <row r="2078" customFormat="false" ht="14.25" hidden="false" customHeight="false" outlineLevel="0" collapsed="false">
      <c r="A2078" s="8" t="n">
        <v>2077</v>
      </c>
      <c r="B2078" s="8" t="s">
        <v>161</v>
      </c>
      <c r="C2078" s="8" t="s">
        <v>16</v>
      </c>
      <c r="D2078" s="9" t="n">
        <v>44414</v>
      </c>
      <c r="E2078" s="9" t="str">
        <f aca="false">TEXT(D2078,"MMM")</f>
        <v>ago</v>
      </c>
      <c r="F2078" s="10" t="n">
        <v>21914.43</v>
      </c>
      <c r="G2078" s="8" t="s">
        <v>11</v>
      </c>
      <c r="H2078" s="8" t="s">
        <v>36</v>
      </c>
      <c r="I2078" s="11" t="s">
        <v>37</v>
      </c>
      <c r="J2078" s="8" t="s">
        <v>26</v>
      </c>
    </row>
    <row r="2079" customFormat="false" ht="14.25" hidden="false" customHeight="false" outlineLevel="0" collapsed="false">
      <c r="A2079" s="8" t="n">
        <v>2078</v>
      </c>
      <c r="B2079" s="8" t="s">
        <v>170</v>
      </c>
      <c r="C2079" s="8" t="s">
        <v>21</v>
      </c>
      <c r="D2079" s="9" t="n">
        <v>44414</v>
      </c>
      <c r="E2079" s="9" t="str">
        <f aca="false">TEXT(D2079,"MMM")</f>
        <v>ago</v>
      </c>
      <c r="F2079" s="10" t="n">
        <v>4332.02</v>
      </c>
      <c r="G2079" s="8" t="s">
        <v>11</v>
      </c>
      <c r="H2079" s="8" t="s">
        <v>12</v>
      </c>
      <c r="I2079" s="11" t="s">
        <v>13</v>
      </c>
      <c r="J2079" s="8" t="s">
        <v>14</v>
      </c>
    </row>
    <row r="2080" customFormat="false" ht="14.25" hidden="false" customHeight="false" outlineLevel="0" collapsed="false">
      <c r="A2080" s="8" t="n">
        <v>2079</v>
      </c>
      <c r="B2080" s="8" t="s">
        <v>77</v>
      </c>
      <c r="C2080" s="8" t="s">
        <v>28</v>
      </c>
      <c r="D2080" s="9" t="n">
        <v>44414</v>
      </c>
      <c r="E2080" s="9" t="str">
        <f aca="false">TEXT(D2080,"MMM")</f>
        <v>ago</v>
      </c>
      <c r="F2080" s="10" t="n">
        <v>6909.96</v>
      </c>
      <c r="G2080" s="8" t="s">
        <v>11</v>
      </c>
      <c r="H2080" s="8" t="s">
        <v>36</v>
      </c>
      <c r="I2080" s="11" t="s">
        <v>37</v>
      </c>
      <c r="J2080" s="8" t="s">
        <v>14</v>
      </c>
    </row>
    <row r="2081" customFormat="false" ht="14.25" hidden="false" customHeight="false" outlineLevel="0" collapsed="false">
      <c r="A2081" s="8" t="n">
        <v>2080</v>
      </c>
      <c r="B2081" s="8" t="s">
        <v>40</v>
      </c>
      <c r="C2081" s="8" t="s">
        <v>10</v>
      </c>
      <c r="D2081" s="9" t="n">
        <v>44414</v>
      </c>
      <c r="E2081" s="9" t="str">
        <f aca="false">TEXT(D2081,"MMM")</f>
        <v>ago</v>
      </c>
      <c r="F2081" s="10" t="n">
        <v>11474.57</v>
      </c>
      <c r="G2081" s="8" t="s">
        <v>11</v>
      </c>
      <c r="H2081" s="8" t="s">
        <v>36</v>
      </c>
      <c r="I2081" s="11" t="s">
        <v>37</v>
      </c>
      <c r="J2081" s="8" t="s">
        <v>14</v>
      </c>
    </row>
    <row r="2082" customFormat="false" ht="14.25" hidden="false" customHeight="false" outlineLevel="0" collapsed="false">
      <c r="A2082" s="8" t="n">
        <v>2081</v>
      </c>
      <c r="B2082" s="8" t="s">
        <v>85</v>
      </c>
      <c r="C2082" s="8" t="s">
        <v>16</v>
      </c>
      <c r="D2082" s="9" t="n">
        <v>44415</v>
      </c>
      <c r="E2082" s="9" t="str">
        <f aca="false">TEXT(D2082,"MMM")</f>
        <v>ago</v>
      </c>
      <c r="F2082" s="10" t="n">
        <v>179878.68</v>
      </c>
      <c r="G2082" s="8" t="s">
        <v>11</v>
      </c>
      <c r="H2082" s="8" t="s">
        <v>17</v>
      </c>
      <c r="I2082" s="11" t="s">
        <v>18</v>
      </c>
      <c r="J2082" s="8" t="s">
        <v>14</v>
      </c>
    </row>
    <row r="2083" customFormat="false" ht="14.25" hidden="false" customHeight="false" outlineLevel="0" collapsed="false">
      <c r="A2083" s="8" t="n">
        <v>2082</v>
      </c>
      <c r="B2083" s="8" t="s">
        <v>49</v>
      </c>
      <c r="C2083" s="8" t="s">
        <v>28</v>
      </c>
      <c r="D2083" s="9" t="n">
        <v>44415</v>
      </c>
      <c r="E2083" s="9" t="str">
        <f aca="false">TEXT(D2083,"MMM")</f>
        <v>ago</v>
      </c>
      <c r="F2083" s="10" t="n">
        <v>23029.34</v>
      </c>
      <c r="G2083" s="8" t="s">
        <v>11</v>
      </c>
      <c r="H2083" s="8" t="s">
        <v>12</v>
      </c>
      <c r="I2083" s="11" t="s">
        <v>13</v>
      </c>
      <c r="J2083" s="8" t="s">
        <v>19</v>
      </c>
    </row>
    <row r="2084" customFormat="false" ht="14.25" hidden="false" customHeight="false" outlineLevel="0" collapsed="false">
      <c r="A2084" s="8" t="n">
        <v>2083</v>
      </c>
      <c r="B2084" s="8" t="s">
        <v>73</v>
      </c>
      <c r="C2084" s="8" t="s">
        <v>28</v>
      </c>
      <c r="D2084" s="9" t="n">
        <v>44416</v>
      </c>
      <c r="E2084" s="9" t="str">
        <f aca="false">TEXT(D2084,"MMM")</f>
        <v>ago</v>
      </c>
      <c r="F2084" s="10" t="n">
        <v>7706.07</v>
      </c>
      <c r="G2084" s="8" t="s">
        <v>11</v>
      </c>
      <c r="H2084" s="8" t="s">
        <v>12</v>
      </c>
      <c r="I2084" s="11" t="s">
        <v>13</v>
      </c>
      <c r="J2084" s="8" t="s">
        <v>26</v>
      </c>
    </row>
    <row r="2085" customFormat="false" ht="14.25" hidden="false" customHeight="false" outlineLevel="0" collapsed="false">
      <c r="A2085" s="8" t="n">
        <v>2084</v>
      </c>
      <c r="B2085" s="8" t="s">
        <v>165</v>
      </c>
      <c r="C2085" s="8" t="s">
        <v>28</v>
      </c>
      <c r="D2085" s="9" t="n">
        <v>44416</v>
      </c>
      <c r="E2085" s="9" t="str">
        <f aca="false">TEXT(D2085,"MMM")</f>
        <v>ago</v>
      </c>
      <c r="F2085" s="10" t="n">
        <v>36273.02</v>
      </c>
      <c r="G2085" s="8" t="s">
        <v>11</v>
      </c>
      <c r="H2085" s="8" t="s">
        <v>22</v>
      </c>
      <c r="I2085" s="11" t="s">
        <v>23</v>
      </c>
      <c r="J2085" s="8" t="s">
        <v>26</v>
      </c>
    </row>
    <row r="2086" customFormat="false" ht="14.25" hidden="false" customHeight="false" outlineLevel="0" collapsed="false">
      <c r="A2086" s="8" t="n">
        <v>2085</v>
      </c>
      <c r="B2086" s="8" t="s">
        <v>174</v>
      </c>
      <c r="C2086" s="8" t="s">
        <v>16</v>
      </c>
      <c r="D2086" s="9" t="n">
        <v>44416</v>
      </c>
      <c r="E2086" s="9" t="str">
        <f aca="false">TEXT(D2086,"MMM")</f>
        <v>ago</v>
      </c>
      <c r="F2086" s="10" t="n">
        <v>8508.92</v>
      </c>
      <c r="G2086" s="8" t="s">
        <v>11</v>
      </c>
      <c r="H2086" s="8" t="s">
        <v>36</v>
      </c>
      <c r="I2086" s="11" t="s">
        <v>37</v>
      </c>
      <c r="J2086" s="8" t="s">
        <v>14</v>
      </c>
    </row>
    <row r="2087" customFormat="false" ht="14.25" hidden="false" customHeight="false" outlineLevel="0" collapsed="false">
      <c r="A2087" s="8" t="n">
        <v>2086</v>
      </c>
      <c r="B2087" s="8" t="s">
        <v>164</v>
      </c>
      <c r="C2087" s="8" t="s">
        <v>16</v>
      </c>
      <c r="D2087" s="9" t="n">
        <v>44416</v>
      </c>
      <c r="E2087" s="9" t="str">
        <f aca="false">TEXT(D2087,"MMM")</f>
        <v>ago</v>
      </c>
      <c r="F2087" s="10" t="n">
        <v>23029.34</v>
      </c>
      <c r="G2087" s="8" t="s">
        <v>11</v>
      </c>
      <c r="H2087" s="8" t="s">
        <v>12</v>
      </c>
      <c r="I2087" s="11" t="s">
        <v>13</v>
      </c>
      <c r="J2087" s="8" t="s">
        <v>14</v>
      </c>
    </row>
    <row r="2088" customFormat="false" ht="14.25" hidden="false" customHeight="false" outlineLevel="0" collapsed="false">
      <c r="A2088" s="8" t="n">
        <v>2087</v>
      </c>
      <c r="B2088" s="8" t="s">
        <v>172</v>
      </c>
      <c r="C2088" s="8" t="s">
        <v>28</v>
      </c>
      <c r="D2088" s="9" t="n">
        <v>44416</v>
      </c>
      <c r="E2088" s="9" t="str">
        <f aca="false">TEXT(D2088,"MMM")</f>
        <v>ago</v>
      </c>
      <c r="F2088" s="10" t="n">
        <v>4214.72</v>
      </c>
      <c r="G2088" s="8" t="s">
        <v>11</v>
      </c>
      <c r="H2088" s="8" t="s">
        <v>22</v>
      </c>
      <c r="I2088" s="11" t="s">
        <v>23</v>
      </c>
      <c r="J2088" s="8" t="s">
        <v>19</v>
      </c>
    </row>
    <row r="2089" customFormat="false" ht="14.25" hidden="false" customHeight="false" outlineLevel="0" collapsed="false">
      <c r="A2089" s="8" t="n">
        <v>2088</v>
      </c>
      <c r="B2089" s="8" t="s">
        <v>190</v>
      </c>
      <c r="C2089" s="8" t="s">
        <v>21</v>
      </c>
      <c r="D2089" s="9" t="n">
        <v>44416</v>
      </c>
      <c r="E2089" s="9" t="str">
        <f aca="false">TEXT(D2089,"MMM")</f>
        <v>ago</v>
      </c>
      <c r="F2089" s="10" t="n">
        <v>22558.97</v>
      </c>
      <c r="G2089" s="8" t="s">
        <v>11</v>
      </c>
      <c r="H2089" s="8" t="s">
        <v>12</v>
      </c>
      <c r="I2089" s="11" t="s">
        <v>13</v>
      </c>
      <c r="J2089" s="8" t="s">
        <v>24</v>
      </c>
    </row>
    <row r="2090" customFormat="false" ht="14.25" hidden="false" customHeight="false" outlineLevel="0" collapsed="false">
      <c r="A2090" s="8" t="n">
        <v>2089</v>
      </c>
      <c r="B2090" s="8" t="s">
        <v>235</v>
      </c>
      <c r="C2090" s="8" t="s">
        <v>16</v>
      </c>
      <c r="D2090" s="9" t="n">
        <v>44416</v>
      </c>
      <c r="E2090" s="9" t="str">
        <f aca="false">TEXT(D2090,"MMM")</f>
        <v>ago</v>
      </c>
      <c r="F2090" s="10" t="n">
        <v>11714.62</v>
      </c>
      <c r="G2090" s="8" t="s">
        <v>11</v>
      </c>
      <c r="H2090" s="8" t="s">
        <v>12</v>
      </c>
      <c r="I2090" s="11" t="s">
        <v>13</v>
      </c>
      <c r="J2090" s="8" t="s">
        <v>26</v>
      </c>
    </row>
    <row r="2091" customFormat="false" ht="14.25" hidden="false" customHeight="false" outlineLevel="0" collapsed="false">
      <c r="A2091" s="8" t="n">
        <v>2090</v>
      </c>
      <c r="B2091" s="8" t="s">
        <v>49</v>
      </c>
      <c r="C2091" s="8" t="s">
        <v>10</v>
      </c>
      <c r="D2091" s="9" t="n">
        <v>44416</v>
      </c>
      <c r="E2091" s="9" t="str">
        <f aca="false">TEXT(D2091,"MMM")</f>
        <v>ago</v>
      </c>
      <c r="F2091" s="10" t="n">
        <v>147903.54</v>
      </c>
      <c r="G2091" s="8" t="s">
        <v>11</v>
      </c>
      <c r="H2091" s="8" t="s">
        <v>12</v>
      </c>
      <c r="I2091" s="11" t="s">
        <v>13</v>
      </c>
      <c r="J2091" s="8" t="s">
        <v>24</v>
      </c>
    </row>
    <row r="2092" customFormat="false" ht="14.25" hidden="false" customHeight="false" outlineLevel="0" collapsed="false">
      <c r="A2092" s="8" t="n">
        <v>2091</v>
      </c>
      <c r="B2092" s="8" t="s">
        <v>150</v>
      </c>
      <c r="C2092" s="8" t="s">
        <v>28</v>
      </c>
      <c r="D2092" s="9" t="n">
        <v>44417</v>
      </c>
      <c r="E2092" s="9" t="str">
        <f aca="false">TEXT(D2092,"MMM")</f>
        <v>ago</v>
      </c>
      <c r="F2092" s="10" t="n">
        <v>8415.62</v>
      </c>
      <c r="G2092" s="8" t="s">
        <v>11</v>
      </c>
      <c r="H2092" s="8" t="s">
        <v>30</v>
      </c>
      <c r="I2092" s="11" t="s">
        <v>31</v>
      </c>
      <c r="J2092" s="8" t="s">
        <v>26</v>
      </c>
    </row>
    <row r="2093" customFormat="false" ht="14.25" hidden="false" customHeight="false" outlineLevel="0" collapsed="false">
      <c r="A2093" s="8" t="n">
        <v>2092</v>
      </c>
      <c r="B2093" s="8" t="s">
        <v>222</v>
      </c>
      <c r="C2093" s="8" t="s">
        <v>28</v>
      </c>
      <c r="D2093" s="9" t="n">
        <v>44417</v>
      </c>
      <c r="E2093" s="9" t="str">
        <f aca="false">TEXT(D2093,"MMM")</f>
        <v>ago</v>
      </c>
      <c r="F2093" s="10" t="n">
        <v>23029.34</v>
      </c>
      <c r="G2093" s="8" t="s">
        <v>11</v>
      </c>
      <c r="H2093" s="8" t="s">
        <v>12</v>
      </c>
      <c r="I2093" s="11" t="s">
        <v>13</v>
      </c>
      <c r="J2093" s="8" t="s">
        <v>26</v>
      </c>
    </row>
    <row r="2094" customFormat="false" ht="14.25" hidden="false" customHeight="false" outlineLevel="0" collapsed="false">
      <c r="A2094" s="8" t="n">
        <v>2093</v>
      </c>
      <c r="B2094" s="8" t="s">
        <v>162</v>
      </c>
      <c r="C2094" s="8" t="s">
        <v>16</v>
      </c>
      <c r="D2094" s="9" t="n">
        <v>44418</v>
      </c>
      <c r="E2094" s="9" t="str">
        <f aca="false">TEXT(D2094,"MMM")</f>
        <v>ago</v>
      </c>
      <c r="F2094" s="10" t="n">
        <v>11024.32</v>
      </c>
      <c r="G2094" s="8" t="s">
        <v>11</v>
      </c>
      <c r="H2094" s="8" t="s">
        <v>36</v>
      </c>
      <c r="I2094" s="11" t="s">
        <v>37</v>
      </c>
      <c r="J2094" s="8" t="s">
        <v>26</v>
      </c>
    </row>
    <row r="2095" customFormat="false" ht="14.25" hidden="false" customHeight="false" outlineLevel="0" collapsed="false">
      <c r="A2095" s="8" t="n">
        <v>2094</v>
      </c>
      <c r="B2095" s="8" t="s">
        <v>208</v>
      </c>
      <c r="C2095" s="8" t="s">
        <v>16</v>
      </c>
      <c r="D2095" s="9" t="n">
        <v>44418</v>
      </c>
      <c r="E2095" s="9" t="str">
        <f aca="false">TEXT(D2095,"MMM")</f>
        <v>ago</v>
      </c>
      <c r="F2095" s="10" t="n">
        <v>4004.79</v>
      </c>
      <c r="G2095" s="8" t="s">
        <v>11</v>
      </c>
      <c r="H2095" s="8" t="s">
        <v>12</v>
      </c>
      <c r="I2095" s="11" t="s">
        <v>13</v>
      </c>
      <c r="J2095" s="8" t="s">
        <v>19</v>
      </c>
    </row>
    <row r="2096" customFormat="false" ht="14.25" hidden="false" customHeight="false" outlineLevel="0" collapsed="false">
      <c r="A2096" s="8" t="n">
        <v>2095</v>
      </c>
      <c r="B2096" s="8" t="s">
        <v>145</v>
      </c>
      <c r="C2096" s="8" t="s">
        <v>16</v>
      </c>
      <c r="D2096" s="9" t="n">
        <v>44418</v>
      </c>
      <c r="E2096" s="9" t="str">
        <f aca="false">TEXT(D2096,"MMM")</f>
        <v>ago</v>
      </c>
      <c r="F2096" s="10" t="n">
        <v>19435.42</v>
      </c>
      <c r="G2096" s="8" t="s">
        <v>11</v>
      </c>
      <c r="H2096" s="8" t="s">
        <v>12</v>
      </c>
      <c r="I2096" s="11" t="s">
        <v>13</v>
      </c>
      <c r="J2096" s="8" t="s">
        <v>14</v>
      </c>
    </row>
    <row r="2097" customFormat="false" ht="14.25" hidden="false" customHeight="false" outlineLevel="0" collapsed="false">
      <c r="A2097" s="8" t="n">
        <v>2096</v>
      </c>
      <c r="B2097" s="8" t="s">
        <v>15</v>
      </c>
      <c r="C2097" s="8" t="s">
        <v>16</v>
      </c>
      <c r="D2097" s="9" t="n">
        <v>44418</v>
      </c>
      <c r="E2097" s="9" t="str">
        <f aca="false">TEXT(D2097,"MMM")</f>
        <v>ago</v>
      </c>
      <c r="F2097" s="10" t="n">
        <v>23029.34</v>
      </c>
      <c r="G2097" s="8" t="s">
        <v>11</v>
      </c>
      <c r="H2097" s="8" t="s">
        <v>36</v>
      </c>
      <c r="I2097" s="11" t="s">
        <v>37</v>
      </c>
      <c r="J2097" s="8" t="s">
        <v>26</v>
      </c>
    </row>
    <row r="2098" customFormat="false" ht="14.25" hidden="false" customHeight="false" outlineLevel="0" collapsed="false">
      <c r="A2098" s="8" t="n">
        <v>2097</v>
      </c>
      <c r="B2098" s="8" t="s">
        <v>143</v>
      </c>
      <c r="C2098" s="8" t="s">
        <v>28</v>
      </c>
      <c r="D2098" s="9" t="n">
        <v>44418</v>
      </c>
      <c r="E2098" s="9" t="str">
        <f aca="false">TEXT(D2098,"MMM")</f>
        <v>ago</v>
      </c>
      <c r="F2098" s="10" t="n">
        <v>23029.34</v>
      </c>
      <c r="G2098" s="8" t="s">
        <v>11</v>
      </c>
      <c r="H2098" s="8" t="s">
        <v>12</v>
      </c>
      <c r="I2098" s="11" t="s">
        <v>13</v>
      </c>
      <c r="J2098" s="8" t="s">
        <v>24</v>
      </c>
    </row>
    <row r="2099" customFormat="false" ht="14.25" hidden="false" customHeight="false" outlineLevel="0" collapsed="false">
      <c r="A2099" s="8" t="n">
        <v>2098</v>
      </c>
      <c r="B2099" s="8" t="s">
        <v>143</v>
      </c>
      <c r="C2099" s="8" t="s">
        <v>16</v>
      </c>
      <c r="D2099" s="9" t="n">
        <v>44418</v>
      </c>
      <c r="E2099" s="9" t="str">
        <f aca="false">TEXT(D2099,"MMM")</f>
        <v>ago</v>
      </c>
      <c r="F2099" s="10" t="n">
        <v>23029.31</v>
      </c>
      <c r="G2099" s="8" t="s">
        <v>11</v>
      </c>
      <c r="H2099" s="8" t="s">
        <v>17</v>
      </c>
      <c r="I2099" s="11" t="s">
        <v>18</v>
      </c>
      <c r="J2099" s="8" t="s">
        <v>19</v>
      </c>
    </row>
    <row r="2100" customFormat="false" ht="14.25" hidden="false" customHeight="false" outlineLevel="0" collapsed="false">
      <c r="A2100" s="8" t="n">
        <v>2099</v>
      </c>
      <c r="B2100" s="8" t="s">
        <v>143</v>
      </c>
      <c r="C2100" s="8" t="s">
        <v>10</v>
      </c>
      <c r="D2100" s="9" t="n">
        <v>44418</v>
      </c>
      <c r="E2100" s="9" t="str">
        <f aca="false">TEXT(D2100,"MMM")</f>
        <v>ago</v>
      </c>
      <c r="F2100" s="10" t="n">
        <v>6889.97</v>
      </c>
      <c r="G2100" s="8" t="s">
        <v>11</v>
      </c>
      <c r="H2100" s="8" t="s">
        <v>36</v>
      </c>
      <c r="I2100" s="11" t="s">
        <v>37</v>
      </c>
      <c r="J2100" s="8" t="s">
        <v>26</v>
      </c>
    </row>
    <row r="2101" customFormat="false" ht="14.25" hidden="false" customHeight="false" outlineLevel="0" collapsed="false">
      <c r="A2101" s="8" t="n">
        <v>2100</v>
      </c>
      <c r="B2101" s="8" t="s">
        <v>143</v>
      </c>
      <c r="C2101" s="8" t="s">
        <v>16</v>
      </c>
      <c r="D2101" s="9" t="n">
        <v>44418</v>
      </c>
      <c r="E2101" s="9" t="str">
        <f aca="false">TEXT(D2101,"MMM")</f>
        <v>ago</v>
      </c>
      <c r="F2101" s="10" t="n">
        <v>1401.93</v>
      </c>
      <c r="G2101" s="8" t="s">
        <v>11</v>
      </c>
      <c r="H2101" s="8" t="s">
        <v>12</v>
      </c>
      <c r="I2101" s="11" t="s">
        <v>13</v>
      </c>
      <c r="J2101" s="8" t="s">
        <v>26</v>
      </c>
    </row>
    <row r="2102" customFormat="false" ht="14.25" hidden="false" customHeight="false" outlineLevel="0" collapsed="false">
      <c r="A2102" s="8" t="n">
        <v>2101</v>
      </c>
      <c r="B2102" s="8" t="s">
        <v>136</v>
      </c>
      <c r="C2102" s="8" t="s">
        <v>10</v>
      </c>
      <c r="D2102" s="9" t="n">
        <v>44419</v>
      </c>
      <c r="E2102" s="9" t="str">
        <f aca="false">TEXT(D2102,"MMM")</f>
        <v>ago</v>
      </c>
      <c r="F2102" s="10" t="n">
        <v>5121.86</v>
      </c>
      <c r="G2102" s="8" t="s">
        <v>11</v>
      </c>
      <c r="H2102" s="8" t="s">
        <v>22</v>
      </c>
      <c r="I2102" s="11" t="s">
        <v>23</v>
      </c>
      <c r="J2102" s="8" t="s">
        <v>24</v>
      </c>
    </row>
    <row r="2103" customFormat="false" ht="14.25" hidden="false" customHeight="false" outlineLevel="0" collapsed="false">
      <c r="A2103" s="8" t="n">
        <v>2102</v>
      </c>
      <c r="B2103" s="8" t="s">
        <v>136</v>
      </c>
      <c r="C2103" s="8" t="s">
        <v>21</v>
      </c>
      <c r="D2103" s="9" t="n">
        <v>44419</v>
      </c>
      <c r="E2103" s="9" t="str">
        <f aca="false">TEXT(D2103,"MMM")</f>
        <v>ago</v>
      </c>
      <c r="F2103" s="10" t="n">
        <v>-5797.19</v>
      </c>
      <c r="G2103" s="8" t="s">
        <v>34</v>
      </c>
      <c r="H2103" s="8" t="s">
        <v>12</v>
      </c>
      <c r="I2103" s="11" t="s">
        <v>13</v>
      </c>
      <c r="J2103" s="8" t="s">
        <v>24</v>
      </c>
    </row>
    <row r="2104" customFormat="false" ht="14.25" hidden="false" customHeight="false" outlineLevel="0" collapsed="false">
      <c r="A2104" s="8" t="n">
        <v>2103</v>
      </c>
      <c r="B2104" s="8" t="s">
        <v>136</v>
      </c>
      <c r="C2104" s="8" t="s">
        <v>10</v>
      </c>
      <c r="D2104" s="9" t="n">
        <v>44419</v>
      </c>
      <c r="E2104" s="9" t="str">
        <f aca="false">TEXT(D2104,"MMM")</f>
        <v>ago</v>
      </c>
      <c r="F2104" s="10" t="n">
        <v>-150.36</v>
      </c>
      <c r="G2104" s="8" t="s">
        <v>34</v>
      </c>
      <c r="H2104" s="8" t="s">
        <v>36</v>
      </c>
      <c r="I2104" s="11" t="s">
        <v>37</v>
      </c>
      <c r="J2104" s="8" t="s">
        <v>26</v>
      </c>
    </row>
    <row r="2105" customFormat="false" ht="14.25" hidden="false" customHeight="false" outlineLevel="0" collapsed="false">
      <c r="A2105" s="8" t="n">
        <v>2104</v>
      </c>
      <c r="B2105" s="8" t="s">
        <v>136</v>
      </c>
      <c r="C2105" s="8" t="s">
        <v>10</v>
      </c>
      <c r="D2105" s="9" t="n">
        <v>44419</v>
      </c>
      <c r="E2105" s="9" t="str">
        <f aca="false">TEXT(D2105,"MMM")</f>
        <v>ago</v>
      </c>
      <c r="F2105" s="10" t="n">
        <v>-2581.78</v>
      </c>
      <c r="G2105" s="8" t="s">
        <v>34</v>
      </c>
      <c r="H2105" s="8" t="s">
        <v>17</v>
      </c>
      <c r="I2105" s="11" t="s">
        <v>18</v>
      </c>
      <c r="J2105" s="8" t="s">
        <v>24</v>
      </c>
    </row>
    <row r="2106" customFormat="false" ht="14.25" hidden="false" customHeight="false" outlineLevel="0" collapsed="false">
      <c r="A2106" s="8" t="n">
        <v>2105</v>
      </c>
      <c r="B2106" s="8" t="s">
        <v>136</v>
      </c>
      <c r="C2106" s="8" t="s">
        <v>16</v>
      </c>
      <c r="D2106" s="9" t="n">
        <v>44419</v>
      </c>
      <c r="E2106" s="9" t="str">
        <f aca="false">TEXT(D2106,"MMM")</f>
        <v>ago</v>
      </c>
      <c r="F2106" s="10" t="n">
        <v>-2924.99</v>
      </c>
      <c r="G2106" s="8" t="s">
        <v>34</v>
      </c>
      <c r="H2106" s="8" t="s">
        <v>12</v>
      </c>
      <c r="I2106" s="11" t="s">
        <v>13</v>
      </c>
      <c r="J2106" s="8" t="s">
        <v>24</v>
      </c>
    </row>
    <row r="2107" customFormat="false" ht="14.25" hidden="false" customHeight="false" outlineLevel="0" collapsed="false">
      <c r="A2107" s="8" t="n">
        <v>2106</v>
      </c>
      <c r="B2107" s="8" t="s">
        <v>85</v>
      </c>
      <c r="C2107" s="8" t="s">
        <v>21</v>
      </c>
      <c r="D2107" s="9" t="n">
        <v>44421</v>
      </c>
      <c r="E2107" s="9" t="str">
        <f aca="false">TEXT(D2107,"MMM")</f>
        <v>ago</v>
      </c>
      <c r="F2107" s="10" t="n">
        <v>-3205.27</v>
      </c>
      <c r="G2107" s="8" t="s">
        <v>34</v>
      </c>
      <c r="H2107" s="8" t="s">
        <v>12</v>
      </c>
      <c r="I2107" s="11" t="s">
        <v>13</v>
      </c>
      <c r="J2107" s="8" t="s">
        <v>14</v>
      </c>
    </row>
    <row r="2108" customFormat="false" ht="14.25" hidden="false" customHeight="false" outlineLevel="0" collapsed="false">
      <c r="A2108" s="8" t="n">
        <v>2107</v>
      </c>
      <c r="B2108" s="8" t="s">
        <v>170</v>
      </c>
      <c r="C2108" s="8" t="s">
        <v>16</v>
      </c>
      <c r="D2108" s="9" t="n">
        <v>44422</v>
      </c>
      <c r="E2108" s="9" t="str">
        <f aca="false">TEXT(D2108,"MMM")</f>
        <v>ago</v>
      </c>
      <c r="F2108" s="10" t="n">
        <v>-5973.21</v>
      </c>
      <c r="G2108" s="8" t="s">
        <v>34</v>
      </c>
      <c r="H2108" s="8" t="s">
        <v>36</v>
      </c>
      <c r="I2108" s="11" t="s">
        <v>37</v>
      </c>
      <c r="J2108" s="8" t="s">
        <v>26</v>
      </c>
    </row>
    <row r="2109" customFormat="false" ht="14.25" hidden="false" customHeight="false" outlineLevel="0" collapsed="false">
      <c r="A2109" s="8" t="n">
        <v>2108</v>
      </c>
      <c r="B2109" s="8" t="s">
        <v>170</v>
      </c>
      <c r="C2109" s="8" t="s">
        <v>16</v>
      </c>
      <c r="D2109" s="9" t="n">
        <v>44422</v>
      </c>
      <c r="E2109" s="9" t="str">
        <f aca="false">TEXT(D2109,"MMM")</f>
        <v>ago</v>
      </c>
      <c r="F2109" s="10" t="n">
        <v>-2616.15</v>
      </c>
      <c r="G2109" s="8" t="s">
        <v>34</v>
      </c>
      <c r="H2109" s="8" t="s">
        <v>12</v>
      </c>
      <c r="I2109" s="11" t="s">
        <v>13</v>
      </c>
      <c r="J2109" s="8" t="s">
        <v>26</v>
      </c>
    </row>
    <row r="2110" customFormat="false" ht="14.25" hidden="false" customHeight="false" outlineLevel="0" collapsed="false">
      <c r="A2110" s="8" t="n">
        <v>2109</v>
      </c>
      <c r="B2110" s="8" t="s">
        <v>50</v>
      </c>
      <c r="C2110" s="8" t="s">
        <v>28</v>
      </c>
      <c r="D2110" s="9" t="n">
        <v>44422</v>
      </c>
      <c r="E2110" s="9" t="str">
        <f aca="false">TEXT(D2110,"MMM")</f>
        <v>ago</v>
      </c>
      <c r="F2110" s="10" t="n">
        <v>-7374.12</v>
      </c>
      <c r="G2110" s="8" t="s">
        <v>34</v>
      </c>
      <c r="H2110" s="8" t="s">
        <v>12</v>
      </c>
      <c r="I2110" s="11" t="s">
        <v>13</v>
      </c>
      <c r="J2110" s="8" t="s">
        <v>14</v>
      </c>
    </row>
    <row r="2111" customFormat="false" ht="14.25" hidden="false" customHeight="false" outlineLevel="0" collapsed="false">
      <c r="A2111" s="8" t="n">
        <v>2110</v>
      </c>
      <c r="B2111" s="8" t="s">
        <v>189</v>
      </c>
      <c r="C2111" s="8" t="s">
        <v>16</v>
      </c>
      <c r="D2111" s="9" t="n">
        <v>44422</v>
      </c>
      <c r="E2111" s="9" t="str">
        <f aca="false">TEXT(D2111,"MMM")</f>
        <v>ago</v>
      </c>
      <c r="F2111" s="10" t="n">
        <v>-1771.14</v>
      </c>
      <c r="G2111" s="8" t="s">
        <v>34</v>
      </c>
      <c r="H2111" s="8" t="s">
        <v>36</v>
      </c>
      <c r="I2111" s="11" t="s">
        <v>37</v>
      </c>
      <c r="J2111" s="8" t="s">
        <v>14</v>
      </c>
    </row>
    <row r="2112" customFormat="false" ht="14.25" hidden="false" customHeight="false" outlineLevel="0" collapsed="false">
      <c r="A2112" s="8" t="n">
        <v>2111</v>
      </c>
      <c r="B2112" s="8" t="s">
        <v>40</v>
      </c>
      <c r="C2112" s="8" t="s">
        <v>28</v>
      </c>
      <c r="D2112" s="9" t="n">
        <v>44422</v>
      </c>
      <c r="E2112" s="9" t="str">
        <f aca="false">TEXT(D2112,"MMM")</f>
        <v>ago</v>
      </c>
      <c r="F2112" s="10" t="n">
        <v>-2500.12</v>
      </c>
      <c r="G2112" s="8" t="s">
        <v>34</v>
      </c>
      <c r="H2112" s="8" t="s">
        <v>36</v>
      </c>
      <c r="I2112" s="11" t="s">
        <v>37</v>
      </c>
      <c r="J2112" s="8" t="s">
        <v>19</v>
      </c>
    </row>
    <row r="2113" customFormat="false" ht="14.25" hidden="false" customHeight="false" outlineLevel="0" collapsed="false">
      <c r="A2113" s="8" t="n">
        <v>2112</v>
      </c>
      <c r="B2113" s="8" t="s">
        <v>85</v>
      </c>
      <c r="C2113" s="8" t="s">
        <v>16</v>
      </c>
      <c r="D2113" s="9" t="n">
        <v>44422</v>
      </c>
      <c r="E2113" s="9" t="str">
        <f aca="false">TEXT(D2113,"MMM")</f>
        <v>ago</v>
      </c>
      <c r="F2113" s="10" t="n">
        <v>-11414.06</v>
      </c>
      <c r="G2113" s="8" t="s">
        <v>34</v>
      </c>
      <c r="H2113" s="8" t="s">
        <v>30</v>
      </c>
      <c r="I2113" s="11" t="s">
        <v>31</v>
      </c>
      <c r="J2113" s="8" t="s">
        <v>14</v>
      </c>
    </row>
    <row r="2114" customFormat="false" ht="14.25" hidden="false" customHeight="false" outlineLevel="0" collapsed="false">
      <c r="A2114" s="8" t="n">
        <v>2113</v>
      </c>
      <c r="B2114" s="8" t="s">
        <v>170</v>
      </c>
      <c r="C2114" s="8" t="s">
        <v>10</v>
      </c>
      <c r="D2114" s="9" t="n">
        <v>44423</v>
      </c>
      <c r="E2114" s="9" t="str">
        <f aca="false">TEXT(D2114,"MMM")</f>
        <v>ago</v>
      </c>
      <c r="F2114" s="10" t="n">
        <v>-38148.18</v>
      </c>
      <c r="G2114" s="8" t="s">
        <v>34</v>
      </c>
      <c r="H2114" s="8" t="s">
        <v>12</v>
      </c>
      <c r="I2114" s="11" t="s">
        <v>13</v>
      </c>
      <c r="J2114" s="8" t="s">
        <v>14</v>
      </c>
    </row>
    <row r="2115" customFormat="false" ht="14.25" hidden="false" customHeight="false" outlineLevel="0" collapsed="false">
      <c r="A2115" s="8" t="n">
        <v>2114</v>
      </c>
      <c r="B2115" s="8" t="s">
        <v>170</v>
      </c>
      <c r="C2115" s="8" t="s">
        <v>16</v>
      </c>
      <c r="D2115" s="9" t="n">
        <v>44423</v>
      </c>
      <c r="E2115" s="9" t="str">
        <f aca="false">TEXT(D2115,"MMM")</f>
        <v>ago</v>
      </c>
      <c r="F2115" s="10" t="n">
        <v>-37748.62</v>
      </c>
      <c r="G2115" s="8" t="s">
        <v>34</v>
      </c>
      <c r="H2115" s="8" t="s">
        <v>36</v>
      </c>
      <c r="I2115" s="11" t="s">
        <v>37</v>
      </c>
      <c r="J2115" s="8" t="s">
        <v>14</v>
      </c>
    </row>
    <row r="2116" customFormat="false" ht="14.25" hidden="false" customHeight="false" outlineLevel="0" collapsed="false">
      <c r="A2116" s="8" t="n">
        <v>2115</v>
      </c>
      <c r="B2116" s="8" t="s">
        <v>236</v>
      </c>
      <c r="C2116" s="8" t="s">
        <v>28</v>
      </c>
      <c r="D2116" s="9" t="n">
        <v>44423</v>
      </c>
      <c r="E2116" s="9" t="str">
        <f aca="false">TEXT(D2116,"MMM")</f>
        <v>ago</v>
      </c>
      <c r="F2116" s="10" t="n">
        <v>10925.14</v>
      </c>
      <c r="G2116" s="8" t="s">
        <v>11</v>
      </c>
      <c r="H2116" s="8" t="s">
        <v>12</v>
      </c>
      <c r="I2116" s="11" t="s">
        <v>13</v>
      </c>
      <c r="J2116" s="8" t="s">
        <v>26</v>
      </c>
    </row>
    <row r="2117" customFormat="false" ht="14.25" hidden="false" customHeight="false" outlineLevel="0" collapsed="false">
      <c r="A2117" s="8" t="n">
        <v>2116</v>
      </c>
      <c r="B2117" s="8" t="s">
        <v>237</v>
      </c>
      <c r="C2117" s="8" t="s">
        <v>28</v>
      </c>
      <c r="D2117" s="9" t="n">
        <v>44423</v>
      </c>
      <c r="E2117" s="9" t="str">
        <f aca="false">TEXT(D2117,"MMM")</f>
        <v>ago</v>
      </c>
      <c r="F2117" s="10" t="n">
        <v>-329.07</v>
      </c>
      <c r="G2117" s="8" t="s">
        <v>34</v>
      </c>
      <c r="H2117" s="8" t="s">
        <v>12</v>
      </c>
      <c r="I2117" s="11" t="s">
        <v>13</v>
      </c>
      <c r="J2117" s="8" t="s">
        <v>19</v>
      </c>
    </row>
    <row r="2118" customFormat="false" ht="14.25" hidden="false" customHeight="false" outlineLevel="0" collapsed="false">
      <c r="A2118" s="8" t="n">
        <v>2117</v>
      </c>
      <c r="B2118" s="8" t="s">
        <v>238</v>
      </c>
      <c r="C2118" s="8" t="s">
        <v>16</v>
      </c>
      <c r="D2118" s="9" t="n">
        <v>44423</v>
      </c>
      <c r="E2118" s="9" t="str">
        <f aca="false">TEXT(D2118,"MMM")</f>
        <v>ago</v>
      </c>
      <c r="F2118" s="10" t="n">
        <v>-8445.92</v>
      </c>
      <c r="G2118" s="8" t="s">
        <v>34</v>
      </c>
      <c r="H2118" s="8" t="s">
        <v>12</v>
      </c>
      <c r="I2118" s="11" t="s">
        <v>13</v>
      </c>
      <c r="J2118" s="8" t="s">
        <v>14</v>
      </c>
    </row>
    <row r="2119" customFormat="false" ht="14.25" hidden="false" customHeight="false" outlineLevel="0" collapsed="false">
      <c r="A2119" s="8" t="n">
        <v>2118</v>
      </c>
      <c r="B2119" s="8" t="s">
        <v>238</v>
      </c>
      <c r="C2119" s="8" t="s">
        <v>16</v>
      </c>
      <c r="D2119" s="9" t="n">
        <v>44423</v>
      </c>
      <c r="E2119" s="9" t="str">
        <f aca="false">TEXT(D2119,"MMM")</f>
        <v>ago</v>
      </c>
      <c r="F2119" s="10" t="n">
        <v>-7067.17</v>
      </c>
      <c r="G2119" s="8" t="s">
        <v>34</v>
      </c>
      <c r="H2119" s="8" t="s">
        <v>17</v>
      </c>
      <c r="I2119" s="11" t="s">
        <v>18</v>
      </c>
      <c r="J2119" s="8" t="s">
        <v>19</v>
      </c>
    </row>
    <row r="2120" customFormat="false" ht="14.25" hidden="false" customHeight="false" outlineLevel="0" collapsed="false">
      <c r="A2120" s="8" t="n">
        <v>2119</v>
      </c>
      <c r="B2120" s="8" t="s">
        <v>239</v>
      </c>
      <c r="C2120" s="8" t="s">
        <v>10</v>
      </c>
      <c r="D2120" s="9" t="n">
        <v>44423</v>
      </c>
      <c r="E2120" s="9" t="str">
        <f aca="false">TEXT(D2120,"MMM")</f>
        <v>ago</v>
      </c>
      <c r="F2120" s="10" t="n">
        <v>-2417.94</v>
      </c>
      <c r="G2120" s="8" t="s">
        <v>34</v>
      </c>
      <c r="H2120" s="8" t="s">
        <v>12</v>
      </c>
      <c r="I2120" s="11" t="s">
        <v>13</v>
      </c>
      <c r="J2120" s="8" t="s">
        <v>26</v>
      </c>
    </row>
    <row r="2121" customFormat="false" ht="14.25" hidden="false" customHeight="false" outlineLevel="0" collapsed="false">
      <c r="A2121" s="8" t="n">
        <v>2120</v>
      </c>
      <c r="B2121" s="8" t="s">
        <v>240</v>
      </c>
      <c r="C2121" s="8" t="s">
        <v>21</v>
      </c>
      <c r="D2121" s="9" t="n">
        <v>44423</v>
      </c>
      <c r="E2121" s="9" t="str">
        <f aca="false">TEXT(D2121,"MMM")</f>
        <v>ago</v>
      </c>
      <c r="F2121" s="10" t="n">
        <v>-6154.72</v>
      </c>
      <c r="G2121" s="8" t="s">
        <v>34</v>
      </c>
      <c r="H2121" s="8" t="s">
        <v>17</v>
      </c>
      <c r="I2121" s="11" t="s">
        <v>18</v>
      </c>
      <c r="J2121" s="8" t="s">
        <v>19</v>
      </c>
    </row>
    <row r="2122" customFormat="false" ht="14.25" hidden="false" customHeight="false" outlineLevel="0" collapsed="false">
      <c r="A2122" s="8" t="n">
        <v>2121</v>
      </c>
      <c r="B2122" s="8" t="s">
        <v>240</v>
      </c>
      <c r="C2122" s="8" t="s">
        <v>16</v>
      </c>
      <c r="D2122" s="9" t="n">
        <v>44423</v>
      </c>
      <c r="E2122" s="9" t="str">
        <f aca="false">TEXT(D2122,"MMM")</f>
        <v>ago</v>
      </c>
      <c r="F2122" s="10" t="n">
        <v>-1696.45</v>
      </c>
      <c r="G2122" s="8" t="s">
        <v>34</v>
      </c>
      <c r="H2122" s="8" t="s">
        <v>12</v>
      </c>
      <c r="I2122" s="11" t="s">
        <v>13</v>
      </c>
      <c r="J2122" s="8" t="s">
        <v>26</v>
      </c>
    </row>
    <row r="2123" customFormat="false" ht="14.25" hidden="false" customHeight="false" outlineLevel="0" collapsed="false">
      <c r="A2123" s="8" t="n">
        <v>2122</v>
      </c>
      <c r="B2123" s="8" t="s">
        <v>241</v>
      </c>
      <c r="C2123" s="8" t="s">
        <v>16</v>
      </c>
      <c r="D2123" s="9" t="n">
        <v>44423</v>
      </c>
      <c r="E2123" s="9" t="str">
        <f aca="false">TEXT(D2123,"MMM")</f>
        <v>ago</v>
      </c>
      <c r="F2123" s="10" t="n">
        <v>-1423.24</v>
      </c>
      <c r="G2123" s="8" t="s">
        <v>34</v>
      </c>
      <c r="H2123" s="8" t="s">
        <v>36</v>
      </c>
      <c r="I2123" s="11" t="s">
        <v>37</v>
      </c>
      <c r="J2123" s="8" t="s">
        <v>14</v>
      </c>
    </row>
    <row r="2124" customFormat="false" ht="14.25" hidden="false" customHeight="false" outlineLevel="0" collapsed="false">
      <c r="A2124" s="8" t="n">
        <v>2123</v>
      </c>
      <c r="B2124" s="8" t="s">
        <v>242</v>
      </c>
      <c r="C2124" s="8" t="s">
        <v>28</v>
      </c>
      <c r="D2124" s="9" t="n">
        <v>44423</v>
      </c>
      <c r="E2124" s="9" t="str">
        <f aca="false">TEXT(D2124,"MMM")</f>
        <v>ago</v>
      </c>
      <c r="F2124" s="10" t="n">
        <v>-1744.65</v>
      </c>
      <c r="G2124" s="8" t="s">
        <v>34</v>
      </c>
      <c r="H2124" s="8" t="s">
        <v>36</v>
      </c>
      <c r="I2124" s="11" t="s">
        <v>37</v>
      </c>
      <c r="J2124" s="8" t="s">
        <v>24</v>
      </c>
    </row>
    <row r="2125" customFormat="false" ht="14.25" hidden="false" customHeight="false" outlineLevel="0" collapsed="false">
      <c r="A2125" s="8" t="n">
        <v>2124</v>
      </c>
      <c r="B2125" s="8" t="s">
        <v>243</v>
      </c>
      <c r="C2125" s="8" t="s">
        <v>10</v>
      </c>
      <c r="D2125" s="9" t="n">
        <v>44423</v>
      </c>
      <c r="E2125" s="9" t="str">
        <f aca="false">TEXT(D2125,"MMM")</f>
        <v>ago</v>
      </c>
      <c r="F2125" s="10" t="n">
        <v>-279.41</v>
      </c>
      <c r="G2125" s="8" t="s">
        <v>34</v>
      </c>
      <c r="H2125" s="8" t="s">
        <v>22</v>
      </c>
      <c r="I2125" s="11" t="s">
        <v>23</v>
      </c>
      <c r="J2125" s="8" t="s">
        <v>14</v>
      </c>
    </row>
    <row r="2126" customFormat="false" ht="14.25" hidden="false" customHeight="false" outlineLevel="0" collapsed="false">
      <c r="A2126" s="8" t="n">
        <v>2125</v>
      </c>
      <c r="B2126" s="8" t="s">
        <v>244</v>
      </c>
      <c r="C2126" s="8" t="s">
        <v>16</v>
      </c>
      <c r="D2126" s="9" t="n">
        <v>44423</v>
      </c>
      <c r="E2126" s="9" t="str">
        <f aca="false">TEXT(D2126,"MMM")</f>
        <v>ago</v>
      </c>
      <c r="F2126" s="10" t="n">
        <v>-11377.94</v>
      </c>
      <c r="G2126" s="8" t="s">
        <v>34</v>
      </c>
      <c r="H2126" s="8" t="s">
        <v>36</v>
      </c>
      <c r="I2126" s="11" t="s">
        <v>37</v>
      </c>
      <c r="J2126" s="8" t="s">
        <v>26</v>
      </c>
    </row>
    <row r="2127" customFormat="false" ht="14.25" hidden="false" customHeight="false" outlineLevel="0" collapsed="false">
      <c r="A2127" s="8" t="n">
        <v>2126</v>
      </c>
      <c r="B2127" s="8" t="s">
        <v>32</v>
      </c>
      <c r="C2127" s="8" t="s">
        <v>21</v>
      </c>
      <c r="D2127" s="9" t="n">
        <v>44423</v>
      </c>
      <c r="E2127" s="9" t="str">
        <f aca="false">TEXT(D2127,"MMM")</f>
        <v>ago</v>
      </c>
      <c r="F2127" s="10" t="n">
        <v>-1462.16</v>
      </c>
      <c r="G2127" s="8" t="s">
        <v>34</v>
      </c>
      <c r="H2127" s="8" t="s">
        <v>22</v>
      </c>
      <c r="I2127" s="11" t="s">
        <v>23</v>
      </c>
      <c r="J2127" s="8" t="s">
        <v>26</v>
      </c>
    </row>
    <row r="2128" customFormat="false" ht="14.25" hidden="false" customHeight="false" outlineLevel="0" collapsed="false">
      <c r="A2128" s="8" t="n">
        <v>2127</v>
      </c>
      <c r="B2128" s="8" t="s">
        <v>20</v>
      </c>
      <c r="C2128" s="8" t="s">
        <v>21</v>
      </c>
      <c r="D2128" s="9" t="n">
        <v>44423</v>
      </c>
      <c r="E2128" s="9" t="str">
        <f aca="false">TEXT(D2128,"MMM")</f>
        <v>ago</v>
      </c>
      <c r="F2128" s="10" t="n">
        <v>-6069</v>
      </c>
      <c r="G2128" s="8" t="s">
        <v>34</v>
      </c>
      <c r="H2128" s="8" t="s">
        <v>17</v>
      </c>
      <c r="I2128" s="11" t="s">
        <v>18</v>
      </c>
      <c r="J2128" s="8" t="s">
        <v>26</v>
      </c>
    </row>
    <row r="2129" customFormat="false" ht="14.25" hidden="false" customHeight="false" outlineLevel="0" collapsed="false">
      <c r="A2129" s="8" t="n">
        <v>2128</v>
      </c>
      <c r="B2129" s="8" t="s">
        <v>20</v>
      </c>
      <c r="C2129" s="8" t="s">
        <v>16</v>
      </c>
      <c r="D2129" s="9" t="n">
        <v>44423</v>
      </c>
      <c r="E2129" s="9" t="str">
        <f aca="false">TEXT(D2129,"MMM")</f>
        <v>ago</v>
      </c>
      <c r="F2129" s="10" t="n">
        <v>-8845.83</v>
      </c>
      <c r="G2129" s="8" t="s">
        <v>34</v>
      </c>
      <c r="H2129" s="8" t="s">
        <v>17</v>
      </c>
      <c r="I2129" s="11" t="s">
        <v>18</v>
      </c>
      <c r="J2129" s="8" t="s">
        <v>14</v>
      </c>
    </row>
    <row r="2130" customFormat="false" ht="14.25" hidden="false" customHeight="false" outlineLevel="0" collapsed="false">
      <c r="A2130" s="8" t="n">
        <v>2129</v>
      </c>
      <c r="B2130" s="8" t="s">
        <v>20</v>
      </c>
      <c r="C2130" s="8" t="s">
        <v>10</v>
      </c>
      <c r="D2130" s="9" t="n">
        <v>44423</v>
      </c>
      <c r="E2130" s="9" t="str">
        <f aca="false">TEXT(D2130,"MMM")</f>
        <v>ago</v>
      </c>
      <c r="F2130" s="10" t="n">
        <v>-5726.28</v>
      </c>
      <c r="G2130" s="8" t="s">
        <v>34</v>
      </c>
      <c r="H2130" s="8" t="s">
        <v>12</v>
      </c>
      <c r="I2130" s="11" t="s">
        <v>13</v>
      </c>
      <c r="J2130" s="8" t="s">
        <v>26</v>
      </c>
    </row>
    <row r="2131" customFormat="false" ht="14.25" hidden="false" customHeight="false" outlineLevel="0" collapsed="false">
      <c r="A2131" s="8" t="n">
        <v>2130</v>
      </c>
      <c r="B2131" s="8" t="s">
        <v>20</v>
      </c>
      <c r="C2131" s="8" t="s">
        <v>10</v>
      </c>
      <c r="D2131" s="9" t="n">
        <v>44423</v>
      </c>
      <c r="E2131" s="9" t="str">
        <f aca="false">TEXT(D2131,"MMM")</f>
        <v>ago</v>
      </c>
      <c r="F2131" s="10" t="n">
        <v>-91697.94</v>
      </c>
      <c r="G2131" s="8" t="s">
        <v>34</v>
      </c>
      <c r="H2131" s="8" t="s">
        <v>36</v>
      </c>
      <c r="I2131" s="11" t="s">
        <v>37</v>
      </c>
      <c r="J2131" s="8" t="s">
        <v>14</v>
      </c>
    </row>
    <row r="2132" customFormat="false" ht="14.25" hidden="false" customHeight="false" outlineLevel="0" collapsed="false">
      <c r="A2132" s="8" t="n">
        <v>2131</v>
      </c>
      <c r="B2132" s="8" t="s">
        <v>245</v>
      </c>
      <c r="C2132" s="8" t="s">
        <v>28</v>
      </c>
      <c r="D2132" s="9" t="n">
        <v>44424</v>
      </c>
      <c r="E2132" s="9" t="str">
        <f aca="false">TEXT(D2132,"MMM")</f>
        <v>ago</v>
      </c>
      <c r="F2132" s="10" t="n">
        <v>-300118</v>
      </c>
      <c r="G2132" s="8" t="s">
        <v>34</v>
      </c>
      <c r="H2132" s="8" t="s">
        <v>12</v>
      </c>
      <c r="I2132" s="11" t="s">
        <v>13</v>
      </c>
      <c r="J2132" s="8" t="s">
        <v>14</v>
      </c>
    </row>
    <row r="2133" customFormat="false" ht="14.25" hidden="false" customHeight="false" outlineLevel="0" collapsed="false">
      <c r="A2133" s="8" t="n">
        <v>2132</v>
      </c>
      <c r="B2133" s="8" t="s">
        <v>232</v>
      </c>
      <c r="C2133" s="8" t="s">
        <v>21</v>
      </c>
      <c r="D2133" s="9" t="n">
        <v>44424</v>
      </c>
      <c r="E2133" s="9" t="str">
        <f aca="false">TEXT(D2133,"MMM")</f>
        <v>ago</v>
      </c>
      <c r="F2133" s="10" t="n">
        <v>-9067.98</v>
      </c>
      <c r="G2133" s="8" t="s">
        <v>34</v>
      </c>
      <c r="H2133" s="8" t="s">
        <v>22</v>
      </c>
      <c r="I2133" s="11" t="s">
        <v>23</v>
      </c>
      <c r="J2133" s="8" t="s">
        <v>14</v>
      </c>
    </row>
    <row r="2134" customFormat="false" ht="14.25" hidden="false" customHeight="false" outlineLevel="0" collapsed="false">
      <c r="A2134" s="8" t="n">
        <v>2133</v>
      </c>
      <c r="B2134" s="8" t="s">
        <v>129</v>
      </c>
      <c r="C2134" s="8" t="s">
        <v>21</v>
      </c>
      <c r="D2134" s="9" t="n">
        <v>44424</v>
      </c>
      <c r="E2134" s="9" t="str">
        <f aca="false">TEXT(D2134,"MMM")</f>
        <v>ago</v>
      </c>
      <c r="F2134" s="10" t="n">
        <v>-21190.16</v>
      </c>
      <c r="G2134" s="8" t="s">
        <v>34</v>
      </c>
      <c r="H2134" s="8" t="s">
        <v>12</v>
      </c>
      <c r="I2134" s="11" t="s">
        <v>13</v>
      </c>
      <c r="J2134" s="8" t="s">
        <v>26</v>
      </c>
    </row>
    <row r="2135" customFormat="false" ht="14.25" hidden="false" customHeight="false" outlineLevel="0" collapsed="false">
      <c r="A2135" s="8" t="n">
        <v>2134</v>
      </c>
      <c r="B2135" s="8" t="s">
        <v>15</v>
      </c>
      <c r="C2135" s="8" t="s">
        <v>16</v>
      </c>
      <c r="D2135" s="9" t="n">
        <v>44424</v>
      </c>
      <c r="E2135" s="9" t="str">
        <f aca="false">TEXT(D2135,"MMM")</f>
        <v>ago</v>
      </c>
      <c r="F2135" s="10" t="n">
        <v>-4711.42</v>
      </c>
      <c r="G2135" s="8" t="s">
        <v>34</v>
      </c>
      <c r="H2135" s="8" t="s">
        <v>12</v>
      </c>
      <c r="I2135" s="11" t="s">
        <v>13</v>
      </c>
      <c r="J2135" s="8" t="s">
        <v>19</v>
      </c>
    </row>
    <row r="2136" customFormat="false" ht="14.25" hidden="false" customHeight="false" outlineLevel="0" collapsed="false">
      <c r="A2136" s="8" t="n">
        <v>2135</v>
      </c>
      <c r="B2136" s="8" t="s">
        <v>245</v>
      </c>
      <c r="C2136" s="8" t="s">
        <v>10</v>
      </c>
      <c r="D2136" s="9" t="n">
        <v>44425</v>
      </c>
      <c r="E2136" s="9" t="str">
        <f aca="false">TEXT(D2136,"MMM")</f>
        <v>ago</v>
      </c>
      <c r="F2136" s="10" t="n">
        <v>-22255.66</v>
      </c>
      <c r="G2136" s="8" t="s">
        <v>34</v>
      </c>
      <c r="H2136" s="8" t="s">
        <v>12</v>
      </c>
      <c r="I2136" s="11" t="s">
        <v>13</v>
      </c>
      <c r="J2136" s="8" t="s">
        <v>14</v>
      </c>
    </row>
    <row r="2137" customFormat="false" ht="14.25" hidden="false" customHeight="false" outlineLevel="0" collapsed="false">
      <c r="A2137" s="8" t="n">
        <v>2136</v>
      </c>
      <c r="B2137" s="8" t="s">
        <v>245</v>
      </c>
      <c r="C2137" s="8" t="s">
        <v>16</v>
      </c>
      <c r="D2137" s="9" t="n">
        <v>44425</v>
      </c>
      <c r="E2137" s="9" t="str">
        <f aca="false">TEXT(D2137,"MMM")</f>
        <v>ago</v>
      </c>
      <c r="F2137" s="10" t="n">
        <v>-16841.37</v>
      </c>
      <c r="G2137" s="8" t="s">
        <v>34</v>
      </c>
      <c r="H2137" s="8" t="s">
        <v>17</v>
      </c>
      <c r="I2137" s="11" t="s">
        <v>18</v>
      </c>
      <c r="J2137" s="8" t="s">
        <v>26</v>
      </c>
    </row>
    <row r="2138" customFormat="false" ht="14.25" hidden="false" customHeight="false" outlineLevel="0" collapsed="false">
      <c r="A2138" s="8" t="n">
        <v>2137</v>
      </c>
      <c r="B2138" s="8" t="s">
        <v>50</v>
      </c>
      <c r="C2138" s="8" t="s">
        <v>21</v>
      </c>
      <c r="D2138" s="9" t="n">
        <v>44425</v>
      </c>
      <c r="E2138" s="9" t="str">
        <f aca="false">TEXT(D2138,"MMM")</f>
        <v>ago</v>
      </c>
      <c r="F2138" s="10" t="n">
        <v>-4217.57</v>
      </c>
      <c r="G2138" s="8" t="s">
        <v>34</v>
      </c>
      <c r="H2138" s="8" t="s">
        <v>17</v>
      </c>
      <c r="I2138" s="11" t="s">
        <v>18</v>
      </c>
      <c r="J2138" s="8" t="s">
        <v>26</v>
      </c>
    </row>
    <row r="2139" customFormat="false" ht="14.25" hidden="false" customHeight="false" outlineLevel="0" collapsed="false">
      <c r="A2139" s="8" t="n">
        <v>2138</v>
      </c>
      <c r="B2139" s="8" t="s">
        <v>246</v>
      </c>
      <c r="C2139" s="8" t="s">
        <v>10</v>
      </c>
      <c r="D2139" s="9" t="n">
        <v>44425</v>
      </c>
      <c r="E2139" s="9" t="str">
        <f aca="false">TEXT(D2139,"MMM")</f>
        <v>ago</v>
      </c>
      <c r="F2139" s="10" t="n">
        <v>-6052.9</v>
      </c>
      <c r="G2139" s="8" t="s">
        <v>34</v>
      </c>
      <c r="H2139" s="8" t="s">
        <v>17</v>
      </c>
      <c r="I2139" s="11" t="s">
        <v>18</v>
      </c>
      <c r="J2139" s="8" t="s">
        <v>14</v>
      </c>
    </row>
    <row r="2140" customFormat="false" ht="14.25" hidden="false" customHeight="false" outlineLevel="0" collapsed="false">
      <c r="A2140" s="8" t="n">
        <v>2139</v>
      </c>
      <c r="B2140" s="8" t="s">
        <v>227</v>
      </c>
      <c r="C2140" s="8" t="s">
        <v>10</v>
      </c>
      <c r="D2140" s="9" t="n">
        <v>44425</v>
      </c>
      <c r="E2140" s="9" t="str">
        <f aca="false">TEXT(D2140,"MMM")</f>
        <v>ago</v>
      </c>
      <c r="F2140" s="10" t="n">
        <v>-2131.43</v>
      </c>
      <c r="G2140" s="8" t="s">
        <v>34</v>
      </c>
      <c r="H2140" s="8" t="s">
        <v>22</v>
      </c>
      <c r="I2140" s="11" t="s">
        <v>23</v>
      </c>
      <c r="J2140" s="8" t="s">
        <v>14</v>
      </c>
    </row>
    <row r="2141" customFormat="false" ht="14.25" hidden="false" customHeight="false" outlineLevel="0" collapsed="false">
      <c r="A2141" s="8" t="n">
        <v>2140</v>
      </c>
      <c r="B2141" s="8" t="s">
        <v>228</v>
      </c>
      <c r="C2141" s="8" t="s">
        <v>21</v>
      </c>
      <c r="D2141" s="9" t="n">
        <v>44425</v>
      </c>
      <c r="E2141" s="9" t="str">
        <f aca="false">TEXT(D2141,"MMM")</f>
        <v>ago</v>
      </c>
      <c r="F2141" s="10" t="n">
        <v>-6872.39</v>
      </c>
      <c r="G2141" s="8" t="s">
        <v>34</v>
      </c>
      <c r="H2141" s="8" t="s">
        <v>12</v>
      </c>
      <c r="I2141" s="11" t="s">
        <v>13</v>
      </c>
      <c r="J2141" s="8" t="s">
        <v>14</v>
      </c>
    </row>
    <row r="2142" customFormat="false" ht="14.25" hidden="false" customHeight="false" outlineLevel="0" collapsed="false">
      <c r="A2142" s="8" t="n">
        <v>2141</v>
      </c>
      <c r="B2142" s="8" t="s">
        <v>229</v>
      </c>
      <c r="C2142" s="8" t="s">
        <v>21</v>
      </c>
      <c r="D2142" s="9" t="n">
        <v>44425</v>
      </c>
      <c r="E2142" s="9" t="str">
        <f aca="false">TEXT(D2142,"MMM")</f>
        <v>ago</v>
      </c>
      <c r="F2142" s="10" t="n">
        <v>141063.96</v>
      </c>
      <c r="G2142" s="8" t="s">
        <v>11</v>
      </c>
      <c r="H2142" s="8" t="s">
        <v>12</v>
      </c>
      <c r="I2142" s="11" t="s">
        <v>13</v>
      </c>
      <c r="J2142" s="8" t="s">
        <v>14</v>
      </c>
    </row>
    <row r="2143" customFormat="false" ht="14.25" hidden="false" customHeight="false" outlineLevel="0" collapsed="false">
      <c r="A2143" s="8" t="n">
        <v>2142</v>
      </c>
      <c r="B2143" s="8" t="s">
        <v>229</v>
      </c>
      <c r="C2143" s="8" t="s">
        <v>28</v>
      </c>
      <c r="D2143" s="9" t="n">
        <v>44425</v>
      </c>
      <c r="E2143" s="9" t="str">
        <f aca="false">TEXT(D2143,"MMM")</f>
        <v>ago</v>
      </c>
      <c r="F2143" s="10" t="n">
        <v>179343.19</v>
      </c>
      <c r="G2143" s="8" t="s">
        <v>11</v>
      </c>
      <c r="H2143" s="8" t="s">
        <v>22</v>
      </c>
      <c r="I2143" s="11" t="s">
        <v>23</v>
      </c>
      <c r="J2143" s="8" t="s">
        <v>19</v>
      </c>
    </row>
    <row r="2144" customFormat="false" ht="14.25" hidden="false" customHeight="false" outlineLevel="0" collapsed="false">
      <c r="A2144" s="8" t="n">
        <v>2143</v>
      </c>
      <c r="B2144" s="8" t="s">
        <v>230</v>
      </c>
      <c r="C2144" s="8" t="s">
        <v>28</v>
      </c>
      <c r="D2144" s="9" t="n">
        <v>44425</v>
      </c>
      <c r="E2144" s="9" t="str">
        <f aca="false">TEXT(D2144,"MMM")</f>
        <v>ago</v>
      </c>
      <c r="F2144" s="10" t="n">
        <v>744.11</v>
      </c>
      <c r="G2144" s="8" t="s">
        <v>11</v>
      </c>
      <c r="H2144" s="8" t="s">
        <v>36</v>
      </c>
      <c r="I2144" s="11" t="s">
        <v>37</v>
      </c>
      <c r="J2144" s="8" t="s">
        <v>26</v>
      </c>
    </row>
    <row r="2145" customFormat="false" ht="14.25" hidden="false" customHeight="false" outlineLevel="0" collapsed="false">
      <c r="A2145" s="8" t="n">
        <v>2144</v>
      </c>
      <c r="B2145" s="8" t="s">
        <v>223</v>
      </c>
      <c r="C2145" s="8" t="s">
        <v>28</v>
      </c>
      <c r="D2145" s="9" t="n">
        <v>44425</v>
      </c>
      <c r="E2145" s="9" t="str">
        <f aca="false">TEXT(D2145,"MMM")</f>
        <v>ago</v>
      </c>
      <c r="F2145" s="10" t="n">
        <v>-6865.78</v>
      </c>
      <c r="G2145" s="8" t="s">
        <v>34</v>
      </c>
      <c r="H2145" s="8" t="s">
        <v>17</v>
      </c>
      <c r="I2145" s="11" t="s">
        <v>18</v>
      </c>
      <c r="J2145" s="8" t="s">
        <v>24</v>
      </c>
    </row>
    <row r="2146" customFormat="false" ht="14.25" hidden="false" customHeight="false" outlineLevel="0" collapsed="false">
      <c r="A2146" s="8" t="n">
        <v>2145</v>
      </c>
      <c r="B2146" s="8" t="s">
        <v>233</v>
      </c>
      <c r="C2146" s="8" t="s">
        <v>21</v>
      </c>
      <c r="D2146" s="9" t="n">
        <v>44425</v>
      </c>
      <c r="E2146" s="9" t="str">
        <f aca="false">TEXT(D2146,"MMM")</f>
        <v>ago</v>
      </c>
      <c r="F2146" s="10" t="n">
        <v>-3077.66</v>
      </c>
      <c r="G2146" s="8" t="s">
        <v>34</v>
      </c>
      <c r="H2146" s="8" t="s">
        <v>36</v>
      </c>
      <c r="I2146" s="11" t="s">
        <v>37</v>
      </c>
      <c r="J2146" s="8" t="s">
        <v>26</v>
      </c>
    </row>
    <row r="2147" customFormat="false" ht="14.25" hidden="false" customHeight="false" outlineLevel="0" collapsed="false">
      <c r="A2147" s="8" t="n">
        <v>2146</v>
      </c>
      <c r="B2147" s="8" t="s">
        <v>231</v>
      </c>
      <c r="C2147" s="8" t="s">
        <v>16</v>
      </c>
      <c r="D2147" s="9" t="n">
        <v>44425</v>
      </c>
      <c r="E2147" s="9" t="str">
        <f aca="false">TEXT(D2147,"MMM")</f>
        <v>ago</v>
      </c>
      <c r="F2147" s="10" t="n">
        <v>-22648.78</v>
      </c>
      <c r="G2147" s="8" t="s">
        <v>34</v>
      </c>
      <c r="H2147" s="8" t="s">
        <v>22</v>
      </c>
      <c r="I2147" s="11" t="s">
        <v>23</v>
      </c>
      <c r="J2147" s="8" t="s">
        <v>26</v>
      </c>
    </row>
    <row r="2148" customFormat="false" ht="14.25" hidden="false" customHeight="false" outlineLevel="0" collapsed="false">
      <c r="A2148" s="8" t="n">
        <v>2147</v>
      </c>
      <c r="B2148" s="8" t="s">
        <v>225</v>
      </c>
      <c r="C2148" s="8" t="s">
        <v>28</v>
      </c>
      <c r="D2148" s="9" t="n">
        <v>44425</v>
      </c>
      <c r="E2148" s="9" t="str">
        <f aca="false">TEXT(D2148,"MMM")</f>
        <v>ago</v>
      </c>
      <c r="F2148" s="10" t="n">
        <v>-1627.47</v>
      </c>
      <c r="G2148" s="8" t="s">
        <v>34</v>
      </c>
      <c r="H2148" s="8" t="s">
        <v>22</v>
      </c>
      <c r="I2148" s="11" t="s">
        <v>23</v>
      </c>
      <c r="J2148" s="8" t="s">
        <v>26</v>
      </c>
    </row>
    <row r="2149" customFormat="false" ht="14.25" hidden="false" customHeight="false" outlineLevel="0" collapsed="false">
      <c r="A2149" s="8" t="n">
        <v>2148</v>
      </c>
      <c r="B2149" s="8" t="s">
        <v>226</v>
      </c>
      <c r="C2149" s="8" t="s">
        <v>28</v>
      </c>
      <c r="D2149" s="9" t="n">
        <v>44425</v>
      </c>
      <c r="E2149" s="9" t="str">
        <f aca="false">TEXT(D2149,"MMM")</f>
        <v>ago</v>
      </c>
      <c r="F2149" s="10" t="n">
        <v>-32501</v>
      </c>
      <c r="G2149" s="8" t="s">
        <v>34</v>
      </c>
      <c r="H2149" s="8" t="s">
        <v>36</v>
      </c>
      <c r="I2149" s="11" t="s">
        <v>37</v>
      </c>
      <c r="J2149" s="8" t="s">
        <v>14</v>
      </c>
    </row>
    <row r="2150" customFormat="false" ht="14.25" hidden="false" customHeight="false" outlineLevel="0" collapsed="false">
      <c r="A2150" s="8" t="n">
        <v>2149</v>
      </c>
      <c r="B2150" s="8" t="s">
        <v>153</v>
      </c>
      <c r="C2150" s="8" t="s">
        <v>28</v>
      </c>
      <c r="D2150" s="9" t="n">
        <v>44428</v>
      </c>
      <c r="E2150" s="9" t="str">
        <f aca="false">TEXT(D2150,"MMM")</f>
        <v>ago</v>
      </c>
      <c r="F2150" s="10" t="n">
        <v>-50829.66</v>
      </c>
      <c r="G2150" s="8" t="s">
        <v>34</v>
      </c>
      <c r="H2150" s="8" t="s">
        <v>17</v>
      </c>
      <c r="I2150" s="11" t="s">
        <v>18</v>
      </c>
      <c r="J2150" s="8" t="s">
        <v>14</v>
      </c>
    </row>
    <row r="2151" customFormat="false" ht="14.25" hidden="false" customHeight="false" outlineLevel="0" collapsed="false">
      <c r="A2151" s="8" t="n">
        <v>2150</v>
      </c>
      <c r="B2151" s="8" t="s">
        <v>176</v>
      </c>
      <c r="C2151" s="8" t="s">
        <v>28</v>
      </c>
      <c r="D2151" s="9" t="n">
        <v>44428</v>
      </c>
      <c r="E2151" s="9" t="str">
        <f aca="false">TEXT(D2151,"MMM")</f>
        <v>ago</v>
      </c>
      <c r="F2151" s="10" t="n">
        <v>-9770.81</v>
      </c>
      <c r="G2151" s="8" t="s">
        <v>34</v>
      </c>
      <c r="H2151" s="8" t="s">
        <v>22</v>
      </c>
      <c r="I2151" s="11" t="s">
        <v>23</v>
      </c>
      <c r="J2151" s="8" t="s">
        <v>19</v>
      </c>
    </row>
    <row r="2152" customFormat="false" ht="14.25" hidden="false" customHeight="false" outlineLevel="0" collapsed="false">
      <c r="A2152" s="8" t="n">
        <v>2151</v>
      </c>
      <c r="B2152" s="8" t="s">
        <v>172</v>
      </c>
      <c r="C2152" s="8" t="s">
        <v>21</v>
      </c>
      <c r="D2152" s="9" t="n">
        <v>44428</v>
      </c>
      <c r="E2152" s="9" t="str">
        <f aca="false">TEXT(D2152,"MMM")</f>
        <v>ago</v>
      </c>
      <c r="F2152" s="10" t="n">
        <v>-8711.01</v>
      </c>
      <c r="G2152" s="8" t="s">
        <v>34</v>
      </c>
      <c r="H2152" s="8" t="s">
        <v>12</v>
      </c>
      <c r="I2152" s="11" t="s">
        <v>13</v>
      </c>
      <c r="J2152" s="8" t="s">
        <v>19</v>
      </c>
    </row>
    <row r="2153" customFormat="false" ht="14.25" hidden="false" customHeight="false" outlineLevel="0" collapsed="false">
      <c r="A2153" s="8" t="n">
        <v>2152</v>
      </c>
      <c r="B2153" s="8" t="s">
        <v>85</v>
      </c>
      <c r="C2153" s="8" t="s">
        <v>21</v>
      </c>
      <c r="D2153" s="9" t="n">
        <v>44428</v>
      </c>
      <c r="E2153" s="9" t="str">
        <f aca="false">TEXT(D2153,"MMM")</f>
        <v>ago</v>
      </c>
      <c r="F2153" s="10" t="n">
        <v>-2249</v>
      </c>
      <c r="G2153" s="8" t="s">
        <v>34</v>
      </c>
      <c r="H2153" s="8" t="s">
        <v>12</v>
      </c>
      <c r="I2153" s="11" t="s">
        <v>13</v>
      </c>
      <c r="J2153" s="8" t="s">
        <v>19</v>
      </c>
    </row>
    <row r="2154" customFormat="false" ht="14.25" hidden="false" customHeight="false" outlineLevel="0" collapsed="false">
      <c r="A2154" s="8" t="n">
        <v>2153</v>
      </c>
      <c r="B2154" s="8" t="s">
        <v>40</v>
      </c>
      <c r="C2154" s="8" t="s">
        <v>28</v>
      </c>
      <c r="D2154" s="9" t="n">
        <v>44428</v>
      </c>
      <c r="E2154" s="9" t="str">
        <f aca="false">TEXT(D2154,"MMM")</f>
        <v>ago</v>
      </c>
      <c r="F2154" s="10" t="n">
        <v>-4412.94</v>
      </c>
      <c r="G2154" s="8" t="s">
        <v>34</v>
      </c>
      <c r="H2154" s="8" t="s">
        <v>36</v>
      </c>
      <c r="I2154" s="11" t="s">
        <v>37</v>
      </c>
      <c r="J2154" s="8" t="s">
        <v>14</v>
      </c>
    </row>
    <row r="2155" customFormat="false" ht="14.25" hidden="false" customHeight="false" outlineLevel="0" collapsed="false">
      <c r="A2155" s="8" t="n">
        <v>2154</v>
      </c>
      <c r="B2155" s="8" t="s">
        <v>15</v>
      </c>
      <c r="C2155" s="8" t="s">
        <v>28</v>
      </c>
      <c r="D2155" s="9" t="n">
        <v>44428</v>
      </c>
      <c r="E2155" s="9" t="str">
        <f aca="false">TEXT(D2155,"MMM")</f>
        <v>ago</v>
      </c>
      <c r="F2155" s="10" t="n">
        <v>-14836.64</v>
      </c>
      <c r="G2155" s="8" t="s">
        <v>34</v>
      </c>
      <c r="H2155" s="8" t="s">
        <v>17</v>
      </c>
      <c r="I2155" s="11" t="s">
        <v>18</v>
      </c>
      <c r="J2155" s="8" t="s">
        <v>19</v>
      </c>
    </row>
    <row r="2156" customFormat="false" ht="14.25" hidden="false" customHeight="false" outlineLevel="0" collapsed="false">
      <c r="A2156" s="8" t="n">
        <v>2155</v>
      </c>
      <c r="B2156" s="8" t="s">
        <v>15</v>
      </c>
      <c r="C2156" s="8" t="s">
        <v>10</v>
      </c>
      <c r="D2156" s="9" t="n">
        <v>44428</v>
      </c>
      <c r="E2156" s="9" t="str">
        <f aca="false">TEXT(D2156,"MMM")</f>
        <v>ago</v>
      </c>
      <c r="F2156" s="10" t="n">
        <v>-781.24</v>
      </c>
      <c r="G2156" s="8" t="s">
        <v>34</v>
      </c>
      <c r="H2156" s="8" t="s">
        <v>17</v>
      </c>
      <c r="I2156" s="11" t="s">
        <v>18</v>
      </c>
      <c r="J2156" s="8" t="s">
        <v>19</v>
      </c>
    </row>
    <row r="2157" customFormat="false" ht="14.25" hidden="false" customHeight="false" outlineLevel="0" collapsed="false">
      <c r="A2157" s="8" t="n">
        <v>2156</v>
      </c>
      <c r="B2157" s="8" t="s">
        <v>15</v>
      </c>
      <c r="C2157" s="8" t="s">
        <v>21</v>
      </c>
      <c r="D2157" s="9" t="n">
        <v>44428</v>
      </c>
      <c r="E2157" s="9" t="str">
        <f aca="false">TEXT(D2157,"MMM")</f>
        <v>ago</v>
      </c>
      <c r="F2157" s="10" t="n">
        <v>-521179.89</v>
      </c>
      <c r="G2157" s="8" t="s">
        <v>34</v>
      </c>
      <c r="H2157" s="8" t="s">
        <v>36</v>
      </c>
      <c r="I2157" s="11" t="s">
        <v>37</v>
      </c>
      <c r="J2157" s="8" t="s">
        <v>14</v>
      </c>
    </row>
    <row r="2158" customFormat="false" ht="14.25" hidden="false" customHeight="false" outlineLevel="0" collapsed="false">
      <c r="A2158" s="8" t="n">
        <v>2157</v>
      </c>
      <c r="B2158" s="8" t="s">
        <v>173</v>
      </c>
      <c r="C2158" s="8" t="s">
        <v>10</v>
      </c>
      <c r="D2158" s="9" t="n">
        <v>44429</v>
      </c>
      <c r="E2158" s="9" t="str">
        <f aca="false">TEXT(D2158,"MMM")</f>
        <v>ago</v>
      </c>
      <c r="F2158" s="10" t="n">
        <v>-978.99</v>
      </c>
      <c r="G2158" s="8" t="s">
        <v>34</v>
      </c>
      <c r="H2158" s="8" t="s">
        <v>22</v>
      </c>
      <c r="I2158" s="11" t="s">
        <v>23</v>
      </c>
      <c r="J2158" s="8" t="s">
        <v>26</v>
      </c>
    </row>
    <row r="2159" customFormat="false" ht="14.25" hidden="false" customHeight="false" outlineLevel="0" collapsed="false">
      <c r="A2159" s="8" t="n">
        <v>2158</v>
      </c>
      <c r="B2159" s="8" t="s">
        <v>209</v>
      </c>
      <c r="C2159" s="8" t="s">
        <v>16</v>
      </c>
      <c r="D2159" s="9" t="n">
        <v>44429</v>
      </c>
      <c r="E2159" s="9" t="str">
        <f aca="false">TEXT(D2159,"MMM")</f>
        <v>ago</v>
      </c>
      <c r="F2159" s="10" t="n">
        <v>-43794.8</v>
      </c>
      <c r="G2159" s="8" t="s">
        <v>34</v>
      </c>
      <c r="H2159" s="8" t="s">
        <v>12</v>
      </c>
      <c r="I2159" s="11" t="s">
        <v>13</v>
      </c>
      <c r="J2159" s="8" t="s">
        <v>14</v>
      </c>
    </row>
    <row r="2160" customFormat="false" ht="14.25" hidden="false" customHeight="false" outlineLevel="0" collapsed="false">
      <c r="A2160" s="8" t="n">
        <v>2159</v>
      </c>
      <c r="B2160" s="8" t="s">
        <v>224</v>
      </c>
      <c r="C2160" s="8" t="s">
        <v>21</v>
      </c>
      <c r="D2160" s="9" t="n">
        <v>44429</v>
      </c>
      <c r="E2160" s="9" t="str">
        <f aca="false">TEXT(D2160,"MMM")</f>
        <v>ago</v>
      </c>
      <c r="F2160" s="10" t="n">
        <v>-36172.36</v>
      </c>
      <c r="G2160" s="8" t="s">
        <v>34</v>
      </c>
      <c r="H2160" s="8" t="s">
        <v>12</v>
      </c>
      <c r="I2160" s="11" t="s">
        <v>13</v>
      </c>
      <c r="J2160" s="8" t="s">
        <v>24</v>
      </c>
    </row>
    <row r="2161" customFormat="false" ht="14.25" hidden="false" customHeight="false" outlineLevel="0" collapsed="false">
      <c r="A2161" s="8" t="n">
        <v>2160</v>
      </c>
      <c r="B2161" s="8" t="s">
        <v>61</v>
      </c>
      <c r="C2161" s="8" t="s">
        <v>16</v>
      </c>
      <c r="D2161" s="9" t="n">
        <v>44429</v>
      </c>
      <c r="E2161" s="9" t="str">
        <f aca="false">TEXT(D2161,"MMM")</f>
        <v>ago</v>
      </c>
      <c r="F2161" s="10" t="n">
        <v>-23386.48</v>
      </c>
      <c r="G2161" s="8" t="s">
        <v>34</v>
      </c>
      <c r="H2161" s="8" t="s">
        <v>12</v>
      </c>
      <c r="I2161" s="11" t="s">
        <v>13</v>
      </c>
      <c r="J2161" s="8" t="s">
        <v>26</v>
      </c>
    </row>
    <row r="2162" customFormat="false" ht="14.25" hidden="false" customHeight="false" outlineLevel="0" collapsed="false">
      <c r="A2162" s="8" t="n">
        <v>2161</v>
      </c>
      <c r="B2162" s="8" t="s">
        <v>62</v>
      </c>
      <c r="C2162" s="8" t="s">
        <v>16</v>
      </c>
      <c r="D2162" s="9" t="n">
        <v>44429</v>
      </c>
      <c r="E2162" s="9" t="str">
        <f aca="false">TEXT(D2162,"MMM")</f>
        <v>ago</v>
      </c>
      <c r="F2162" s="10" t="n">
        <v>157047.46</v>
      </c>
      <c r="G2162" s="8" t="s">
        <v>11</v>
      </c>
      <c r="H2162" s="8" t="s">
        <v>17</v>
      </c>
      <c r="I2162" s="11" t="s">
        <v>18</v>
      </c>
      <c r="J2162" s="8" t="s">
        <v>14</v>
      </c>
    </row>
    <row r="2163" customFormat="false" ht="14.25" hidden="false" customHeight="false" outlineLevel="0" collapsed="false">
      <c r="A2163" s="8" t="n">
        <v>2162</v>
      </c>
      <c r="B2163" s="8" t="s">
        <v>33</v>
      </c>
      <c r="C2163" s="8" t="s">
        <v>16</v>
      </c>
      <c r="D2163" s="9" t="n">
        <v>44429</v>
      </c>
      <c r="E2163" s="9" t="str">
        <f aca="false">TEXT(D2163,"MMM")</f>
        <v>ago</v>
      </c>
      <c r="F2163" s="10" t="n">
        <v>-1892.14</v>
      </c>
      <c r="G2163" s="8" t="s">
        <v>34</v>
      </c>
      <c r="H2163" s="8" t="s">
        <v>12</v>
      </c>
      <c r="I2163" s="11" t="s">
        <v>13</v>
      </c>
      <c r="J2163" s="8" t="s">
        <v>14</v>
      </c>
    </row>
    <row r="2164" customFormat="false" ht="14.25" hidden="false" customHeight="false" outlineLevel="0" collapsed="false">
      <c r="A2164" s="8" t="n">
        <v>2163</v>
      </c>
      <c r="B2164" s="8" t="s">
        <v>61</v>
      </c>
      <c r="C2164" s="8" t="s">
        <v>10</v>
      </c>
      <c r="D2164" s="9" t="n">
        <v>44429</v>
      </c>
      <c r="E2164" s="9" t="str">
        <f aca="false">TEXT(D2164,"MMM")</f>
        <v>ago</v>
      </c>
      <c r="F2164" s="10" t="n">
        <v>-691.15</v>
      </c>
      <c r="G2164" s="8" t="s">
        <v>34</v>
      </c>
      <c r="H2164" s="8" t="s">
        <v>17</v>
      </c>
      <c r="I2164" s="11" t="s">
        <v>18</v>
      </c>
      <c r="J2164" s="8" t="s">
        <v>24</v>
      </c>
    </row>
    <row r="2165" customFormat="false" ht="14.25" hidden="false" customHeight="false" outlineLevel="0" collapsed="false">
      <c r="A2165" s="8" t="n">
        <v>2164</v>
      </c>
      <c r="B2165" s="8" t="s">
        <v>62</v>
      </c>
      <c r="C2165" s="8" t="s">
        <v>10</v>
      </c>
      <c r="D2165" s="9" t="n">
        <v>44429</v>
      </c>
      <c r="E2165" s="9" t="str">
        <f aca="false">TEXT(D2165,"MMM")</f>
        <v>ago</v>
      </c>
      <c r="F2165" s="10" t="n">
        <v>72778.3</v>
      </c>
      <c r="G2165" s="8" t="s">
        <v>11</v>
      </c>
      <c r="H2165" s="8" t="s">
        <v>17</v>
      </c>
      <c r="I2165" s="11" t="s">
        <v>18</v>
      </c>
      <c r="J2165" s="8" t="s">
        <v>19</v>
      </c>
    </row>
    <row r="2166" customFormat="false" ht="14.25" hidden="false" customHeight="false" outlineLevel="0" collapsed="false">
      <c r="A2166" s="8" t="n">
        <v>2165</v>
      </c>
      <c r="B2166" s="8" t="s">
        <v>33</v>
      </c>
      <c r="C2166" s="8" t="s">
        <v>21</v>
      </c>
      <c r="D2166" s="9" t="n">
        <v>44429</v>
      </c>
      <c r="E2166" s="9" t="str">
        <f aca="false">TEXT(D2166,"MMM")</f>
        <v>ago</v>
      </c>
      <c r="F2166" s="10" t="n">
        <v>3485</v>
      </c>
      <c r="G2166" s="8" t="s">
        <v>11</v>
      </c>
      <c r="H2166" s="8" t="s">
        <v>36</v>
      </c>
      <c r="I2166" s="11" t="s">
        <v>37</v>
      </c>
      <c r="J2166" s="8" t="s">
        <v>24</v>
      </c>
    </row>
    <row r="2167" customFormat="false" ht="14.25" hidden="false" customHeight="false" outlineLevel="0" collapsed="false">
      <c r="A2167" s="8" t="n">
        <v>2166</v>
      </c>
      <c r="B2167" s="8" t="s">
        <v>61</v>
      </c>
      <c r="C2167" s="8" t="s">
        <v>10</v>
      </c>
      <c r="D2167" s="9" t="n">
        <v>44429</v>
      </c>
      <c r="E2167" s="9" t="str">
        <f aca="false">TEXT(D2167,"MMM")</f>
        <v>ago</v>
      </c>
      <c r="F2167" s="10" t="n">
        <v>3485</v>
      </c>
      <c r="G2167" s="8" t="s">
        <v>11</v>
      </c>
      <c r="H2167" s="8" t="s">
        <v>17</v>
      </c>
      <c r="I2167" s="11" t="s">
        <v>18</v>
      </c>
      <c r="J2167" s="8" t="s">
        <v>26</v>
      </c>
    </row>
    <row r="2168" customFormat="false" ht="14.25" hidden="false" customHeight="false" outlineLevel="0" collapsed="false">
      <c r="A2168" s="8" t="n">
        <v>2167</v>
      </c>
      <c r="B2168" s="8" t="s">
        <v>62</v>
      </c>
      <c r="C2168" s="8" t="s">
        <v>21</v>
      </c>
      <c r="D2168" s="9" t="n">
        <v>44429</v>
      </c>
      <c r="E2168" s="9" t="str">
        <f aca="false">TEXT(D2168,"MMM")</f>
        <v>ago</v>
      </c>
      <c r="F2168" s="10" t="n">
        <v>148192.91</v>
      </c>
      <c r="G2168" s="8" t="s">
        <v>11</v>
      </c>
      <c r="H2168" s="8" t="s">
        <v>17</v>
      </c>
      <c r="I2168" s="11" t="s">
        <v>18</v>
      </c>
      <c r="J2168" s="8" t="s">
        <v>14</v>
      </c>
    </row>
    <row r="2169" customFormat="false" ht="14.25" hidden="false" customHeight="false" outlineLevel="0" collapsed="false">
      <c r="A2169" s="8" t="n">
        <v>2168</v>
      </c>
      <c r="B2169" s="8" t="s">
        <v>33</v>
      </c>
      <c r="C2169" s="8" t="s">
        <v>16</v>
      </c>
      <c r="D2169" s="9" t="n">
        <v>44429</v>
      </c>
      <c r="E2169" s="9" t="str">
        <f aca="false">TEXT(D2169,"MMM")</f>
        <v>ago</v>
      </c>
      <c r="F2169" s="10" t="n">
        <v>-5502.04</v>
      </c>
      <c r="G2169" s="8" t="s">
        <v>34</v>
      </c>
      <c r="H2169" s="8" t="s">
        <v>12</v>
      </c>
      <c r="I2169" s="11" t="s">
        <v>13</v>
      </c>
      <c r="J2169" s="8" t="s">
        <v>14</v>
      </c>
    </row>
    <row r="2170" customFormat="false" ht="14.25" hidden="false" customHeight="false" outlineLevel="0" collapsed="false">
      <c r="A2170" s="8" t="n">
        <v>2169</v>
      </c>
      <c r="B2170" s="8" t="s">
        <v>61</v>
      </c>
      <c r="C2170" s="8" t="s">
        <v>28</v>
      </c>
      <c r="D2170" s="9" t="n">
        <v>44429</v>
      </c>
      <c r="E2170" s="9" t="str">
        <f aca="false">TEXT(D2170,"MMM")</f>
        <v>ago</v>
      </c>
      <c r="F2170" s="10" t="n">
        <v>-36773.14</v>
      </c>
      <c r="G2170" s="8" t="s">
        <v>34</v>
      </c>
      <c r="H2170" s="8" t="s">
        <v>17</v>
      </c>
      <c r="I2170" s="11" t="s">
        <v>18</v>
      </c>
      <c r="J2170" s="8" t="s">
        <v>26</v>
      </c>
    </row>
    <row r="2171" customFormat="false" ht="14.25" hidden="false" customHeight="false" outlineLevel="0" collapsed="false">
      <c r="A2171" s="8" t="n">
        <v>2170</v>
      </c>
      <c r="B2171" s="8" t="s">
        <v>62</v>
      </c>
      <c r="C2171" s="8" t="s">
        <v>10</v>
      </c>
      <c r="D2171" s="9" t="n">
        <v>44429</v>
      </c>
      <c r="E2171" s="9" t="str">
        <f aca="false">TEXT(D2171,"MMM")</f>
        <v>ago</v>
      </c>
      <c r="F2171" s="10" t="n">
        <v>-226.52</v>
      </c>
      <c r="G2171" s="8" t="s">
        <v>34</v>
      </c>
      <c r="H2171" s="8" t="s">
        <v>12</v>
      </c>
      <c r="I2171" s="11" t="s">
        <v>13</v>
      </c>
      <c r="J2171" s="8" t="s">
        <v>14</v>
      </c>
    </row>
    <row r="2172" customFormat="false" ht="14.25" hidden="false" customHeight="false" outlineLevel="0" collapsed="false">
      <c r="A2172" s="8" t="n">
        <v>2171</v>
      </c>
      <c r="B2172" s="8" t="s">
        <v>33</v>
      </c>
      <c r="C2172" s="8" t="s">
        <v>10</v>
      </c>
      <c r="D2172" s="9" t="n">
        <v>44429</v>
      </c>
      <c r="E2172" s="9" t="str">
        <f aca="false">TEXT(D2172,"MMM")</f>
        <v>ago</v>
      </c>
      <c r="F2172" s="10" t="n">
        <v>-7422.03</v>
      </c>
      <c r="G2172" s="8" t="s">
        <v>34</v>
      </c>
      <c r="H2172" s="8" t="s">
        <v>17</v>
      </c>
      <c r="I2172" s="11" t="s">
        <v>18</v>
      </c>
      <c r="J2172" s="8" t="s">
        <v>24</v>
      </c>
    </row>
    <row r="2173" customFormat="false" ht="14.25" hidden="false" customHeight="false" outlineLevel="0" collapsed="false">
      <c r="A2173" s="8" t="n">
        <v>2172</v>
      </c>
      <c r="B2173" s="8" t="s">
        <v>33</v>
      </c>
      <c r="C2173" s="8" t="s">
        <v>16</v>
      </c>
      <c r="D2173" s="9" t="n">
        <v>44429</v>
      </c>
      <c r="E2173" s="9" t="str">
        <f aca="false">TEXT(D2173,"MMM")</f>
        <v>ago</v>
      </c>
      <c r="F2173" s="10" t="n">
        <v>-7271.08</v>
      </c>
      <c r="G2173" s="8" t="s">
        <v>34</v>
      </c>
      <c r="H2173" s="8" t="s">
        <v>36</v>
      </c>
      <c r="I2173" s="11" t="s">
        <v>37</v>
      </c>
      <c r="J2173" s="8" t="s">
        <v>26</v>
      </c>
    </row>
    <row r="2174" customFormat="false" ht="14.25" hidden="false" customHeight="false" outlineLevel="0" collapsed="false">
      <c r="A2174" s="8" t="n">
        <v>2173</v>
      </c>
      <c r="B2174" s="8" t="s">
        <v>33</v>
      </c>
      <c r="C2174" s="8" t="s">
        <v>28</v>
      </c>
      <c r="D2174" s="9" t="n">
        <v>44429</v>
      </c>
      <c r="E2174" s="9" t="str">
        <f aca="false">TEXT(D2174,"MMM")</f>
        <v>ago</v>
      </c>
      <c r="F2174" s="10" t="n">
        <v>-1059</v>
      </c>
      <c r="G2174" s="8" t="s">
        <v>34</v>
      </c>
      <c r="H2174" s="8" t="s">
        <v>12</v>
      </c>
      <c r="I2174" s="11" t="s">
        <v>13</v>
      </c>
      <c r="J2174" s="8" t="s">
        <v>19</v>
      </c>
    </row>
    <row r="2175" customFormat="false" ht="14.25" hidden="false" customHeight="false" outlineLevel="0" collapsed="false">
      <c r="A2175" s="8" t="n">
        <v>2174</v>
      </c>
      <c r="B2175" s="8" t="s">
        <v>33</v>
      </c>
      <c r="C2175" s="8" t="s">
        <v>16</v>
      </c>
      <c r="D2175" s="9" t="n">
        <v>44429</v>
      </c>
      <c r="E2175" s="9" t="str">
        <f aca="false">TEXT(D2175,"MMM")</f>
        <v>ago</v>
      </c>
      <c r="F2175" s="10" t="n">
        <v>139720.52</v>
      </c>
      <c r="G2175" s="8" t="s">
        <v>11</v>
      </c>
      <c r="H2175" s="8" t="s">
        <v>17</v>
      </c>
      <c r="I2175" s="11" t="s">
        <v>18</v>
      </c>
      <c r="J2175" s="8" t="s">
        <v>19</v>
      </c>
    </row>
    <row r="2176" customFormat="false" ht="14.25" hidden="false" customHeight="false" outlineLevel="0" collapsed="false">
      <c r="A2176" s="8" t="n">
        <v>2175</v>
      </c>
      <c r="B2176" s="8" t="s">
        <v>33</v>
      </c>
      <c r="C2176" s="8" t="s">
        <v>10</v>
      </c>
      <c r="D2176" s="9" t="n">
        <v>44429</v>
      </c>
      <c r="E2176" s="9" t="str">
        <f aca="false">TEXT(D2176,"MMM")</f>
        <v>ago</v>
      </c>
      <c r="F2176" s="10" t="n">
        <v>2096.66</v>
      </c>
      <c r="G2176" s="8" t="s">
        <v>11</v>
      </c>
      <c r="H2176" s="8" t="s">
        <v>30</v>
      </c>
      <c r="I2176" s="11" t="s">
        <v>31</v>
      </c>
      <c r="J2176" s="8" t="s">
        <v>19</v>
      </c>
    </row>
    <row r="2177" customFormat="false" ht="14.25" hidden="false" customHeight="false" outlineLevel="0" collapsed="false">
      <c r="A2177" s="8" t="n">
        <v>2176</v>
      </c>
      <c r="B2177" s="8" t="s">
        <v>33</v>
      </c>
      <c r="C2177" s="8" t="s">
        <v>10</v>
      </c>
      <c r="D2177" s="9" t="n">
        <v>44429</v>
      </c>
      <c r="E2177" s="9" t="str">
        <f aca="false">TEXT(D2177,"MMM")</f>
        <v>ago</v>
      </c>
      <c r="F2177" s="10" t="n">
        <v>2096.66</v>
      </c>
      <c r="G2177" s="8" t="s">
        <v>11</v>
      </c>
      <c r="H2177" s="8" t="s">
        <v>12</v>
      </c>
      <c r="I2177" s="11" t="s">
        <v>13</v>
      </c>
      <c r="J2177" s="8" t="s">
        <v>26</v>
      </c>
    </row>
    <row r="2178" customFormat="false" ht="14.25" hidden="false" customHeight="false" outlineLevel="0" collapsed="false">
      <c r="A2178" s="8" t="n">
        <v>2177</v>
      </c>
      <c r="B2178" s="8" t="s">
        <v>149</v>
      </c>
      <c r="C2178" s="8" t="s">
        <v>10</v>
      </c>
      <c r="D2178" s="9" t="n">
        <v>44430</v>
      </c>
      <c r="E2178" s="9" t="str">
        <f aca="false">TEXT(D2178,"MMM")</f>
        <v>ago</v>
      </c>
      <c r="F2178" s="10" t="n">
        <v>177207.58</v>
      </c>
      <c r="G2178" s="8" t="s">
        <v>11</v>
      </c>
      <c r="H2178" s="8" t="s">
        <v>12</v>
      </c>
      <c r="I2178" s="11" t="s">
        <v>13</v>
      </c>
      <c r="J2178" s="8" t="s">
        <v>14</v>
      </c>
    </row>
    <row r="2179" customFormat="false" ht="14.25" hidden="false" customHeight="false" outlineLevel="0" collapsed="false">
      <c r="A2179" s="8" t="n">
        <v>2178</v>
      </c>
      <c r="B2179" s="8" t="s">
        <v>86</v>
      </c>
      <c r="C2179" s="8" t="s">
        <v>21</v>
      </c>
      <c r="D2179" s="9" t="n">
        <v>44430</v>
      </c>
      <c r="E2179" s="9" t="str">
        <f aca="false">TEXT(D2179,"MMM")</f>
        <v>ago</v>
      </c>
      <c r="F2179" s="10" t="n">
        <v>2096.66</v>
      </c>
      <c r="G2179" s="8" t="s">
        <v>11</v>
      </c>
      <c r="H2179" s="8" t="s">
        <v>12</v>
      </c>
      <c r="I2179" s="11" t="s">
        <v>13</v>
      </c>
      <c r="J2179" s="8" t="s">
        <v>26</v>
      </c>
    </row>
    <row r="2180" customFormat="false" ht="14.25" hidden="false" customHeight="false" outlineLevel="0" collapsed="false">
      <c r="A2180" s="8" t="n">
        <v>2179</v>
      </c>
      <c r="B2180" s="8" t="s">
        <v>15</v>
      </c>
      <c r="C2180" s="8" t="s">
        <v>28</v>
      </c>
      <c r="D2180" s="9" t="n">
        <v>44430</v>
      </c>
      <c r="E2180" s="9" t="str">
        <f aca="false">TEXT(D2180,"MMM")</f>
        <v>ago</v>
      </c>
      <c r="F2180" s="10" t="n">
        <v>2096.66</v>
      </c>
      <c r="G2180" s="8" t="s">
        <v>11</v>
      </c>
      <c r="H2180" s="8" t="s">
        <v>12</v>
      </c>
      <c r="I2180" s="11" t="s">
        <v>13</v>
      </c>
      <c r="J2180" s="8" t="s">
        <v>14</v>
      </c>
    </row>
    <row r="2181" customFormat="false" ht="14.25" hidden="false" customHeight="false" outlineLevel="0" collapsed="false">
      <c r="A2181" s="8" t="n">
        <v>2180</v>
      </c>
      <c r="B2181" s="8" t="s">
        <v>39</v>
      </c>
      <c r="C2181" s="8" t="s">
        <v>10</v>
      </c>
      <c r="D2181" s="9" t="n">
        <v>44430</v>
      </c>
      <c r="E2181" s="9" t="str">
        <f aca="false">TEXT(D2181,"MMM")</f>
        <v>ago</v>
      </c>
      <c r="F2181" s="10" t="n">
        <v>2096.66</v>
      </c>
      <c r="G2181" s="8" t="s">
        <v>11</v>
      </c>
      <c r="H2181" s="8" t="s">
        <v>12</v>
      </c>
      <c r="I2181" s="11" t="s">
        <v>13</v>
      </c>
      <c r="J2181" s="8" t="s">
        <v>14</v>
      </c>
    </row>
    <row r="2182" customFormat="false" ht="14.25" hidden="false" customHeight="false" outlineLevel="0" collapsed="false">
      <c r="A2182" s="8" t="n">
        <v>2181</v>
      </c>
      <c r="B2182" s="8" t="s">
        <v>180</v>
      </c>
      <c r="C2182" s="8" t="s">
        <v>21</v>
      </c>
      <c r="D2182" s="9" t="n">
        <v>44431</v>
      </c>
      <c r="E2182" s="9" t="str">
        <f aca="false">TEXT(D2182,"MMM")</f>
        <v>ago</v>
      </c>
      <c r="F2182" s="10" t="n">
        <v>2096.66</v>
      </c>
      <c r="G2182" s="8" t="s">
        <v>11</v>
      </c>
      <c r="H2182" s="8" t="s">
        <v>12</v>
      </c>
      <c r="I2182" s="11" t="s">
        <v>13</v>
      </c>
      <c r="J2182" s="8" t="s">
        <v>24</v>
      </c>
    </row>
    <row r="2183" customFormat="false" ht="14.25" hidden="false" customHeight="false" outlineLevel="0" collapsed="false">
      <c r="A2183" s="8" t="n">
        <v>2182</v>
      </c>
      <c r="B2183" s="8" t="s">
        <v>39</v>
      </c>
      <c r="C2183" s="8" t="s">
        <v>21</v>
      </c>
      <c r="D2183" s="9" t="n">
        <v>44431</v>
      </c>
      <c r="E2183" s="9" t="str">
        <f aca="false">TEXT(D2183,"MMM")</f>
        <v>ago</v>
      </c>
      <c r="F2183" s="10" t="n">
        <v>2096.66</v>
      </c>
      <c r="G2183" s="8" t="s">
        <v>11</v>
      </c>
      <c r="H2183" s="8" t="s">
        <v>17</v>
      </c>
      <c r="I2183" s="11" t="s">
        <v>18</v>
      </c>
      <c r="J2183" s="8" t="s">
        <v>19</v>
      </c>
    </row>
    <row r="2184" customFormat="false" ht="14.25" hidden="false" customHeight="false" outlineLevel="0" collapsed="false">
      <c r="A2184" s="8" t="n">
        <v>2183</v>
      </c>
      <c r="B2184" s="8" t="s">
        <v>39</v>
      </c>
      <c r="C2184" s="8" t="s">
        <v>21</v>
      </c>
      <c r="D2184" s="9" t="n">
        <v>44431</v>
      </c>
      <c r="E2184" s="9" t="str">
        <f aca="false">TEXT(D2184,"MMM")</f>
        <v>ago</v>
      </c>
      <c r="F2184" s="10" t="n">
        <v>-3166.24</v>
      </c>
      <c r="G2184" s="8" t="s">
        <v>34</v>
      </c>
      <c r="H2184" s="8" t="s">
        <v>12</v>
      </c>
      <c r="I2184" s="11" t="s">
        <v>13</v>
      </c>
      <c r="J2184" s="8" t="s">
        <v>19</v>
      </c>
    </row>
    <row r="2185" customFormat="false" ht="14.25" hidden="false" customHeight="false" outlineLevel="0" collapsed="false">
      <c r="A2185" s="8" t="n">
        <v>2184</v>
      </c>
      <c r="B2185" s="8" t="s">
        <v>66</v>
      </c>
      <c r="C2185" s="8" t="s">
        <v>21</v>
      </c>
      <c r="D2185" s="9" t="n">
        <v>44433</v>
      </c>
      <c r="E2185" s="9" t="str">
        <f aca="false">TEXT(D2185,"MMM")</f>
        <v>ago</v>
      </c>
      <c r="F2185" s="10" t="n">
        <v>136861.56</v>
      </c>
      <c r="G2185" s="8" t="s">
        <v>11</v>
      </c>
      <c r="H2185" s="8" t="s">
        <v>36</v>
      </c>
      <c r="I2185" s="11" t="s">
        <v>37</v>
      </c>
      <c r="J2185" s="8" t="s">
        <v>26</v>
      </c>
    </row>
    <row r="2186" customFormat="false" ht="14.25" hidden="false" customHeight="false" outlineLevel="0" collapsed="false">
      <c r="A2186" s="8" t="n">
        <v>2185</v>
      </c>
      <c r="B2186" s="8" t="s">
        <v>66</v>
      </c>
      <c r="C2186" s="8" t="s">
        <v>21</v>
      </c>
      <c r="D2186" s="9" t="n">
        <v>44433</v>
      </c>
      <c r="E2186" s="9" t="str">
        <f aca="false">TEXT(D2186,"MMM")</f>
        <v>ago</v>
      </c>
      <c r="F2186" s="10" t="n">
        <v>-1313.8</v>
      </c>
      <c r="G2186" s="8" t="s">
        <v>34</v>
      </c>
      <c r="H2186" s="8" t="s">
        <v>22</v>
      </c>
      <c r="I2186" s="11" t="s">
        <v>23</v>
      </c>
      <c r="J2186" s="8" t="s">
        <v>26</v>
      </c>
    </row>
    <row r="2187" customFormat="false" ht="14.25" hidden="false" customHeight="false" outlineLevel="0" collapsed="false">
      <c r="A2187" s="8" t="n">
        <v>2186</v>
      </c>
      <c r="B2187" s="8" t="s">
        <v>66</v>
      </c>
      <c r="C2187" s="8" t="s">
        <v>28</v>
      </c>
      <c r="D2187" s="9" t="n">
        <v>44433</v>
      </c>
      <c r="E2187" s="9" t="str">
        <f aca="false">TEXT(D2187,"MMM")</f>
        <v>ago</v>
      </c>
      <c r="F2187" s="10" t="n">
        <v>-504.39</v>
      </c>
      <c r="G2187" s="8" t="s">
        <v>34</v>
      </c>
      <c r="H2187" s="8" t="s">
        <v>17</v>
      </c>
      <c r="I2187" s="11" t="s">
        <v>18</v>
      </c>
      <c r="J2187" s="8" t="s">
        <v>24</v>
      </c>
    </row>
    <row r="2188" customFormat="false" ht="14.25" hidden="false" customHeight="false" outlineLevel="0" collapsed="false">
      <c r="A2188" s="8" t="n">
        <v>2187</v>
      </c>
      <c r="B2188" s="8" t="s">
        <v>66</v>
      </c>
      <c r="C2188" s="8" t="s">
        <v>28</v>
      </c>
      <c r="D2188" s="9" t="n">
        <v>44433</v>
      </c>
      <c r="E2188" s="9" t="str">
        <f aca="false">TEXT(D2188,"MMM")</f>
        <v>ago</v>
      </c>
      <c r="F2188" s="10" t="n">
        <v>-8756.41</v>
      </c>
      <c r="G2188" s="8" t="s">
        <v>34</v>
      </c>
      <c r="H2188" s="8" t="s">
        <v>12</v>
      </c>
      <c r="I2188" s="11" t="s">
        <v>13</v>
      </c>
      <c r="J2188" s="8" t="s">
        <v>19</v>
      </c>
    </row>
    <row r="2189" customFormat="false" ht="14.25" hidden="false" customHeight="false" outlineLevel="0" collapsed="false">
      <c r="A2189" s="8" t="n">
        <v>2188</v>
      </c>
      <c r="B2189" s="8" t="s">
        <v>66</v>
      </c>
      <c r="C2189" s="8" t="s">
        <v>16</v>
      </c>
      <c r="D2189" s="9" t="n">
        <v>44433</v>
      </c>
      <c r="E2189" s="9" t="str">
        <f aca="false">TEXT(D2189,"MMM")</f>
        <v>ago</v>
      </c>
      <c r="F2189" s="10" t="n">
        <v>205854.56</v>
      </c>
      <c r="G2189" s="8" t="s">
        <v>11</v>
      </c>
      <c r="H2189" s="8" t="s">
        <v>17</v>
      </c>
      <c r="I2189" s="11" t="s">
        <v>18</v>
      </c>
      <c r="J2189" s="8" t="s">
        <v>14</v>
      </c>
    </row>
    <row r="2190" customFormat="false" ht="14.25" hidden="false" customHeight="false" outlineLevel="0" collapsed="false">
      <c r="A2190" s="8" t="n">
        <v>2189</v>
      </c>
      <c r="B2190" s="8" t="s">
        <v>66</v>
      </c>
      <c r="C2190" s="8" t="s">
        <v>10</v>
      </c>
      <c r="D2190" s="9" t="n">
        <v>44433</v>
      </c>
      <c r="E2190" s="9" t="str">
        <f aca="false">TEXT(D2190,"MMM")</f>
        <v>ago</v>
      </c>
      <c r="F2190" s="10" t="n">
        <v>120230.46</v>
      </c>
      <c r="G2190" s="8" t="s">
        <v>11</v>
      </c>
      <c r="H2190" s="8" t="s">
        <v>17</v>
      </c>
      <c r="I2190" s="11" t="s">
        <v>18</v>
      </c>
      <c r="J2190" s="8" t="s">
        <v>14</v>
      </c>
    </row>
    <row r="2191" customFormat="false" ht="14.25" hidden="false" customHeight="false" outlineLevel="0" collapsed="false">
      <c r="A2191" s="8" t="n">
        <v>2190</v>
      </c>
      <c r="B2191" s="8" t="s">
        <v>66</v>
      </c>
      <c r="C2191" s="8" t="s">
        <v>21</v>
      </c>
      <c r="D2191" s="9" t="n">
        <v>44433</v>
      </c>
      <c r="E2191" s="9" t="str">
        <f aca="false">TEXT(D2191,"MMM")</f>
        <v>ago</v>
      </c>
      <c r="F2191" s="10" t="n">
        <v>-24697.4</v>
      </c>
      <c r="G2191" s="8" t="s">
        <v>34</v>
      </c>
      <c r="H2191" s="8" t="s">
        <v>12</v>
      </c>
      <c r="I2191" s="11" t="s">
        <v>13</v>
      </c>
      <c r="J2191" s="8" t="s">
        <v>14</v>
      </c>
    </row>
    <row r="2192" customFormat="false" ht="14.25" hidden="false" customHeight="false" outlineLevel="0" collapsed="false">
      <c r="A2192" s="8" t="n">
        <v>2191</v>
      </c>
      <c r="B2192" s="8" t="s">
        <v>66</v>
      </c>
      <c r="C2192" s="8" t="s">
        <v>16</v>
      </c>
      <c r="D2192" s="9" t="n">
        <v>44433</v>
      </c>
      <c r="E2192" s="9" t="str">
        <f aca="false">TEXT(D2192,"MMM")</f>
        <v>ago</v>
      </c>
      <c r="F2192" s="10" t="n">
        <v>-14227.54</v>
      </c>
      <c r="G2192" s="8" t="s">
        <v>34</v>
      </c>
      <c r="H2192" s="8" t="s">
        <v>17</v>
      </c>
      <c r="I2192" s="11" t="s">
        <v>18</v>
      </c>
      <c r="J2192" s="8" t="s">
        <v>26</v>
      </c>
    </row>
    <row r="2193" customFormat="false" ht="14.25" hidden="false" customHeight="false" outlineLevel="0" collapsed="false">
      <c r="A2193" s="8" t="n">
        <v>2192</v>
      </c>
      <c r="B2193" s="8" t="s">
        <v>66</v>
      </c>
      <c r="C2193" s="8" t="s">
        <v>21</v>
      </c>
      <c r="D2193" s="9" t="n">
        <v>44433</v>
      </c>
      <c r="E2193" s="9" t="str">
        <f aca="false">TEXT(D2193,"MMM")</f>
        <v>ago</v>
      </c>
      <c r="F2193" s="10" t="n">
        <v>-6360.59</v>
      </c>
      <c r="G2193" s="8" t="s">
        <v>34</v>
      </c>
      <c r="H2193" s="8" t="s">
        <v>12</v>
      </c>
      <c r="I2193" s="11" t="s">
        <v>13</v>
      </c>
      <c r="J2193" s="8" t="s">
        <v>14</v>
      </c>
    </row>
    <row r="2194" customFormat="false" ht="14.25" hidden="false" customHeight="false" outlineLevel="0" collapsed="false">
      <c r="A2194" s="8" t="n">
        <v>2193</v>
      </c>
      <c r="B2194" s="8" t="s">
        <v>66</v>
      </c>
      <c r="C2194" s="8" t="s">
        <v>21</v>
      </c>
      <c r="D2194" s="9" t="n">
        <v>44433</v>
      </c>
      <c r="E2194" s="9" t="str">
        <f aca="false">TEXT(D2194,"MMM")</f>
        <v>ago</v>
      </c>
      <c r="F2194" s="10" t="n">
        <v>-8056.65</v>
      </c>
      <c r="G2194" s="8" t="s">
        <v>34</v>
      </c>
      <c r="H2194" s="8" t="s">
        <v>12</v>
      </c>
      <c r="I2194" s="11" t="s">
        <v>13</v>
      </c>
      <c r="J2194" s="8" t="s">
        <v>26</v>
      </c>
    </row>
    <row r="2195" customFormat="false" ht="14.25" hidden="false" customHeight="false" outlineLevel="0" collapsed="false">
      <c r="A2195" s="8" t="n">
        <v>2194</v>
      </c>
      <c r="B2195" s="8" t="s">
        <v>164</v>
      </c>
      <c r="C2195" s="8" t="s">
        <v>16</v>
      </c>
      <c r="D2195" s="9" t="n">
        <v>44435</v>
      </c>
      <c r="E2195" s="9" t="str">
        <f aca="false">TEXT(D2195,"MMM")</f>
        <v>ago</v>
      </c>
      <c r="F2195" s="10" t="n">
        <v>-11134.97</v>
      </c>
      <c r="G2195" s="8" t="s">
        <v>34</v>
      </c>
      <c r="H2195" s="8" t="s">
        <v>17</v>
      </c>
      <c r="I2195" s="11" t="s">
        <v>18</v>
      </c>
      <c r="J2195" s="8" t="s">
        <v>26</v>
      </c>
    </row>
    <row r="2196" customFormat="false" ht="14.25" hidden="false" customHeight="false" outlineLevel="0" collapsed="false">
      <c r="A2196" s="8" t="n">
        <v>2195</v>
      </c>
      <c r="B2196" s="8" t="s">
        <v>50</v>
      </c>
      <c r="C2196" s="8" t="s">
        <v>21</v>
      </c>
      <c r="D2196" s="9" t="n">
        <v>44435</v>
      </c>
      <c r="E2196" s="9" t="str">
        <f aca="false">TEXT(D2196,"MMM")</f>
        <v>ago</v>
      </c>
      <c r="F2196" s="10" t="n">
        <v>-12701.43</v>
      </c>
      <c r="G2196" s="8" t="s">
        <v>34</v>
      </c>
      <c r="H2196" s="8" t="s">
        <v>12</v>
      </c>
      <c r="I2196" s="11" t="s">
        <v>13</v>
      </c>
      <c r="J2196" s="8" t="s">
        <v>19</v>
      </c>
    </row>
    <row r="2197" customFormat="false" ht="14.25" hidden="false" customHeight="false" outlineLevel="0" collapsed="false">
      <c r="A2197" s="8" t="n">
        <v>2196</v>
      </c>
      <c r="B2197" s="8" t="s">
        <v>247</v>
      </c>
      <c r="C2197" s="8" t="s">
        <v>16</v>
      </c>
      <c r="D2197" s="9" t="n">
        <v>44435</v>
      </c>
      <c r="E2197" s="9" t="str">
        <f aca="false">TEXT(D2197,"MMM")</f>
        <v>ago</v>
      </c>
      <c r="F2197" s="10" t="n">
        <v>149093.41</v>
      </c>
      <c r="G2197" s="8" t="s">
        <v>11</v>
      </c>
      <c r="H2197" s="8" t="s">
        <v>12</v>
      </c>
      <c r="I2197" s="11" t="s">
        <v>13</v>
      </c>
      <c r="J2197" s="8" t="s">
        <v>26</v>
      </c>
    </row>
    <row r="2198" customFormat="false" ht="14.25" hidden="false" customHeight="false" outlineLevel="0" collapsed="false">
      <c r="A2198" s="8" t="n">
        <v>2197</v>
      </c>
      <c r="B2198" s="8" t="s">
        <v>86</v>
      </c>
      <c r="C2198" s="8" t="s">
        <v>21</v>
      </c>
      <c r="D2198" s="9" t="n">
        <v>44435</v>
      </c>
      <c r="E2198" s="9" t="str">
        <f aca="false">TEXT(D2198,"MMM")</f>
        <v>ago</v>
      </c>
      <c r="F2198" s="10" t="n">
        <v>3485</v>
      </c>
      <c r="G2198" s="8" t="s">
        <v>11</v>
      </c>
      <c r="H2198" s="8" t="s">
        <v>36</v>
      </c>
      <c r="I2198" s="11" t="s">
        <v>37</v>
      </c>
      <c r="J2198" s="8" t="s">
        <v>26</v>
      </c>
    </row>
    <row r="2199" customFormat="false" ht="14.25" hidden="false" customHeight="false" outlineLevel="0" collapsed="false">
      <c r="A2199" s="8" t="n">
        <v>2198</v>
      </c>
      <c r="B2199" s="8" t="s">
        <v>143</v>
      </c>
      <c r="C2199" s="8" t="s">
        <v>10</v>
      </c>
      <c r="D2199" s="9" t="n">
        <v>44435</v>
      </c>
      <c r="E2199" s="9" t="str">
        <f aca="false">TEXT(D2199,"MMM")</f>
        <v>ago</v>
      </c>
      <c r="F2199" s="10" t="n">
        <v>7667</v>
      </c>
      <c r="G2199" s="8" t="s">
        <v>11</v>
      </c>
      <c r="H2199" s="8" t="s">
        <v>12</v>
      </c>
      <c r="I2199" s="11" t="s">
        <v>13</v>
      </c>
      <c r="J2199" s="8" t="s">
        <v>14</v>
      </c>
    </row>
    <row r="2200" customFormat="false" ht="14.25" hidden="false" customHeight="false" outlineLevel="0" collapsed="false">
      <c r="A2200" s="8" t="n">
        <v>2199</v>
      </c>
      <c r="B2200" s="8" t="s">
        <v>51</v>
      </c>
      <c r="C2200" s="8" t="s">
        <v>21</v>
      </c>
      <c r="D2200" s="9" t="n">
        <v>44435</v>
      </c>
      <c r="E2200" s="9" t="str">
        <f aca="false">TEXT(D2200,"MMM")</f>
        <v>ago</v>
      </c>
      <c r="F2200" s="10" t="n">
        <v>3485</v>
      </c>
      <c r="G2200" s="8" t="s">
        <v>11</v>
      </c>
      <c r="H2200" s="8" t="s">
        <v>12</v>
      </c>
      <c r="I2200" s="11" t="s">
        <v>13</v>
      </c>
      <c r="J2200" s="8" t="s">
        <v>19</v>
      </c>
    </row>
    <row r="2201" customFormat="false" ht="14.25" hidden="false" customHeight="false" outlineLevel="0" collapsed="false">
      <c r="A2201" s="8" t="n">
        <v>2200</v>
      </c>
      <c r="B2201" s="8" t="s">
        <v>160</v>
      </c>
      <c r="C2201" s="8" t="s">
        <v>28</v>
      </c>
      <c r="D2201" s="9" t="n">
        <v>44436</v>
      </c>
      <c r="E2201" s="9" t="str">
        <f aca="false">TEXT(D2201,"MMM")</f>
        <v>ago</v>
      </c>
      <c r="F2201" s="10" t="n">
        <v>7667</v>
      </c>
      <c r="G2201" s="8" t="s">
        <v>11</v>
      </c>
      <c r="H2201" s="8" t="s">
        <v>12</v>
      </c>
      <c r="I2201" s="11" t="s">
        <v>13</v>
      </c>
      <c r="J2201" s="8" t="s">
        <v>26</v>
      </c>
    </row>
    <row r="2202" customFormat="false" ht="14.25" hidden="false" customHeight="false" outlineLevel="0" collapsed="false">
      <c r="A2202" s="8" t="n">
        <v>2201</v>
      </c>
      <c r="B2202" s="8" t="s">
        <v>39</v>
      </c>
      <c r="C2202" s="8" t="s">
        <v>21</v>
      </c>
      <c r="D2202" s="9" t="n">
        <v>44436</v>
      </c>
      <c r="E2202" s="9" t="str">
        <f aca="false">TEXT(D2202,"MMM")</f>
        <v>ago</v>
      </c>
      <c r="F2202" s="10" t="n">
        <v>4299.1</v>
      </c>
      <c r="G2202" s="8" t="s">
        <v>11</v>
      </c>
      <c r="H2202" s="8" t="s">
        <v>36</v>
      </c>
      <c r="I2202" s="11" t="s">
        <v>37</v>
      </c>
      <c r="J2202" s="8" t="s">
        <v>26</v>
      </c>
    </row>
    <row r="2203" customFormat="false" ht="14.25" hidden="false" customHeight="false" outlineLevel="0" collapsed="false">
      <c r="A2203" s="8" t="n">
        <v>2202</v>
      </c>
      <c r="B2203" s="8" t="s">
        <v>49</v>
      </c>
      <c r="C2203" s="8" t="s">
        <v>16</v>
      </c>
      <c r="D2203" s="9" t="n">
        <v>44436</v>
      </c>
      <c r="E2203" s="9" t="str">
        <f aca="false">TEXT(D2203,"MMM")</f>
        <v>ago</v>
      </c>
      <c r="F2203" s="10" t="n">
        <v>18172.72</v>
      </c>
      <c r="G2203" s="8" t="s">
        <v>11</v>
      </c>
      <c r="H2203" s="8" t="s">
        <v>30</v>
      </c>
      <c r="I2203" s="11" t="s">
        <v>31</v>
      </c>
      <c r="J2203" s="8" t="s">
        <v>24</v>
      </c>
    </row>
    <row r="2204" customFormat="false" ht="14.25" hidden="false" customHeight="false" outlineLevel="0" collapsed="false">
      <c r="A2204" s="8" t="n">
        <v>2203</v>
      </c>
      <c r="B2204" s="8" t="s">
        <v>207</v>
      </c>
      <c r="C2204" s="8" t="s">
        <v>28</v>
      </c>
      <c r="D2204" s="9" t="n">
        <v>44437</v>
      </c>
      <c r="E2204" s="9" t="str">
        <f aca="false">TEXT(D2204,"MMM")</f>
        <v>ago</v>
      </c>
      <c r="F2204" s="10" t="n">
        <v>13051.1</v>
      </c>
      <c r="G2204" s="8" t="s">
        <v>11</v>
      </c>
      <c r="H2204" s="8" t="s">
        <v>36</v>
      </c>
      <c r="I2204" s="11" t="s">
        <v>37</v>
      </c>
      <c r="J2204" s="8" t="s">
        <v>26</v>
      </c>
    </row>
    <row r="2205" customFormat="false" ht="14.25" hidden="false" customHeight="false" outlineLevel="0" collapsed="false">
      <c r="A2205" s="8" t="n">
        <v>2204</v>
      </c>
      <c r="B2205" s="8" t="s">
        <v>174</v>
      </c>
      <c r="C2205" s="8" t="s">
        <v>28</v>
      </c>
      <c r="D2205" s="9" t="n">
        <v>44437</v>
      </c>
      <c r="E2205" s="9" t="str">
        <f aca="false">TEXT(D2205,"MMM")</f>
        <v>ago</v>
      </c>
      <c r="F2205" s="10" t="n">
        <v>4315.82</v>
      </c>
      <c r="G2205" s="8" t="s">
        <v>11</v>
      </c>
      <c r="H2205" s="8" t="s">
        <v>36</v>
      </c>
      <c r="I2205" s="11" t="s">
        <v>37</v>
      </c>
      <c r="J2205" s="8" t="s">
        <v>26</v>
      </c>
    </row>
    <row r="2206" customFormat="false" ht="14.25" hidden="false" customHeight="false" outlineLevel="0" collapsed="false">
      <c r="A2206" s="8" t="n">
        <v>2205</v>
      </c>
      <c r="B2206" s="8" t="s">
        <v>171</v>
      </c>
      <c r="C2206" s="8" t="s">
        <v>10</v>
      </c>
      <c r="D2206" s="9" t="n">
        <v>44437</v>
      </c>
      <c r="E2206" s="9" t="str">
        <f aca="false">TEXT(D2206,"MMM")</f>
        <v>ago</v>
      </c>
      <c r="F2206" s="10" t="n">
        <v>152517.24</v>
      </c>
      <c r="G2206" s="8" t="s">
        <v>11</v>
      </c>
      <c r="H2206" s="8" t="s">
        <v>12</v>
      </c>
      <c r="I2206" s="11" t="s">
        <v>13</v>
      </c>
      <c r="J2206" s="8" t="s">
        <v>24</v>
      </c>
    </row>
    <row r="2207" customFormat="false" ht="14.25" hidden="false" customHeight="false" outlineLevel="0" collapsed="false">
      <c r="A2207" s="8" t="n">
        <v>2206</v>
      </c>
      <c r="B2207" s="8" t="s">
        <v>235</v>
      </c>
      <c r="C2207" s="8" t="s">
        <v>21</v>
      </c>
      <c r="D2207" s="9" t="n">
        <v>44437</v>
      </c>
      <c r="E2207" s="9" t="str">
        <f aca="false">TEXT(D2207,"MMM")</f>
        <v>ago</v>
      </c>
      <c r="F2207" s="10" t="n">
        <v>1274.97</v>
      </c>
      <c r="G2207" s="8" t="s">
        <v>11</v>
      </c>
      <c r="H2207" s="8" t="s">
        <v>12</v>
      </c>
      <c r="I2207" s="11" t="s">
        <v>13</v>
      </c>
      <c r="J2207" s="8" t="s">
        <v>14</v>
      </c>
    </row>
    <row r="2208" customFormat="false" ht="14.25" hidden="false" customHeight="false" outlineLevel="0" collapsed="false">
      <c r="A2208" s="8" t="n">
        <v>2207</v>
      </c>
      <c r="B2208" s="8" t="s">
        <v>182</v>
      </c>
      <c r="C2208" s="8" t="s">
        <v>16</v>
      </c>
      <c r="D2208" s="9" t="n">
        <v>44437</v>
      </c>
      <c r="E2208" s="9" t="str">
        <f aca="false">TEXT(D2208,"MMM")</f>
        <v>ago</v>
      </c>
      <c r="F2208" s="10" t="n">
        <v>8259.2</v>
      </c>
      <c r="G2208" s="8" t="s">
        <v>11</v>
      </c>
      <c r="H2208" s="8" t="s">
        <v>36</v>
      </c>
      <c r="I2208" s="11" t="s">
        <v>37</v>
      </c>
      <c r="J2208" s="8" t="s">
        <v>26</v>
      </c>
    </row>
    <row r="2209" customFormat="false" ht="14.25" hidden="false" customHeight="false" outlineLevel="0" collapsed="false">
      <c r="A2209" s="8" t="n">
        <v>2208</v>
      </c>
      <c r="B2209" s="8" t="s">
        <v>15</v>
      </c>
      <c r="C2209" s="8" t="s">
        <v>16</v>
      </c>
      <c r="D2209" s="9" t="n">
        <v>44437</v>
      </c>
      <c r="E2209" s="9" t="str">
        <f aca="false">TEXT(D2209,"MMM")</f>
        <v>ago</v>
      </c>
      <c r="F2209" s="10" t="n">
        <v>-12987.03</v>
      </c>
      <c r="G2209" s="8" t="s">
        <v>34</v>
      </c>
      <c r="H2209" s="8" t="s">
        <v>12</v>
      </c>
      <c r="I2209" s="11" t="s">
        <v>13</v>
      </c>
      <c r="J2209" s="8" t="s">
        <v>14</v>
      </c>
    </row>
    <row r="2210" customFormat="false" ht="14.25" hidden="false" customHeight="false" outlineLevel="0" collapsed="false">
      <c r="A2210" s="8" t="n">
        <v>2209</v>
      </c>
      <c r="B2210" s="8" t="s">
        <v>33</v>
      </c>
      <c r="C2210" s="8" t="s">
        <v>16</v>
      </c>
      <c r="D2210" s="9" t="n">
        <v>44437</v>
      </c>
      <c r="E2210" s="9" t="str">
        <f aca="false">TEXT(D2210,"MMM")</f>
        <v>ago</v>
      </c>
      <c r="F2210" s="10" t="n">
        <v>-6717.31</v>
      </c>
      <c r="G2210" s="8" t="s">
        <v>34</v>
      </c>
      <c r="H2210" s="8" t="s">
        <v>30</v>
      </c>
      <c r="I2210" s="11" t="s">
        <v>31</v>
      </c>
      <c r="J2210" s="8" t="s">
        <v>14</v>
      </c>
    </row>
    <row r="2211" customFormat="false" ht="14.25" hidden="false" customHeight="false" outlineLevel="0" collapsed="false">
      <c r="A2211" s="8" t="n">
        <v>2210</v>
      </c>
      <c r="B2211" s="8" t="s">
        <v>33</v>
      </c>
      <c r="C2211" s="8" t="s">
        <v>16</v>
      </c>
      <c r="D2211" s="9" t="n">
        <v>44437</v>
      </c>
      <c r="E2211" s="9" t="str">
        <f aca="false">TEXT(D2211,"MMM")</f>
        <v>ago</v>
      </c>
      <c r="F2211" s="10" t="n">
        <v>-68761.25</v>
      </c>
      <c r="G2211" s="8" t="s">
        <v>34</v>
      </c>
      <c r="H2211" s="8" t="s">
        <v>30</v>
      </c>
      <c r="I2211" s="11" t="s">
        <v>31</v>
      </c>
      <c r="J2211" s="8" t="s">
        <v>14</v>
      </c>
    </row>
    <row r="2212" customFormat="false" ht="14.25" hidden="false" customHeight="false" outlineLevel="0" collapsed="false">
      <c r="A2212" s="8" t="n">
        <v>2211</v>
      </c>
      <c r="B2212" s="8" t="s">
        <v>39</v>
      </c>
      <c r="C2212" s="8" t="s">
        <v>10</v>
      </c>
      <c r="D2212" s="9" t="n">
        <v>44437</v>
      </c>
      <c r="E2212" s="9" t="str">
        <f aca="false">TEXT(D2212,"MMM")</f>
        <v>ago</v>
      </c>
      <c r="F2212" s="10" t="n">
        <v>-32327.09</v>
      </c>
      <c r="G2212" s="8" t="s">
        <v>34</v>
      </c>
      <c r="H2212" s="8" t="s">
        <v>36</v>
      </c>
      <c r="I2212" s="11" t="s">
        <v>37</v>
      </c>
      <c r="J2212" s="8" t="s">
        <v>19</v>
      </c>
    </row>
    <row r="2213" customFormat="false" ht="14.25" hidden="false" customHeight="false" outlineLevel="0" collapsed="false">
      <c r="A2213" s="8" t="n">
        <v>2212</v>
      </c>
      <c r="B2213" s="8" t="s">
        <v>39</v>
      </c>
      <c r="C2213" s="8" t="s">
        <v>28</v>
      </c>
      <c r="D2213" s="9" t="n">
        <v>44437</v>
      </c>
      <c r="E2213" s="9" t="str">
        <f aca="false">TEXT(D2213,"MMM")</f>
        <v>ago</v>
      </c>
      <c r="F2213" s="10" t="n">
        <v>-29011.47</v>
      </c>
      <c r="G2213" s="8" t="s">
        <v>34</v>
      </c>
      <c r="H2213" s="8" t="s">
        <v>17</v>
      </c>
      <c r="I2213" s="11" t="s">
        <v>18</v>
      </c>
      <c r="J2213" s="8" t="s">
        <v>24</v>
      </c>
    </row>
    <row r="2214" customFormat="false" ht="14.25" hidden="false" customHeight="false" outlineLevel="0" collapsed="false">
      <c r="A2214" s="8" t="n">
        <v>2213</v>
      </c>
      <c r="B2214" s="8" t="s">
        <v>49</v>
      </c>
      <c r="C2214" s="8" t="s">
        <v>28</v>
      </c>
      <c r="D2214" s="9" t="n">
        <v>44437</v>
      </c>
      <c r="E2214" s="9" t="str">
        <f aca="false">TEXT(D2214,"MMM")</f>
        <v>ago</v>
      </c>
      <c r="F2214" s="10" t="n">
        <v>-28703.61</v>
      </c>
      <c r="G2214" s="8" t="s">
        <v>34</v>
      </c>
      <c r="H2214" s="8" t="s">
        <v>17</v>
      </c>
      <c r="I2214" s="11" t="s">
        <v>18</v>
      </c>
      <c r="J2214" s="8" t="s">
        <v>24</v>
      </c>
    </row>
    <row r="2215" customFormat="false" ht="14.25" hidden="false" customHeight="false" outlineLevel="0" collapsed="false">
      <c r="A2215" s="8" t="n">
        <v>2214</v>
      </c>
      <c r="B2215" s="8" t="s">
        <v>33</v>
      </c>
      <c r="C2215" s="8" t="s">
        <v>28</v>
      </c>
      <c r="D2215" s="9" t="n">
        <v>44437</v>
      </c>
      <c r="E2215" s="9" t="str">
        <f aca="false">TEXT(D2215,"MMM")</f>
        <v>ago</v>
      </c>
      <c r="F2215" s="10" t="n">
        <v>130560</v>
      </c>
      <c r="G2215" s="8" t="s">
        <v>11</v>
      </c>
      <c r="H2215" s="8" t="s">
        <v>17</v>
      </c>
      <c r="I2215" s="11" t="s">
        <v>18</v>
      </c>
      <c r="J2215" s="8" t="s">
        <v>14</v>
      </c>
    </row>
    <row r="2216" customFormat="false" ht="14.25" hidden="false" customHeight="false" outlineLevel="0" collapsed="false">
      <c r="A2216" s="8" t="n">
        <v>2215</v>
      </c>
      <c r="B2216" s="8" t="s">
        <v>33</v>
      </c>
      <c r="C2216" s="8" t="s">
        <v>21</v>
      </c>
      <c r="D2216" s="9" t="n">
        <v>44437</v>
      </c>
      <c r="E2216" s="9" t="str">
        <f aca="false">TEXT(D2216,"MMM")</f>
        <v>ago</v>
      </c>
      <c r="F2216" s="10" t="n">
        <v>69972</v>
      </c>
      <c r="G2216" s="8" t="s">
        <v>11</v>
      </c>
      <c r="H2216" s="8" t="s">
        <v>12</v>
      </c>
      <c r="I2216" s="11" t="s">
        <v>13</v>
      </c>
      <c r="J2216" s="8" t="s">
        <v>14</v>
      </c>
    </row>
    <row r="2217" customFormat="false" ht="14.25" hidden="false" customHeight="false" outlineLevel="0" collapsed="false">
      <c r="A2217" s="8" t="n">
        <v>2216</v>
      </c>
      <c r="B2217" s="8" t="s">
        <v>33</v>
      </c>
      <c r="C2217" s="8" t="s">
        <v>10</v>
      </c>
      <c r="D2217" s="9" t="n">
        <v>44437</v>
      </c>
      <c r="E2217" s="9" t="str">
        <f aca="false">TEXT(D2217,"MMM")</f>
        <v>ago</v>
      </c>
      <c r="F2217" s="10" t="n">
        <v>132714.24</v>
      </c>
      <c r="G2217" s="8" t="s">
        <v>11</v>
      </c>
      <c r="H2217" s="8" t="s">
        <v>22</v>
      </c>
      <c r="I2217" s="11" t="s">
        <v>23</v>
      </c>
      <c r="J2217" s="8" t="s">
        <v>14</v>
      </c>
    </row>
    <row r="2218" customFormat="false" ht="14.25" hidden="false" customHeight="false" outlineLevel="0" collapsed="false">
      <c r="A2218" s="8" t="n">
        <v>2217</v>
      </c>
      <c r="B2218" s="8" t="s">
        <v>33</v>
      </c>
      <c r="C2218" s="8" t="s">
        <v>10</v>
      </c>
      <c r="D2218" s="9" t="n">
        <v>44437</v>
      </c>
      <c r="E2218" s="9" t="str">
        <f aca="false">TEXT(D2218,"MMM")</f>
        <v>ago</v>
      </c>
      <c r="F2218" s="10" t="n">
        <v>147700.6</v>
      </c>
      <c r="G2218" s="8" t="s">
        <v>11</v>
      </c>
      <c r="H2218" s="8" t="s">
        <v>22</v>
      </c>
      <c r="I2218" s="11" t="s">
        <v>23</v>
      </c>
      <c r="J2218" s="8" t="s">
        <v>24</v>
      </c>
    </row>
    <row r="2219" customFormat="false" ht="14.25" hidden="false" customHeight="false" outlineLevel="0" collapsed="false">
      <c r="A2219" s="8" t="n">
        <v>2218</v>
      </c>
      <c r="B2219" s="8" t="s">
        <v>33</v>
      </c>
      <c r="C2219" s="8" t="s">
        <v>16</v>
      </c>
      <c r="D2219" s="9" t="n">
        <v>44437</v>
      </c>
      <c r="E2219" s="9" t="str">
        <f aca="false">TEXT(D2219,"MMM")</f>
        <v>ago</v>
      </c>
      <c r="F2219" s="10" t="n">
        <v>-5989.13</v>
      </c>
      <c r="G2219" s="8" t="s">
        <v>34</v>
      </c>
      <c r="H2219" s="8" t="s">
        <v>12</v>
      </c>
      <c r="I2219" s="11" t="s">
        <v>13</v>
      </c>
      <c r="J2219" s="8" t="s">
        <v>14</v>
      </c>
    </row>
    <row r="2220" customFormat="false" ht="14.25" hidden="false" customHeight="false" outlineLevel="0" collapsed="false">
      <c r="A2220" s="8" t="n">
        <v>2219</v>
      </c>
      <c r="B2220" s="8" t="s">
        <v>33</v>
      </c>
      <c r="C2220" s="8" t="s">
        <v>21</v>
      </c>
      <c r="D2220" s="9" t="n">
        <v>44437</v>
      </c>
      <c r="E2220" s="9" t="str">
        <f aca="false">TEXT(D2220,"MMM")</f>
        <v>ago</v>
      </c>
      <c r="F2220" s="10" t="n">
        <v>-6065.26</v>
      </c>
      <c r="G2220" s="8" t="s">
        <v>34</v>
      </c>
      <c r="H2220" s="8" t="s">
        <v>30</v>
      </c>
      <c r="I2220" s="11" t="s">
        <v>31</v>
      </c>
      <c r="J2220" s="8" t="s">
        <v>14</v>
      </c>
    </row>
    <row r="2221" customFormat="false" ht="14.25" hidden="false" customHeight="false" outlineLevel="0" collapsed="false">
      <c r="A2221" s="8" t="n">
        <v>2220</v>
      </c>
      <c r="B2221" s="8" t="s">
        <v>33</v>
      </c>
      <c r="C2221" s="8" t="s">
        <v>10</v>
      </c>
      <c r="D2221" s="9" t="n">
        <v>44437</v>
      </c>
      <c r="E2221" s="9" t="str">
        <f aca="false">TEXT(D2221,"MMM")</f>
        <v>ago</v>
      </c>
      <c r="F2221" s="10" t="n">
        <v>-7721.91</v>
      </c>
      <c r="G2221" s="8" t="s">
        <v>34</v>
      </c>
      <c r="H2221" s="8" t="s">
        <v>36</v>
      </c>
      <c r="I2221" s="11" t="s">
        <v>37</v>
      </c>
      <c r="J2221" s="8" t="s">
        <v>14</v>
      </c>
    </row>
    <row r="2222" customFormat="false" ht="14.25" hidden="false" customHeight="false" outlineLevel="0" collapsed="false">
      <c r="A2222" s="8" t="n">
        <v>2221</v>
      </c>
      <c r="B2222" s="8" t="s">
        <v>162</v>
      </c>
      <c r="C2222" s="8" t="s">
        <v>16</v>
      </c>
      <c r="D2222" s="9" t="n">
        <v>44438</v>
      </c>
      <c r="E2222" s="9" t="str">
        <f aca="false">TEXT(D2222,"MMM")</f>
        <v>ago</v>
      </c>
      <c r="F2222" s="10" t="n">
        <v>-1524.18</v>
      </c>
      <c r="G2222" s="8" t="s">
        <v>34</v>
      </c>
      <c r="H2222" s="8" t="s">
        <v>17</v>
      </c>
      <c r="I2222" s="11" t="s">
        <v>18</v>
      </c>
      <c r="J2222" s="8" t="s">
        <v>14</v>
      </c>
    </row>
    <row r="2223" customFormat="false" ht="14.25" hidden="false" customHeight="false" outlineLevel="0" collapsed="false">
      <c r="A2223" s="8" t="n">
        <v>2222</v>
      </c>
      <c r="B2223" s="8" t="s">
        <v>32</v>
      </c>
      <c r="C2223" s="8" t="s">
        <v>21</v>
      </c>
      <c r="D2223" s="9" t="n">
        <v>44438</v>
      </c>
      <c r="E2223" s="9" t="str">
        <f aca="false">TEXT(D2223,"MMM")</f>
        <v>ago</v>
      </c>
      <c r="F2223" s="10" t="n">
        <v>-15987.41</v>
      </c>
      <c r="G2223" s="8" t="s">
        <v>34</v>
      </c>
      <c r="H2223" s="8" t="s">
        <v>12</v>
      </c>
      <c r="I2223" s="11" t="s">
        <v>13</v>
      </c>
      <c r="J2223" s="8" t="s">
        <v>14</v>
      </c>
    </row>
    <row r="2224" customFormat="false" ht="14.25" hidden="false" customHeight="false" outlineLevel="0" collapsed="false">
      <c r="A2224" s="8" t="n">
        <v>2223</v>
      </c>
      <c r="B2224" s="8" t="s">
        <v>81</v>
      </c>
      <c r="C2224" s="8" t="s">
        <v>10</v>
      </c>
      <c r="D2224" s="9" t="n">
        <v>44438</v>
      </c>
      <c r="E2224" s="9" t="str">
        <f aca="false">TEXT(D2224,"MMM")</f>
        <v>ago</v>
      </c>
      <c r="F2224" s="10" t="n">
        <v>-484174.57</v>
      </c>
      <c r="G2224" s="8" t="s">
        <v>34</v>
      </c>
      <c r="H2224" s="8" t="s">
        <v>36</v>
      </c>
      <c r="I2224" s="11" t="s">
        <v>37</v>
      </c>
      <c r="J2224" s="8" t="s">
        <v>26</v>
      </c>
    </row>
    <row r="2225" customFormat="false" ht="14.25" hidden="false" customHeight="false" outlineLevel="0" collapsed="false">
      <c r="A2225" s="8" t="n">
        <v>2224</v>
      </c>
      <c r="B2225" s="8" t="s">
        <v>81</v>
      </c>
      <c r="C2225" s="8" t="s">
        <v>10</v>
      </c>
      <c r="D2225" s="9" t="n">
        <v>44438</v>
      </c>
      <c r="E2225" s="9" t="str">
        <f aca="false">TEXT(D2225,"MMM")</f>
        <v>ago</v>
      </c>
      <c r="F2225" s="10" t="n">
        <v>130419.67</v>
      </c>
      <c r="G2225" s="8" t="s">
        <v>11</v>
      </c>
      <c r="H2225" s="8" t="s">
        <v>30</v>
      </c>
      <c r="I2225" s="11" t="s">
        <v>31</v>
      </c>
      <c r="J2225" s="8" t="s">
        <v>14</v>
      </c>
    </row>
    <row r="2226" customFormat="false" ht="14.25" hidden="false" customHeight="false" outlineLevel="0" collapsed="false">
      <c r="A2226" s="8" t="n">
        <v>2225</v>
      </c>
      <c r="B2226" s="8" t="s">
        <v>81</v>
      </c>
      <c r="C2226" s="8" t="s">
        <v>21</v>
      </c>
      <c r="D2226" s="9" t="n">
        <v>44438</v>
      </c>
      <c r="E2226" s="9" t="str">
        <f aca="false">TEXT(D2226,"MMM")</f>
        <v>ago</v>
      </c>
      <c r="F2226" s="10" t="n">
        <v>-308503.69</v>
      </c>
      <c r="G2226" s="8" t="s">
        <v>34</v>
      </c>
      <c r="H2226" s="8" t="s">
        <v>12</v>
      </c>
      <c r="I2226" s="11" t="s">
        <v>13</v>
      </c>
      <c r="J2226" s="8" t="s">
        <v>19</v>
      </c>
    </row>
    <row r="2227" customFormat="false" ht="14.25" hidden="false" customHeight="false" outlineLevel="0" collapsed="false">
      <c r="A2227" s="8" t="n">
        <v>2226</v>
      </c>
      <c r="B2227" s="8" t="s">
        <v>81</v>
      </c>
      <c r="C2227" s="8" t="s">
        <v>10</v>
      </c>
      <c r="D2227" s="9" t="n">
        <v>44438</v>
      </c>
      <c r="E2227" s="9" t="str">
        <f aca="false">TEXT(D2227,"MMM")</f>
        <v>ago</v>
      </c>
      <c r="F2227" s="10" t="n">
        <v>-7207.1</v>
      </c>
      <c r="G2227" s="8" t="s">
        <v>34</v>
      </c>
      <c r="H2227" s="8" t="s">
        <v>36</v>
      </c>
      <c r="I2227" s="11" t="s">
        <v>37</v>
      </c>
      <c r="J2227" s="8" t="s">
        <v>24</v>
      </c>
    </row>
    <row r="2228" customFormat="false" ht="14.25" hidden="false" customHeight="false" outlineLevel="0" collapsed="false">
      <c r="A2228" s="8" t="n">
        <v>2227</v>
      </c>
      <c r="B2228" s="8" t="s">
        <v>81</v>
      </c>
      <c r="C2228" s="8" t="s">
        <v>28</v>
      </c>
      <c r="D2228" s="9" t="n">
        <v>44438</v>
      </c>
      <c r="E2228" s="9" t="str">
        <f aca="false">TEXT(D2228,"MMM")</f>
        <v>ago</v>
      </c>
      <c r="F2228" s="10" t="n">
        <v>21749.12</v>
      </c>
      <c r="G2228" s="8" t="s">
        <v>11</v>
      </c>
      <c r="H2228" s="8" t="s">
        <v>12</v>
      </c>
      <c r="I2228" s="11" t="s">
        <v>13</v>
      </c>
      <c r="J2228" s="8" t="s">
        <v>14</v>
      </c>
    </row>
    <row r="2229" customFormat="false" ht="14.25" hidden="false" customHeight="false" outlineLevel="0" collapsed="false">
      <c r="A2229" s="8" t="n">
        <v>2228</v>
      </c>
      <c r="B2229" s="8" t="s">
        <v>81</v>
      </c>
      <c r="C2229" s="8" t="s">
        <v>16</v>
      </c>
      <c r="D2229" s="9" t="n">
        <v>44438</v>
      </c>
      <c r="E2229" s="9" t="str">
        <f aca="false">TEXT(D2229,"MMM")</f>
        <v>ago</v>
      </c>
      <c r="F2229" s="10" t="n">
        <v>21749.12</v>
      </c>
      <c r="G2229" s="8" t="s">
        <v>11</v>
      </c>
      <c r="H2229" s="8" t="s">
        <v>12</v>
      </c>
      <c r="I2229" s="11" t="s">
        <v>13</v>
      </c>
      <c r="J2229" s="8" t="s">
        <v>14</v>
      </c>
    </row>
    <row r="2230" customFormat="false" ht="14.25" hidden="false" customHeight="false" outlineLevel="0" collapsed="false">
      <c r="A2230" s="8" t="n">
        <v>2229</v>
      </c>
      <c r="B2230" s="8" t="s">
        <v>178</v>
      </c>
      <c r="C2230" s="8" t="s">
        <v>16</v>
      </c>
      <c r="D2230" s="9" t="n">
        <v>44439</v>
      </c>
      <c r="E2230" s="9" t="str">
        <f aca="false">TEXT(D2230,"MMM")</f>
        <v>ago</v>
      </c>
      <c r="F2230" s="10" t="n">
        <v>21749.12</v>
      </c>
      <c r="G2230" s="8" t="s">
        <v>11</v>
      </c>
      <c r="H2230" s="8" t="s">
        <v>12</v>
      </c>
      <c r="I2230" s="11" t="s">
        <v>13</v>
      </c>
      <c r="J2230" s="8" t="s">
        <v>26</v>
      </c>
    </row>
    <row r="2231" customFormat="false" ht="14.25" hidden="false" customHeight="false" outlineLevel="0" collapsed="false">
      <c r="A2231" s="8" t="n">
        <v>2230</v>
      </c>
      <c r="B2231" s="8" t="s">
        <v>164</v>
      </c>
      <c r="C2231" s="8" t="s">
        <v>21</v>
      </c>
      <c r="D2231" s="9" t="n">
        <v>44439</v>
      </c>
      <c r="E2231" s="9" t="str">
        <f aca="false">TEXT(D2231,"MMM")</f>
        <v>ago</v>
      </c>
      <c r="F2231" s="10" t="n">
        <v>3485</v>
      </c>
      <c r="G2231" s="8" t="s">
        <v>11</v>
      </c>
      <c r="H2231" s="8" t="s">
        <v>12</v>
      </c>
      <c r="I2231" s="11" t="s">
        <v>13</v>
      </c>
      <c r="J2231" s="8" t="s">
        <v>14</v>
      </c>
    </row>
    <row r="2232" customFormat="false" ht="14.25" hidden="false" customHeight="false" outlineLevel="0" collapsed="false">
      <c r="A2232" s="8" t="n">
        <v>2231</v>
      </c>
      <c r="B2232" s="8" t="s">
        <v>172</v>
      </c>
      <c r="C2232" s="8" t="s">
        <v>28</v>
      </c>
      <c r="D2232" s="9" t="n">
        <v>44439</v>
      </c>
      <c r="E2232" s="9" t="str">
        <f aca="false">TEXT(D2232,"MMM")</f>
        <v>ago</v>
      </c>
      <c r="F2232" s="10" t="n">
        <v>3485</v>
      </c>
      <c r="G2232" s="8" t="s">
        <v>11</v>
      </c>
      <c r="H2232" s="8" t="s">
        <v>36</v>
      </c>
      <c r="I2232" s="11" t="s">
        <v>37</v>
      </c>
      <c r="J2232" s="8" t="s">
        <v>19</v>
      </c>
    </row>
    <row r="2233" customFormat="false" ht="14.25" hidden="false" customHeight="false" outlineLevel="0" collapsed="false">
      <c r="A2233" s="8" t="n">
        <v>2232</v>
      </c>
      <c r="B2233" s="8" t="s">
        <v>51</v>
      </c>
      <c r="C2233" s="8" t="s">
        <v>16</v>
      </c>
      <c r="D2233" s="9" t="n">
        <v>44439</v>
      </c>
      <c r="E2233" s="9" t="str">
        <f aca="false">TEXT(D2233,"MMM")</f>
        <v>ago</v>
      </c>
      <c r="F2233" s="10" t="n">
        <v>6621.5</v>
      </c>
      <c r="G2233" s="8" t="s">
        <v>11</v>
      </c>
      <c r="H2233" s="8" t="s">
        <v>12</v>
      </c>
      <c r="I2233" s="11" t="s">
        <v>13</v>
      </c>
      <c r="J2233" s="8" t="s">
        <v>14</v>
      </c>
    </row>
    <row r="2234" customFormat="false" ht="14.25" hidden="false" customHeight="false" outlineLevel="0" collapsed="false">
      <c r="A2234" s="8" t="n">
        <v>2233</v>
      </c>
      <c r="B2234" s="8" t="s">
        <v>32</v>
      </c>
      <c r="C2234" s="8" t="s">
        <v>10</v>
      </c>
      <c r="D2234" s="9" t="n">
        <v>44439</v>
      </c>
      <c r="E2234" s="9" t="str">
        <f aca="false">TEXT(D2234,"MMM")</f>
        <v>ago</v>
      </c>
      <c r="F2234" s="10" t="n">
        <v>3485</v>
      </c>
      <c r="G2234" s="8" t="s">
        <v>11</v>
      </c>
      <c r="H2234" s="8" t="s">
        <v>17</v>
      </c>
      <c r="I2234" s="11" t="s">
        <v>18</v>
      </c>
      <c r="J2234" s="8" t="s">
        <v>14</v>
      </c>
    </row>
    <row r="2235" customFormat="false" ht="14.25" hidden="false" customHeight="false" outlineLevel="0" collapsed="false">
      <c r="A2235" s="8" t="n">
        <v>2234</v>
      </c>
      <c r="B2235" s="8" t="s">
        <v>62</v>
      </c>
      <c r="C2235" s="8" t="s">
        <v>16</v>
      </c>
      <c r="D2235" s="9" t="n">
        <v>44439</v>
      </c>
      <c r="E2235" s="9" t="str">
        <f aca="false">TEXT(D2235,"MMM")</f>
        <v>ago</v>
      </c>
      <c r="F2235" s="10" t="n">
        <v>5576</v>
      </c>
      <c r="G2235" s="8" t="s">
        <v>11</v>
      </c>
      <c r="H2235" s="8" t="s">
        <v>22</v>
      </c>
      <c r="I2235" s="11" t="s">
        <v>23</v>
      </c>
      <c r="J2235" s="8" t="s">
        <v>26</v>
      </c>
    </row>
    <row r="2236" customFormat="false" ht="14.25" hidden="false" customHeight="false" outlineLevel="0" collapsed="false">
      <c r="A2236" s="8" t="n">
        <v>2235</v>
      </c>
      <c r="B2236" s="8" t="s">
        <v>136</v>
      </c>
      <c r="C2236" s="8" t="s">
        <v>10</v>
      </c>
      <c r="D2236" s="9" t="n">
        <v>44439</v>
      </c>
      <c r="E2236" s="9" t="str">
        <f aca="false">TEXT(D2236,"MMM")</f>
        <v>ago</v>
      </c>
      <c r="F2236" s="10" t="n">
        <v>5576</v>
      </c>
      <c r="G2236" s="8" t="s">
        <v>11</v>
      </c>
      <c r="H2236" s="8" t="s">
        <v>36</v>
      </c>
      <c r="I2236" s="11" t="s">
        <v>37</v>
      </c>
      <c r="J2236" s="8" t="s">
        <v>26</v>
      </c>
    </row>
    <row r="2237" customFormat="false" ht="14.25" hidden="false" customHeight="false" outlineLevel="0" collapsed="false">
      <c r="A2237" s="8" t="n">
        <v>2236</v>
      </c>
      <c r="B2237" s="8" t="s">
        <v>32</v>
      </c>
      <c r="C2237" s="8" t="s">
        <v>21</v>
      </c>
      <c r="D2237" s="9" t="n">
        <v>44439</v>
      </c>
      <c r="E2237" s="9" t="str">
        <f aca="false">TEXT(D2237,"MMM")</f>
        <v>ago</v>
      </c>
      <c r="F2237" s="10" t="n">
        <v>3485</v>
      </c>
      <c r="G2237" s="8" t="s">
        <v>11</v>
      </c>
      <c r="H2237" s="8" t="s">
        <v>12</v>
      </c>
      <c r="I2237" s="11" t="s">
        <v>13</v>
      </c>
      <c r="J2237" s="8" t="s">
        <v>19</v>
      </c>
    </row>
    <row r="2238" customFormat="false" ht="14.25" hidden="false" customHeight="false" outlineLevel="0" collapsed="false">
      <c r="A2238" s="8" t="n">
        <v>2237</v>
      </c>
      <c r="B2238" s="8" t="s">
        <v>136</v>
      </c>
      <c r="C2238" s="8" t="s">
        <v>16</v>
      </c>
      <c r="D2238" s="9" t="n">
        <v>44439</v>
      </c>
      <c r="E2238" s="9" t="str">
        <f aca="false">TEXT(D2238,"MMM")</f>
        <v>ago</v>
      </c>
      <c r="F2238" s="10" t="n">
        <v>8580.77</v>
      </c>
      <c r="G2238" s="8" t="s">
        <v>11</v>
      </c>
      <c r="H2238" s="8" t="s">
        <v>12</v>
      </c>
      <c r="I2238" s="11" t="s">
        <v>13</v>
      </c>
      <c r="J2238" s="8" t="s">
        <v>14</v>
      </c>
    </row>
    <row r="2239" customFormat="false" ht="14.25" hidden="false" customHeight="false" outlineLevel="0" collapsed="false">
      <c r="A2239" s="8" t="n">
        <v>2238</v>
      </c>
      <c r="B2239" s="8" t="s">
        <v>20</v>
      </c>
      <c r="C2239" s="8" t="s">
        <v>16</v>
      </c>
      <c r="D2239" s="9" t="n">
        <v>44439</v>
      </c>
      <c r="E2239" s="9" t="str">
        <f aca="false">TEXT(D2239,"MMM")</f>
        <v>ago</v>
      </c>
      <c r="F2239" s="10" t="n">
        <v>6621.5</v>
      </c>
      <c r="G2239" s="8" t="s">
        <v>11</v>
      </c>
      <c r="H2239" s="8" t="s">
        <v>36</v>
      </c>
      <c r="I2239" s="11" t="s">
        <v>37</v>
      </c>
      <c r="J2239" s="8" t="s">
        <v>26</v>
      </c>
    </row>
    <row r="2240" customFormat="false" ht="14.25" hidden="false" customHeight="false" outlineLevel="0" collapsed="false">
      <c r="A2240" s="8" t="n">
        <v>2239</v>
      </c>
      <c r="B2240" s="8" t="s">
        <v>62</v>
      </c>
      <c r="C2240" s="8" t="s">
        <v>10</v>
      </c>
      <c r="D2240" s="9" t="n">
        <v>44439</v>
      </c>
      <c r="E2240" s="9" t="str">
        <f aca="false">TEXT(D2240,"MMM")</f>
        <v>ago</v>
      </c>
      <c r="F2240" s="10" t="n">
        <v>3485</v>
      </c>
      <c r="G2240" s="8" t="s">
        <v>11</v>
      </c>
      <c r="H2240" s="8" t="s">
        <v>30</v>
      </c>
      <c r="I2240" s="11" t="s">
        <v>31</v>
      </c>
      <c r="J2240" s="8" t="s">
        <v>14</v>
      </c>
    </row>
    <row r="2241" customFormat="false" ht="14.25" hidden="false" customHeight="false" outlineLevel="0" collapsed="false">
      <c r="A2241" s="8" t="n">
        <v>2240</v>
      </c>
      <c r="B2241" s="8" t="s">
        <v>20</v>
      </c>
      <c r="C2241" s="8" t="s">
        <v>10</v>
      </c>
      <c r="D2241" s="9" t="n">
        <v>44439</v>
      </c>
      <c r="E2241" s="9" t="str">
        <f aca="false">TEXT(D2241,"MMM")</f>
        <v>ago</v>
      </c>
      <c r="F2241" s="10" t="n">
        <v>3485</v>
      </c>
      <c r="G2241" s="8" t="s">
        <v>11</v>
      </c>
      <c r="H2241" s="8" t="s">
        <v>30</v>
      </c>
      <c r="I2241" s="11" t="s">
        <v>31</v>
      </c>
      <c r="J2241" s="8" t="s">
        <v>19</v>
      </c>
    </row>
    <row r="2242" customFormat="false" ht="14.25" hidden="false" customHeight="false" outlineLevel="0" collapsed="false">
      <c r="A2242" s="8" t="n">
        <v>2241</v>
      </c>
      <c r="B2242" s="8" t="s">
        <v>73</v>
      </c>
      <c r="C2242" s="8" t="s">
        <v>28</v>
      </c>
      <c r="D2242" s="9" t="n">
        <v>44439</v>
      </c>
      <c r="E2242" s="9" t="str">
        <f aca="false">TEXT(D2242,"MMM")</f>
        <v>ago</v>
      </c>
      <c r="F2242" s="10" t="n">
        <v>3948.51</v>
      </c>
      <c r="G2242" s="8" t="s">
        <v>11</v>
      </c>
      <c r="H2242" s="8" t="s">
        <v>36</v>
      </c>
      <c r="I2242" s="11" t="s">
        <v>37</v>
      </c>
      <c r="J2242" s="8" t="s">
        <v>26</v>
      </c>
    </row>
    <row r="2243" customFormat="false" ht="14.25" hidden="false" customHeight="false" outlineLevel="0" collapsed="false">
      <c r="A2243" s="8" t="n">
        <v>2242</v>
      </c>
      <c r="B2243" s="8" t="s">
        <v>62</v>
      </c>
      <c r="C2243" s="8" t="s">
        <v>16</v>
      </c>
      <c r="D2243" s="9" t="n">
        <v>44439</v>
      </c>
      <c r="E2243" s="9" t="str">
        <f aca="false">TEXT(D2243,"MMM")</f>
        <v>ago</v>
      </c>
      <c r="F2243" s="10" t="n">
        <v>3944.68</v>
      </c>
      <c r="G2243" s="8" t="s">
        <v>11</v>
      </c>
      <c r="H2243" s="8" t="s">
        <v>36</v>
      </c>
      <c r="I2243" s="11" t="s">
        <v>37</v>
      </c>
      <c r="J2243" s="8" t="s">
        <v>26</v>
      </c>
    </row>
    <row r="2244" customFormat="false" ht="14.25" hidden="false" customHeight="false" outlineLevel="0" collapsed="false">
      <c r="A2244" s="8" t="n">
        <v>2243</v>
      </c>
      <c r="B2244" s="8" t="s">
        <v>136</v>
      </c>
      <c r="C2244" s="8" t="s">
        <v>10</v>
      </c>
      <c r="D2244" s="9" t="n">
        <v>44439</v>
      </c>
      <c r="E2244" s="9" t="str">
        <f aca="false">TEXT(D2244,"MMM")</f>
        <v>ago</v>
      </c>
      <c r="F2244" s="10" t="n">
        <v>-20864.41</v>
      </c>
      <c r="G2244" s="8" t="s">
        <v>34</v>
      </c>
      <c r="H2244" s="8" t="s">
        <v>12</v>
      </c>
      <c r="I2244" s="11" t="s">
        <v>13</v>
      </c>
      <c r="J2244" s="8" t="s">
        <v>14</v>
      </c>
    </row>
    <row r="2245" customFormat="false" ht="14.25" hidden="false" customHeight="false" outlineLevel="0" collapsed="false">
      <c r="A2245" s="8" t="n">
        <v>2244</v>
      </c>
      <c r="B2245" s="8" t="s">
        <v>20</v>
      </c>
      <c r="C2245" s="8" t="s">
        <v>10</v>
      </c>
      <c r="D2245" s="9" t="n">
        <v>44439</v>
      </c>
      <c r="E2245" s="9" t="str">
        <f aca="false">TEXT(D2245,"MMM")</f>
        <v>ago</v>
      </c>
      <c r="F2245" s="10" t="n">
        <v>-5947.62</v>
      </c>
      <c r="G2245" s="8" t="s">
        <v>34</v>
      </c>
      <c r="H2245" s="8" t="s">
        <v>17</v>
      </c>
      <c r="I2245" s="11" t="s">
        <v>18</v>
      </c>
      <c r="J2245" s="8" t="s">
        <v>26</v>
      </c>
    </row>
    <row r="2246" customFormat="false" ht="14.25" hidden="false" customHeight="false" outlineLevel="0" collapsed="false">
      <c r="A2246" s="8" t="n">
        <v>2245</v>
      </c>
      <c r="B2246" s="8" t="s">
        <v>73</v>
      </c>
      <c r="C2246" s="8" t="s">
        <v>28</v>
      </c>
      <c r="D2246" s="9" t="n">
        <v>44439</v>
      </c>
      <c r="E2246" s="9" t="str">
        <f aca="false">TEXT(D2246,"MMM")</f>
        <v>ago</v>
      </c>
      <c r="F2246" s="10" t="n">
        <v>-5540.64</v>
      </c>
      <c r="G2246" s="8" t="s">
        <v>34</v>
      </c>
      <c r="H2246" s="8" t="s">
        <v>22</v>
      </c>
      <c r="I2246" s="11" t="s">
        <v>23</v>
      </c>
      <c r="J2246" s="8" t="s">
        <v>14</v>
      </c>
    </row>
    <row r="2247" customFormat="false" ht="14.25" hidden="false" customHeight="false" outlineLevel="0" collapsed="false">
      <c r="A2247" s="8" t="n">
        <v>2246</v>
      </c>
      <c r="B2247" s="8" t="s">
        <v>62</v>
      </c>
      <c r="C2247" s="8" t="s">
        <v>21</v>
      </c>
      <c r="D2247" s="9" t="n">
        <v>44439</v>
      </c>
      <c r="E2247" s="9" t="str">
        <f aca="false">TEXT(D2247,"MMM")</f>
        <v>ago</v>
      </c>
      <c r="F2247" s="10" t="n">
        <v>-5886.93</v>
      </c>
      <c r="G2247" s="8" t="s">
        <v>34</v>
      </c>
      <c r="H2247" s="8" t="s">
        <v>12</v>
      </c>
      <c r="I2247" s="11" t="s">
        <v>13</v>
      </c>
      <c r="J2247" s="8" t="s">
        <v>19</v>
      </c>
    </row>
    <row r="2248" customFormat="false" ht="14.25" hidden="false" customHeight="false" outlineLevel="0" collapsed="false">
      <c r="A2248" s="8" t="n">
        <v>2247</v>
      </c>
      <c r="B2248" s="8" t="s">
        <v>136</v>
      </c>
      <c r="C2248" s="8" t="s">
        <v>16</v>
      </c>
      <c r="D2248" s="9" t="n">
        <v>44439</v>
      </c>
      <c r="E2248" s="9" t="str">
        <f aca="false">TEXT(D2248,"MMM")</f>
        <v>ago</v>
      </c>
      <c r="F2248" s="10" t="n">
        <v>-5709.03</v>
      </c>
      <c r="G2248" s="8" t="s">
        <v>34</v>
      </c>
      <c r="H2248" s="8" t="s">
        <v>22</v>
      </c>
      <c r="I2248" s="11" t="s">
        <v>23</v>
      </c>
      <c r="J2248" s="8" t="s">
        <v>26</v>
      </c>
    </row>
    <row r="2249" customFormat="false" ht="14.25" hidden="false" customHeight="false" outlineLevel="0" collapsed="false">
      <c r="A2249" s="8" t="n">
        <v>2248</v>
      </c>
      <c r="B2249" s="8" t="s">
        <v>136</v>
      </c>
      <c r="C2249" s="8" t="s">
        <v>21</v>
      </c>
      <c r="D2249" s="9" t="n">
        <v>44439</v>
      </c>
      <c r="E2249" s="9" t="str">
        <f aca="false">TEXT(D2249,"MMM")</f>
        <v>ago</v>
      </c>
      <c r="F2249" s="10" t="n">
        <v>-5426.4</v>
      </c>
      <c r="G2249" s="8" t="s">
        <v>34</v>
      </c>
      <c r="H2249" s="8" t="s">
        <v>22</v>
      </c>
      <c r="I2249" s="11" t="s">
        <v>23</v>
      </c>
      <c r="J2249" s="8" t="s">
        <v>26</v>
      </c>
    </row>
    <row r="2250" customFormat="false" ht="14.25" hidden="false" customHeight="false" outlineLevel="0" collapsed="false">
      <c r="A2250" s="8" t="n">
        <v>2249</v>
      </c>
      <c r="B2250" s="8" t="s">
        <v>73</v>
      </c>
      <c r="C2250" s="8" t="s">
        <v>28</v>
      </c>
      <c r="D2250" s="9" t="n">
        <v>44439</v>
      </c>
      <c r="E2250" s="9" t="str">
        <f aca="false">TEXT(D2250,"MMM")</f>
        <v>ago</v>
      </c>
      <c r="F2250" s="10" t="n">
        <v>-5769.19</v>
      </c>
      <c r="G2250" s="8" t="s">
        <v>34</v>
      </c>
      <c r="H2250" s="8" t="s">
        <v>17</v>
      </c>
      <c r="I2250" s="11" t="s">
        <v>18</v>
      </c>
      <c r="J2250" s="8" t="s">
        <v>14</v>
      </c>
    </row>
    <row r="2251" customFormat="false" ht="14.25" hidden="false" customHeight="false" outlineLevel="0" collapsed="false">
      <c r="A2251" s="8" t="n">
        <v>2250</v>
      </c>
      <c r="B2251" s="8" t="s">
        <v>62</v>
      </c>
      <c r="C2251" s="8" t="s">
        <v>16</v>
      </c>
      <c r="D2251" s="9" t="n">
        <v>44439</v>
      </c>
      <c r="E2251" s="9" t="str">
        <f aca="false">TEXT(D2251,"MMM")</f>
        <v>ago</v>
      </c>
      <c r="F2251" s="10" t="n">
        <v>-5822.08</v>
      </c>
      <c r="G2251" s="8" t="s">
        <v>34</v>
      </c>
      <c r="H2251" s="8" t="s">
        <v>17</v>
      </c>
      <c r="I2251" s="11" t="s">
        <v>18</v>
      </c>
      <c r="J2251" s="8" t="s">
        <v>14</v>
      </c>
    </row>
    <row r="2252" customFormat="false" ht="14.25" hidden="false" customHeight="false" outlineLevel="0" collapsed="false">
      <c r="A2252" s="8" t="n">
        <v>2251</v>
      </c>
      <c r="B2252" s="8" t="s">
        <v>62</v>
      </c>
      <c r="C2252" s="8" t="s">
        <v>10</v>
      </c>
      <c r="D2252" s="9" t="n">
        <v>44439</v>
      </c>
      <c r="E2252" s="9" t="str">
        <f aca="false">TEXT(D2252,"MMM")</f>
        <v>ago</v>
      </c>
      <c r="F2252" s="10" t="n">
        <v>-5652.5</v>
      </c>
      <c r="G2252" s="8" t="s">
        <v>34</v>
      </c>
      <c r="H2252" s="8" t="s">
        <v>30</v>
      </c>
      <c r="I2252" s="11" t="s">
        <v>31</v>
      </c>
      <c r="J2252" s="8" t="s">
        <v>26</v>
      </c>
    </row>
    <row r="2253" customFormat="false" ht="14.25" hidden="false" customHeight="false" outlineLevel="0" collapsed="false">
      <c r="A2253" s="8" t="n">
        <v>2252</v>
      </c>
      <c r="B2253" s="8" t="s">
        <v>183</v>
      </c>
      <c r="C2253" s="8" t="s">
        <v>10</v>
      </c>
      <c r="D2253" s="9" t="n">
        <v>44443</v>
      </c>
      <c r="E2253" s="9" t="str">
        <f aca="false">TEXT(D2253,"MMM")</f>
        <v>set</v>
      </c>
      <c r="F2253" s="10" t="n">
        <v>-5826.24</v>
      </c>
      <c r="G2253" s="8" t="s">
        <v>34</v>
      </c>
      <c r="H2253" s="8" t="s">
        <v>22</v>
      </c>
      <c r="I2253" s="11" t="s">
        <v>23</v>
      </c>
      <c r="J2253" s="8" t="s">
        <v>26</v>
      </c>
    </row>
    <row r="2254" customFormat="false" ht="14.25" hidden="false" customHeight="false" outlineLevel="0" collapsed="false">
      <c r="A2254" s="8" t="n">
        <v>2253</v>
      </c>
      <c r="B2254" s="8" t="s">
        <v>85</v>
      </c>
      <c r="C2254" s="8" t="s">
        <v>21</v>
      </c>
      <c r="D2254" s="9" t="n">
        <v>44443</v>
      </c>
      <c r="E2254" s="9" t="str">
        <f aca="false">TEXT(D2254,"MMM")</f>
        <v>set</v>
      </c>
      <c r="F2254" s="10" t="n">
        <v>-1393.21</v>
      </c>
      <c r="G2254" s="8" t="s">
        <v>34</v>
      </c>
      <c r="H2254" s="8" t="s">
        <v>17</v>
      </c>
      <c r="I2254" s="11" t="s">
        <v>18</v>
      </c>
      <c r="J2254" s="8" t="s">
        <v>19</v>
      </c>
    </row>
    <row r="2255" customFormat="false" ht="14.25" hidden="false" customHeight="false" outlineLevel="0" collapsed="false">
      <c r="A2255" s="8" t="n">
        <v>2254</v>
      </c>
      <c r="B2255" s="8" t="s">
        <v>41</v>
      </c>
      <c r="C2255" s="8" t="s">
        <v>21</v>
      </c>
      <c r="D2255" s="9" t="n">
        <v>44444</v>
      </c>
      <c r="E2255" s="9" t="str">
        <f aca="false">TEXT(D2255,"MMM")</f>
        <v>set</v>
      </c>
      <c r="F2255" s="10" t="n">
        <v>149607.16</v>
      </c>
      <c r="G2255" s="8" t="s">
        <v>11</v>
      </c>
      <c r="H2255" s="8" t="s">
        <v>22</v>
      </c>
      <c r="I2255" s="11" t="s">
        <v>23</v>
      </c>
      <c r="J2255" s="8" t="s">
        <v>14</v>
      </c>
    </row>
    <row r="2256" customFormat="false" ht="14.25" hidden="false" customHeight="false" outlineLevel="0" collapsed="false">
      <c r="A2256" s="8" t="n">
        <v>2255</v>
      </c>
      <c r="B2256" s="8" t="s">
        <v>50</v>
      </c>
      <c r="C2256" s="8" t="s">
        <v>21</v>
      </c>
      <c r="D2256" s="9" t="n">
        <v>44445</v>
      </c>
      <c r="E2256" s="9" t="str">
        <f aca="false">TEXT(D2256,"MMM")</f>
        <v>set</v>
      </c>
      <c r="F2256" s="10" t="n">
        <v>-3030.02</v>
      </c>
      <c r="G2256" s="8" t="s">
        <v>34</v>
      </c>
      <c r="H2256" s="8" t="s">
        <v>12</v>
      </c>
      <c r="I2256" s="11" t="s">
        <v>13</v>
      </c>
      <c r="J2256" s="8" t="s">
        <v>26</v>
      </c>
    </row>
    <row r="2257" customFormat="false" ht="14.25" hidden="false" customHeight="false" outlineLevel="0" collapsed="false">
      <c r="A2257" s="8" t="n">
        <v>2256</v>
      </c>
      <c r="B2257" s="8" t="s">
        <v>149</v>
      </c>
      <c r="C2257" s="8" t="s">
        <v>21</v>
      </c>
      <c r="D2257" s="9" t="n">
        <v>44445</v>
      </c>
      <c r="E2257" s="9" t="str">
        <f aca="false">TEXT(D2257,"MMM")</f>
        <v>set</v>
      </c>
      <c r="F2257" s="10" t="n">
        <v>-3797.08</v>
      </c>
      <c r="G2257" s="8" t="s">
        <v>34</v>
      </c>
      <c r="H2257" s="8" t="s">
        <v>17</v>
      </c>
      <c r="I2257" s="11" t="s">
        <v>18</v>
      </c>
      <c r="J2257" s="8" t="s">
        <v>26</v>
      </c>
    </row>
    <row r="2258" customFormat="false" ht="14.25" hidden="false" customHeight="false" outlineLevel="0" collapsed="false">
      <c r="A2258" s="8" t="n">
        <v>2257</v>
      </c>
      <c r="B2258" s="8" t="s">
        <v>150</v>
      </c>
      <c r="C2258" s="8" t="s">
        <v>28</v>
      </c>
      <c r="D2258" s="9" t="n">
        <v>44445</v>
      </c>
      <c r="E2258" s="9" t="str">
        <f aca="false">TEXT(D2258,"MMM")</f>
        <v>set</v>
      </c>
      <c r="F2258" s="10" t="n">
        <v>-28095.34</v>
      </c>
      <c r="G2258" s="8" t="s">
        <v>34</v>
      </c>
      <c r="H2258" s="8" t="s">
        <v>17</v>
      </c>
      <c r="I2258" s="11" t="s">
        <v>18</v>
      </c>
      <c r="J2258" s="8" t="s">
        <v>14</v>
      </c>
    </row>
    <row r="2259" customFormat="false" ht="14.25" hidden="false" customHeight="false" outlineLevel="0" collapsed="false">
      <c r="A2259" s="8" t="n">
        <v>2258</v>
      </c>
      <c r="B2259" s="8" t="s">
        <v>164</v>
      </c>
      <c r="C2259" s="8" t="s">
        <v>21</v>
      </c>
      <c r="D2259" s="9" t="n">
        <v>44445</v>
      </c>
      <c r="E2259" s="9" t="str">
        <f aca="false">TEXT(D2259,"MMM")</f>
        <v>set</v>
      </c>
      <c r="F2259" s="10" t="n">
        <v>2426.62</v>
      </c>
      <c r="G2259" s="8" t="s">
        <v>11</v>
      </c>
      <c r="H2259" s="8" t="s">
        <v>12</v>
      </c>
      <c r="I2259" s="11" t="s">
        <v>13</v>
      </c>
      <c r="J2259" s="8" t="s">
        <v>19</v>
      </c>
    </row>
    <row r="2260" customFormat="false" ht="14.25" hidden="false" customHeight="false" outlineLevel="0" collapsed="false">
      <c r="A2260" s="8" t="n">
        <v>2259</v>
      </c>
      <c r="B2260" s="8" t="s">
        <v>190</v>
      </c>
      <c r="C2260" s="8" t="s">
        <v>28</v>
      </c>
      <c r="D2260" s="9" t="n">
        <v>44445</v>
      </c>
      <c r="E2260" s="9" t="str">
        <f aca="false">TEXT(D2260,"MMM")</f>
        <v>set</v>
      </c>
      <c r="F2260" s="10" t="n">
        <v>146873.63</v>
      </c>
      <c r="G2260" s="8" t="s">
        <v>11</v>
      </c>
      <c r="H2260" s="8" t="s">
        <v>17</v>
      </c>
      <c r="I2260" s="11" t="s">
        <v>18</v>
      </c>
      <c r="J2260" s="8" t="s">
        <v>24</v>
      </c>
    </row>
    <row r="2261" customFormat="false" ht="14.25" hidden="false" customHeight="false" outlineLevel="0" collapsed="false">
      <c r="A2261" s="8" t="n">
        <v>2260</v>
      </c>
      <c r="B2261" s="8" t="s">
        <v>248</v>
      </c>
      <c r="C2261" s="8" t="s">
        <v>16</v>
      </c>
      <c r="D2261" s="9" t="n">
        <v>44445</v>
      </c>
      <c r="E2261" s="9" t="str">
        <f aca="false">TEXT(D2261,"MMM")</f>
        <v>set</v>
      </c>
      <c r="F2261" s="10" t="n">
        <v>13790.4</v>
      </c>
      <c r="G2261" s="8" t="s">
        <v>11</v>
      </c>
      <c r="H2261" s="8" t="s">
        <v>36</v>
      </c>
      <c r="I2261" s="11" t="s">
        <v>37</v>
      </c>
      <c r="J2261" s="8" t="s">
        <v>14</v>
      </c>
    </row>
    <row r="2262" customFormat="false" ht="14.25" hidden="false" customHeight="false" outlineLevel="0" collapsed="false">
      <c r="A2262" s="8" t="n">
        <v>2261</v>
      </c>
      <c r="B2262" s="8" t="s">
        <v>249</v>
      </c>
      <c r="C2262" s="8" t="s">
        <v>16</v>
      </c>
      <c r="D2262" s="9" t="n">
        <v>44445</v>
      </c>
      <c r="E2262" s="9" t="str">
        <f aca="false">TEXT(D2262,"MMM")</f>
        <v>set</v>
      </c>
      <c r="F2262" s="10" t="n">
        <v>13790.4</v>
      </c>
      <c r="G2262" s="8" t="s">
        <v>11</v>
      </c>
      <c r="H2262" s="8" t="s">
        <v>12</v>
      </c>
      <c r="I2262" s="11" t="s">
        <v>13</v>
      </c>
      <c r="J2262" s="8" t="s">
        <v>26</v>
      </c>
    </row>
    <row r="2263" customFormat="false" ht="14.25" hidden="false" customHeight="false" outlineLevel="0" collapsed="false">
      <c r="A2263" s="8" t="n">
        <v>2262</v>
      </c>
      <c r="B2263" s="8" t="s">
        <v>40</v>
      </c>
      <c r="C2263" s="8" t="s">
        <v>28</v>
      </c>
      <c r="D2263" s="9" t="n">
        <v>44445</v>
      </c>
      <c r="E2263" s="9" t="str">
        <f aca="false">TEXT(D2263,"MMM")</f>
        <v>set</v>
      </c>
      <c r="F2263" s="10" t="n">
        <v>13790.4</v>
      </c>
      <c r="G2263" s="8" t="s">
        <v>11</v>
      </c>
      <c r="H2263" s="8" t="s">
        <v>17</v>
      </c>
      <c r="I2263" s="11" t="s">
        <v>18</v>
      </c>
      <c r="J2263" s="8" t="s">
        <v>26</v>
      </c>
    </row>
    <row r="2264" customFormat="false" ht="14.25" hidden="false" customHeight="false" outlineLevel="0" collapsed="false">
      <c r="A2264" s="8" t="n">
        <v>2263</v>
      </c>
      <c r="B2264" s="8" t="s">
        <v>39</v>
      </c>
      <c r="C2264" s="8" t="s">
        <v>21</v>
      </c>
      <c r="D2264" s="9" t="n">
        <v>44445</v>
      </c>
      <c r="E2264" s="9" t="str">
        <f aca="false">TEXT(D2264,"MMM")</f>
        <v>set</v>
      </c>
      <c r="F2264" s="10" t="n">
        <v>0</v>
      </c>
      <c r="G2264" s="8" t="s">
        <v>34</v>
      </c>
      <c r="H2264" s="8" t="s">
        <v>12</v>
      </c>
      <c r="I2264" s="11" t="s">
        <v>13</v>
      </c>
      <c r="J2264" s="8" t="s">
        <v>26</v>
      </c>
    </row>
    <row r="2265" customFormat="false" ht="14.25" hidden="false" customHeight="false" outlineLevel="0" collapsed="false">
      <c r="A2265" s="8" t="n">
        <v>2264</v>
      </c>
      <c r="B2265" s="8" t="s">
        <v>85</v>
      </c>
      <c r="C2265" s="8" t="s">
        <v>21</v>
      </c>
      <c r="D2265" s="9" t="n">
        <v>44446</v>
      </c>
      <c r="E2265" s="9" t="str">
        <f aca="false">TEXT(D2265,"MMM")</f>
        <v>set</v>
      </c>
      <c r="F2265" s="10" t="n">
        <v>-2843.96</v>
      </c>
      <c r="G2265" s="8" t="s">
        <v>34</v>
      </c>
      <c r="H2265" s="8" t="s">
        <v>17</v>
      </c>
      <c r="I2265" s="11" t="s">
        <v>18</v>
      </c>
      <c r="J2265" s="8" t="s">
        <v>14</v>
      </c>
    </row>
    <row r="2266" customFormat="false" ht="14.25" hidden="false" customHeight="false" outlineLevel="0" collapsed="false">
      <c r="A2266" s="8" t="n">
        <v>2265</v>
      </c>
      <c r="B2266" s="8" t="s">
        <v>113</v>
      </c>
      <c r="C2266" s="8" t="s">
        <v>21</v>
      </c>
      <c r="D2266" s="9" t="n">
        <v>44449</v>
      </c>
      <c r="E2266" s="9" t="str">
        <f aca="false">TEXT(D2266,"MMM")</f>
        <v>set</v>
      </c>
      <c r="F2266" s="10" t="n">
        <v>-1885.52</v>
      </c>
      <c r="G2266" s="8" t="s">
        <v>34</v>
      </c>
      <c r="H2266" s="8" t="s">
        <v>22</v>
      </c>
      <c r="I2266" s="11" t="s">
        <v>23</v>
      </c>
      <c r="J2266" s="8" t="s">
        <v>14</v>
      </c>
    </row>
    <row r="2267" customFormat="false" ht="14.25" hidden="false" customHeight="false" outlineLevel="0" collapsed="false">
      <c r="A2267" s="8" t="n">
        <v>2266</v>
      </c>
      <c r="B2267" s="8" t="s">
        <v>113</v>
      </c>
      <c r="C2267" s="8" t="s">
        <v>10</v>
      </c>
      <c r="D2267" s="9" t="n">
        <v>44449</v>
      </c>
      <c r="E2267" s="9" t="str">
        <f aca="false">TEXT(D2267,"MMM")</f>
        <v>set</v>
      </c>
      <c r="F2267" s="10" t="n">
        <v>-3189.76</v>
      </c>
      <c r="G2267" s="8" t="s">
        <v>34</v>
      </c>
      <c r="H2267" s="8" t="s">
        <v>17</v>
      </c>
      <c r="I2267" s="11" t="s">
        <v>18</v>
      </c>
      <c r="J2267" s="8" t="s">
        <v>14</v>
      </c>
    </row>
    <row r="2268" customFormat="false" ht="14.25" hidden="false" customHeight="false" outlineLevel="0" collapsed="false">
      <c r="A2268" s="8" t="n">
        <v>2267</v>
      </c>
      <c r="B2268" s="8" t="s">
        <v>247</v>
      </c>
      <c r="C2268" s="8" t="s">
        <v>10</v>
      </c>
      <c r="D2268" s="9" t="n">
        <v>44449</v>
      </c>
      <c r="E2268" s="9" t="str">
        <f aca="false">TEXT(D2268,"MMM")</f>
        <v>set</v>
      </c>
      <c r="F2268" s="10" t="n">
        <v>-52366.58</v>
      </c>
      <c r="G2268" s="8" t="s">
        <v>34</v>
      </c>
      <c r="H2268" s="8" t="s">
        <v>17</v>
      </c>
      <c r="I2268" s="11" t="s">
        <v>18</v>
      </c>
      <c r="J2268" s="8" t="s">
        <v>26</v>
      </c>
    </row>
    <row r="2269" customFormat="false" ht="14.25" hidden="false" customHeight="false" outlineLevel="0" collapsed="false">
      <c r="A2269" s="8" t="n">
        <v>2268</v>
      </c>
      <c r="B2269" s="8" t="s">
        <v>85</v>
      </c>
      <c r="C2269" s="8" t="s">
        <v>16</v>
      </c>
      <c r="D2269" s="9" t="n">
        <v>44449</v>
      </c>
      <c r="E2269" s="9" t="str">
        <f aca="false">TEXT(D2269,"MMM")</f>
        <v>set</v>
      </c>
      <c r="F2269" s="10" t="n">
        <v>-47653.24</v>
      </c>
      <c r="G2269" s="8" t="s">
        <v>34</v>
      </c>
      <c r="H2269" s="8" t="s">
        <v>12</v>
      </c>
      <c r="I2269" s="11" t="s">
        <v>13</v>
      </c>
      <c r="J2269" s="8" t="s">
        <v>14</v>
      </c>
    </row>
    <row r="2270" customFormat="false" ht="14.25" hidden="false" customHeight="false" outlineLevel="0" collapsed="false">
      <c r="A2270" s="8" t="n">
        <v>2269</v>
      </c>
      <c r="B2270" s="8" t="s">
        <v>40</v>
      </c>
      <c r="C2270" s="8" t="s">
        <v>10</v>
      </c>
      <c r="D2270" s="9" t="n">
        <v>44449</v>
      </c>
      <c r="E2270" s="9" t="str">
        <f aca="false">TEXT(D2270,"MMM")</f>
        <v>set</v>
      </c>
      <c r="F2270" s="10" t="n">
        <v>7121.83</v>
      </c>
      <c r="G2270" s="8" t="s">
        <v>11</v>
      </c>
      <c r="H2270" s="8" t="s">
        <v>30</v>
      </c>
      <c r="I2270" s="11" t="s">
        <v>31</v>
      </c>
      <c r="J2270" s="8" t="s">
        <v>19</v>
      </c>
    </row>
    <row r="2271" customFormat="false" ht="14.25" hidden="false" customHeight="false" outlineLevel="0" collapsed="false">
      <c r="A2271" s="8" t="n">
        <v>2270</v>
      </c>
      <c r="B2271" s="8" t="s">
        <v>49</v>
      </c>
      <c r="C2271" s="8" t="s">
        <v>16</v>
      </c>
      <c r="D2271" s="9" t="n">
        <v>44449</v>
      </c>
      <c r="E2271" s="9" t="str">
        <f aca="false">TEXT(D2271,"MMM")</f>
        <v>set</v>
      </c>
      <c r="F2271" s="10" t="n">
        <v>7261.48</v>
      </c>
      <c r="G2271" s="8" t="s">
        <v>11</v>
      </c>
      <c r="H2271" s="8" t="s">
        <v>17</v>
      </c>
      <c r="I2271" s="11" t="s">
        <v>18</v>
      </c>
      <c r="J2271" s="8" t="s">
        <v>14</v>
      </c>
    </row>
    <row r="2272" customFormat="false" ht="14.25" hidden="false" customHeight="false" outlineLevel="0" collapsed="false">
      <c r="A2272" s="8" t="n">
        <v>2271</v>
      </c>
      <c r="B2272" s="8" t="s">
        <v>181</v>
      </c>
      <c r="C2272" s="8" t="s">
        <v>28</v>
      </c>
      <c r="D2272" s="9" t="n">
        <v>44450</v>
      </c>
      <c r="E2272" s="9" t="str">
        <f aca="false">TEXT(D2272,"MMM")</f>
        <v>set</v>
      </c>
      <c r="F2272" s="10" t="n">
        <v>7138</v>
      </c>
      <c r="G2272" s="8" t="s">
        <v>11</v>
      </c>
      <c r="H2272" s="8" t="s">
        <v>12</v>
      </c>
      <c r="I2272" s="11" t="s">
        <v>13</v>
      </c>
      <c r="J2272" s="8" t="s">
        <v>14</v>
      </c>
    </row>
    <row r="2273" customFormat="false" ht="14.25" hidden="false" customHeight="false" outlineLevel="0" collapsed="false">
      <c r="A2273" s="8" t="n">
        <v>2272</v>
      </c>
      <c r="B2273" s="8" t="s">
        <v>145</v>
      </c>
      <c r="C2273" s="8" t="s">
        <v>10</v>
      </c>
      <c r="D2273" s="9" t="n">
        <v>44450</v>
      </c>
      <c r="E2273" s="9" t="str">
        <f aca="false">TEXT(D2273,"MMM")</f>
        <v>set</v>
      </c>
      <c r="F2273" s="10" t="n">
        <v>7081.23</v>
      </c>
      <c r="G2273" s="8" t="s">
        <v>11</v>
      </c>
      <c r="H2273" s="8" t="s">
        <v>12</v>
      </c>
      <c r="I2273" s="11" t="s">
        <v>13</v>
      </c>
      <c r="J2273" s="8" t="s">
        <v>26</v>
      </c>
    </row>
    <row r="2274" customFormat="false" ht="14.25" hidden="false" customHeight="false" outlineLevel="0" collapsed="false">
      <c r="A2274" s="8" t="n">
        <v>2273</v>
      </c>
      <c r="B2274" s="8" t="s">
        <v>250</v>
      </c>
      <c r="C2274" s="8" t="s">
        <v>21</v>
      </c>
      <c r="D2274" s="9" t="n">
        <v>44451</v>
      </c>
      <c r="E2274" s="9" t="str">
        <f aca="false">TEXT(D2274,"MMM")</f>
        <v>set</v>
      </c>
      <c r="F2274" s="10" t="n">
        <v>154382.75</v>
      </c>
      <c r="G2274" s="8" t="s">
        <v>11</v>
      </c>
      <c r="H2274" s="8" t="s">
        <v>17</v>
      </c>
      <c r="I2274" s="11" t="s">
        <v>18</v>
      </c>
      <c r="J2274" s="8" t="s">
        <v>26</v>
      </c>
    </row>
    <row r="2275" customFormat="false" ht="14.25" hidden="false" customHeight="false" outlineLevel="0" collapsed="false">
      <c r="A2275" s="8" t="n">
        <v>2274</v>
      </c>
      <c r="B2275" s="8" t="s">
        <v>236</v>
      </c>
      <c r="C2275" s="8" t="s">
        <v>28</v>
      </c>
      <c r="D2275" s="9" t="n">
        <v>44451</v>
      </c>
      <c r="E2275" s="9" t="str">
        <f aca="false">TEXT(D2275,"MMM")</f>
        <v>set</v>
      </c>
      <c r="F2275" s="10" t="n">
        <v>7738.77</v>
      </c>
      <c r="G2275" s="8" t="s">
        <v>11</v>
      </c>
      <c r="H2275" s="8" t="s">
        <v>17</v>
      </c>
      <c r="I2275" s="11" t="s">
        <v>18</v>
      </c>
      <c r="J2275" s="8" t="s">
        <v>26</v>
      </c>
    </row>
    <row r="2276" customFormat="false" ht="14.25" hidden="false" customHeight="false" outlineLevel="0" collapsed="false">
      <c r="A2276" s="8" t="n">
        <v>2275</v>
      </c>
      <c r="B2276" s="8" t="s">
        <v>15</v>
      </c>
      <c r="C2276" s="8" t="s">
        <v>28</v>
      </c>
      <c r="D2276" s="9" t="n">
        <v>44451</v>
      </c>
      <c r="E2276" s="9" t="str">
        <f aca="false">TEXT(D2276,"MMM")</f>
        <v>set</v>
      </c>
      <c r="F2276" s="10" t="n">
        <v>6665.02</v>
      </c>
      <c r="G2276" s="8" t="s">
        <v>11</v>
      </c>
      <c r="H2276" s="8" t="s">
        <v>12</v>
      </c>
      <c r="I2276" s="11" t="s">
        <v>13</v>
      </c>
      <c r="J2276" s="8" t="s">
        <v>26</v>
      </c>
    </row>
    <row r="2277" customFormat="false" ht="14.25" hidden="false" customHeight="false" outlineLevel="0" collapsed="false">
      <c r="A2277" s="8" t="n">
        <v>2276</v>
      </c>
      <c r="B2277" s="8" t="s">
        <v>15</v>
      </c>
      <c r="C2277" s="8" t="s">
        <v>10</v>
      </c>
      <c r="D2277" s="9" t="n">
        <v>44451</v>
      </c>
      <c r="E2277" s="9" t="str">
        <f aca="false">TEXT(D2277,"MMM")</f>
        <v>set</v>
      </c>
      <c r="F2277" s="10" t="n">
        <v>6916.24</v>
      </c>
      <c r="G2277" s="8" t="s">
        <v>11</v>
      </c>
      <c r="H2277" s="8" t="s">
        <v>12</v>
      </c>
      <c r="I2277" s="11" t="s">
        <v>13</v>
      </c>
      <c r="J2277" s="8" t="s">
        <v>26</v>
      </c>
    </row>
    <row r="2278" customFormat="false" ht="14.25" hidden="false" customHeight="false" outlineLevel="0" collapsed="false">
      <c r="A2278" s="8" t="n">
        <v>2277</v>
      </c>
      <c r="B2278" s="8" t="s">
        <v>136</v>
      </c>
      <c r="C2278" s="8" t="s">
        <v>10</v>
      </c>
      <c r="D2278" s="9" t="n">
        <v>44451</v>
      </c>
      <c r="E2278" s="9" t="str">
        <f aca="false">TEXT(D2278,"MMM")</f>
        <v>set</v>
      </c>
      <c r="F2278" s="10" t="n">
        <v>6588.93</v>
      </c>
      <c r="G2278" s="8" t="s">
        <v>11</v>
      </c>
      <c r="H2278" s="8" t="s">
        <v>36</v>
      </c>
      <c r="I2278" s="11" t="s">
        <v>37</v>
      </c>
      <c r="J2278" s="8" t="s">
        <v>26</v>
      </c>
    </row>
    <row r="2279" customFormat="false" ht="14.25" hidden="false" customHeight="false" outlineLevel="0" collapsed="false">
      <c r="A2279" s="8" t="n">
        <v>2278</v>
      </c>
      <c r="B2279" s="8" t="s">
        <v>136</v>
      </c>
      <c r="C2279" s="8" t="s">
        <v>28</v>
      </c>
      <c r="D2279" s="9" t="n">
        <v>44451</v>
      </c>
      <c r="E2279" s="9" t="str">
        <f aca="false">TEXT(D2279,"MMM")</f>
        <v>set</v>
      </c>
      <c r="F2279" s="10" t="n">
        <v>6569.3</v>
      </c>
      <c r="G2279" s="8" t="s">
        <v>11</v>
      </c>
      <c r="H2279" s="8" t="s">
        <v>17</v>
      </c>
      <c r="I2279" s="11" t="s">
        <v>18</v>
      </c>
      <c r="J2279" s="8" t="s">
        <v>14</v>
      </c>
    </row>
    <row r="2280" customFormat="false" ht="14.25" hidden="false" customHeight="false" outlineLevel="0" collapsed="false">
      <c r="A2280" s="8" t="n">
        <v>2279</v>
      </c>
      <c r="B2280" s="8" t="s">
        <v>136</v>
      </c>
      <c r="C2280" s="8" t="s">
        <v>10</v>
      </c>
      <c r="D2280" s="9" t="n">
        <v>44451</v>
      </c>
      <c r="E2280" s="9" t="str">
        <f aca="false">TEXT(D2280,"MMM")</f>
        <v>set</v>
      </c>
      <c r="F2280" s="10" t="n">
        <v>7563.99</v>
      </c>
      <c r="G2280" s="8" t="s">
        <v>11</v>
      </c>
      <c r="H2280" s="8" t="s">
        <v>30</v>
      </c>
      <c r="I2280" s="11" t="s">
        <v>31</v>
      </c>
      <c r="J2280" s="8" t="s">
        <v>14</v>
      </c>
    </row>
    <row r="2281" customFormat="false" ht="14.25" hidden="false" customHeight="false" outlineLevel="0" collapsed="false">
      <c r="A2281" s="8" t="n">
        <v>2280</v>
      </c>
      <c r="B2281" s="8" t="s">
        <v>136</v>
      </c>
      <c r="C2281" s="8" t="s">
        <v>21</v>
      </c>
      <c r="D2281" s="9" t="n">
        <v>44451</v>
      </c>
      <c r="E2281" s="9" t="str">
        <f aca="false">TEXT(D2281,"MMM")</f>
        <v>set</v>
      </c>
      <c r="F2281" s="10" t="n">
        <v>-6720.46</v>
      </c>
      <c r="G2281" s="8" t="s">
        <v>34</v>
      </c>
      <c r="H2281" s="8" t="s">
        <v>17</v>
      </c>
      <c r="I2281" s="11" t="s">
        <v>18</v>
      </c>
      <c r="J2281" s="8" t="s">
        <v>14</v>
      </c>
    </row>
    <row r="2282" customFormat="false" ht="14.25" hidden="false" customHeight="false" outlineLevel="0" collapsed="false">
      <c r="A2282" s="8" t="n">
        <v>2281</v>
      </c>
      <c r="B2282" s="8" t="s">
        <v>136</v>
      </c>
      <c r="C2282" s="8" t="s">
        <v>10</v>
      </c>
      <c r="D2282" s="9" t="n">
        <v>44451</v>
      </c>
      <c r="E2282" s="9" t="str">
        <f aca="false">TEXT(D2282,"MMM")</f>
        <v>set</v>
      </c>
      <c r="F2282" s="10" t="n">
        <v>-7242.62</v>
      </c>
      <c r="G2282" s="8" t="s">
        <v>34</v>
      </c>
      <c r="H2282" s="8" t="s">
        <v>12</v>
      </c>
      <c r="I2282" s="11" t="s">
        <v>13</v>
      </c>
      <c r="J2282" s="8" t="s">
        <v>14</v>
      </c>
    </row>
    <row r="2283" customFormat="false" ht="14.25" hidden="false" customHeight="false" outlineLevel="0" collapsed="false">
      <c r="A2283" s="8" t="n">
        <v>2282</v>
      </c>
      <c r="B2283" s="8" t="s">
        <v>189</v>
      </c>
      <c r="C2283" s="8" t="s">
        <v>10</v>
      </c>
      <c r="D2283" s="9" t="n">
        <v>44452</v>
      </c>
      <c r="E2283" s="9" t="str">
        <f aca="false">TEXT(D2283,"MMM")</f>
        <v>set</v>
      </c>
      <c r="F2283" s="10" t="n">
        <v>-7479.33</v>
      </c>
      <c r="G2283" s="8" t="s">
        <v>34</v>
      </c>
      <c r="H2283" s="8" t="s">
        <v>17</v>
      </c>
      <c r="I2283" s="11" t="s">
        <v>18</v>
      </c>
      <c r="J2283" s="8" t="s">
        <v>14</v>
      </c>
    </row>
    <row r="2284" customFormat="false" ht="14.25" hidden="false" customHeight="false" outlineLevel="0" collapsed="false">
      <c r="A2284" s="8" t="n">
        <v>2283</v>
      </c>
      <c r="B2284" s="8" t="s">
        <v>185</v>
      </c>
      <c r="C2284" s="8" t="s">
        <v>28</v>
      </c>
      <c r="D2284" s="9" t="n">
        <v>44452</v>
      </c>
      <c r="E2284" s="9" t="str">
        <f aca="false">TEXT(D2284,"MMM")</f>
        <v>set</v>
      </c>
      <c r="F2284" s="10" t="n">
        <v>-11393.73</v>
      </c>
      <c r="G2284" s="8" t="s">
        <v>34</v>
      </c>
      <c r="H2284" s="8" t="s">
        <v>12</v>
      </c>
      <c r="I2284" s="11" t="s">
        <v>13</v>
      </c>
      <c r="J2284" s="8" t="s">
        <v>26</v>
      </c>
    </row>
    <row r="2285" customFormat="false" ht="14.25" hidden="false" customHeight="false" outlineLevel="0" collapsed="false">
      <c r="A2285" s="8" t="n">
        <v>2284</v>
      </c>
      <c r="B2285" s="8" t="s">
        <v>188</v>
      </c>
      <c r="C2285" s="8" t="s">
        <v>10</v>
      </c>
      <c r="D2285" s="9" t="n">
        <v>44452</v>
      </c>
      <c r="E2285" s="9" t="str">
        <f aca="false">TEXT(D2285,"MMM")</f>
        <v>set</v>
      </c>
      <c r="F2285" s="10" t="n">
        <v>145627.07</v>
      </c>
      <c r="G2285" s="8" t="s">
        <v>11</v>
      </c>
      <c r="H2285" s="8" t="s">
        <v>17</v>
      </c>
      <c r="I2285" s="11" t="s">
        <v>18</v>
      </c>
      <c r="J2285" s="8" t="s">
        <v>19</v>
      </c>
    </row>
    <row r="2286" customFormat="false" ht="14.25" hidden="false" customHeight="false" outlineLevel="0" collapsed="false">
      <c r="A2286" s="8" t="n">
        <v>2285</v>
      </c>
      <c r="B2286" s="8" t="s">
        <v>251</v>
      </c>
      <c r="C2286" s="8" t="s">
        <v>16</v>
      </c>
      <c r="D2286" s="9" t="n">
        <v>44452</v>
      </c>
      <c r="E2286" s="9" t="str">
        <f aca="false">TEXT(D2286,"MMM")</f>
        <v>set</v>
      </c>
      <c r="F2286" s="10" t="n">
        <v>188667.22</v>
      </c>
      <c r="G2286" s="8" t="s">
        <v>11</v>
      </c>
      <c r="H2286" s="8" t="s">
        <v>12</v>
      </c>
      <c r="I2286" s="11" t="s">
        <v>13</v>
      </c>
      <c r="J2286" s="8" t="s">
        <v>14</v>
      </c>
    </row>
    <row r="2287" customFormat="false" ht="14.25" hidden="false" customHeight="false" outlineLevel="0" collapsed="false">
      <c r="A2287" s="8" t="n">
        <v>2286</v>
      </c>
      <c r="B2287" s="8" t="s">
        <v>208</v>
      </c>
      <c r="C2287" s="8" t="s">
        <v>28</v>
      </c>
      <c r="D2287" s="9" t="n">
        <v>44452</v>
      </c>
      <c r="E2287" s="9" t="str">
        <f aca="false">TEXT(D2287,"MMM")</f>
        <v>set</v>
      </c>
      <c r="F2287" s="10" t="n">
        <v>-10147.34</v>
      </c>
      <c r="G2287" s="8" t="s">
        <v>34</v>
      </c>
      <c r="H2287" s="8" t="s">
        <v>12</v>
      </c>
      <c r="I2287" s="11" t="s">
        <v>13</v>
      </c>
      <c r="J2287" s="8" t="s">
        <v>14</v>
      </c>
    </row>
    <row r="2288" customFormat="false" ht="14.25" hidden="false" customHeight="false" outlineLevel="0" collapsed="false">
      <c r="A2288" s="8" t="n">
        <v>2287</v>
      </c>
      <c r="B2288" s="8" t="s">
        <v>235</v>
      </c>
      <c r="C2288" s="8" t="s">
        <v>10</v>
      </c>
      <c r="D2288" s="9" t="n">
        <v>44452</v>
      </c>
      <c r="E2288" s="9" t="str">
        <f aca="false">TEXT(D2288,"MMM")</f>
        <v>set</v>
      </c>
      <c r="F2288" s="10" t="n">
        <v>-11464.57</v>
      </c>
      <c r="G2288" s="8" t="s">
        <v>34</v>
      </c>
      <c r="H2288" s="8" t="s">
        <v>12</v>
      </c>
      <c r="I2288" s="11" t="s">
        <v>13</v>
      </c>
      <c r="J2288" s="8" t="s">
        <v>14</v>
      </c>
    </row>
    <row r="2289" customFormat="false" ht="14.25" hidden="false" customHeight="false" outlineLevel="0" collapsed="false">
      <c r="A2289" s="8" t="n">
        <v>2288</v>
      </c>
      <c r="B2289" s="8" t="s">
        <v>222</v>
      </c>
      <c r="C2289" s="8" t="s">
        <v>16</v>
      </c>
      <c r="D2289" s="9" t="n">
        <v>44452</v>
      </c>
      <c r="E2289" s="9" t="str">
        <f aca="false">TEXT(D2289,"MMM")</f>
        <v>set</v>
      </c>
      <c r="F2289" s="10" t="n">
        <v>-6599.15</v>
      </c>
      <c r="G2289" s="8" t="s">
        <v>34</v>
      </c>
      <c r="H2289" s="8" t="s">
        <v>12</v>
      </c>
      <c r="I2289" s="11" t="s">
        <v>13</v>
      </c>
      <c r="J2289" s="8" t="s">
        <v>14</v>
      </c>
    </row>
    <row r="2290" customFormat="false" ht="14.25" hidden="false" customHeight="false" outlineLevel="0" collapsed="false">
      <c r="A2290" s="8" t="n">
        <v>2289</v>
      </c>
      <c r="B2290" s="8" t="s">
        <v>222</v>
      </c>
      <c r="C2290" s="8" t="s">
        <v>21</v>
      </c>
      <c r="D2290" s="9" t="n">
        <v>44452</v>
      </c>
      <c r="E2290" s="9" t="str">
        <f aca="false">TEXT(D2290,"MMM")</f>
        <v>set</v>
      </c>
      <c r="F2290" s="10" t="n">
        <v>-3017.35</v>
      </c>
      <c r="G2290" s="8" t="s">
        <v>34</v>
      </c>
      <c r="H2290" s="8" t="s">
        <v>12</v>
      </c>
      <c r="I2290" s="11" t="s">
        <v>13</v>
      </c>
      <c r="J2290" s="8" t="s">
        <v>14</v>
      </c>
    </row>
    <row r="2291" customFormat="false" ht="14.25" hidden="false" customHeight="false" outlineLevel="0" collapsed="false">
      <c r="A2291" s="8" t="n">
        <v>2290</v>
      </c>
      <c r="B2291" s="8" t="s">
        <v>41</v>
      </c>
      <c r="C2291" s="8" t="s">
        <v>21</v>
      </c>
      <c r="D2291" s="9" t="n">
        <v>44452</v>
      </c>
      <c r="E2291" s="9" t="str">
        <f aca="false">TEXT(D2291,"MMM")</f>
        <v>set</v>
      </c>
      <c r="F2291" s="10" t="n">
        <v>125331.6</v>
      </c>
      <c r="G2291" s="8" t="s">
        <v>11</v>
      </c>
      <c r="H2291" s="8" t="s">
        <v>36</v>
      </c>
      <c r="I2291" s="11" t="s">
        <v>37</v>
      </c>
      <c r="J2291" s="8" t="s">
        <v>26</v>
      </c>
    </row>
    <row r="2292" customFormat="false" ht="14.25" hidden="false" customHeight="false" outlineLevel="0" collapsed="false">
      <c r="A2292" s="8" t="n">
        <v>2291</v>
      </c>
      <c r="B2292" s="8" t="s">
        <v>182</v>
      </c>
      <c r="C2292" s="8" t="s">
        <v>21</v>
      </c>
      <c r="D2292" s="9" t="n">
        <v>44452</v>
      </c>
      <c r="E2292" s="9" t="str">
        <f aca="false">TEXT(D2292,"MMM")</f>
        <v>set</v>
      </c>
      <c r="F2292" s="10" t="n">
        <v>15339.38</v>
      </c>
      <c r="G2292" s="8" t="s">
        <v>11</v>
      </c>
      <c r="H2292" s="8" t="s">
        <v>12</v>
      </c>
      <c r="I2292" s="11" t="s">
        <v>13</v>
      </c>
      <c r="J2292" s="8" t="s">
        <v>14</v>
      </c>
    </row>
    <row r="2293" customFormat="false" ht="14.25" hidden="false" customHeight="false" outlineLevel="0" collapsed="false">
      <c r="A2293" s="8" t="n">
        <v>2292</v>
      </c>
      <c r="B2293" s="8" t="s">
        <v>166</v>
      </c>
      <c r="C2293" s="8" t="s">
        <v>10</v>
      </c>
      <c r="D2293" s="9" t="n">
        <v>44452</v>
      </c>
      <c r="E2293" s="9" t="str">
        <f aca="false">TEXT(D2293,"MMM")</f>
        <v>set</v>
      </c>
      <c r="F2293" s="10" t="n">
        <v>20266.5</v>
      </c>
      <c r="G2293" s="8" t="s">
        <v>11</v>
      </c>
      <c r="H2293" s="8" t="s">
        <v>17</v>
      </c>
      <c r="I2293" s="11" t="s">
        <v>18</v>
      </c>
      <c r="J2293" s="8" t="s">
        <v>26</v>
      </c>
    </row>
    <row r="2294" customFormat="false" ht="14.25" hidden="false" customHeight="false" outlineLevel="0" collapsed="false">
      <c r="A2294" s="8" t="n">
        <v>2293</v>
      </c>
      <c r="B2294" s="8" t="s">
        <v>211</v>
      </c>
      <c r="C2294" s="8" t="s">
        <v>16</v>
      </c>
      <c r="D2294" s="9" t="n">
        <v>44452</v>
      </c>
      <c r="E2294" s="9" t="str">
        <f aca="false">TEXT(D2294,"MMM")</f>
        <v>set</v>
      </c>
      <c r="F2294" s="10" t="n">
        <v>180355.32</v>
      </c>
      <c r="G2294" s="8" t="s">
        <v>11</v>
      </c>
      <c r="H2294" s="8" t="s">
        <v>30</v>
      </c>
      <c r="I2294" s="11" t="s">
        <v>31</v>
      </c>
      <c r="J2294" s="8" t="s">
        <v>14</v>
      </c>
    </row>
    <row r="2295" customFormat="false" ht="14.25" hidden="false" customHeight="false" outlineLevel="0" collapsed="false">
      <c r="A2295" s="8" t="n">
        <v>2294</v>
      </c>
      <c r="B2295" s="8" t="s">
        <v>210</v>
      </c>
      <c r="C2295" s="8" t="s">
        <v>16</v>
      </c>
      <c r="D2295" s="9" t="n">
        <v>44453</v>
      </c>
      <c r="E2295" s="9" t="str">
        <f aca="false">TEXT(D2295,"MMM")</f>
        <v>set</v>
      </c>
      <c r="F2295" s="10" t="n">
        <v>17122.84</v>
      </c>
      <c r="G2295" s="8" t="s">
        <v>11</v>
      </c>
      <c r="H2295" s="8" t="s">
        <v>12</v>
      </c>
      <c r="I2295" s="11" t="s">
        <v>13</v>
      </c>
      <c r="J2295" s="8" t="s">
        <v>26</v>
      </c>
    </row>
    <row r="2296" customFormat="false" ht="14.25" hidden="false" customHeight="false" outlineLevel="0" collapsed="false">
      <c r="A2296" s="8" t="n">
        <v>2295</v>
      </c>
      <c r="B2296" s="8" t="s">
        <v>193</v>
      </c>
      <c r="C2296" s="8" t="s">
        <v>28</v>
      </c>
      <c r="D2296" s="9" t="n">
        <v>44453</v>
      </c>
      <c r="E2296" s="9" t="str">
        <f aca="false">TEXT(D2296,"MMM")</f>
        <v>set</v>
      </c>
      <c r="F2296" s="10" t="n">
        <v>20266.5</v>
      </c>
      <c r="G2296" s="8" t="s">
        <v>11</v>
      </c>
      <c r="H2296" s="8" t="s">
        <v>36</v>
      </c>
      <c r="I2296" s="11" t="s">
        <v>37</v>
      </c>
      <c r="J2296" s="8" t="s">
        <v>26</v>
      </c>
    </row>
    <row r="2297" customFormat="false" ht="14.25" hidden="false" customHeight="false" outlineLevel="0" collapsed="false">
      <c r="A2297" s="8" t="n">
        <v>2296</v>
      </c>
      <c r="B2297" s="8" t="s">
        <v>176</v>
      </c>
      <c r="C2297" s="8" t="s">
        <v>21</v>
      </c>
      <c r="D2297" s="9" t="n">
        <v>44453</v>
      </c>
      <c r="E2297" s="9" t="str">
        <f aca="false">TEXT(D2297,"MMM")</f>
        <v>set</v>
      </c>
      <c r="F2297" s="10" t="n">
        <v>20266.5</v>
      </c>
      <c r="G2297" s="8" t="s">
        <v>11</v>
      </c>
      <c r="H2297" s="8" t="s">
        <v>30</v>
      </c>
      <c r="I2297" s="11" t="s">
        <v>31</v>
      </c>
      <c r="J2297" s="8" t="s">
        <v>19</v>
      </c>
    </row>
    <row r="2298" customFormat="false" ht="14.25" hidden="false" customHeight="false" outlineLevel="0" collapsed="false">
      <c r="A2298" s="8" t="n">
        <v>2297</v>
      </c>
      <c r="B2298" s="8" t="s">
        <v>62</v>
      </c>
      <c r="C2298" s="8" t="s">
        <v>10</v>
      </c>
      <c r="D2298" s="9" t="n">
        <v>44453</v>
      </c>
      <c r="E2298" s="9" t="str">
        <f aca="false">TEXT(D2298,"MMM")</f>
        <v>set</v>
      </c>
      <c r="F2298" s="10" t="n">
        <v>16114.67</v>
      </c>
      <c r="G2298" s="8" t="s">
        <v>11</v>
      </c>
      <c r="H2298" s="8" t="s">
        <v>12</v>
      </c>
      <c r="I2298" s="11" t="s">
        <v>13</v>
      </c>
      <c r="J2298" s="8" t="s">
        <v>14</v>
      </c>
    </row>
    <row r="2299" customFormat="false" ht="14.25" hidden="false" customHeight="false" outlineLevel="0" collapsed="false">
      <c r="A2299" s="8" t="n">
        <v>2298</v>
      </c>
      <c r="B2299" s="8" t="s">
        <v>62</v>
      </c>
      <c r="C2299" s="8" t="s">
        <v>28</v>
      </c>
      <c r="D2299" s="9" t="n">
        <v>44453</v>
      </c>
      <c r="E2299" s="9" t="str">
        <f aca="false">TEXT(D2299,"MMM")</f>
        <v>set</v>
      </c>
      <c r="F2299" s="10" t="n">
        <v>-13481.83</v>
      </c>
      <c r="G2299" s="8" t="s">
        <v>34</v>
      </c>
      <c r="H2299" s="8" t="s">
        <v>30</v>
      </c>
      <c r="I2299" s="11" t="s">
        <v>31</v>
      </c>
      <c r="J2299" s="8" t="s">
        <v>14</v>
      </c>
    </row>
    <row r="2300" customFormat="false" ht="14.25" hidden="false" customHeight="false" outlineLevel="0" collapsed="false">
      <c r="A2300" s="8" t="n">
        <v>2299</v>
      </c>
      <c r="B2300" s="8" t="s">
        <v>62</v>
      </c>
      <c r="C2300" s="8" t="s">
        <v>21</v>
      </c>
      <c r="D2300" s="9" t="n">
        <v>44453</v>
      </c>
      <c r="E2300" s="9" t="str">
        <f aca="false">TEXT(D2300,"MMM")</f>
        <v>set</v>
      </c>
      <c r="F2300" s="10" t="n">
        <v>-3300.68</v>
      </c>
      <c r="G2300" s="8" t="s">
        <v>34</v>
      </c>
      <c r="H2300" s="8" t="s">
        <v>17</v>
      </c>
      <c r="I2300" s="11" t="s">
        <v>18</v>
      </c>
      <c r="J2300" s="8" t="s">
        <v>14</v>
      </c>
    </row>
    <row r="2301" customFormat="false" ht="14.25" hidden="false" customHeight="false" outlineLevel="0" collapsed="false">
      <c r="A2301" s="8" t="n">
        <v>2300</v>
      </c>
      <c r="B2301" s="8" t="s">
        <v>39</v>
      </c>
      <c r="C2301" s="8" t="s">
        <v>21</v>
      </c>
      <c r="D2301" s="9" t="n">
        <v>44453</v>
      </c>
      <c r="E2301" s="9" t="str">
        <f aca="false">TEXT(D2301,"MMM")</f>
        <v>set</v>
      </c>
      <c r="F2301" s="10" t="n">
        <v>-10194.77</v>
      </c>
      <c r="G2301" s="8" t="s">
        <v>34</v>
      </c>
      <c r="H2301" s="8" t="s">
        <v>12</v>
      </c>
      <c r="I2301" s="11" t="s">
        <v>13</v>
      </c>
      <c r="J2301" s="8" t="s">
        <v>14</v>
      </c>
    </row>
    <row r="2302" customFormat="false" ht="14.25" hidden="false" customHeight="false" outlineLevel="0" collapsed="false">
      <c r="A2302" s="8" t="n">
        <v>2301</v>
      </c>
      <c r="B2302" s="8" t="s">
        <v>62</v>
      </c>
      <c r="C2302" s="8" t="s">
        <v>28</v>
      </c>
      <c r="D2302" s="9" t="n">
        <v>44453</v>
      </c>
      <c r="E2302" s="9" t="str">
        <f aca="false">TEXT(D2302,"MMM")</f>
        <v>set</v>
      </c>
      <c r="F2302" s="10" t="n">
        <v>10659.44</v>
      </c>
      <c r="G2302" s="8" t="s">
        <v>11</v>
      </c>
      <c r="H2302" s="8" t="s">
        <v>12</v>
      </c>
      <c r="I2302" s="11" t="s">
        <v>13</v>
      </c>
      <c r="J2302" s="8" t="s">
        <v>14</v>
      </c>
    </row>
    <row r="2303" customFormat="false" ht="14.25" hidden="false" customHeight="false" outlineLevel="0" collapsed="false">
      <c r="A2303" s="8" t="n">
        <v>2302</v>
      </c>
      <c r="B2303" s="8" t="s">
        <v>62</v>
      </c>
      <c r="C2303" s="8" t="s">
        <v>16</v>
      </c>
      <c r="D2303" s="9" t="n">
        <v>44453</v>
      </c>
      <c r="E2303" s="9" t="str">
        <f aca="false">TEXT(D2303,"MMM")</f>
        <v>set</v>
      </c>
      <c r="F2303" s="10" t="n">
        <v>1034.03</v>
      </c>
      <c r="G2303" s="8" t="s">
        <v>11</v>
      </c>
      <c r="H2303" s="8" t="s">
        <v>12</v>
      </c>
      <c r="I2303" s="11" t="s">
        <v>13</v>
      </c>
      <c r="J2303" s="8" t="s">
        <v>26</v>
      </c>
    </row>
    <row r="2304" customFormat="false" ht="14.25" hidden="false" customHeight="false" outlineLevel="0" collapsed="false">
      <c r="A2304" s="8" t="n">
        <v>2303</v>
      </c>
      <c r="B2304" s="8" t="s">
        <v>252</v>
      </c>
      <c r="C2304" s="8" t="s">
        <v>10</v>
      </c>
      <c r="D2304" s="9" t="n">
        <v>44456</v>
      </c>
      <c r="E2304" s="9" t="str">
        <f aca="false">TEXT(D2304,"MMM")</f>
        <v>set</v>
      </c>
      <c r="F2304" s="10" t="n">
        <v>1165.46</v>
      </c>
      <c r="G2304" s="8" t="s">
        <v>11</v>
      </c>
      <c r="H2304" s="8" t="s">
        <v>17</v>
      </c>
      <c r="I2304" s="11" t="s">
        <v>18</v>
      </c>
      <c r="J2304" s="8" t="s">
        <v>19</v>
      </c>
    </row>
    <row r="2305" customFormat="false" ht="14.25" hidden="false" customHeight="false" outlineLevel="0" collapsed="false">
      <c r="A2305" s="8" t="n">
        <v>2304</v>
      </c>
      <c r="B2305" s="8" t="s">
        <v>253</v>
      </c>
      <c r="C2305" s="8" t="s">
        <v>28</v>
      </c>
      <c r="D2305" s="9" t="n">
        <v>44456</v>
      </c>
      <c r="E2305" s="9" t="str">
        <f aca="false">TEXT(D2305,"MMM")</f>
        <v>set</v>
      </c>
      <c r="F2305" s="10" t="n">
        <v>9554.34</v>
      </c>
      <c r="G2305" s="8" t="s">
        <v>11</v>
      </c>
      <c r="H2305" s="8" t="s">
        <v>12</v>
      </c>
      <c r="I2305" s="11" t="s">
        <v>13</v>
      </c>
      <c r="J2305" s="8" t="s">
        <v>14</v>
      </c>
    </row>
    <row r="2306" customFormat="false" ht="14.25" hidden="false" customHeight="false" outlineLevel="0" collapsed="false">
      <c r="A2306" s="8" t="n">
        <v>2305</v>
      </c>
      <c r="B2306" s="8" t="s">
        <v>254</v>
      </c>
      <c r="C2306" s="8" t="s">
        <v>10</v>
      </c>
      <c r="D2306" s="9" t="n">
        <v>44456</v>
      </c>
      <c r="E2306" s="9" t="str">
        <f aca="false">TEXT(D2306,"MMM")</f>
        <v>set</v>
      </c>
      <c r="F2306" s="10" t="n">
        <v>21777.41</v>
      </c>
      <c r="G2306" s="8" t="s">
        <v>11</v>
      </c>
      <c r="H2306" s="8" t="s">
        <v>17</v>
      </c>
      <c r="I2306" s="11" t="s">
        <v>18</v>
      </c>
      <c r="J2306" s="8" t="s">
        <v>26</v>
      </c>
    </row>
    <row r="2307" customFormat="false" ht="14.25" hidden="false" customHeight="false" outlineLevel="0" collapsed="false">
      <c r="A2307" s="8" t="n">
        <v>2306</v>
      </c>
      <c r="B2307" s="8" t="s">
        <v>255</v>
      </c>
      <c r="C2307" s="8" t="s">
        <v>21</v>
      </c>
      <c r="D2307" s="9" t="n">
        <v>44456</v>
      </c>
      <c r="E2307" s="9" t="str">
        <f aca="false">TEXT(D2307,"MMM")</f>
        <v>set</v>
      </c>
      <c r="F2307" s="10" t="n">
        <v>1141.37</v>
      </c>
      <c r="G2307" s="8" t="s">
        <v>11</v>
      </c>
      <c r="H2307" s="8" t="s">
        <v>17</v>
      </c>
      <c r="I2307" s="11" t="s">
        <v>18</v>
      </c>
      <c r="J2307" s="8" t="s">
        <v>19</v>
      </c>
    </row>
    <row r="2308" customFormat="false" ht="14.25" hidden="false" customHeight="false" outlineLevel="0" collapsed="false">
      <c r="A2308" s="8" t="n">
        <v>2307</v>
      </c>
      <c r="B2308" s="8" t="s">
        <v>256</v>
      </c>
      <c r="C2308" s="8" t="s">
        <v>21</v>
      </c>
      <c r="D2308" s="9" t="n">
        <v>44456</v>
      </c>
      <c r="E2308" s="9" t="str">
        <f aca="false">TEXT(D2308,"MMM")</f>
        <v>set</v>
      </c>
      <c r="F2308" s="10" t="n">
        <v>8992.32</v>
      </c>
      <c r="G2308" s="8" t="s">
        <v>11</v>
      </c>
      <c r="H2308" s="8" t="s">
        <v>22</v>
      </c>
      <c r="I2308" s="11" t="s">
        <v>23</v>
      </c>
      <c r="J2308" s="8" t="s">
        <v>26</v>
      </c>
    </row>
    <row r="2309" customFormat="false" ht="14.25" hidden="false" customHeight="false" outlineLevel="0" collapsed="false">
      <c r="A2309" s="8" t="n">
        <v>2308</v>
      </c>
      <c r="B2309" s="8" t="s">
        <v>105</v>
      </c>
      <c r="C2309" s="8" t="s">
        <v>16</v>
      </c>
      <c r="D2309" s="9" t="n">
        <v>44456</v>
      </c>
      <c r="E2309" s="9" t="str">
        <f aca="false">TEXT(D2309,"MMM")</f>
        <v>set</v>
      </c>
      <c r="F2309" s="10" t="n">
        <v>21777.41</v>
      </c>
      <c r="G2309" s="8" t="s">
        <v>11</v>
      </c>
      <c r="H2309" s="8" t="s">
        <v>30</v>
      </c>
      <c r="I2309" s="11" t="s">
        <v>31</v>
      </c>
      <c r="J2309" s="8" t="s">
        <v>26</v>
      </c>
    </row>
    <row r="2310" customFormat="false" ht="14.25" hidden="false" customHeight="false" outlineLevel="0" collapsed="false">
      <c r="A2310" s="8" t="n">
        <v>2309</v>
      </c>
      <c r="B2310" s="8" t="s">
        <v>257</v>
      </c>
      <c r="C2310" s="8" t="s">
        <v>10</v>
      </c>
      <c r="D2310" s="9" t="n">
        <v>44456</v>
      </c>
      <c r="E2310" s="9" t="str">
        <f aca="false">TEXT(D2310,"MMM")</f>
        <v>set</v>
      </c>
      <c r="F2310" s="10" t="n">
        <v>1152.45</v>
      </c>
      <c r="G2310" s="8" t="s">
        <v>11</v>
      </c>
      <c r="H2310" s="8" t="s">
        <v>12</v>
      </c>
      <c r="I2310" s="11" t="s">
        <v>13</v>
      </c>
      <c r="J2310" s="8" t="s">
        <v>24</v>
      </c>
    </row>
    <row r="2311" customFormat="false" ht="14.25" hidden="false" customHeight="false" outlineLevel="0" collapsed="false">
      <c r="A2311" s="8" t="n">
        <v>2310</v>
      </c>
      <c r="B2311" s="8" t="s">
        <v>258</v>
      </c>
      <c r="C2311" s="8" t="s">
        <v>21</v>
      </c>
      <c r="D2311" s="9" t="n">
        <v>44456</v>
      </c>
      <c r="E2311" s="9" t="str">
        <f aca="false">TEXT(D2311,"MMM")</f>
        <v>set</v>
      </c>
      <c r="F2311" s="10" t="n">
        <v>21777.41</v>
      </c>
      <c r="G2311" s="8" t="s">
        <v>11</v>
      </c>
      <c r="H2311" s="8" t="s">
        <v>17</v>
      </c>
      <c r="I2311" s="11" t="s">
        <v>18</v>
      </c>
      <c r="J2311" s="8" t="s">
        <v>24</v>
      </c>
    </row>
    <row r="2312" customFormat="false" ht="14.25" hidden="false" customHeight="false" outlineLevel="0" collapsed="false">
      <c r="A2312" s="8" t="n">
        <v>2311</v>
      </c>
      <c r="B2312" s="8" t="s">
        <v>259</v>
      </c>
      <c r="C2312" s="8" t="s">
        <v>21</v>
      </c>
      <c r="D2312" s="9" t="n">
        <v>44456</v>
      </c>
      <c r="E2312" s="9" t="str">
        <f aca="false">TEXT(D2312,"MMM")</f>
        <v>set</v>
      </c>
      <c r="F2312" s="10" t="n">
        <v>1142.71</v>
      </c>
      <c r="G2312" s="8" t="s">
        <v>11</v>
      </c>
      <c r="H2312" s="8" t="s">
        <v>12</v>
      </c>
      <c r="I2312" s="11" t="s">
        <v>13</v>
      </c>
      <c r="J2312" s="8" t="s">
        <v>14</v>
      </c>
    </row>
    <row r="2313" customFormat="false" ht="14.25" hidden="false" customHeight="false" outlineLevel="0" collapsed="false">
      <c r="A2313" s="8" t="n">
        <v>2312</v>
      </c>
      <c r="B2313" s="8" t="s">
        <v>260</v>
      </c>
      <c r="C2313" s="8" t="s">
        <v>21</v>
      </c>
      <c r="D2313" s="9" t="n">
        <v>44456</v>
      </c>
      <c r="E2313" s="9" t="str">
        <f aca="false">TEXT(D2313,"MMM")</f>
        <v>set</v>
      </c>
      <c r="F2313" s="10" t="n">
        <v>9847.06</v>
      </c>
      <c r="G2313" s="8" t="s">
        <v>11</v>
      </c>
      <c r="H2313" s="8" t="s">
        <v>12</v>
      </c>
      <c r="I2313" s="11" t="s">
        <v>13</v>
      </c>
      <c r="J2313" s="8" t="s">
        <v>14</v>
      </c>
    </row>
    <row r="2314" customFormat="false" ht="14.25" hidden="false" customHeight="false" outlineLevel="0" collapsed="false">
      <c r="A2314" s="8" t="n">
        <v>2313</v>
      </c>
      <c r="B2314" s="8" t="s">
        <v>261</v>
      </c>
      <c r="C2314" s="8" t="s">
        <v>10</v>
      </c>
      <c r="D2314" s="9" t="n">
        <v>44456</v>
      </c>
      <c r="E2314" s="9" t="str">
        <f aca="false">TEXT(D2314,"MMM")</f>
        <v>set</v>
      </c>
      <c r="F2314" s="10" t="n">
        <v>10354.89</v>
      </c>
      <c r="G2314" s="8" t="s">
        <v>11</v>
      </c>
      <c r="H2314" s="8" t="s">
        <v>12</v>
      </c>
      <c r="I2314" s="11" t="s">
        <v>13</v>
      </c>
      <c r="J2314" s="8" t="s">
        <v>14</v>
      </c>
    </row>
    <row r="2315" customFormat="false" ht="14.25" hidden="false" customHeight="false" outlineLevel="0" collapsed="false">
      <c r="A2315" s="8" t="n">
        <v>2314</v>
      </c>
      <c r="B2315" s="8" t="s">
        <v>262</v>
      </c>
      <c r="C2315" s="8" t="s">
        <v>10</v>
      </c>
      <c r="D2315" s="9" t="n">
        <v>44456</v>
      </c>
      <c r="E2315" s="9" t="str">
        <f aca="false">TEXT(D2315,"MMM")</f>
        <v>set</v>
      </c>
      <c r="F2315" s="10" t="n">
        <v>-18300.38</v>
      </c>
      <c r="G2315" s="8" t="s">
        <v>34</v>
      </c>
      <c r="H2315" s="8" t="s">
        <v>12</v>
      </c>
      <c r="I2315" s="11" t="s">
        <v>13</v>
      </c>
      <c r="J2315" s="8" t="s">
        <v>19</v>
      </c>
    </row>
    <row r="2316" customFormat="false" ht="14.25" hidden="false" customHeight="false" outlineLevel="0" collapsed="false">
      <c r="A2316" s="8" t="n">
        <v>2315</v>
      </c>
      <c r="B2316" s="8" t="s">
        <v>263</v>
      </c>
      <c r="C2316" s="8" t="s">
        <v>21</v>
      </c>
      <c r="D2316" s="9" t="n">
        <v>44456</v>
      </c>
      <c r="E2316" s="9" t="str">
        <f aca="false">TEXT(D2316,"MMM")</f>
        <v>set</v>
      </c>
      <c r="F2316" s="10" t="n">
        <v>178214.4</v>
      </c>
      <c r="G2316" s="8" t="s">
        <v>11</v>
      </c>
      <c r="H2316" s="8" t="s">
        <v>12</v>
      </c>
      <c r="I2316" s="11" t="s">
        <v>13</v>
      </c>
      <c r="J2316" s="8" t="s">
        <v>19</v>
      </c>
    </row>
    <row r="2317" customFormat="false" ht="14.25" hidden="false" customHeight="false" outlineLevel="0" collapsed="false">
      <c r="A2317" s="8" t="n">
        <v>2316</v>
      </c>
      <c r="B2317" s="8" t="s">
        <v>264</v>
      </c>
      <c r="C2317" s="8" t="s">
        <v>10</v>
      </c>
      <c r="D2317" s="9" t="n">
        <v>44456</v>
      </c>
      <c r="E2317" s="9" t="str">
        <f aca="false">TEXT(D2317,"MMM")</f>
        <v>set</v>
      </c>
      <c r="F2317" s="10" t="n">
        <v>10388.56</v>
      </c>
      <c r="G2317" s="8" t="s">
        <v>11</v>
      </c>
      <c r="H2317" s="8" t="s">
        <v>22</v>
      </c>
      <c r="I2317" s="11" t="s">
        <v>23</v>
      </c>
      <c r="J2317" s="8" t="s">
        <v>26</v>
      </c>
    </row>
    <row r="2318" customFormat="false" ht="14.25" hidden="false" customHeight="false" outlineLevel="0" collapsed="false">
      <c r="A2318" s="8" t="n">
        <v>2317</v>
      </c>
      <c r="B2318" s="8" t="s">
        <v>265</v>
      </c>
      <c r="C2318" s="8" t="s">
        <v>21</v>
      </c>
      <c r="D2318" s="9" t="n">
        <v>44456</v>
      </c>
      <c r="E2318" s="9" t="str">
        <f aca="false">TEXT(D2318,"MMM")</f>
        <v>set</v>
      </c>
      <c r="F2318" s="10" t="n">
        <v>10494.56</v>
      </c>
      <c r="G2318" s="8" t="s">
        <v>11</v>
      </c>
      <c r="H2318" s="8" t="s">
        <v>12</v>
      </c>
      <c r="I2318" s="11" t="s">
        <v>13</v>
      </c>
      <c r="J2318" s="8" t="s">
        <v>26</v>
      </c>
    </row>
    <row r="2319" customFormat="false" ht="14.25" hidden="false" customHeight="false" outlineLevel="0" collapsed="false">
      <c r="A2319" s="8" t="n">
        <v>2318</v>
      </c>
      <c r="B2319" s="8" t="s">
        <v>164</v>
      </c>
      <c r="C2319" s="8" t="s">
        <v>21</v>
      </c>
      <c r="D2319" s="9" t="n">
        <v>44456</v>
      </c>
      <c r="E2319" s="9" t="str">
        <f aca="false">TEXT(D2319,"MMM")</f>
        <v>set</v>
      </c>
      <c r="F2319" s="10" t="n">
        <v>11500.12</v>
      </c>
      <c r="G2319" s="8" t="s">
        <v>11</v>
      </c>
      <c r="H2319" s="8" t="s">
        <v>12</v>
      </c>
      <c r="I2319" s="11" t="s">
        <v>13</v>
      </c>
      <c r="J2319" s="8" t="s">
        <v>14</v>
      </c>
    </row>
    <row r="2320" customFormat="false" ht="14.25" hidden="false" customHeight="false" outlineLevel="0" collapsed="false">
      <c r="A2320" s="8" t="n">
        <v>2319</v>
      </c>
      <c r="B2320" s="8" t="s">
        <v>159</v>
      </c>
      <c r="C2320" s="8" t="s">
        <v>10</v>
      </c>
      <c r="D2320" s="9" t="n">
        <v>44456</v>
      </c>
      <c r="E2320" s="9" t="str">
        <f aca="false">TEXT(D2320,"MMM")</f>
        <v>set</v>
      </c>
      <c r="F2320" s="10" t="n">
        <v>11033.52</v>
      </c>
      <c r="G2320" s="8" t="s">
        <v>11</v>
      </c>
      <c r="H2320" s="8" t="s">
        <v>12</v>
      </c>
      <c r="I2320" s="11" t="s">
        <v>13</v>
      </c>
      <c r="J2320" s="8" t="s">
        <v>14</v>
      </c>
    </row>
    <row r="2321" customFormat="false" ht="14.25" hidden="false" customHeight="false" outlineLevel="0" collapsed="false">
      <c r="A2321" s="8" t="n">
        <v>2320</v>
      </c>
      <c r="B2321" s="8" t="s">
        <v>144</v>
      </c>
      <c r="C2321" s="8" t="s">
        <v>10</v>
      </c>
      <c r="D2321" s="9" t="n">
        <v>44456</v>
      </c>
      <c r="E2321" s="9" t="str">
        <f aca="false">TEXT(D2321,"MMM")</f>
        <v>set</v>
      </c>
      <c r="F2321" s="10" t="n">
        <v>114177.68</v>
      </c>
      <c r="G2321" s="8" t="s">
        <v>11</v>
      </c>
      <c r="H2321" s="8" t="s">
        <v>17</v>
      </c>
      <c r="I2321" s="11" t="s">
        <v>18</v>
      </c>
      <c r="J2321" s="8" t="s">
        <v>24</v>
      </c>
    </row>
    <row r="2322" customFormat="false" ht="14.25" hidden="false" customHeight="false" outlineLevel="0" collapsed="false">
      <c r="A2322" s="8" t="n">
        <v>2321</v>
      </c>
      <c r="B2322" s="8" t="s">
        <v>189</v>
      </c>
      <c r="C2322" s="8" t="s">
        <v>21</v>
      </c>
      <c r="D2322" s="9" t="n">
        <v>44457</v>
      </c>
      <c r="E2322" s="9" t="str">
        <f aca="false">TEXT(D2322,"MMM")</f>
        <v>set</v>
      </c>
      <c r="F2322" s="10" t="n">
        <v>11365.56</v>
      </c>
      <c r="G2322" s="8" t="s">
        <v>11</v>
      </c>
      <c r="H2322" s="8" t="s">
        <v>12</v>
      </c>
      <c r="I2322" s="11" t="s">
        <v>13</v>
      </c>
      <c r="J2322" s="8" t="s">
        <v>14</v>
      </c>
    </row>
    <row r="2323" customFormat="false" ht="14.25" hidden="false" customHeight="false" outlineLevel="0" collapsed="false">
      <c r="A2323" s="8" t="n">
        <v>2322</v>
      </c>
      <c r="B2323" s="8" t="s">
        <v>77</v>
      </c>
      <c r="C2323" s="8" t="s">
        <v>28</v>
      </c>
      <c r="D2323" s="9" t="n">
        <v>44457</v>
      </c>
      <c r="E2323" s="9" t="str">
        <f aca="false">TEXT(D2323,"MMM")</f>
        <v>set</v>
      </c>
      <c r="F2323" s="10" t="n">
        <v>12086.88</v>
      </c>
      <c r="G2323" s="8" t="s">
        <v>11</v>
      </c>
      <c r="H2323" s="8" t="s">
        <v>12</v>
      </c>
      <c r="I2323" s="11" t="s">
        <v>13</v>
      </c>
      <c r="J2323" s="8" t="s">
        <v>19</v>
      </c>
    </row>
    <row r="2324" customFormat="false" ht="14.25" hidden="false" customHeight="false" outlineLevel="0" collapsed="false">
      <c r="A2324" s="8" t="n">
        <v>2323</v>
      </c>
      <c r="B2324" s="8" t="s">
        <v>64</v>
      </c>
      <c r="C2324" s="8" t="s">
        <v>21</v>
      </c>
      <c r="D2324" s="9" t="n">
        <v>44457</v>
      </c>
      <c r="E2324" s="9" t="str">
        <f aca="false">TEXT(D2324,"MMM")</f>
        <v>set</v>
      </c>
      <c r="F2324" s="10" t="n">
        <v>-166.01</v>
      </c>
      <c r="G2324" s="8" t="s">
        <v>34</v>
      </c>
      <c r="H2324" s="8" t="s">
        <v>17</v>
      </c>
      <c r="I2324" s="11" t="s">
        <v>18</v>
      </c>
      <c r="J2324" s="8" t="s">
        <v>19</v>
      </c>
    </row>
    <row r="2325" customFormat="false" ht="14.25" hidden="false" customHeight="false" outlineLevel="0" collapsed="false">
      <c r="A2325" s="8" t="n">
        <v>2324</v>
      </c>
      <c r="B2325" s="8" t="s">
        <v>266</v>
      </c>
      <c r="C2325" s="8" t="s">
        <v>21</v>
      </c>
      <c r="D2325" s="9" t="n">
        <v>44459</v>
      </c>
      <c r="E2325" s="9" t="str">
        <f aca="false">TEXT(D2325,"MMM")</f>
        <v>set</v>
      </c>
      <c r="F2325" s="10" t="n">
        <v>-6927.2</v>
      </c>
      <c r="G2325" s="8" t="s">
        <v>34</v>
      </c>
      <c r="H2325" s="8" t="s">
        <v>17</v>
      </c>
      <c r="I2325" s="11" t="s">
        <v>18</v>
      </c>
      <c r="J2325" s="8" t="s">
        <v>26</v>
      </c>
    </row>
    <row r="2326" customFormat="false" ht="14.25" hidden="false" customHeight="false" outlineLevel="0" collapsed="false">
      <c r="A2326" s="8" t="n">
        <v>2325</v>
      </c>
      <c r="B2326" s="8" t="s">
        <v>267</v>
      </c>
      <c r="C2326" s="8" t="s">
        <v>10</v>
      </c>
      <c r="D2326" s="9" t="n">
        <v>44459</v>
      </c>
      <c r="E2326" s="9" t="str">
        <f aca="false">TEXT(D2326,"MMM")</f>
        <v>set</v>
      </c>
      <c r="F2326" s="10" t="n">
        <v>-6715.17</v>
      </c>
      <c r="G2326" s="8" t="s">
        <v>34</v>
      </c>
      <c r="H2326" s="8" t="s">
        <v>30</v>
      </c>
      <c r="I2326" s="11" t="s">
        <v>31</v>
      </c>
      <c r="J2326" s="8" t="s">
        <v>26</v>
      </c>
    </row>
    <row r="2327" customFormat="false" ht="14.25" hidden="false" customHeight="false" outlineLevel="0" collapsed="false">
      <c r="A2327" s="8" t="n">
        <v>2326</v>
      </c>
      <c r="B2327" s="8" t="s">
        <v>15</v>
      </c>
      <c r="C2327" s="8" t="s">
        <v>16</v>
      </c>
      <c r="D2327" s="9" t="n">
        <v>44459</v>
      </c>
      <c r="E2327" s="9" t="str">
        <f aca="false">TEXT(D2327,"MMM")</f>
        <v>set</v>
      </c>
      <c r="F2327" s="10" t="n">
        <v>-700.18</v>
      </c>
      <c r="G2327" s="8" t="s">
        <v>34</v>
      </c>
      <c r="H2327" s="8" t="s">
        <v>12</v>
      </c>
      <c r="I2327" s="11" t="s">
        <v>13</v>
      </c>
      <c r="J2327" s="8" t="s">
        <v>14</v>
      </c>
    </row>
    <row r="2328" customFormat="false" ht="14.25" hidden="false" customHeight="false" outlineLevel="0" collapsed="false">
      <c r="A2328" s="8" t="n">
        <v>2327</v>
      </c>
      <c r="B2328" s="8" t="s">
        <v>183</v>
      </c>
      <c r="C2328" s="8" t="s">
        <v>16</v>
      </c>
      <c r="D2328" s="9" t="n">
        <v>44460</v>
      </c>
      <c r="E2328" s="9" t="str">
        <f aca="false">TEXT(D2328,"MMM")</f>
        <v>set</v>
      </c>
      <c r="F2328" s="10" t="n">
        <v>-2131.01</v>
      </c>
      <c r="G2328" s="8" t="s">
        <v>34</v>
      </c>
      <c r="H2328" s="8" t="s">
        <v>12</v>
      </c>
      <c r="I2328" s="11" t="s">
        <v>13</v>
      </c>
      <c r="J2328" s="8" t="s">
        <v>14</v>
      </c>
    </row>
    <row r="2329" customFormat="false" ht="14.25" hidden="false" customHeight="false" outlineLevel="0" collapsed="false">
      <c r="A2329" s="8" t="n">
        <v>2328</v>
      </c>
      <c r="B2329" s="8" t="s">
        <v>140</v>
      </c>
      <c r="C2329" s="8" t="s">
        <v>28</v>
      </c>
      <c r="D2329" s="9" t="n">
        <v>44460</v>
      </c>
      <c r="E2329" s="9" t="str">
        <f aca="false">TEXT(D2329,"MMM")</f>
        <v>set</v>
      </c>
      <c r="F2329" s="10" t="n">
        <v>-591.85</v>
      </c>
      <c r="G2329" s="8" t="s">
        <v>34</v>
      </c>
      <c r="H2329" s="8" t="s">
        <v>12</v>
      </c>
      <c r="I2329" s="11" t="s">
        <v>13</v>
      </c>
      <c r="J2329" s="8" t="s">
        <v>14</v>
      </c>
    </row>
    <row r="2330" customFormat="false" ht="14.25" hidden="false" customHeight="false" outlineLevel="0" collapsed="false">
      <c r="A2330" s="8" t="n">
        <v>2329</v>
      </c>
      <c r="B2330" s="8" t="s">
        <v>268</v>
      </c>
      <c r="C2330" s="8" t="s">
        <v>21</v>
      </c>
      <c r="D2330" s="9" t="n">
        <v>44460</v>
      </c>
      <c r="E2330" s="9" t="str">
        <f aca="false">TEXT(D2330,"MMM")</f>
        <v>set</v>
      </c>
      <c r="F2330" s="10" t="n">
        <v>-138.71</v>
      </c>
      <c r="G2330" s="8" t="s">
        <v>34</v>
      </c>
      <c r="H2330" s="8" t="s">
        <v>22</v>
      </c>
      <c r="I2330" s="11" t="s">
        <v>23</v>
      </c>
      <c r="J2330" s="8" t="s">
        <v>14</v>
      </c>
    </row>
    <row r="2331" customFormat="false" ht="14.25" hidden="false" customHeight="false" outlineLevel="0" collapsed="false">
      <c r="A2331" s="8" t="n">
        <v>2330</v>
      </c>
      <c r="B2331" s="8" t="s">
        <v>135</v>
      </c>
      <c r="C2331" s="8" t="s">
        <v>10</v>
      </c>
      <c r="D2331" s="9" t="n">
        <v>44460</v>
      </c>
      <c r="E2331" s="9" t="str">
        <f aca="false">TEXT(D2331,"MMM")</f>
        <v>set</v>
      </c>
      <c r="F2331" s="10" t="n">
        <v>131764.21</v>
      </c>
      <c r="G2331" s="8" t="s">
        <v>11</v>
      </c>
      <c r="H2331" s="8" t="s">
        <v>36</v>
      </c>
      <c r="I2331" s="11" t="s">
        <v>37</v>
      </c>
      <c r="J2331" s="8" t="s">
        <v>14</v>
      </c>
    </row>
    <row r="2332" customFormat="false" ht="14.25" hidden="false" customHeight="false" outlineLevel="0" collapsed="false">
      <c r="A2332" s="8" t="n">
        <v>2331</v>
      </c>
      <c r="B2332" s="8" t="s">
        <v>227</v>
      </c>
      <c r="C2332" s="8" t="s">
        <v>28</v>
      </c>
      <c r="D2332" s="9" t="n">
        <v>44463</v>
      </c>
      <c r="E2332" s="9" t="str">
        <f aca="false">TEXT(D2332,"MMM")</f>
        <v>set</v>
      </c>
      <c r="F2332" s="10" t="n">
        <v>64939.68</v>
      </c>
      <c r="G2332" s="8" t="s">
        <v>11</v>
      </c>
      <c r="H2332" s="8" t="s">
        <v>12</v>
      </c>
      <c r="I2332" s="11" t="s">
        <v>13</v>
      </c>
      <c r="J2332" s="8" t="s">
        <v>14</v>
      </c>
    </row>
    <row r="2333" customFormat="false" ht="14.25" hidden="false" customHeight="false" outlineLevel="0" collapsed="false">
      <c r="A2333" s="8" t="n">
        <v>2332</v>
      </c>
      <c r="B2333" s="8" t="s">
        <v>228</v>
      </c>
      <c r="C2333" s="8" t="s">
        <v>10</v>
      </c>
      <c r="D2333" s="9" t="n">
        <v>44463</v>
      </c>
      <c r="E2333" s="9" t="str">
        <f aca="false">TEXT(D2333,"MMM")</f>
        <v>set</v>
      </c>
      <c r="F2333" s="10" t="n">
        <v>144053.22</v>
      </c>
      <c r="G2333" s="8" t="s">
        <v>11</v>
      </c>
      <c r="H2333" s="8" t="s">
        <v>30</v>
      </c>
      <c r="I2333" s="11" t="s">
        <v>31</v>
      </c>
      <c r="J2333" s="8" t="s">
        <v>14</v>
      </c>
    </row>
    <row r="2334" customFormat="false" ht="14.25" hidden="false" customHeight="false" outlineLevel="0" collapsed="false">
      <c r="A2334" s="8" t="n">
        <v>2333</v>
      </c>
      <c r="B2334" s="8" t="s">
        <v>229</v>
      </c>
      <c r="C2334" s="8" t="s">
        <v>16</v>
      </c>
      <c r="D2334" s="9" t="n">
        <v>44463</v>
      </c>
      <c r="E2334" s="9" t="str">
        <f aca="false">TEXT(D2334,"MMM")</f>
        <v>set</v>
      </c>
      <c r="F2334" s="10" t="n">
        <v>138319.62</v>
      </c>
      <c r="G2334" s="8" t="s">
        <v>11</v>
      </c>
      <c r="H2334" s="8" t="s">
        <v>12</v>
      </c>
      <c r="I2334" s="11" t="s">
        <v>13</v>
      </c>
      <c r="J2334" s="8" t="s">
        <v>19</v>
      </c>
    </row>
    <row r="2335" customFormat="false" ht="14.25" hidden="false" customHeight="false" outlineLevel="0" collapsed="false">
      <c r="A2335" s="8" t="n">
        <v>2334</v>
      </c>
      <c r="B2335" s="8" t="s">
        <v>230</v>
      </c>
      <c r="C2335" s="8" t="s">
        <v>21</v>
      </c>
      <c r="D2335" s="9" t="n">
        <v>44463</v>
      </c>
      <c r="E2335" s="9" t="str">
        <f aca="false">TEXT(D2335,"MMM")</f>
        <v>set</v>
      </c>
      <c r="F2335" s="10" t="n">
        <v>40027.59</v>
      </c>
      <c r="G2335" s="8" t="s">
        <v>11</v>
      </c>
      <c r="H2335" s="8" t="s">
        <v>17</v>
      </c>
      <c r="I2335" s="11" t="s">
        <v>18</v>
      </c>
      <c r="J2335" s="8" t="s">
        <v>14</v>
      </c>
    </row>
    <row r="2336" customFormat="false" ht="14.25" hidden="false" customHeight="false" outlineLevel="0" collapsed="false">
      <c r="A2336" s="8" t="n">
        <v>2335</v>
      </c>
      <c r="B2336" s="8" t="s">
        <v>233</v>
      </c>
      <c r="C2336" s="8" t="s">
        <v>28</v>
      </c>
      <c r="D2336" s="9" t="n">
        <v>44463</v>
      </c>
      <c r="E2336" s="9" t="str">
        <f aca="false">TEXT(D2336,"MMM")</f>
        <v>set</v>
      </c>
      <c r="F2336" s="10" t="n">
        <v>21016.83</v>
      </c>
      <c r="G2336" s="8" t="s">
        <v>11</v>
      </c>
      <c r="H2336" s="8" t="s">
        <v>12</v>
      </c>
      <c r="I2336" s="11" t="s">
        <v>13</v>
      </c>
      <c r="J2336" s="8" t="s">
        <v>26</v>
      </c>
    </row>
    <row r="2337" customFormat="false" ht="14.25" hidden="false" customHeight="false" outlineLevel="0" collapsed="false">
      <c r="A2337" s="8" t="n">
        <v>2336</v>
      </c>
      <c r="B2337" s="8" t="s">
        <v>226</v>
      </c>
      <c r="C2337" s="8" t="s">
        <v>21</v>
      </c>
      <c r="D2337" s="9" t="n">
        <v>44463</v>
      </c>
      <c r="E2337" s="9" t="str">
        <f aca="false">TEXT(D2337,"MMM")</f>
        <v>set</v>
      </c>
      <c r="F2337" s="10" t="n">
        <v>0</v>
      </c>
      <c r="G2337" s="8" t="s">
        <v>34</v>
      </c>
      <c r="H2337" s="8" t="s">
        <v>17</v>
      </c>
      <c r="I2337" s="11" t="s">
        <v>18</v>
      </c>
      <c r="J2337" s="8" t="s">
        <v>26</v>
      </c>
    </row>
    <row r="2338" customFormat="false" ht="14.25" hidden="false" customHeight="false" outlineLevel="0" collapsed="false">
      <c r="A2338" s="8" t="n">
        <v>2337</v>
      </c>
      <c r="B2338" s="8" t="s">
        <v>232</v>
      </c>
      <c r="C2338" s="8" t="s">
        <v>28</v>
      </c>
      <c r="D2338" s="9" t="n">
        <v>44463</v>
      </c>
      <c r="E2338" s="9" t="str">
        <f aca="false">TEXT(D2338,"MMM")</f>
        <v>set</v>
      </c>
      <c r="F2338" s="10" t="n">
        <v>0</v>
      </c>
      <c r="G2338" s="8" t="s">
        <v>34</v>
      </c>
      <c r="H2338" s="8" t="s">
        <v>12</v>
      </c>
      <c r="I2338" s="11" t="s">
        <v>13</v>
      </c>
      <c r="J2338" s="8" t="s">
        <v>14</v>
      </c>
    </row>
    <row r="2339" customFormat="false" ht="14.25" hidden="false" customHeight="false" outlineLevel="0" collapsed="false">
      <c r="A2339" s="8" t="n">
        <v>2338</v>
      </c>
      <c r="B2339" s="8" t="s">
        <v>85</v>
      </c>
      <c r="C2339" s="8" t="s">
        <v>16</v>
      </c>
      <c r="D2339" s="9" t="n">
        <v>44463</v>
      </c>
      <c r="E2339" s="9" t="str">
        <f aca="false">TEXT(D2339,"MMM")</f>
        <v>set</v>
      </c>
      <c r="F2339" s="10" t="n">
        <v>9177.22</v>
      </c>
      <c r="G2339" s="8" t="s">
        <v>11</v>
      </c>
      <c r="H2339" s="8" t="s">
        <v>12</v>
      </c>
      <c r="I2339" s="11" t="s">
        <v>13</v>
      </c>
      <c r="J2339" s="8" t="s">
        <v>14</v>
      </c>
    </row>
    <row r="2340" customFormat="false" ht="14.25" hidden="false" customHeight="false" outlineLevel="0" collapsed="false">
      <c r="A2340" s="8" t="n">
        <v>2339</v>
      </c>
      <c r="B2340" s="8" t="s">
        <v>15</v>
      </c>
      <c r="C2340" s="8" t="s">
        <v>21</v>
      </c>
      <c r="D2340" s="9" t="n">
        <v>44463</v>
      </c>
      <c r="E2340" s="9" t="str">
        <f aca="false">TEXT(D2340,"MMM")</f>
        <v>set</v>
      </c>
      <c r="F2340" s="10" t="n">
        <v>20212.66</v>
      </c>
      <c r="G2340" s="8" t="s">
        <v>11</v>
      </c>
      <c r="H2340" s="8" t="s">
        <v>12</v>
      </c>
      <c r="I2340" s="11" t="s">
        <v>13</v>
      </c>
      <c r="J2340" s="8" t="s">
        <v>26</v>
      </c>
    </row>
    <row r="2341" customFormat="false" ht="14.25" hidden="false" customHeight="false" outlineLevel="0" collapsed="false">
      <c r="A2341" s="8" t="n">
        <v>2340</v>
      </c>
      <c r="B2341" s="8" t="s">
        <v>52</v>
      </c>
      <c r="C2341" s="8" t="s">
        <v>10</v>
      </c>
      <c r="D2341" s="9" t="n">
        <v>44463</v>
      </c>
      <c r="E2341" s="9" t="str">
        <f aca="false">TEXT(D2341,"MMM")</f>
        <v>set</v>
      </c>
      <c r="F2341" s="10" t="n">
        <v>13702.9</v>
      </c>
      <c r="G2341" s="8" t="s">
        <v>11</v>
      </c>
      <c r="H2341" s="8" t="s">
        <v>30</v>
      </c>
      <c r="I2341" s="11" t="s">
        <v>31</v>
      </c>
      <c r="J2341" s="8" t="s">
        <v>19</v>
      </c>
    </row>
    <row r="2342" customFormat="false" ht="14.25" hidden="false" customHeight="false" outlineLevel="0" collapsed="false">
      <c r="A2342" s="8" t="n">
        <v>2341</v>
      </c>
      <c r="B2342" s="8" t="s">
        <v>52</v>
      </c>
      <c r="C2342" s="8" t="s">
        <v>16</v>
      </c>
      <c r="D2342" s="9" t="n">
        <v>44463</v>
      </c>
      <c r="E2342" s="9" t="str">
        <f aca="false">TEXT(D2342,"MMM")</f>
        <v>set</v>
      </c>
      <c r="F2342" s="10" t="n">
        <v>12338.74</v>
      </c>
      <c r="G2342" s="8" t="s">
        <v>11</v>
      </c>
      <c r="H2342" s="8" t="s">
        <v>17</v>
      </c>
      <c r="I2342" s="11" t="s">
        <v>18</v>
      </c>
      <c r="J2342" s="8" t="s">
        <v>14</v>
      </c>
    </row>
    <row r="2343" customFormat="false" ht="14.25" hidden="false" customHeight="false" outlineLevel="0" collapsed="false">
      <c r="A2343" s="8" t="n">
        <v>2342</v>
      </c>
      <c r="B2343" s="8" t="s">
        <v>49</v>
      </c>
      <c r="C2343" s="8" t="s">
        <v>21</v>
      </c>
      <c r="D2343" s="9" t="n">
        <v>44463</v>
      </c>
      <c r="E2343" s="9" t="str">
        <f aca="false">TEXT(D2343,"MMM")</f>
        <v>set</v>
      </c>
      <c r="F2343" s="10" t="n">
        <v>1862.08</v>
      </c>
      <c r="G2343" s="8" t="s">
        <v>11</v>
      </c>
      <c r="H2343" s="8" t="s">
        <v>36</v>
      </c>
      <c r="I2343" s="11" t="s">
        <v>37</v>
      </c>
      <c r="J2343" s="8" t="s">
        <v>14</v>
      </c>
    </row>
    <row r="2344" customFormat="false" ht="14.25" hidden="false" customHeight="false" outlineLevel="0" collapsed="false">
      <c r="A2344" s="8" t="n">
        <v>2343</v>
      </c>
      <c r="B2344" s="8" t="s">
        <v>52</v>
      </c>
      <c r="C2344" s="8" t="s">
        <v>10</v>
      </c>
      <c r="D2344" s="9" t="n">
        <v>44463</v>
      </c>
      <c r="E2344" s="9" t="str">
        <f aca="false">TEXT(D2344,"MMM")</f>
        <v>set</v>
      </c>
      <c r="F2344" s="10" t="n">
        <v>9260.78</v>
      </c>
      <c r="G2344" s="8" t="s">
        <v>11</v>
      </c>
      <c r="H2344" s="8" t="s">
        <v>22</v>
      </c>
      <c r="I2344" s="11" t="s">
        <v>23</v>
      </c>
      <c r="J2344" s="8" t="s">
        <v>14</v>
      </c>
    </row>
    <row r="2345" customFormat="false" ht="14.25" hidden="false" customHeight="false" outlineLevel="0" collapsed="false">
      <c r="A2345" s="8" t="n">
        <v>2344</v>
      </c>
      <c r="B2345" s="8" t="s">
        <v>50</v>
      </c>
      <c r="C2345" s="8" t="s">
        <v>28</v>
      </c>
      <c r="D2345" s="9" t="n">
        <v>44464</v>
      </c>
      <c r="E2345" s="9" t="str">
        <f aca="false">TEXT(D2345,"MMM")</f>
        <v>set</v>
      </c>
      <c r="F2345" s="10" t="n">
        <v>21901.75</v>
      </c>
      <c r="G2345" s="8" t="s">
        <v>11</v>
      </c>
      <c r="H2345" s="8" t="s">
        <v>17</v>
      </c>
      <c r="I2345" s="11" t="s">
        <v>18</v>
      </c>
      <c r="J2345" s="8" t="s">
        <v>14</v>
      </c>
    </row>
    <row r="2346" customFormat="false" ht="14.25" hidden="false" customHeight="false" outlineLevel="0" collapsed="false">
      <c r="A2346" s="8" t="n">
        <v>2345</v>
      </c>
      <c r="B2346" s="8" t="s">
        <v>183</v>
      </c>
      <c r="C2346" s="8" t="s">
        <v>28</v>
      </c>
      <c r="D2346" s="9" t="n">
        <v>44464</v>
      </c>
      <c r="E2346" s="9" t="str">
        <f aca="false">TEXT(D2346,"MMM")</f>
        <v>set</v>
      </c>
      <c r="F2346" s="10" t="n">
        <v>18443.49</v>
      </c>
      <c r="G2346" s="8" t="s">
        <v>11</v>
      </c>
      <c r="H2346" s="8" t="s">
        <v>12</v>
      </c>
      <c r="I2346" s="11" t="s">
        <v>13</v>
      </c>
      <c r="J2346" s="8" t="s">
        <v>14</v>
      </c>
    </row>
    <row r="2347" customFormat="false" ht="14.25" hidden="false" customHeight="false" outlineLevel="0" collapsed="false">
      <c r="A2347" s="8" t="n">
        <v>2346</v>
      </c>
      <c r="B2347" s="8" t="s">
        <v>269</v>
      </c>
      <c r="C2347" s="8" t="s">
        <v>10</v>
      </c>
      <c r="D2347" s="9" t="n">
        <v>44464</v>
      </c>
      <c r="E2347" s="9" t="str">
        <f aca="false">TEXT(D2347,"MMM")</f>
        <v>set</v>
      </c>
      <c r="F2347" s="10" t="n">
        <v>13037.72</v>
      </c>
      <c r="G2347" s="8" t="s">
        <v>11</v>
      </c>
      <c r="H2347" s="8" t="s">
        <v>22</v>
      </c>
      <c r="I2347" s="11" t="s">
        <v>23</v>
      </c>
      <c r="J2347" s="8" t="s">
        <v>14</v>
      </c>
    </row>
    <row r="2348" customFormat="false" ht="14.25" hidden="false" customHeight="false" outlineLevel="0" collapsed="false">
      <c r="A2348" s="8" t="n">
        <v>2347</v>
      </c>
      <c r="B2348" s="8" t="s">
        <v>208</v>
      </c>
      <c r="C2348" s="8" t="s">
        <v>28</v>
      </c>
      <c r="D2348" s="9" t="n">
        <v>44464</v>
      </c>
      <c r="E2348" s="9" t="str">
        <f aca="false">TEXT(D2348,"MMM")</f>
        <v>set</v>
      </c>
      <c r="F2348" s="10" t="n">
        <v>5054.92</v>
      </c>
      <c r="G2348" s="8" t="s">
        <v>11</v>
      </c>
      <c r="H2348" s="8" t="s">
        <v>17</v>
      </c>
      <c r="I2348" s="11" t="s">
        <v>18</v>
      </c>
      <c r="J2348" s="8" t="s">
        <v>24</v>
      </c>
    </row>
    <row r="2349" customFormat="false" ht="14.25" hidden="false" customHeight="false" outlineLevel="0" collapsed="false">
      <c r="A2349" s="8" t="n">
        <v>2348</v>
      </c>
      <c r="B2349" s="8" t="s">
        <v>145</v>
      </c>
      <c r="C2349" s="8" t="s">
        <v>28</v>
      </c>
      <c r="D2349" s="9" t="n">
        <v>44464</v>
      </c>
      <c r="E2349" s="9" t="str">
        <f aca="false">TEXT(D2349,"MMM")</f>
        <v>set</v>
      </c>
      <c r="F2349" s="10" t="n">
        <v>1707.18</v>
      </c>
      <c r="G2349" s="8" t="s">
        <v>11</v>
      </c>
      <c r="H2349" s="8" t="s">
        <v>36</v>
      </c>
      <c r="I2349" s="11" t="s">
        <v>37</v>
      </c>
      <c r="J2349" s="8" t="s">
        <v>26</v>
      </c>
    </row>
    <row r="2350" customFormat="false" ht="14.25" hidden="false" customHeight="false" outlineLevel="0" collapsed="false">
      <c r="A2350" s="8" t="n">
        <v>2349</v>
      </c>
      <c r="B2350" s="8" t="s">
        <v>174</v>
      </c>
      <c r="C2350" s="8" t="s">
        <v>10</v>
      </c>
      <c r="D2350" s="9" t="n">
        <v>44465</v>
      </c>
      <c r="E2350" s="9" t="str">
        <f aca="false">TEXT(D2350,"MMM")</f>
        <v>set</v>
      </c>
      <c r="F2350" s="10" t="n">
        <v>11776.47</v>
      </c>
      <c r="G2350" s="8" t="s">
        <v>11</v>
      </c>
      <c r="H2350" s="8" t="s">
        <v>17</v>
      </c>
      <c r="I2350" s="11" t="s">
        <v>18</v>
      </c>
      <c r="J2350" s="8" t="s">
        <v>26</v>
      </c>
    </row>
    <row r="2351" customFormat="false" ht="14.25" hidden="false" customHeight="false" outlineLevel="0" collapsed="false">
      <c r="A2351" s="8" t="n">
        <v>2350</v>
      </c>
      <c r="B2351" s="8" t="s">
        <v>171</v>
      </c>
      <c r="C2351" s="8" t="s">
        <v>16</v>
      </c>
      <c r="D2351" s="9" t="n">
        <v>44465</v>
      </c>
      <c r="E2351" s="9" t="str">
        <f aca="false">TEXT(D2351,"MMM")</f>
        <v>set</v>
      </c>
      <c r="F2351" s="10" t="n">
        <v>9551.8</v>
      </c>
      <c r="G2351" s="8" t="s">
        <v>11</v>
      </c>
      <c r="H2351" s="8" t="s">
        <v>17</v>
      </c>
      <c r="I2351" s="11" t="s">
        <v>18</v>
      </c>
      <c r="J2351" s="8" t="s">
        <v>24</v>
      </c>
    </row>
    <row r="2352" customFormat="false" ht="14.25" hidden="false" customHeight="false" outlineLevel="0" collapsed="false">
      <c r="A2352" s="8" t="n">
        <v>2351</v>
      </c>
      <c r="B2352" s="8" t="s">
        <v>213</v>
      </c>
      <c r="C2352" s="8" t="s">
        <v>16</v>
      </c>
      <c r="D2352" s="9" t="n">
        <v>44465</v>
      </c>
      <c r="E2352" s="9" t="str">
        <f aca="false">TEXT(D2352,"MMM")</f>
        <v>set</v>
      </c>
      <c r="F2352" s="10" t="n">
        <v>5766.81</v>
      </c>
      <c r="G2352" s="8" t="s">
        <v>11</v>
      </c>
      <c r="H2352" s="8" t="s">
        <v>17</v>
      </c>
      <c r="I2352" s="11" t="s">
        <v>18</v>
      </c>
      <c r="J2352" s="8" t="s">
        <v>26</v>
      </c>
    </row>
    <row r="2353" customFormat="false" ht="14.25" hidden="false" customHeight="false" outlineLevel="0" collapsed="false">
      <c r="A2353" s="8" t="n">
        <v>2352</v>
      </c>
      <c r="B2353" s="8" t="s">
        <v>179</v>
      </c>
      <c r="C2353" s="8" t="s">
        <v>16</v>
      </c>
      <c r="D2353" s="9" t="n">
        <v>44465</v>
      </c>
      <c r="E2353" s="9" t="str">
        <f aca="false">TEXT(D2353,"MMM")</f>
        <v>set</v>
      </c>
      <c r="F2353" s="10" t="n">
        <v>14417.98</v>
      </c>
      <c r="G2353" s="8" t="s">
        <v>11</v>
      </c>
      <c r="H2353" s="8" t="s">
        <v>12</v>
      </c>
      <c r="I2353" s="11" t="s">
        <v>13</v>
      </c>
      <c r="J2353" s="8" t="s">
        <v>26</v>
      </c>
    </row>
    <row r="2354" customFormat="false" ht="14.25" hidden="false" customHeight="false" outlineLevel="0" collapsed="false">
      <c r="A2354" s="8" t="n">
        <v>2353</v>
      </c>
      <c r="B2354" s="8" t="s">
        <v>151</v>
      </c>
      <c r="C2354" s="8" t="s">
        <v>10</v>
      </c>
      <c r="D2354" s="9" t="n">
        <v>44465</v>
      </c>
      <c r="E2354" s="9" t="str">
        <f aca="false">TEXT(D2354,"MMM")</f>
        <v>set</v>
      </c>
      <c r="F2354" s="10" t="n">
        <v>1735.85</v>
      </c>
      <c r="G2354" s="8" t="s">
        <v>11</v>
      </c>
      <c r="H2354" s="8" t="s">
        <v>17</v>
      </c>
      <c r="I2354" s="11" t="s">
        <v>18</v>
      </c>
      <c r="J2354" s="8" t="s">
        <v>14</v>
      </c>
    </row>
    <row r="2355" customFormat="false" ht="14.25" hidden="false" customHeight="false" outlineLevel="0" collapsed="false">
      <c r="A2355" s="8" t="n">
        <v>2354</v>
      </c>
      <c r="B2355" s="8" t="s">
        <v>15</v>
      </c>
      <c r="C2355" s="8" t="s">
        <v>21</v>
      </c>
      <c r="D2355" s="9" t="n">
        <v>44465</v>
      </c>
      <c r="E2355" s="9" t="str">
        <f aca="false">TEXT(D2355,"MMM")</f>
        <v>set</v>
      </c>
      <c r="F2355" s="10" t="n">
        <v>12354.38</v>
      </c>
      <c r="G2355" s="8" t="s">
        <v>11</v>
      </c>
      <c r="H2355" s="8" t="s">
        <v>36</v>
      </c>
      <c r="I2355" s="11" t="s">
        <v>37</v>
      </c>
      <c r="J2355" s="8" t="s">
        <v>14</v>
      </c>
    </row>
    <row r="2356" customFormat="false" ht="14.25" hidden="false" customHeight="false" outlineLevel="0" collapsed="false">
      <c r="A2356" s="8" t="n">
        <v>2355</v>
      </c>
      <c r="B2356" s="8" t="s">
        <v>15</v>
      </c>
      <c r="C2356" s="8" t="s">
        <v>28</v>
      </c>
      <c r="D2356" s="9" t="n">
        <v>44465</v>
      </c>
      <c r="E2356" s="9" t="str">
        <f aca="false">TEXT(D2356,"MMM")</f>
        <v>set</v>
      </c>
      <c r="F2356" s="10" t="n">
        <v>13200.67</v>
      </c>
      <c r="G2356" s="8" t="s">
        <v>11</v>
      </c>
      <c r="H2356" s="8" t="s">
        <v>12</v>
      </c>
      <c r="I2356" s="11" t="s">
        <v>13</v>
      </c>
      <c r="J2356" s="8" t="s">
        <v>14</v>
      </c>
    </row>
    <row r="2357" customFormat="false" ht="14.25" hidden="false" customHeight="false" outlineLevel="0" collapsed="false">
      <c r="A2357" s="8" t="n">
        <v>2356</v>
      </c>
      <c r="B2357" s="8" t="s">
        <v>39</v>
      </c>
      <c r="C2357" s="8" t="s">
        <v>28</v>
      </c>
      <c r="D2357" s="9" t="n">
        <v>44465</v>
      </c>
      <c r="E2357" s="9" t="str">
        <f aca="false">TEXT(D2357,"MMM")</f>
        <v>set</v>
      </c>
      <c r="F2357" s="10" t="n">
        <v>1585.72</v>
      </c>
      <c r="G2357" s="8" t="s">
        <v>11</v>
      </c>
      <c r="H2357" s="8" t="s">
        <v>17</v>
      </c>
      <c r="I2357" s="11" t="s">
        <v>18</v>
      </c>
      <c r="J2357" s="8" t="s">
        <v>26</v>
      </c>
    </row>
    <row r="2358" customFormat="false" ht="14.25" hidden="false" customHeight="false" outlineLevel="0" collapsed="false">
      <c r="A2358" s="8" t="n">
        <v>2357</v>
      </c>
      <c r="B2358" s="8" t="s">
        <v>66</v>
      </c>
      <c r="C2358" s="8" t="s">
        <v>10</v>
      </c>
      <c r="D2358" s="9" t="n">
        <v>44466</v>
      </c>
      <c r="E2358" s="9" t="str">
        <f aca="false">TEXT(D2358,"MMM")</f>
        <v>set</v>
      </c>
      <c r="F2358" s="10" t="n">
        <v>1634.76</v>
      </c>
      <c r="G2358" s="8" t="s">
        <v>11</v>
      </c>
      <c r="H2358" s="8" t="s">
        <v>12</v>
      </c>
      <c r="I2358" s="11" t="s">
        <v>13</v>
      </c>
      <c r="J2358" s="8" t="s">
        <v>19</v>
      </c>
    </row>
    <row r="2359" customFormat="false" ht="14.25" hidden="false" customHeight="false" outlineLevel="0" collapsed="false">
      <c r="A2359" s="8" t="n">
        <v>2358</v>
      </c>
      <c r="B2359" s="8" t="s">
        <v>75</v>
      </c>
      <c r="C2359" s="8" t="s">
        <v>10</v>
      </c>
      <c r="D2359" s="9" t="n">
        <v>44466</v>
      </c>
      <c r="E2359" s="9" t="str">
        <f aca="false">TEXT(D2359,"MMM")</f>
        <v>set</v>
      </c>
      <c r="F2359" s="10" t="n">
        <v>12477.92</v>
      </c>
      <c r="G2359" s="8" t="s">
        <v>11</v>
      </c>
      <c r="H2359" s="8" t="s">
        <v>12</v>
      </c>
      <c r="I2359" s="11" t="s">
        <v>13</v>
      </c>
      <c r="J2359" s="8" t="s">
        <v>24</v>
      </c>
    </row>
    <row r="2360" customFormat="false" ht="14.25" hidden="false" customHeight="false" outlineLevel="0" collapsed="false">
      <c r="A2360" s="8" t="n">
        <v>2359</v>
      </c>
      <c r="B2360" s="8" t="s">
        <v>66</v>
      </c>
      <c r="C2360" s="8" t="s">
        <v>16</v>
      </c>
      <c r="D2360" s="9" t="n">
        <v>44466</v>
      </c>
      <c r="E2360" s="9" t="str">
        <f aca="false">TEXT(D2360,"MMM")</f>
        <v>set</v>
      </c>
      <c r="F2360" s="10" t="n">
        <v>5880630.74</v>
      </c>
      <c r="G2360" s="8" t="s">
        <v>11</v>
      </c>
      <c r="H2360" s="8" t="s">
        <v>17</v>
      </c>
      <c r="I2360" s="11" t="s">
        <v>18</v>
      </c>
      <c r="J2360" s="8" t="s">
        <v>14</v>
      </c>
    </row>
    <row r="2361" customFormat="false" ht="14.25" hidden="false" customHeight="false" outlineLevel="0" collapsed="false">
      <c r="A2361" s="8" t="n">
        <v>2360</v>
      </c>
      <c r="B2361" s="8" t="s">
        <v>66</v>
      </c>
      <c r="C2361" s="8" t="s">
        <v>21</v>
      </c>
      <c r="D2361" s="9" t="n">
        <v>44466</v>
      </c>
      <c r="E2361" s="9" t="str">
        <f aca="false">TEXT(D2361,"MMM")</f>
        <v>set</v>
      </c>
      <c r="F2361" s="10" t="n">
        <v>-10421.36</v>
      </c>
      <c r="G2361" s="8" t="s">
        <v>34</v>
      </c>
      <c r="H2361" s="8" t="s">
        <v>12</v>
      </c>
      <c r="I2361" s="11" t="s">
        <v>13</v>
      </c>
      <c r="J2361" s="8" t="s">
        <v>14</v>
      </c>
    </row>
    <row r="2362" customFormat="false" ht="14.25" hidden="false" customHeight="false" outlineLevel="0" collapsed="false">
      <c r="A2362" s="8" t="n">
        <v>2361</v>
      </c>
      <c r="B2362" s="8" t="s">
        <v>66</v>
      </c>
      <c r="C2362" s="8" t="s">
        <v>10</v>
      </c>
      <c r="D2362" s="9" t="n">
        <v>44466</v>
      </c>
      <c r="E2362" s="9" t="str">
        <f aca="false">TEXT(D2362,"MMM")</f>
        <v>set</v>
      </c>
      <c r="F2362" s="10" t="n">
        <v>-304.01</v>
      </c>
      <c r="G2362" s="8" t="s">
        <v>34</v>
      </c>
      <c r="H2362" s="8" t="s">
        <v>22</v>
      </c>
      <c r="I2362" s="11" t="s">
        <v>23</v>
      </c>
      <c r="J2362" s="8" t="s">
        <v>19</v>
      </c>
    </row>
    <row r="2363" customFormat="false" ht="14.25" hidden="false" customHeight="false" outlineLevel="0" collapsed="false">
      <c r="A2363" s="8" t="n">
        <v>2362</v>
      </c>
      <c r="B2363" s="8" t="s">
        <v>66</v>
      </c>
      <c r="C2363" s="8" t="s">
        <v>28</v>
      </c>
      <c r="D2363" s="9" t="n">
        <v>44466</v>
      </c>
      <c r="E2363" s="9" t="str">
        <f aca="false">TEXT(D2363,"MMM")</f>
        <v>set</v>
      </c>
      <c r="F2363" s="10" t="n">
        <v>-13708.8</v>
      </c>
      <c r="G2363" s="8" t="s">
        <v>34</v>
      </c>
      <c r="H2363" s="8" t="s">
        <v>17</v>
      </c>
      <c r="I2363" s="11" t="s">
        <v>18</v>
      </c>
      <c r="J2363" s="8" t="s">
        <v>14</v>
      </c>
    </row>
    <row r="2364" customFormat="false" ht="14.25" hidden="false" customHeight="false" outlineLevel="0" collapsed="false">
      <c r="A2364" s="8" t="n">
        <v>2363</v>
      </c>
      <c r="B2364" s="8" t="s">
        <v>66</v>
      </c>
      <c r="C2364" s="8" t="s">
        <v>10</v>
      </c>
      <c r="D2364" s="9" t="n">
        <v>44466</v>
      </c>
      <c r="E2364" s="9" t="str">
        <f aca="false">TEXT(D2364,"MMM")</f>
        <v>set</v>
      </c>
      <c r="F2364" s="10" t="n">
        <v>-10855.71</v>
      </c>
      <c r="G2364" s="8" t="s">
        <v>34</v>
      </c>
      <c r="H2364" s="8" t="s">
        <v>22</v>
      </c>
      <c r="I2364" s="11" t="s">
        <v>23</v>
      </c>
      <c r="J2364" s="8" t="s">
        <v>26</v>
      </c>
    </row>
    <row r="2365" customFormat="false" ht="14.25" hidden="false" customHeight="false" outlineLevel="0" collapsed="false">
      <c r="A2365" s="8" t="n">
        <v>2364</v>
      </c>
      <c r="B2365" s="8" t="s">
        <v>66</v>
      </c>
      <c r="C2365" s="8" t="s">
        <v>16</v>
      </c>
      <c r="D2365" s="9" t="n">
        <v>44466</v>
      </c>
      <c r="E2365" s="9" t="str">
        <f aca="false">TEXT(D2365,"MMM")</f>
        <v>set</v>
      </c>
      <c r="F2365" s="10" t="n">
        <v>-610251.5</v>
      </c>
      <c r="G2365" s="8" t="s">
        <v>34</v>
      </c>
      <c r="H2365" s="8" t="s">
        <v>17</v>
      </c>
      <c r="I2365" s="11" t="s">
        <v>18</v>
      </c>
      <c r="J2365" s="8" t="s">
        <v>19</v>
      </c>
    </row>
    <row r="2366" customFormat="false" ht="14.25" hidden="false" customHeight="false" outlineLevel="0" collapsed="false">
      <c r="A2366" s="8" t="n">
        <v>2365</v>
      </c>
      <c r="B2366" s="8" t="s">
        <v>66</v>
      </c>
      <c r="C2366" s="8" t="s">
        <v>16</v>
      </c>
      <c r="D2366" s="9" t="n">
        <v>44466</v>
      </c>
      <c r="E2366" s="9" t="str">
        <f aca="false">TEXT(D2366,"MMM")</f>
        <v>set</v>
      </c>
      <c r="F2366" s="10" t="n">
        <v>-8378.79</v>
      </c>
      <c r="G2366" s="8" t="s">
        <v>34</v>
      </c>
      <c r="H2366" s="8" t="s">
        <v>12</v>
      </c>
      <c r="I2366" s="11" t="s">
        <v>13</v>
      </c>
      <c r="J2366" s="8" t="s">
        <v>26</v>
      </c>
    </row>
    <row r="2367" customFormat="false" ht="14.25" hidden="false" customHeight="false" outlineLevel="0" collapsed="false">
      <c r="A2367" s="8" t="n">
        <v>2366</v>
      </c>
      <c r="B2367" s="8" t="s">
        <v>66</v>
      </c>
      <c r="C2367" s="8" t="s">
        <v>21</v>
      </c>
      <c r="D2367" s="9" t="n">
        <v>44466</v>
      </c>
      <c r="E2367" s="9" t="str">
        <f aca="false">TEXT(D2367,"MMM")</f>
        <v>set</v>
      </c>
      <c r="F2367" s="10" t="n">
        <v>-7582.51</v>
      </c>
      <c r="G2367" s="8" t="s">
        <v>34</v>
      </c>
      <c r="H2367" s="8" t="s">
        <v>12</v>
      </c>
      <c r="I2367" s="11" t="s">
        <v>13</v>
      </c>
      <c r="J2367" s="8" t="s">
        <v>14</v>
      </c>
    </row>
    <row r="2368" customFormat="false" ht="14.25" hidden="false" customHeight="false" outlineLevel="0" collapsed="false">
      <c r="A2368" s="8" t="n">
        <v>2367</v>
      </c>
      <c r="B2368" s="8" t="s">
        <v>66</v>
      </c>
      <c r="C2368" s="8" t="s">
        <v>10</v>
      </c>
      <c r="D2368" s="9" t="n">
        <v>44466</v>
      </c>
      <c r="E2368" s="9" t="str">
        <f aca="false">TEXT(D2368,"MMM")</f>
        <v>set</v>
      </c>
      <c r="F2368" s="10" t="n">
        <v>-543.8</v>
      </c>
      <c r="G2368" s="8" t="s">
        <v>34</v>
      </c>
      <c r="H2368" s="8" t="s">
        <v>36</v>
      </c>
      <c r="I2368" s="11" t="s">
        <v>37</v>
      </c>
      <c r="J2368" s="8" t="s">
        <v>26</v>
      </c>
    </row>
    <row r="2369" customFormat="false" ht="14.25" hidden="false" customHeight="false" outlineLevel="0" collapsed="false">
      <c r="A2369" s="8" t="n">
        <v>2368</v>
      </c>
      <c r="B2369" s="8" t="s">
        <v>153</v>
      </c>
      <c r="C2369" s="8" t="s">
        <v>10</v>
      </c>
      <c r="D2369" s="9" t="n">
        <v>44467</v>
      </c>
      <c r="E2369" s="9" t="str">
        <f aca="false">TEXT(D2369,"MMM")</f>
        <v>set</v>
      </c>
      <c r="F2369" s="10" t="n">
        <v>-5845.6</v>
      </c>
      <c r="G2369" s="8" t="s">
        <v>34</v>
      </c>
      <c r="H2369" s="8" t="s">
        <v>17</v>
      </c>
      <c r="I2369" s="11" t="s">
        <v>18</v>
      </c>
      <c r="J2369" s="8" t="s">
        <v>19</v>
      </c>
    </row>
    <row r="2370" customFormat="false" ht="14.25" hidden="false" customHeight="false" outlineLevel="0" collapsed="false">
      <c r="A2370" s="8" t="n">
        <v>2369</v>
      </c>
      <c r="B2370" s="8" t="s">
        <v>73</v>
      </c>
      <c r="C2370" s="8" t="s">
        <v>28</v>
      </c>
      <c r="D2370" s="9" t="n">
        <v>44467</v>
      </c>
      <c r="E2370" s="9" t="str">
        <f aca="false">TEXT(D2370,"MMM")</f>
        <v>set</v>
      </c>
      <c r="F2370" s="10" t="n">
        <v>3121.28</v>
      </c>
      <c r="G2370" s="8" t="s">
        <v>11</v>
      </c>
      <c r="H2370" s="8" t="s">
        <v>12</v>
      </c>
      <c r="I2370" s="11" t="s">
        <v>13</v>
      </c>
      <c r="J2370" s="8" t="s">
        <v>14</v>
      </c>
    </row>
    <row r="2371" customFormat="false" ht="14.25" hidden="false" customHeight="false" outlineLevel="0" collapsed="false">
      <c r="A2371" s="8" t="n">
        <v>2370</v>
      </c>
      <c r="B2371" s="8" t="s">
        <v>39</v>
      </c>
      <c r="C2371" s="8" t="s">
        <v>28</v>
      </c>
      <c r="D2371" s="9" t="n">
        <v>44467</v>
      </c>
      <c r="E2371" s="9" t="str">
        <f aca="false">TEXT(D2371,"MMM")</f>
        <v>set</v>
      </c>
      <c r="F2371" s="10" t="n">
        <v>3064.77</v>
      </c>
      <c r="G2371" s="8" t="s">
        <v>11</v>
      </c>
      <c r="H2371" s="8" t="s">
        <v>36</v>
      </c>
      <c r="I2371" s="11" t="s">
        <v>37</v>
      </c>
      <c r="J2371" s="8" t="s">
        <v>19</v>
      </c>
    </row>
    <row r="2372" customFormat="false" ht="14.25" hidden="false" customHeight="false" outlineLevel="0" collapsed="false">
      <c r="A2372" s="8" t="n">
        <v>2371</v>
      </c>
      <c r="B2372" s="8" t="s">
        <v>73</v>
      </c>
      <c r="C2372" s="8" t="s">
        <v>21</v>
      </c>
      <c r="D2372" s="9" t="n">
        <v>44467</v>
      </c>
      <c r="E2372" s="9" t="str">
        <f aca="false">TEXT(D2372,"MMM")</f>
        <v>set</v>
      </c>
      <c r="F2372" s="10" t="n">
        <v>3064.46</v>
      </c>
      <c r="G2372" s="8" t="s">
        <v>11</v>
      </c>
      <c r="H2372" s="8" t="s">
        <v>30</v>
      </c>
      <c r="I2372" s="11" t="s">
        <v>31</v>
      </c>
      <c r="J2372" s="8" t="s">
        <v>24</v>
      </c>
    </row>
    <row r="2373" customFormat="false" ht="14.25" hidden="false" customHeight="false" outlineLevel="0" collapsed="false">
      <c r="A2373" s="8" t="n">
        <v>2372</v>
      </c>
      <c r="B2373" s="8" t="s">
        <v>73</v>
      </c>
      <c r="C2373" s="8" t="s">
        <v>16</v>
      </c>
      <c r="D2373" s="9" t="n">
        <v>44467</v>
      </c>
      <c r="E2373" s="9" t="str">
        <f aca="false">TEXT(D2373,"MMM")</f>
        <v>set</v>
      </c>
      <c r="F2373" s="10" t="n">
        <v>-3254.2</v>
      </c>
      <c r="G2373" s="8" t="s">
        <v>34</v>
      </c>
      <c r="H2373" s="8" t="s">
        <v>36</v>
      </c>
      <c r="I2373" s="11" t="s">
        <v>37</v>
      </c>
      <c r="J2373" s="8" t="s">
        <v>24</v>
      </c>
    </row>
    <row r="2374" customFormat="false" ht="14.25" hidden="false" customHeight="false" outlineLevel="0" collapsed="false">
      <c r="A2374" s="8" t="n">
        <v>2373</v>
      </c>
      <c r="B2374" s="8" t="s">
        <v>32</v>
      </c>
      <c r="C2374" s="8" t="s">
        <v>16</v>
      </c>
      <c r="D2374" s="9" t="n">
        <v>44468</v>
      </c>
      <c r="E2374" s="9" t="str">
        <f aca="false">TEXT(D2374,"MMM")</f>
        <v>set</v>
      </c>
      <c r="F2374" s="10" t="n">
        <v>-3395.39</v>
      </c>
      <c r="G2374" s="8" t="s">
        <v>34</v>
      </c>
      <c r="H2374" s="8" t="s">
        <v>36</v>
      </c>
      <c r="I2374" s="11" t="s">
        <v>37</v>
      </c>
      <c r="J2374" s="8" t="s">
        <v>19</v>
      </c>
    </row>
    <row r="2375" customFormat="false" ht="14.25" hidden="false" customHeight="false" outlineLevel="0" collapsed="false">
      <c r="A2375" s="8" t="n">
        <v>2374</v>
      </c>
      <c r="B2375" s="8" t="s">
        <v>32</v>
      </c>
      <c r="C2375" s="8" t="s">
        <v>10</v>
      </c>
      <c r="D2375" s="9" t="n">
        <v>44468</v>
      </c>
      <c r="E2375" s="9" t="str">
        <f aca="false">TEXT(D2375,"MMM")</f>
        <v>set</v>
      </c>
      <c r="F2375" s="10" t="n">
        <v>4350702.2</v>
      </c>
      <c r="G2375" s="8" t="s">
        <v>11</v>
      </c>
      <c r="H2375" s="8" t="s">
        <v>36</v>
      </c>
      <c r="I2375" s="11" t="s">
        <v>37</v>
      </c>
      <c r="J2375" s="8" t="s">
        <v>24</v>
      </c>
    </row>
    <row r="2376" customFormat="false" ht="14.25" hidden="false" customHeight="false" outlineLevel="0" collapsed="false">
      <c r="A2376" s="8" t="n">
        <v>2375</v>
      </c>
      <c r="B2376" s="8" t="s">
        <v>136</v>
      </c>
      <c r="C2376" s="8" t="s">
        <v>10</v>
      </c>
      <c r="D2376" s="9" t="n">
        <v>44468</v>
      </c>
      <c r="E2376" s="9" t="str">
        <f aca="false">TEXT(D2376,"MMM")</f>
        <v>set</v>
      </c>
      <c r="F2376" s="10" t="n">
        <v>26632.88</v>
      </c>
      <c r="G2376" s="8" t="s">
        <v>11</v>
      </c>
      <c r="H2376" s="8" t="s">
        <v>12</v>
      </c>
      <c r="I2376" s="11" t="s">
        <v>13</v>
      </c>
      <c r="J2376" s="8" t="s">
        <v>14</v>
      </c>
    </row>
    <row r="2377" customFormat="false" ht="14.25" hidden="false" customHeight="false" outlineLevel="0" collapsed="false">
      <c r="A2377" s="8" t="n">
        <v>2376</v>
      </c>
      <c r="B2377" s="8" t="s">
        <v>81</v>
      </c>
      <c r="C2377" s="8" t="s">
        <v>10</v>
      </c>
      <c r="D2377" s="9" t="n">
        <v>44468</v>
      </c>
      <c r="E2377" s="9" t="str">
        <f aca="false">TEXT(D2377,"MMM")</f>
        <v>set</v>
      </c>
      <c r="F2377" s="10" t="n">
        <v>1397.77</v>
      </c>
      <c r="G2377" s="8" t="s">
        <v>11</v>
      </c>
      <c r="H2377" s="8" t="s">
        <v>30</v>
      </c>
      <c r="I2377" s="11" t="s">
        <v>31</v>
      </c>
      <c r="J2377" s="8" t="s">
        <v>26</v>
      </c>
    </row>
    <row r="2378" customFormat="false" ht="14.25" hidden="false" customHeight="false" outlineLevel="0" collapsed="false">
      <c r="A2378" s="8" t="n">
        <v>2377</v>
      </c>
      <c r="B2378" s="8" t="s">
        <v>136</v>
      </c>
      <c r="C2378" s="8" t="s">
        <v>28</v>
      </c>
      <c r="D2378" s="9" t="n">
        <v>44468</v>
      </c>
      <c r="E2378" s="9" t="str">
        <f aca="false">TEXT(D2378,"MMM")</f>
        <v>set</v>
      </c>
      <c r="F2378" s="10" t="n">
        <v>1397.77</v>
      </c>
      <c r="G2378" s="8" t="s">
        <v>11</v>
      </c>
      <c r="H2378" s="8" t="s">
        <v>17</v>
      </c>
      <c r="I2378" s="11" t="s">
        <v>18</v>
      </c>
      <c r="J2378" s="8" t="s">
        <v>14</v>
      </c>
    </row>
    <row r="2379" customFormat="false" ht="14.25" hidden="false" customHeight="false" outlineLevel="0" collapsed="false">
      <c r="A2379" s="8" t="n">
        <v>2378</v>
      </c>
      <c r="B2379" s="8" t="s">
        <v>81</v>
      </c>
      <c r="C2379" s="8" t="s">
        <v>16</v>
      </c>
      <c r="D2379" s="9" t="n">
        <v>44468</v>
      </c>
      <c r="E2379" s="9" t="str">
        <f aca="false">TEXT(D2379,"MMM")</f>
        <v>set</v>
      </c>
      <c r="F2379" s="10" t="n">
        <v>155831.14</v>
      </c>
      <c r="G2379" s="8" t="s">
        <v>11</v>
      </c>
      <c r="H2379" s="8" t="s">
        <v>22</v>
      </c>
      <c r="I2379" s="11" t="s">
        <v>23</v>
      </c>
      <c r="J2379" s="8" t="s">
        <v>14</v>
      </c>
    </row>
    <row r="2380" customFormat="false" ht="14.25" hidden="false" customHeight="false" outlineLevel="0" collapsed="false">
      <c r="A2380" s="8" t="n">
        <v>2379</v>
      </c>
      <c r="B2380" s="8" t="s">
        <v>136</v>
      </c>
      <c r="C2380" s="8" t="s">
        <v>10</v>
      </c>
      <c r="D2380" s="9" t="n">
        <v>44468</v>
      </c>
      <c r="E2380" s="9" t="str">
        <f aca="false">TEXT(D2380,"MMM")</f>
        <v>set</v>
      </c>
      <c r="F2380" s="10" t="n">
        <v>1397.77</v>
      </c>
      <c r="G2380" s="8" t="s">
        <v>11</v>
      </c>
      <c r="H2380" s="8" t="s">
        <v>12</v>
      </c>
      <c r="I2380" s="11" t="s">
        <v>13</v>
      </c>
      <c r="J2380" s="8" t="s">
        <v>14</v>
      </c>
    </row>
    <row r="2381" customFormat="false" ht="14.25" hidden="false" customHeight="false" outlineLevel="0" collapsed="false">
      <c r="A2381" s="8" t="n">
        <v>2380</v>
      </c>
      <c r="B2381" s="8" t="s">
        <v>100</v>
      </c>
      <c r="C2381" s="8" t="s">
        <v>28</v>
      </c>
      <c r="D2381" s="9" t="n">
        <v>44468</v>
      </c>
      <c r="E2381" s="9" t="str">
        <f aca="false">TEXT(D2381,"MMM")</f>
        <v>set</v>
      </c>
      <c r="F2381" s="10" t="n">
        <v>1397.77</v>
      </c>
      <c r="G2381" s="8" t="s">
        <v>11</v>
      </c>
      <c r="H2381" s="8" t="s">
        <v>17</v>
      </c>
      <c r="I2381" s="11" t="s">
        <v>18</v>
      </c>
      <c r="J2381" s="8" t="s">
        <v>14</v>
      </c>
    </row>
    <row r="2382" customFormat="false" ht="14.25" hidden="false" customHeight="false" outlineLevel="0" collapsed="false">
      <c r="A2382" s="8" t="n">
        <v>2381</v>
      </c>
      <c r="B2382" s="8" t="s">
        <v>81</v>
      </c>
      <c r="C2382" s="8" t="s">
        <v>10</v>
      </c>
      <c r="D2382" s="9" t="n">
        <v>44468</v>
      </c>
      <c r="E2382" s="9" t="str">
        <f aca="false">TEXT(D2382,"MMM")</f>
        <v>set</v>
      </c>
      <c r="F2382" s="10" t="n">
        <v>-412.69</v>
      </c>
      <c r="G2382" s="8" t="s">
        <v>34</v>
      </c>
      <c r="H2382" s="8" t="s">
        <v>12</v>
      </c>
      <c r="I2382" s="11" t="s">
        <v>13</v>
      </c>
      <c r="J2382" s="8" t="s">
        <v>14</v>
      </c>
    </row>
    <row r="2383" customFormat="false" ht="14.25" hidden="false" customHeight="false" outlineLevel="0" collapsed="false">
      <c r="A2383" s="8" t="n">
        <v>2382</v>
      </c>
      <c r="B2383" s="8" t="s">
        <v>136</v>
      </c>
      <c r="C2383" s="8" t="s">
        <v>21</v>
      </c>
      <c r="D2383" s="9" t="n">
        <v>44468</v>
      </c>
      <c r="E2383" s="9" t="str">
        <f aca="false">TEXT(D2383,"MMM")</f>
        <v>set</v>
      </c>
      <c r="F2383" s="10" t="n">
        <v>6273</v>
      </c>
      <c r="G2383" s="8" t="s">
        <v>11</v>
      </c>
      <c r="H2383" s="8" t="s">
        <v>17</v>
      </c>
      <c r="I2383" s="11" t="s">
        <v>18</v>
      </c>
      <c r="J2383" s="8" t="s">
        <v>26</v>
      </c>
    </row>
    <row r="2384" customFormat="false" ht="14.25" hidden="false" customHeight="false" outlineLevel="0" collapsed="false">
      <c r="A2384" s="8" t="n">
        <v>2383</v>
      </c>
      <c r="B2384" s="8" t="s">
        <v>100</v>
      </c>
      <c r="C2384" s="8" t="s">
        <v>10</v>
      </c>
      <c r="D2384" s="9" t="n">
        <v>44468</v>
      </c>
      <c r="E2384" s="9" t="str">
        <f aca="false">TEXT(D2384,"MMM")</f>
        <v>set</v>
      </c>
      <c r="F2384" s="10" t="n">
        <v>2439.5</v>
      </c>
      <c r="G2384" s="8" t="s">
        <v>11</v>
      </c>
      <c r="H2384" s="8" t="s">
        <v>12</v>
      </c>
      <c r="I2384" s="11" t="s">
        <v>13</v>
      </c>
      <c r="J2384" s="8" t="s">
        <v>19</v>
      </c>
    </row>
    <row r="2385" customFormat="false" ht="14.25" hidden="false" customHeight="false" outlineLevel="0" collapsed="false">
      <c r="A2385" s="8" t="n">
        <v>2384</v>
      </c>
      <c r="B2385" s="8" t="s">
        <v>100</v>
      </c>
      <c r="C2385" s="8" t="s">
        <v>21</v>
      </c>
      <c r="D2385" s="9" t="n">
        <v>44468</v>
      </c>
      <c r="E2385" s="9" t="str">
        <f aca="false">TEXT(D2385,"MMM")</f>
        <v>set</v>
      </c>
      <c r="F2385" s="10" t="n">
        <v>6273</v>
      </c>
      <c r="G2385" s="8" t="s">
        <v>11</v>
      </c>
      <c r="H2385" s="8" t="s">
        <v>17</v>
      </c>
      <c r="I2385" s="11" t="s">
        <v>18</v>
      </c>
      <c r="J2385" s="8" t="s">
        <v>19</v>
      </c>
    </row>
    <row r="2386" customFormat="false" ht="14.25" hidden="false" customHeight="false" outlineLevel="0" collapsed="false">
      <c r="A2386" s="8" t="n">
        <v>2385</v>
      </c>
      <c r="B2386" s="8" t="s">
        <v>81</v>
      </c>
      <c r="C2386" s="8" t="s">
        <v>10</v>
      </c>
      <c r="D2386" s="9" t="n">
        <v>44468</v>
      </c>
      <c r="E2386" s="9" t="str">
        <f aca="false">TEXT(D2386,"MMM")</f>
        <v>set</v>
      </c>
      <c r="F2386" s="10" t="n">
        <v>2439.5</v>
      </c>
      <c r="G2386" s="8" t="s">
        <v>11</v>
      </c>
      <c r="H2386" s="8" t="s">
        <v>17</v>
      </c>
      <c r="I2386" s="11" t="s">
        <v>18</v>
      </c>
      <c r="J2386" s="8" t="s">
        <v>26</v>
      </c>
    </row>
    <row r="2387" customFormat="false" ht="14.25" hidden="false" customHeight="false" outlineLevel="0" collapsed="false">
      <c r="A2387" s="8" t="n">
        <v>2386</v>
      </c>
      <c r="B2387" s="8" t="s">
        <v>136</v>
      </c>
      <c r="C2387" s="8" t="s">
        <v>21</v>
      </c>
      <c r="D2387" s="9" t="n">
        <v>44468</v>
      </c>
      <c r="E2387" s="9" t="str">
        <f aca="false">TEXT(D2387,"MMM")</f>
        <v>set</v>
      </c>
      <c r="F2387" s="10" t="n">
        <v>-1893.68</v>
      </c>
      <c r="G2387" s="8" t="s">
        <v>34</v>
      </c>
      <c r="H2387" s="8" t="s">
        <v>22</v>
      </c>
      <c r="I2387" s="11" t="s">
        <v>23</v>
      </c>
      <c r="J2387" s="8" t="s">
        <v>14</v>
      </c>
    </row>
    <row r="2388" customFormat="false" ht="14.25" hidden="false" customHeight="false" outlineLevel="0" collapsed="false">
      <c r="A2388" s="8" t="n">
        <v>2387</v>
      </c>
      <c r="B2388" s="8" t="s">
        <v>81</v>
      </c>
      <c r="C2388" s="8" t="s">
        <v>16</v>
      </c>
      <c r="D2388" s="9" t="n">
        <v>44468</v>
      </c>
      <c r="E2388" s="9" t="str">
        <f aca="false">TEXT(D2388,"MMM")</f>
        <v>set</v>
      </c>
      <c r="F2388" s="10" t="n">
        <v>-2288.27</v>
      </c>
      <c r="G2388" s="8" t="s">
        <v>34</v>
      </c>
      <c r="H2388" s="8" t="s">
        <v>36</v>
      </c>
      <c r="I2388" s="11" t="s">
        <v>37</v>
      </c>
      <c r="J2388" s="8" t="s">
        <v>14</v>
      </c>
    </row>
    <row r="2389" customFormat="false" ht="14.25" hidden="false" customHeight="false" outlineLevel="0" collapsed="false">
      <c r="A2389" s="8" t="n">
        <v>2388</v>
      </c>
      <c r="B2389" s="8" t="s">
        <v>100</v>
      </c>
      <c r="C2389" s="8" t="s">
        <v>16</v>
      </c>
      <c r="D2389" s="9" t="n">
        <v>44468</v>
      </c>
      <c r="E2389" s="9" t="str">
        <f aca="false">TEXT(D2389,"MMM")</f>
        <v>set</v>
      </c>
      <c r="F2389" s="10" t="n">
        <v>-2033.64</v>
      </c>
      <c r="G2389" s="8" t="s">
        <v>34</v>
      </c>
      <c r="H2389" s="8" t="s">
        <v>36</v>
      </c>
      <c r="I2389" s="11" t="s">
        <v>37</v>
      </c>
      <c r="J2389" s="8" t="s">
        <v>19</v>
      </c>
    </row>
    <row r="2390" customFormat="false" ht="14.25" hidden="false" customHeight="false" outlineLevel="0" collapsed="false">
      <c r="A2390" s="8" t="n">
        <v>2389</v>
      </c>
      <c r="B2390" s="8" t="s">
        <v>100</v>
      </c>
      <c r="C2390" s="8" t="s">
        <v>10</v>
      </c>
      <c r="D2390" s="9" t="n">
        <v>44468</v>
      </c>
      <c r="E2390" s="9" t="str">
        <f aca="false">TEXT(D2390,"MMM")</f>
        <v>set</v>
      </c>
      <c r="F2390" s="10" t="n">
        <v>-1672.76</v>
      </c>
      <c r="G2390" s="8" t="s">
        <v>34</v>
      </c>
      <c r="H2390" s="8" t="s">
        <v>12</v>
      </c>
      <c r="I2390" s="11" t="s">
        <v>13</v>
      </c>
      <c r="J2390" s="8" t="s">
        <v>26</v>
      </c>
    </row>
    <row r="2391" customFormat="false" ht="14.25" hidden="false" customHeight="false" outlineLevel="0" collapsed="false">
      <c r="A2391" s="8" t="n">
        <v>2390</v>
      </c>
      <c r="B2391" s="8" t="s">
        <v>81</v>
      </c>
      <c r="C2391" s="8" t="s">
        <v>10</v>
      </c>
      <c r="D2391" s="9" t="n">
        <v>44468</v>
      </c>
      <c r="E2391" s="9" t="str">
        <f aca="false">TEXT(D2391,"MMM")</f>
        <v>set</v>
      </c>
      <c r="F2391" s="10" t="n">
        <v>-1235.05</v>
      </c>
      <c r="G2391" s="8" t="s">
        <v>34</v>
      </c>
      <c r="H2391" s="8" t="s">
        <v>12</v>
      </c>
      <c r="I2391" s="11" t="s">
        <v>13</v>
      </c>
      <c r="J2391" s="8" t="s">
        <v>24</v>
      </c>
    </row>
    <row r="2392" customFormat="false" ht="14.25" hidden="false" customHeight="false" outlineLevel="0" collapsed="false">
      <c r="A2392" s="8" t="n">
        <v>2391</v>
      </c>
      <c r="B2392" s="8" t="s">
        <v>81</v>
      </c>
      <c r="C2392" s="8" t="s">
        <v>16</v>
      </c>
      <c r="D2392" s="9" t="n">
        <v>44468</v>
      </c>
      <c r="E2392" s="9" t="str">
        <f aca="false">TEXT(D2392,"MMM")</f>
        <v>set</v>
      </c>
      <c r="F2392" s="10" t="n">
        <v>-1678.43</v>
      </c>
      <c r="G2392" s="8" t="s">
        <v>34</v>
      </c>
      <c r="H2392" s="8" t="s">
        <v>17</v>
      </c>
      <c r="I2392" s="11" t="s">
        <v>18</v>
      </c>
      <c r="J2392" s="8" t="s">
        <v>26</v>
      </c>
    </row>
    <row r="2393" customFormat="false" ht="14.25" hidden="false" customHeight="false" outlineLevel="0" collapsed="false">
      <c r="A2393" s="8" t="n">
        <v>2392</v>
      </c>
      <c r="B2393" s="8" t="s">
        <v>100</v>
      </c>
      <c r="C2393" s="8" t="s">
        <v>16</v>
      </c>
      <c r="D2393" s="9" t="n">
        <v>44468</v>
      </c>
      <c r="E2393" s="9" t="str">
        <f aca="false">TEXT(D2393,"MMM")</f>
        <v>set</v>
      </c>
      <c r="F2393" s="10" t="n">
        <v>-40775.42</v>
      </c>
      <c r="G2393" s="8" t="s">
        <v>34</v>
      </c>
      <c r="H2393" s="8" t="s">
        <v>30</v>
      </c>
      <c r="I2393" s="11" t="s">
        <v>31</v>
      </c>
      <c r="J2393" s="8" t="s">
        <v>19</v>
      </c>
    </row>
    <row r="2394" customFormat="false" ht="14.25" hidden="false" customHeight="false" outlineLevel="0" collapsed="false">
      <c r="A2394" s="8" t="n">
        <v>2393</v>
      </c>
      <c r="B2394" s="8" t="s">
        <v>100</v>
      </c>
      <c r="C2394" s="8" t="s">
        <v>10</v>
      </c>
      <c r="D2394" s="9" t="n">
        <v>44468</v>
      </c>
      <c r="E2394" s="9" t="str">
        <f aca="false">TEXT(D2394,"MMM")</f>
        <v>set</v>
      </c>
      <c r="F2394" s="10" t="n">
        <v>131668.57</v>
      </c>
      <c r="G2394" s="8" t="s">
        <v>11</v>
      </c>
      <c r="H2394" s="8" t="s">
        <v>12</v>
      </c>
      <c r="I2394" s="11" t="s">
        <v>13</v>
      </c>
      <c r="J2394" s="8" t="s">
        <v>26</v>
      </c>
    </row>
    <row r="2395" customFormat="false" ht="14.25" hidden="false" customHeight="false" outlineLevel="0" collapsed="false">
      <c r="A2395" s="8" t="n">
        <v>2394</v>
      </c>
      <c r="B2395" s="8" t="s">
        <v>100</v>
      </c>
      <c r="C2395" s="8" t="s">
        <v>21</v>
      </c>
      <c r="D2395" s="9" t="n">
        <v>44468</v>
      </c>
      <c r="E2395" s="9" t="str">
        <f aca="false">TEXT(D2395,"MMM")</f>
        <v>set</v>
      </c>
      <c r="F2395" s="10" t="n">
        <v>164576.51</v>
      </c>
      <c r="G2395" s="8" t="s">
        <v>11</v>
      </c>
      <c r="H2395" s="8" t="s">
        <v>12</v>
      </c>
      <c r="I2395" s="11" t="s">
        <v>13</v>
      </c>
      <c r="J2395" s="8" t="s">
        <v>14</v>
      </c>
    </row>
    <row r="2396" customFormat="false" ht="14.25" hidden="false" customHeight="false" outlineLevel="0" collapsed="false">
      <c r="A2396" s="8" t="n">
        <v>2395</v>
      </c>
      <c r="B2396" s="8" t="s">
        <v>207</v>
      </c>
      <c r="C2396" s="8" t="s">
        <v>28</v>
      </c>
      <c r="D2396" s="9" t="n">
        <v>44470</v>
      </c>
      <c r="E2396" s="9" t="str">
        <f aca="false">TEXT(D2396,"MMM")</f>
        <v>out</v>
      </c>
      <c r="F2396" s="10" t="n">
        <v>-34449.35</v>
      </c>
      <c r="G2396" s="8" t="s">
        <v>34</v>
      </c>
      <c r="H2396" s="8" t="s">
        <v>12</v>
      </c>
      <c r="I2396" s="11" t="s">
        <v>13</v>
      </c>
      <c r="J2396" s="8" t="s">
        <v>26</v>
      </c>
    </row>
    <row r="2397" customFormat="false" ht="14.25" hidden="false" customHeight="false" outlineLevel="0" collapsed="false">
      <c r="A2397" s="8" t="n">
        <v>2396</v>
      </c>
      <c r="B2397" s="8" t="s">
        <v>174</v>
      </c>
      <c r="C2397" s="8" t="s">
        <v>16</v>
      </c>
      <c r="D2397" s="9" t="n">
        <v>44470</v>
      </c>
      <c r="E2397" s="9" t="str">
        <f aca="false">TEXT(D2397,"MMM")</f>
        <v>out</v>
      </c>
      <c r="F2397" s="10" t="n">
        <v>149525.59</v>
      </c>
      <c r="G2397" s="8" t="s">
        <v>11</v>
      </c>
      <c r="H2397" s="8" t="s">
        <v>12</v>
      </c>
      <c r="I2397" s="11" t="s">
        <v>13</v>
      </c>
      <c r="J2397" s="8" t="s">
        <v>14</v>
      </c>
    </row>
    <row r="2398" customFormat="false" ht="14.25" hidden="false" customHeight="false" outlineLevel="0" collapsed="false">
      <c r="A2398" s="8" t="n">
        <v>2397</v>
      </c>
      <c r="B2398" s="8" t="s">
        <v>40</v>
      </c>
      <c r="C2398" s="8" t="s">
        <v>16</v>
      </c>
      <c r="D2398" s="9" t="n">
        <v>44470</v>
      </c>
      <c r="E2398" s="9" t="str">
        <f aca="false">TEXT(D2398,"MMM")</f>
        <v>out</v>
      </c>
      <c r="F2398" s="10" t="n">
        <v>5227.5</v>
      </c>
      <c r="G2398" s="8" t="s">
        <v>11</v>
      </c>
      <c r="H2398" s="8" t="s">
        <v>12</v>
      </c>
      <c r="I2398" s="11" t="s">
        <v>13</v>
      </c>
      <c r="J2398" s="8" t="s">
        <v>19</v>
      </c>
    </row>
    <row r="2399" customFormat="false" ht="14.25" hidden="false" customHeight="false" outlineLevel="0" collapsed="false">
      <c r="A2399" s="8" t="n">
        <v>2398</v>
      </c>
      <c r="B2399" s="8" t="s">
        <v>73</v>
      </c>
      <c r="C2399" s="8" t="s">
        <v>10</v>
      </c>
      <c r="D2399" s="9" t="n">
        <v>44471</v>
      </c>
      <c r="E2399" s="9" t="str">
        <f aca="false">TEXT(D2399,"MMM")</f>
        <v>out</v>
      </c>
      <c r="F2399" s="10" t="n">
        <v>7140.37</v>
      </c>
      <c r="G2399" s="8" t="s">
        <v>11</v>
      </c>
      <c r="H2399" s="8" t="s">
        <v>12</v>
      </c>
      <c r="I2399" s="11" t="s">
        <v>13</v>
      </c>
      <c r="J2399" s="8" t="s">
        <v>26</v>
      </c>
    </row>
    <row r="2400" customFormat="false" ht="14.25" hidden="false" customHeight="false" outlineLevel="0" collapsed="false">
      <c r="A2400" s="8" t="n">
        <v>2399</v>
      </c>
      <c r="B2400" s="8" t="s">
        <v>160</v>
      </c>
      <c r="C2400" s="8" t="s">
        <v>16</v>
      </c>
      <c r="D2400" s="9" t="n">
        <v>44471</v>
      </c>
      <c r="E2400" s="9" t="str">
        <f aca="false">TEXT(D2400,"MMM")</f>
        <v>out</v>
      </c>
      <c r="F2400" s="10" t="n">
        <v>4879</v>
      </c>
      <c r="G2400" s="8" t="s">
        <v>11</v>
      </c>
      <c r="H2400" s="8" t="s">
        <v>36</v>
      </c>
      <c r="I2400" s="11" t="s">
        <v>37</v>
      </c>
      <c r="J2400" s="8" t="s">
        <v>26</v>
      </c>
    </row>
    <row r="2401" customFormat="false" ht="14.25" hidden="false" customHeight="false" outlineLevel="0" collapsed="false">
      <c r="A2401" s="8" t="n">
        <v>2400</v>
      </c>
      <c r="B2401" s="8" t="s">
        <v>165</v>
      </c>
      <c r="C2401" s="8" t="s">
        <v>28</v>
      </c>
      <c r="D2401" s="9" t="n">
        <v>44471</v>
      </c>
      <c r="E2401" s="9" t="str">
        <f aca="false">TEXT(D2401,"MMM")</f>
        <v>out</v>
      </c>
      <c r="F2401" s="10" t="n">
        <v>4321.4</v>
      </c>
      <c r="G2401" s="8" t="s">
        <v>11</v>
      </c>
      <c r="H2401" s="8" t="s">
        <v>12</v>
      </c>
      <c r="I2401" s="11" t="s">
        <v>13</v>
      </c>
      <c r="J2401" s="8" t="s">
        <v>26</v>
      </c>
    </row>
    <row r="2402" customFormat="false" ht="14.25" hidden="false" customHeight="false" outlineLevel="0" collapsed="false">
      <c r="A2402" s="8" t="n">
        <v>2401</v>
      </c>
      <c r="B2402" s="8" t="s">
        <v>158</v>
      </c>
      <c r="C2402" s="8" t="s">
        <v>10</v>
      </c>
      <c r="D2402" s="9" t="n">
        <v>44471</v>
      </c>
      <c r="E2402" s="9" t="str">
        <f aca="false">TEXT(D2402,"MMM")</f>
        <v>out</v>
      </c>
      <c r="F2402" s="10" t="n">
        <v>5227.5</v>
      </c>
      <c r="G2402" s="8" t="s">
        <v>11</v>
      </c>
      <c r="H2402" s="8" t="s">
        <v>17</v>
      </c>
      <c r="I2402" s="11" t="s">
        <v>18</v>
      </c>
      <c r="J2402" s="8" t="s">
        <v>19</v>
      </c>
    </row>
    <row r="2403" customFormat="false" ht="14.25" hidden="false" customHeight="false" outlineLevel="0" collapsed="false">
      <c r="A2403" s="8" t="n">
        <v>2402</v>
      </c>
      <c r="B2403" s="8" t="s">
        <v>85</v>
      </c>
      <c r="C2403" s="8" t="s">
        <v>28</v>
      </c>
      <c r="D2403" s="9" t="n">
        <v>44471</v>
      </c>
      <c r="E2403" s="9" t="str">
        <f aca="false">TEXT(D2403,"MMM")</f>
        <v>out</v>
      </c>
      <c r="F2403" s="10" t="n">
        <v>7140.37</v>
      </c>
      <c r="G2403" s="8" t="s">
        <v>11</v>
      </c>
      <c r="H2403" s="8" t="s">
        <v>36</v>
      </c>
      <c r="I2403" s="11" t="s">
        <v>37</v>
      </c>
      <c r="J2403" s="8" t="s">
        <v>24</v>
      </c>
    </row>
    <row r="2404" customFormat="false" ht="14.25" hidden="false" customHeight="false" outlineLevel="0" collapsed="false">
      <c r="A2404" s="8" t="n">
        <v>2403</v>
      </c>
      <c r="B2404" s="8" t="s">
        <v>173</v>
      </c>
      <c r="C2404" s="8" t="s">
        <v>28</v>
      </c>
      <c r="D2404" s="9" t="n">
        <v>44472</v>
      </c>
      <c r="E2404" s="9" t="str">
        <f aca="false">TEXT(D2404,"MMM")</f>
        <v>out</v>
      </c>
      <c r="F2404" s="10" t="n">
        <v>4879</v>
      </c>
      <c r="G2404" s="8" t="s">
        <v>11</v>
      </c>
      <c r="H2404" s="8" t="s">
        <v>22</v>
      </c>
      <c r="I2404" s="11" t="s">
        <v>23</v>
      </c>
      <c r="J2404" s="8" t="s">
        <v>14</v>
      </c>
    </row>
    <row r="2405" customFormat="false" ht="14.25" hidden="false" customHeight="false" outlineLevel="0" collapsed="false">
      <c r="A2405" s="8" t="n">
        <v>2404</v>
      </c>
      <c r="B2405" s="8" t="s">
        <v>178</v>
      </c>
      <c r="C2405" s="8" t="s">
        <v>21</v>
      </c>
      <c r="D2405" s="9" t="n">
        <v>44472</v>
      </c>
      <c r="E2405" s="9" t="str">
        <f aca="false">TEXT(D2405,"MMM")</f>
        <v>out</v>
      </c>
      <c r="F2405" s="10" t="n">
        <v>4321.4</v>
      </c>
      <c r="G2405" s="8" t="s">
        <v>11</v>
      </c>
      <c r="H2405" s="8" t="s">
        <v>36</v>
      </c>
      <c r="I2405" s="11" t="s">
        <v>37</v>
      </c>
      <c r="J2405" s="8" t="s">
        <v>26</v>
      </c>
    </row>
    <row r="2406" customFormat="false" ht="14.25" hidden="false" customHeight="false" outlineLevel="0" collapsed="false">
      <c r="A2406" s="8" t="n">
        <v>2405</v>
      </c>
      <c r="B2406" s="8" t="s">
        <v>190</v>
      </c>
      <c r="C2406" s="8" t="s">
        <v>16</v>
      </c>
      <c r="D2406" s="9" t="n">
        <v>44472</v>
      </c>
      <c r="E2406" s="9" t="str">
        <f aca="false">TEXT(D2406,"MMM")</f>
        <v>out</v>
      </c>
      <c r="F2406" s="10" t="n">
        <v>3579.1</v>
      </c>
      <c r="G2406" s="8" t="s">
        <v>11</v>
      </c>
      <c r="H2406" s="8" t="s">
        <v>12</v>
      </c>
      <c r="I2406" s="11" t="s">
        <v>13</v>
      </c>
      <c r="J2406" s="8" t="s">
        <v>14</v>
      </c>
    </row>
    <row r="2407" customFormat="false" ht="14.25" hidden="false" customHeight="false" outlineLevel="0" collapsed="false">
      <c r="A2407" s="8" t="n">
        <v>2406</v>
      </c>
      <c r="B2407" s="8" t="s">
        <v>40</v>
      </c>
      <c r="C2407" s="8" t="s">
        <v>10</v>
      </c>
      <c r="D2407" s="9" t="n">
        <v>44472</v>
      </c>
      <c r="E2407" s="9" t="str">
        <f aca="false">TEXT(D2407,"MMM")</f>
        <v>out</v>
      </c>
      <c r="F2407" s="10" t="n">
        <v>3575.61</v>
      </c>
      <c r="G2407" s="8" t="s">
        <v>11</v>
      </c>
      <c r="H2407" s="8" t="s">
        <v>36</v>
      </c>
      <c r="I2407" s="11" t="s">
        <v>37</v>
      </c>
      <c r="J2407" s="8" t="s">
        <v>19</v>
      </c>
    </row>
    <row r="2408" customFormat="false" ht="14.25" hidden="false" customHeight="false" outlineLevel="0" collapsed="false">
      <c r="A2408" s="8" t="n">
        <v>2407</v>
      </c>
      <c r="B2408" s="8" t="s">
        <v>248</v>
      </c>
      <c r="C2408" s="8" t="s">
        <v>16</v>
      </c>
      <c r="D2408" s="9" t="n">
        <v>44473</v>
      </c>
      <c r="E2408" s="9" t="str">
        <f aca="false">TEXT(D2408,"MMM")</f>
        <v>out</v>
      </c>
      <c r="F2408" s="10" t="n">
        <v>7140.37</v>
      </c>
      <c r="G2408" s="8" t="s">
        <v>11</v>
      </c>
      <c r="H2408" s="8" t="s">
        <v>17</v>
      </c>
      <c r="I2408" s="11" t="s">
        <v>18</v>
      </c>
      <c r="J2408" s="8" t="s">
        <v>14</v>
      </c>
    </row>
    <row r="2409" customFormat="false" ht="14.25" hidden="false" customHeight="false" outlineLevel="0" collapsed="false">
      <c r="A2409" s="8" t="n">
        <v>2408</v>
      </c>
      <c r="B2409" s="8" t="s">
        <v>149</v>
      </c>
      <c r="C2409" s="8" t="s">
        <v>16</v>
      </c>
      <c r="D2409" s="9" t="n">
        <v>44473</v>
      </c>
      <c r="E2409" s="9" t="str">
        <f aca="false">TEXT(D2409,"MMM")</f>
        <v>out</v>
      </c>
      <c r="F2409" s="10" t="n">
        <v>0</v>
      </c>
      <c r="G2409" s="8" t="s">
        <v>34</v>
      </c>
      <c r="H2409" s="8" t="s">
        <v>12</v>
      </c>
      <c r="I2409" s="11" t="s">
        <v>13</v>
      </c>
      <c r="J2409" s="8" t="s">
        <v>26</v>
      </c>
    </row>
    <row r="2410" customFormat="false" ht="14.25" hidden="false" customHeight="false" outlineLevel="0" collapsed="false">
      <c r="A2410" s="8" t="n">
        <v>2409</v>
      </c>
      <c r="B2410" s="8" t="s">
        <v>270</v>
      </c>
      <c r="C2410" s="8" t="s">
        <v>10</v>
      </c>
      <c r="D2410" s="9" t="n">
        <v>44473</v>
      </c>
      <c r="E2410" s="9" t="str">
        <f aca="false">TEXT(D2410,"MMM")</f>
        <v>out</v>
      </c>
      <c r="F2410" s="10" t="n">
        <v>0</v>
      </c>
      <c r="G2410" s="8" t="s">
        <v>34</v>
      </c>
      <c r="H2410" s="8" t="s">
        <v>12</v>
      </c>
      <c r="I2410" s="11" t="s">
        <v>13</v>
      </c>
      <c r="J2410" s="8" t="s">
        <v>26</v>
      </c>
    </row>
    <row r="2411" customFormat="false" ht="14.25" hidden="false" customHeight="false" outlineLevel="0" collapsed="false">
      <c r="A2411" s="8" t="n">
        <v>2410</v>
      </c>
      <c r="B2411" s="8" t="s">
        <v>176</v>
      </c>
      <c r="C2411" s="8" t="s">
        <v>21</v>
      </c>
      <c r="D2411" s="9" t="n">
        <v>44473</v>
      </c>
      <c r="E2411" s="9" t="str">
        <f aca="false">TEXT(D2411,"MMM")</f>
        <v>out</v>
      </c>
      <c r="F2411" s="10" t="n">
        <v>7140.37</v>
      </c>
      <c r="G2411" s="8" t="s">
        <v>11</v>
      </c>
      <c r="H2411" s="8" t="s">
        <v>36</v>
      </c>
      <c r="I2411" s="11" t="s">
        <v>37</v>
      </c>
      <c r="J2411" s="8" t="s">
        <v>14</v>
      </c>
    </row>
    <row r="2412" customFormat="false" ht="14.25" hidden="false" customHeight="false" outlineLevel="0" collapsed="false">
      <c r="A2412" s="8" t="n">
        <v>2411</v>
      </c>
      <c r="B2412" s="8" t="s">
        <v>144</v>
      </c>
      <c r="C2412" s="8" t="s">
        <v>10</v>
      </c>
      <c r="D2412" s="9" t="n">
        <v>44473</v>
      </c>
      <c r="E2412" s="9" t="str">
        <f aca="false">TEXT(D2412,"MMM")</f>
        <v>out</v>
      </c>
      <c r="F2412" s="10" t="n">
        <v>7140.34</v>
      </c>
      <c r="G2412" s="8" t="s">
        <v>11</v>
      </c>
      <c r="H2412" s="8" t="s">
        <v>12</v>
      </c>
      <c r="I2412" s="11" t="s">
        <v>13</v>
      </c>
      <c r="J2412" s="8" t="s">
        <v>26</v>
      </c>
    </row>
    <row r="2413" customFormat="false" ht="14.25" hidden="false" customHeight="false" outlineLevel="0" collapsed="false">
      <c r="A2413" s="8" t="n">
        <v>2412</v>
      </c>
      <c r="B2413" s="8" t="s">
        <v>144</v>
      </c>
      <c r="C2413" s="8" t="s">
        <v>10</v>
      </c>
      <c r="D2413" s="9" t="n">
        <v>44473</v>
      </c>
      <c r="E2413" s="9" t="str">
        <f aca="false">TEXT(D2413,"MMM")</f>
        <v>out</v>
      </c>
      <c r="F2413" s="10" t="n">
        <v>-9158.66</v>
      </c>
      <c r="G2413" s="8" t="s">
        <v>34</v>
      </c>
      <c r="H2413" s="8" t="s">
        <v>36</v>
      </c>
      <c r="I2413" s="11" t="s">
        <v>37</v>
      </c>
      <c r="J2413" s="8" t="s">
        <v>14</v>
      </c>
    </row>
    <row r="2414" customFormat="false" ht="14.25" hidden="false" customHeight="false" outlineLevel="0" collapsed="false">
      <c r="A2414" s="8" t="n">
        <v>2413</v>
      </c>
      <c r="B2414" s="8" t="s">
        <v>225</v>
      </c>
      <c r="C2414" s="8" t="s">
        <v>28</v>
      </c>
      <c r="D2414" s="9" t="n">
        <v>44474</v>
      </c>
      <c r="E2414" s="9" t="str">
        <f aca="false">TEXT(D2414,"MMM")</f>
        <v>out</v>
      </c>
      <c r="F2414" s="10" t="n">
        <v>-27375.08</v>
      </c>
      <c r="G2414" s="8" t="s">
        <v>34</v>
      </c>
      <c r="H2414" s="8" t="s">
        <v>12</v>
      </c>
      <c r="I2414" s="11" t="s">
        <v>13</v>
      </c>
      <c r="J2414" s="8" t="s">
        <v>19</v>
      </c>
    </row>
    <row r="2415" customFormat="false" ht="14.25" hidden="false" customHeight="false" outlineLevel="0" collapsed="false">
      <c r="A2415" s="8" t="n">
        <v>2414</v>
      </c>
      <c r="B2415" s="8" t="s">
        <v>247</v>
      </c>
      <c r="C2415" s="8" t="s">
        <v>16</v>
      </c>
      <c r="D2415" s="9" t="n">
        <v>44474</v>
      </c>
      <c r="E2415" s="9" t="str">
        <f aca="false">TEXT(D2415,"MMM")</f>
        <v>out</v>
      </c>
      <c r="F2415" s="10" t="n">
        <v>-1945.23</v>
      </c>
      <c r="G2415" s="8" t="s">
        <v>34</v>
      </c>
      <c r="H2415" s="8" t="s">
        <v>12</v>
      </c>
      <c r="I2415" s="11" t="s">
        <v>13</v>
      </c>
      <c r="J2415" s="8" t="s">
        <v>14</v>
      </c>
    </row>
    <row r="2416" customFormat="false" ht="14.25" hidden="false" customHeight="false" outlineLevel="0" collapsed="false">
      <c r="A2416" s="8" t="n">
        <v>2415</v>
      </c>
      <c r="B2416" s="8" t="s">
        <v>85</v>
      </c>
      <c r="C2416" s="8" t="s">
        <v>28</v>
      </c>
      <c r="D2416" s="9" t="n">
        <v>44474</v>
      </c>
      <c r="E2416" s="9" t="str">
        <f aca="false">TEXT(D2416,"MMM")</f>
        <v>out</v>
      </c>
      <c r="F2416" s="10" t="n">
        <v>-4633.76</v>
      </c>
      <c r="G2416" s="8" t="s">
        <v>34</v>
      </c>
      <c r="H2416" s="8" t="s">
        <v>12</v>
      </c>
      <c r="I2416" s="11" t="s">
        <v>13</v>
      </c>
      <c r="J2416" s="8" t="s">
        <v>19</v>
      </c>
    </row>
    <row r="2417" customFormat="false" ht="14.25" hidden="false" customHeight="false" outlineLevel="0" collapsed="false">
      <c r="A2417" s="8" t="n">
        <v>2416</v>
      </c>
      <c r="B2417" s="8" t="s">
        <v>182</v>
      </c>
      <c r="C2417" s="8" t="s">
        <v>10</v>
      </c>
      <c r="D2417" s="9" t="n">
        <v>44477</v>
      </c>
      <c r="E2417" s="9" t="str">
        <f aca="false">TEXT(D2417,"MMM")</f>
        <v>out</v>
      </c>
      <c r="F2417" s="10" t="n">
        <v>-8496.29</v>
      </c>
      <c r="G2417" s="8" t="s">
        <v>34</v>
      </c>
      <c r="H2417" s="8" t="s">
        <v>12</v>
      </c>
      <c r="I2417" s="11" t="s">
        <v>13</v>
      </c>
      <c r="J2417" s="8" t="s">
        <v>19</v>
      </c>
    </row>
    <row r="2418" customFormat="false" ht="14.25" hidden="false" customHeight="false" outlineLevel="0" collapsed="false">
      <c r="A2418" s="8" t="n">
        <v>2417</v>
      </c>
      <c r="B2418" s="8" t="s">
        <v>50</v>
      </c>
      <c r="C2418" s="8" t="s">
        <v>10</v>
      </c>
      <c r="D2418" s="9" t="n">
        <v>44477</v>
      </c>
      <c r="E2418" s="9" t="str">
        <f aca="false">TEXT(D2418,"MMM")</f>
        <v>out</v>
      </c>
      <c r="F2418" s="10" t="n">
        <v>-7609.35</v>
      </c>
      <c r="G2418" s="8" t="s">
        <v>34</v>
      </c>
      <c r="H2418" s="8" t="s">
        <v>22</v>
      </c>
      <c r="I2418" s="11" t="s">
        <v>23</v>
      </c>
      <c r="J2418" s="8" t="s">
        <v>14</v>
      </c>
    </row>
    <row r="2419" customFormat="false" ht="14.25" hidden="false" customHeight="false" outlineLevel="0" collapsed="false">
      <c r="A2419" s="8" t="n">
        <v>2418</v>
      </c>
      <c r="B2419" s="8" t="s">
        <v>113</v>
      </c>
      <c r="C2419" s="8" t="s">
        <v>10</v>
      </c>
      <c r="D2419" s="9" t="n">
        <v>44477</v>
      </c>
      <c r="E2419" s="9" t="str">
        <f aca="false">TEXT(D2419,"MMM")</f>
        <v>out</v>
      </c>
      <c r="F2419" s="10" t="n">
        <v>-54346.18</v>
      </c>
      <c r="G2419" s="8" t="s">
        <v>34</v>
      </c>
      <c r="H2419" s="8" t="s">
        <v>30</v>
      </c>
      <c r="I2419" s="11" t="s">
        <v>31</v>
      </c>
      <c r="J2419" s="8" t="s">
        <v>19</v>
      </c>
    </row>
    <row r="2420" customFormat="false" ht="14.25" hidden="false" customHeight="false" outlineLevel="0" collapsed="false">
      <c r="A2420" s="8" t="n">
        <v>2419</v>
      </c>
      <c r="B2420" s="8" t="s">
        <v>150</v>
      </c>
      <c r="C2420" s="8" t="s">
        <v>28</v>
      </c>
      <c r="D2420" s="9" t="n">
        <v>44477</v>
      </c>
      <c r="E2420" s="9" t="str">
        <f aca="false">TEXT(D2420,"MMM")</f>
        <v>out</v>
      </c>
      <c r="F2420" s="10" t="n">
        <v>-37314.66</v>
      </c>
      <c r="G2420" s="8" t="s">
        <v>34</v>
      </c>
      <c r="H2420" s="8" t="s">
        <v>12</v>
      </c>
      <c r="I2420" s="11" t="s">
        <v>13</v>
      </c>
      <c r="J2420" s="8" t="s">
        <v>26</v>
      </c>
    </row>
    <row r="2421" customFormat="false" ht="14.25" hidden="false" customHeight="false" outlineLevel="0" collapsed="false">
      <c r="A2421" s="8" t="n">
        <v>2420</v>
      </c>
      <c r="B2421" s="8" t="s">
        <v>85</v>
      </c>
      <c r="C2421" s="8" t="s">
        <v>10</v>
      </c>
      <c r="D2421" s="9" t="n">
        <v>44477</v>
      </c>
      <c r="E2421" s="9" t="str">
        <f aca="false">TEXT(D2421,"MMM")</f>
        <v>out</v>
      </c>
      <c r="F2421" s="10" t="n">
        <v>-54835.27</v>
      </c>
      <c r="G2421" s="8" t="s">
        <v>34</v>
      </c>
      <c r="H2421" s="8" t="s">
        <v>17</v>
      </c>
      <c r="I2421" s="11" t="s">
        <v>18</v>
      </c>
      <c r="J2421" s="8" t="s">
        <v>26</v>
      </c>
    </row>
    <row r="2422" customFormat="false" ht="14.25" hidden="false" customHeight="false" outlineLevel="0" collapsed="false">
      <c r="A2422" s="8" t="n">
        <v>2421</v>
      </c>
      <c r="B2422" s="8" t="s">
        <v>15</v>
      </c>
      <c r="C2422" s="8" t="s">
        <v>28</v>
      </c>
      <c r="D2422" s="9" t="n">
        <v>44477</v>
      </c>
      <c r="E2422" s="9" t="str">
        <f aca="false">TEXT(D2422,"MMM")</f>
        <v>out</v>
      </c>
      <c r="F2422" s="10" t="n">
        <v>-6219.5</v>
      </c>
      <c r="G2422" s="8" t="s">
        <v>34</v>
      </c>
      <c r="H2422" s="8" t="s">
        <v>36</v>
      </c>
      <c r="I2422" s="11" t="s">
        <v>37</v>
      </c>
      <c r="J2422" s="8" t="s">
        <v>24</v>
      </c>
    </row>
    <row r="2423" customFormat="false" ht="14.25" hidden="false" customHeight="false" outlineLevel="0" collapsed="false">
      <c r="A2423" s="8" t="n">
        <v>2422</v>
      </c>
      <c r="B2423" s="8" t="s">
        <v>49</v>
      </c>
      <c r="C2423" s="8" t="s">
        <v>21</v>
      </c>
      <c r="D2423" s="9" t="n">
        <v>44477</v>
      </c>
      <c r="E2423" s="9" t="str">
        <f aca="false">TEXT(D2423,"MMM")</f>
        <v>out</v>
      </c>
      <c r="F2423" s="10" t="n">
        <v>139598.79</v>
      </c>
      <c r="G2423" s="8" t="s">
        <v>11</v>
      </c>
      <c r="H2423" s="8" t="s">
        <v>30</v>
      </c>
      <c r="I2423" s="11" t="s">
        <v>31</v>
      </c>
      <c r="J2423" s="8" t="s">
        <v>19</v>
      </c>
    </row>
    <row r="2424" customFormat="false" ht="14.25" hidden="false" customHeight="false" outlineLevel="0" collapsed="false">
      <c r="A2424" s="8" t="n">
        <v>2423</v>
      </c>
      <c r="B2424" s="8" t="s">
        <v>143</v>
      </c>
      <c r="C2424" s="8" t="s">
        <v>10</v>
      </c>
      <c r="D2424" s="9" t="n">
        <v>44477</v>
      </c>
      <c r="E2424" s="9" t="str">
        <f aca="false">TEXT(D2424,"MMM")</f>
        <v>out</v>
      </c>
      <c r="F2424" s="10" t="n">
        <v>-98.77</v>
      </c>
      <c r="G2424" s="8" t="s">
        <v>34</v>
      </c>
      <c r="H2424" s="8" t="s">
        <v>17</v>
      </c>
      <c r="I2424" s="11" t="s">
        <v>18</v>
      </c>
      <c r="J2424" s="8" t="s">
        <v>26</v>
      </c>
    </row>
    <row r="2425" customFormat="false" ht="14.25" hidden="false" customHeight="false" outlineLevel="0" collapsed="false">
      <c r="A2425" s="8" t="n">
        <v>2424</v>
      </c>
      <c r="B2425" s="8" t="s">
        <v>211</v>
      </c>
      <c r="C2425" s="8" t="s">
        <v>21</v>
      </c>
      <c r="D2425" s="9" t="n">
        <v>44478</v>
      </c>
      <c r="E2425" s="9" t="str">
        <f aca="false">TEXT(D2425,"MMM")</f>
        <v>out</v>
      </c>
      <c r="F2425" s="10" t="n">
        <v>-8377.01</v>
      </c>
      <c r="G2425" s="8" t="s">
        <v>34</v>
      </c>
      <c r="H2425" s="8" t="s">
        <v>12</v>
      </c>
      <c r="I2425" s="11" t="s">
        <v>13</v>
      </c>
      <c r="J2425" s="8" t="s">
        <v>14</v>
      </c>
    </row>
    <row r="2426" customFormat="false" ht="14.25" hidden="false" customHeight="false" outlineLevel="0" collapsed="false">
      <c r="A2426" s="8" t="n">
        <v>2425</v>
      </c>
      <c r="B2426" s="8" t="s">
        <v>271</v>
      </c>
      <c r="C2426" s="8" t="s">
        <v>28</v>
      </c>
      <c r="D2426" s="9" t="n">
        <v>44478</v>
      </c>
      <c r="E2426" s="9" t="str">
        <f aca="false">TEXT(D2426,"MMM")</f>
        <v>out</v>
      </c>
      <c r="F2426" s="10" t="n">
        <v>40631.74</v>
      </c>
      <c r="G2426" s="8" t="s">
        <v>11</v>
      </c>
      <c r="H2426" s="8" t="s">
        <v>12</v>
      </c>
      <c r="I2426" s="11" t="s">
        <v>13</v>
      </c>
      <c r="J2426" s="8" t="s">
        <v>14</v>
      </c>
    </row>
    <row r="2427" customFormat="false" ht="14.25" hidden="false" customHeight="false" outlineLevel="0" collapsed="false">
      <c r="A2427" s="8" t="n">
        <v>2426</v>
      </c>
      <c r="B2427" s="8" t="s">
        <v>272</v>
      </c>
      <c r="C2427" s="8" t="s">
        <v>28</v>
      </c>
      <c r="D2427" s="9" t="n">
        <v>44478</v>
      </c>
      <c r="E2427" s="9" t="str">
        <f aca="false">TEXT(D2427,"MMM")</f>
        <v>out</v>
      </c>
      <c r="F2427" s="10" t="n">
        <v>174171.11</v>
      </c>
      <c r="G2427" s="8" t="s">
        <v>11</v>
      </c>
      <c r="H2427" s="8" t="s">
        <v>30</v>
      </c>
      <c r="I2427" s="11" t="s">
        <v>31</v>
      </c>
      <c r="J2427" s="8" t="s">
        <v>14</v>
      </c>
    </row>
    <row r="2428" customFormat="false" ht="14.25" hidden="false" customHeight="false" outlineLevel="0" collapsed="false">
      <c r="A2428" s="8" t="n">
        <v>2427</v>
      </c>
      <c r="B2428" s="8" t="s">
        <v>159</v>
      </c>
      <c r="C2428" s="8" t="s">
        <v>16</v>
      </c>
      <c r="D2428" s="9" t="n">
        <v>44478</v>
      </c>
      <c r="E2428" s="9" t="str">
        <f aca="false">TEXT(D2428,"MMM")</f>
        <v>out</v>
      </c>
      <c r="F2428" s="10" t="n">
        <v>-29194.41</v>
      </c>
      <c r="G2428" s="8" t="s">
        <v>34</v>
      </c>
      <c r="H2428" s="8" t="s">
        <v>12</v>
      </c>
      <c r="I2428" s="11" t="s">
        <v>13</v>
      </c>
      <c r="J2428" s="8" t="s">
        <v>14</v>
      </c>
    </row>
    <row r="2429" customFormat="false" ht="14.25" hidden="false" customHeight="false" outlineLevel="0" collapsed="false">
      <c r="A2429" s="8" t="n">
        <v>2428</v>
      </c>
      <c r="B2429" s="8" t="s">
        <v>188</v>
      </c>
      <c r="C2429" s="8" t="s">
        <v>28</v>
      </c>
      <c r="D2429" s="9" t="n">
        <v>44478</v>
      </c>
      <c r="E2429" s="9" t="str">
        <f aca="false">TEXT(D2429,"MMM")</f>
        <v>out</v>
      </c>
      <c r="F2429" s="10" t="n">
        <v>-35065.8</v>
      </c>
      <c r="G2429" s="8" t="s">
        <v>34</v>
      </c>
      <c r="H2429" s="8" t="s">
        <v>12</v>
      </c>
      <c r="I2429" s="11" t="s">
        <v>13</v>
      </c>
      <c r="J2429" s="8" t="s">
        <v>26</v>
      </c>
    </row>
    <row r="2430" customFormat="false" ht="14.25" hidden="false" customHeight="false" outlineLevel="0" collapsed="false">
      <c r="A2430" s="8" t="n">
        <v>2429</v>
      </c>
      <c r="B2430" s="8" t="s">
        <v>164</v>
      </c>
      <c r="C2430" s="8" t="s">
        <v>10</v>
      </c>
      <c r="D2430" s="9" t="n">
        <v>44478</v>
      </c>
      <c r="E2430" s="9" t="str">
        <f aca="false">TEXT(D2430,"MMM")</f>
        <v>out</v>
      </c>
      <c r="F2430" s="10" t="n">
        <v>-116606.84</v>
      </c>
      <c r="G2430" s="8" t="s">
        <v>34</v>
      </c>
      <c r="H2430" s="8" t="s">
        <v>12</v>
      </c>
      <c r="I2430" s="11" t="s">
        <v>13</v>
      </c>
      <c r="J2430" s="8" t="s">
        <v>19</v>
      </c>
    </row>
    <row r="2431" customFormat="false" ht="14.25" hidden="false" customHeight="false" outlineLevel="0" collapsed="false">
      <c r="A2431" s="8" t="n">
        <v>2430</v>
      </c>
      <c r="B2431" s="8" t="s">
        <v>172</v>
      </c>
      <c r="C2431" s="8" t="s">
        <v>21</v>
      </c>
      <c r="D2431" s="9" t="n">
        <v>44478</v>
      </c>
      <c r="E2431" s="9" t="str">
        <f aca="false">TEXT(D2431,"MMM")</f>
        <v>out</v>
      </c>
      <c r="F2431" s="10" t="n">
        <v>-91488.46</v>
      </c>
      <c r="G2431" s="8" t="s">
        <v>34</v>
      </c>
      <c r="H2431" s="8" t="s">
        <v>12</v>
      </c>
      <c r="I2431" s="11" t="s">
        <v>13</v>
      </c>
      <c r="J2431" s="8" t="s">
        <v>26</v>
      </c>
    </row>
    <row r="2432" customFormat="false" ht="14.25" hidden="false" customHeight="false" outlineLevel="0" collapsed="false">
      <c r="A2432" s="8" t="n">
        <v>2431</v>
      </c>
      <c r="B2432" s="8" t="s">
        <v>222</v>
      </c>
      <c r="C2432" s="8" t="s">
        <v>28</v>
      </c>
      <c r="D2432" s="9" t="n">
        <v>44478</v>
      </c>
      <c r="E2432" s="9" t="str">
        <f aca="false">TEXT(D2432,"MMM")</f>
        <v>out</v>
      </c>
      <c r="F2432" s="10" t="n">
        <v>-94487.65</v>
      </c>
      <c r="G2432" s="8" t="s">
        <v>34</v>
      </c>
      <c r="H2432" s="8" t="s">
        <v>12</v>
      </c>
      <c r="I2432" s="11" t="s">
        <v>13</v>
      </c>
      <c r="J2432" s="8" t="s">
        <v>19</v>
      </c>
    </row>
    <row r="2433" customFormat="false" ht="14.25" hidden="false" customHeight="false" outlineLevel="0" collapsed="false">
      <c r="A2433" s="8" t="n">
        <v>2432</v>
      </c>
      <c r="B2433" s="8" t="s">
        <v>235</v>
      </c>
      <c r="C2433" s="8" t="s">
        <v>21</v>
      </c>
      <c r="D2433" s="9" t="n">
        <v>44478</v>
      </c>
      <c r="E2433" s="9" t="str">
        <f aca="false">TEXT(D2433,"MMM")</f>
        <v>out</v>
      </c>
      <c r="F2433" s="10" t="n">
        <v>-19964.28</v>
      </c>
      <c r="G2433" s="8" t="s">
        <v>34</v>
      </c>
      <c r="H2433" s="8" t="s">
        <v>36</v>
      </c>
      <c r="I2433" s="11" t="s">
        <v>37</v>
      </c>
      <c r="J2433" s="8" t="s">
        <v>26</v>
      </c>
    </row>
    <row r="2434" customFormat="false" ht="14.25" hidden="false" customHeight="false" outlineLevel="0" collapsed="false">
      <c r="A2434" s="8" t="n">
        <v>2433</v>
      </c>
      <c r="B2434" s="8" t="s">
        <v>159</v>
      </c>
      <c r="C2434" s="8" t="s">
        <v>16</v>
      </c>
      <c r="D2434" s="9" t="n">
        <v>44478</v>
      </c>
      <c r="E2434" s="9" t="str">
        <f aca="false">TEXT(D2434,"MMM")</f>
        <v>out</v>
      </c>
      <c r="F2434" s="10" t="n">
        <v>-36258.22</v>
      </c>
      <c r="G2434" s="8" t="s">
        <v>34</v>
      </c>
      <c r="H2434" s="8" t="s">
        <v>17</v>
      </c>
      <c r="I2434" s="11" t="s">
        <v>18</v>
      </c>
      <c r="J2434" s="8" t="s">
        <v>14</v>
      </c>
    </row>
    <row r="2435" customFormat="false" ht="14.25" hidden="false" customHeight="false" outlineLevel="0" collapsed="false">
      <c r="A2435" s="8" t="n">
        <v>2434</v>
      </c>
      <c r="B2435" s="8" t="s">
        <v>77</v>
      </c>
      <c r="C2435" s="8" t="s">
        <v>28</v>
      </c>
      <c r="D2435" s="9" t="n">
        <v>44478</v>
      </c>
      <c r="E2435" s="9" t="str">
        <f aca="false">TEXT(D2435,"MMM")</f>
        <v>out</v>
      </c>
      <c r="F2435" s="10" t="n">
        <v>-6204.8</v>
      </c>
      <c r="G2435" s="8" t="s">
        <v>34</v>
      </c>
      <c r="H2435" s="8" t="s">
        <v>22</v>
      </c>
      <c r="I2435" s="11" t="s">
        <v>23</v>
      </c>
      <c r="J2435" s="8" t="s">
        <v>26</v>
      </c>
    </row>
    <row r="2436" customFormat="false" ht="14.25" hidden="false" customHeight="false" outlineLevel="0" collapsed="false">
      <c r="A2436" s="8" t="n">
        <v>2435</v>
      </c>
      <c r="B2436" s="8" t="s">
        <v>41</v>
      </c>
      <c r="C2436" s="8" t="s">
        <v>21</v>
      </c>
      <c r="D2436" s="9" t="n">
        <v>44479</v>
      </c>
      <c r="E2436" s="9" t="str">
        <f aca="false">TEXT(D2436,"MMM")</f>
        <v>out</v>
      </c>
      <c r="F2436" s="10" t="n">
        <v>-592.38</v>
      </c>
      <c r="G2436" s="8" t="s">
        <v>34</v>
      </c>
      <c r="H2436" s="8" t="s">
        <v>12</v>
      </c>
      <c r="I2436" s="11" t="s">
        <v>13</v>
      </c>
      <c r="J2436" s="8" t="s">
        <v>26</v>
      </c>
    </row>
    <row r="2437" customFormat="false" ht="14.25" hidden="false" customHeight="false" outlineLevel="0" collapsed="false">
      <c r="A2437" s="8" t="n">
        <v>2436</v>
      </c>
      <c r="B2437" s="8" t="s">
        <v>145</v>
      </c>
      <c r="C2437" s="8" t="s">
        <v>10</v>
      </c>
      <c r="D2437" s="9" t="n">
        <v>44479</v>
      </c>
      <c r="E2437" s="9" t="str">
        <f aca="false">TEXT(D2437,"MMM")</f>
        <v>out</v>
      </c>
      <c r="F2437" s="10" t="n">
        <v>19990</v>
      </c>
      <c r="G2437" s="8" t="s">
        <v>11</v>
      </c>
      <c r="H2437" s="8" t="s">
        <v>12</v>
      </c>
      <c r="I2437" s="11" t="s">
        <v>13</v>
      </c>
      <c r="J2437" s="8" t="s">
        <v>26</v>
      </c>
    </row>
    <row r="2438" customFormat="false" ht="14.25" hidden="false" customHeight="false" outlineLevel="0" collapsed="false">
      <c r="A2438" s="8" t="n">
        <v>2437</v>
      </c>
      <c r="B2438" s="8" t="s">
        <v>86</v>
      </c>
      <c r="C2438" s="8" t="s">
        <v>16</v>
      </c>
      <c r="D2438" s="9" t="n">
        <v>44479</v>
      </c>
      <c r="E2438" s="9" t="str">
        <f aca="false">TEXT(D2438,"MMM")</f>
        <v>out</v>
      </c>
      <c r="F2438" s="10" t="n">
        <v>132820.96</v>
      </c>
      <c r="G2438" s="8" t="s">
        <v>11</v>
      </c>
      <c r="H2438" s="8" t="s">
        <v>12</v>
      </c>
      <c r="I2438" s="11" t="s">
        <v>13</v>
      </c>
      <c r="J2438" s="8" t="s">
        <v>26</v>
      </c>
    </row>
    <row r="2439" customFormat="false" ht="14.25" hidden="false" customHeight="false" outlineLevel="0" collapsed="false">
      <c r="A2439" s="8" t="n">
        <v>2438</v>
      </c>
      <c r="B2439" s="8" t="s">
        <v>39</v>
      </c>
      <c r="C2439" s="8" t="s">
        <v>21</v>
      </c>
      <c r="D2439" s="9" t="n">
        <v>44479</v>
      </c>
      <c r="E2439" s="9" t="str">
        <f aca="false">TEXT(D2439,"MMM")</f>
        <v>out</v>
      </c>
      <c r="F2439" s="10" t="n">
        <v>123966.1</v>
      </c>
      <c r="G2439" s="8" t="s">
        <v>11</v>
      </c>
      <c r="H2439" s="8" t="s">
        <v>36</v>
      </c>
      <c r="I2439" s="11" t="s">
        <v>37</v>
      </c>
      <c r="J2439" s="8" t="s">
        <v>19</v>
      </c>
    </row>
    <row r="2440" customFormat="false" ht="14.25" hidden="false" customHeight="false" outlineLevel="0" collapsed="false">
      <c r="A2440" s="8" t="n">
        <v>2439</v>
      </c>
      <c r="B2440" s="8" t="s">
        <v>181</v>
      </c>
      <c r="C2440" s="8" t="s">
        <v>21</v>
      </c>
      <c r="D2440" s="9" t="n">
        <v>44480</v>
      </c>
      <c r="E2440" s="9" t="str">
        <f aca="false">TEXT(D2440,"MMM")</f>
        <v>out</v>
      </c>
      <c r="F2440" s="10" t="n">
        <v>26160.38</v>
      </c>
      <c r="G2440" s="8" t="s">
        <v>11</v>
      </c>
      <c r="H2440" s="8" t="s">
        <v>12</v>
      </c>
      <c r="I2440" s="11" t="s">
        <v>13</v>
      </c>
      <c r="J2440" s="8" t="s">
        <v>14</v>
      </c>
    </row>
    <row r="2441" customFormat="false" ht="14.25" hidden="false" customHeight="false" outlineLevel="0" collapsed="false">
      <c r="A2441" s="8" t="n">
        <v>2440</v>
      </c>
      <c r="B2441" s="8" t="s">
        <v>222</v>
      </c>
      <c r="C2441" s="8" t="s">
        <v>10</v>
      </c>
      <c r="D2441" s="9" t="n">
        <v>44480</v>
      </c>
      <c r="E2441" s="9" t="str">
        <f aca="false">TEXT(D2441,"MMM")</f>
        <v>out</v>
      </c>
      <c r="F2441" s="10" t="n">
        <v>158679.55</v>
      </c>
      <c r="G2441" s="8" t="s">
        <v>11</v>
      </c>
      <c r="H2441" s="8" t="s">
        <v>36</v>
      </c>
      <c r="I2441" s="11" t="s">
        <v>37</v>
      </c>
      <c r="J2441" s="8" t="s">
        <v>26</v>
      </c>
    </row>
    <row r="2442" customFormat="false" ht="14.25" hidden="false" customHeight="false" outlineLevel="0" collapsed="false">
      <c r="A2442" s="8" t="n">
        <v>2441</v>
      </c>
      <c r="B2442" s="8" t="s">
        <v>210</v>
      </c>
      <c r="C2442" s="8" t="s">
        <v>21</v>
      </c>
      <c r="D2442" s="9" t="n">
        <v>44484</v>
      </c>
      <c r="E2442" s="9" t="str">
        <f aca="false">TEXT(D2442,"MMM")</f>
        <v>out</v>
      </c>
      <c r="F2442" s="10" t="n">
        <v>-235.06</v>
      </c>
      <c r="G2442" s="8" t="s">
        <v>34</v>
      </c>
      <c r="H2442" s="8" t="s">
        <v>12</v>
      </c>
      <c r="I2442" s="11" t="s">
        <v>13</v>
      </c>
      <c r="J2442" s="8" t="s">
        <v>14</v>
      </c>
    </row>
    <row r="2443" customFormat="false" ht="14.25" hidden="false" customHeight="false" outlineLevel="0" collapsed="false">
      <c r="A2443" s="8" t="n">
        <v>2442</v>
      </c>
      <c r="B2443" s="8" t="s">
        <v>35</v>
      </c>
      <c r="C2443" s="8" t="s">
        <v>28</v>
      </c>
      <c r="D2443" s="9" t="n">
        <v>44484</v>
      </c>
      <c r="E2443" s="9" t="str">
        <f aca="false">TEXT(D2443,"MMM")</f>
        <v>out</v>
      </c>
      <c r="F2443" s="10" t="n">
        <v>-20083.11</v>
      </c>
      <c r="G2443" s="8" t="s">
        <v>34</v>
      </c>
      <c r="H2443" s="8" t="s">
        <v>22</v>
      </c>
      <c r="I2443" s="11" t="s">
        <v>23</v>
      </c>
      <c r="J2443" s="8" t="s">
        <v>14</v>
      </c>
    </row>
    <row r="2444" customFormat="false" ht="14.25" hidden="false" customHeight="false" outlineLevel="0" collapsed="false">
      <c r="A2444" s="8" t="n">
        <v>2443</v>
      </c>
      <c r="B2444" s="8" t="s">
        <v>163</v>
      </c>
      <c r="C2444" s="8" t="s">
        <v>21</v>
      </c>
      <c r="D2444" s="9" t="n">
        <v>44484</v>
      </c>
      <c r="E2444" s="9" t="str">
        <f aca="false">TEXT(D2444,"MMM")</f>
        <v>out</v>
      </c>
      <c r="F2444" s="10" t="n">
        <v>-12993.12</v>
      </c>
      <c r="G2444" s="8" t="s">
        <v>34</v>
      </c>
      <c r="H2444" s="8" t="s">
        <v>12</v>
      </c>
      <c r="I2444" s="11" t="s">
        <v>13</v>
      </c>
      <c r="J2444" s="8" t="s">
        <v>19</v>
      </c>
    </row>
    <row r="2445" customFormat="false" ht="14.25" hidden="false" customHeight="false" outlineLevel="0" collapsed="false">
      <c r="A2445" s="8" t="n">
        <v>2444</v>
      </c>
      <c r="B2445" s="8" t="s">
        <v>236</v>
      </c>
      <c r="C2445" s="8" t="s">
        <v>10</v>
      </c>
      <c r="D2445" s="9" t="n">
        <v>44484</v>
      </c>
      <c r="E2445" s="9" t="str">
        <f aca="false">TEXT(D2445,"MMM")</f>
        <v>out</v>
      </c>
      <c r="F2445" s="10" t="n">
        <v>144254.37</v>
      </c>
      <c r="G2445" s="8" t="s">
        <v>11</v>
      </c>
      <c r="H2445" s="8" t="s">
        <v>12</v>
      </c>
      <c r="I2445" s="11" t="s">
        <v>13</v>
      </c>
      <c r="J2445" s="8" t="s">
        <v>14</v>
      </c>
    </row>
    <row r="2446" customFormat="false" ht="14.25" hidden="false" customHeight="false" outlineLevel="0" collapsed="false">
      <c r="A2446" s="8" t="n">
        <v>2445</v>
      </c>
      <c r="B2446" s="8" t="s">
        <v>222</v>
      </c>
      <c r="C2446" s="8" t="s">
        <v>10</v>
      </c>
      <c r="D2446" s="9" t="n">
        <v>44484</v>
      </c>
      <c r="E2446" s="9" t="str">
        <f aca="false">TEXT(D2446,"MMM")</f>
        <v>out</v>
      </c>
      <c r="F2446" s="10" t="n">
        <v>66367.47</v>
      </c>
      <c r="G2446" s="8" t="s">
        <v>11</v>
      </c>
      <c r="H2446" s="8" t="s">
        <v>12</v>
      </c>
      <c r="I2446" s="11" t="s">
        <v>13</v>
      </c>
      <c r="J2446" s="8" t="s">
        <v>26</v>
      </c>
    </row>
    <row r="2447" customFormat="false" ht="14.25" hidden="false" customHeight="false" outlineLevel="0" collapsed="false">
      <c r="A2447" s="8" t="n">
        <v>2446</v>
      </c>
      <c r="B2447" s="8" t="s">
        <v>235</v>
      </c>
      <c r="C2447" s="8" t="s">
        <v>16</v>
      </c>
      <c r="D2447" s="9" t="n">
        <v>44484</v>
      </c>
      <c r="E2447" s="9" t="str">
        <f aca="false">TEXT(D2447,"MMM")</f>
        <v>out</v>
      </c>
      <c r="F2447" s="10" t="n">
        <v>4164.66</v>
      </c>
      <c r="G2447" s="8" t="s">
        <v>11</v>
      </c>
      <c r="H2447" s="8" t="s">
        <v>12</v>
      </c>
      <c r="I2447" s="11" t="s">
        <v>13</v>
      </c>
      <c r="J2447" s="8" t="s">
        <v>14</v>
      </c>
    </row>
    <row r="2448" customFormat="false" ht="14.25" hidden="false" customHeight="false" outlineLevel="0" collapsed="false">
      <c r="A2448" s="8" t="n">
        <v>2447</v>
      </c>
      <c r="B2448" s="8" t="s">
        <v>15</v>
      </c>
      <c r="C2448" s="8" t="s">
        <v>21</v>
      </c>
      <c r="D2448" s="9" t="n">
        <v>44484</v>
      </c>
      <c r="E2448" s="9" t="str">
        <f aca="false">TEXT(D2448,"MMM")</f>
        <v>out</v>
      </c>
      <c r="F2448" s="10" t="n">
        <v>21931.3</v>
      </c>
      <c r="G2448" s="8" t="s">
        <v>11</v>
      </c>
      <c r="H2448" s="8" t="s">
        <v>12</v>
      </c>
      <c r="I2448" s="11" t="s">
        <v>13</v>
      </c>
      <c r="J2448" s="8" t="s">
        <v>14</v>
      </c>
    </row>
    <row r="2449" customFormat="false" ht="14.25" hidden="false" customHeight="false" outlineLevel="0" collapsed="false">
      <c r="A2449" s="8" t="n">
        <v>2448</v>
      </c>
      <c r="B2449" s="8" t="s">
        <v>33</v>
      </c>
      <c r="C2449" s="8" t="s">
        <v>10</v>
      </c>
      <c r="D2449" s="9" t="n">
        <v>44484</v>
      </c>
      <c r="E2449" s="9" t="str">
        <f aca="false">TEXT(D2449,"MMM")</f>
        <v>out</v>
      </c>
      <c r="F2449" s="10" t="n">
        <v>3964.27</v>
      </c>
      <c r="G2449" s="8" t="s">
        <v>11</v>
      </c>
      <c r="H2449" s="8" t="s">
        <v>30</v>
      </c>
      <c r="I2449" s="11" t="s">
        <v>31</v>
      </c>
      <c r="J2449" s="8" t="s">
        <v>26</v>
      </c>
    </row>
    <row r="2450" customFormat="false" ht="14.25" hidden="false" customHeight="false" outlineLevel="0" collapsed="false">
      <c r="A2450" s="8" t="n">
        <v>2449</v>
      </c>
      <c r="B2450" s="8" t="s">
        <v>33</v>
      </c>
      <c r="C2450" s="8" t="s">
        <v>28</v>
      </c>
      <c r="D2450" s="9" t="n">
        <v>44484</v>
      </c>
      <c r="E2450" s="9" t="str">
        <f aca="false">TEXT(D2450,"MMM")</f>
        <v>out</v>
      </c>
      <c r="F2450" s="10" t="n">
        <v>22142.09</v>
      </c>
      <c r="G2450" s="8" t="s">
        <v>11</v>
      </c>
      <c r="H2450" s="8" t="s">
        <v>17</v>
      </c>
      <c r="I2450" s="11" t="s">
        <v>18</v>
      </c>
      <c r="J2450" s="8" t="s">
        <v>14</v>
      </c>
    </row>
    <row r="2451" customFormat="false" ht="14.25" hidden="false" customHeight="false" outlineLevel="0" collapsed="false">
      <c r="A2451" s="8" t="n">
        <v>2450</v>
      </c>
      <c r="B2451" s="8" t="s">
        <v>49</v>
      </c>
      <c r="C2451" s="8" t="s">
        <v>21</v>
      </c>
      <c r="D2451" s="9" t="n">
        <v>44484</v>
      </c>
      <c r="E2451" s="9" t="str">
        <f aca="false">TEXT(D2451,"MMM")</f>
        <v>out</v>
      </c>
      <c r="F2451" s="10" t="n">
        <v>4516.97</v>
      </c>
      <c r="G2451" s="8" t="s">
        <v>11</v>
      </c>
      <c r="H2451" s="8" t="s">
        <v>12</v>
      </c>
      <c r="I2451" s="11" t="s">
        <v>13</v>
      </c>
      <c r="J2451" s="8" t="s">
        <v>19</v>
      </c>
    </row>
    <row r="2452" customFormat="false" ht="14.25" hidden="false" customHeight="false" outlineLevel="0" collapsed="false">
      <c r="A2452" s="8" t="n">
        <v>2451</v>
      </c>
      <c r="B2452" s="8" t="s">
        <v>33</v>
      </c>
      <c r="C2452" s="8" t="s">
        <v>21</v>
      </c>
      <c r="D2452" s="9" t="n">
        <v>44484</v>
      </c>
      <c r="E2452" s="9" t="str">
        <f aca="false">TEXT(D2452,"MMM")</f>
        <v>out</v>
      </c>
      <c r="F2452" s="10" t="n">
        <v>22808.55</v>
      </c>
      <c r="G2452" s="8" t="s">
        <v>11</v>
      </c>
      <c r="H2452" s="8" t="s">
        <v>22</v>
      </c>
      <c r="I2452" s="11" t="s">
        <v>23</v>
      </c>
      <c r="J2452" s="8" t="s">
        <v>14</v>
      </c>
    </row>
    <row r="2453" customFormat="false" ht="14.25" hidden="false" customHeight="false" outlineLevel="0" collapsed="false">
      <c r="A2453" s="8" t="n">
        <v>2452</v>
      </c>
      <c r="B2453" s="8" t="s">
        <v>33</v>
      </c>
      <c r="C2453" s="8" t="s">
        <v>21</v>
      </c>
      <c r="D2453" s="9" t="n">
        <v>44484</v>
      </c>
      <c r="E2453" s="9" t="str">
        <f aca="false">TEXT(D2453,"MMM")</f>
        <v>out</v>
      </c>
      <c r="F2453" s="10" t="n">
        <v>124426.74</v>
      </c>
      <c r="G2453" s="8" t="s">
        <v>11</v>
      </c>
      <c r="H2453" s="8" t="s">
        <v>17</v>
      </c>
      <c r="I2453" s="11" t="s">
        <v>18</v>
      </c>
      <c r="J2453" s="8" t="s">
        <v>19</v>
      </c>
    </row>
    <row r="2454" customFormat="false" ht="14.25" hidden="false" customHeight="false" outlineLevel="0" collapsed="false">
      <c r="A2454" s="8" t="n">
        <v>2453</v>
      </c>
      <c r="B2454" s="8" t="s">
        <v>33</v>
      </c>
      <c r="C2454" s="8" t="s">
        <v>16</v>
      </c>
      <c r="D2454" s="9" t="n">
        <v>44484</v>
      </c>
      <c r="E2454" s="9" t="str">
        <f aca="false">TEXT(D2454,"MMM")</f>
        <v>out</v>
      </c>
      <c r="F2454" s="10" t="n">
        <v>21501.28</v>
      </c>
      <c r="G2454" s="8" t="s">
        <v>11</v>
      </c>
      <c r="H2454" s="8" t="s">
        <v>17</v>
      </c>
      <c r="I2454" s="11" t="s">
        <v>18</v>
      </c>
      <c r="J2454" s="8" t="s">
        <v>14</v>
      </c>
    </row>
    <row r="2455" customFormat="false" ht="14.25" hidden="false" customHeight="false" outlineLevel="0" collapsed="false">
      <c r="A2455" s="8" t="n">
        <v>2454</v>
      </c>
      <c r="B2455" s="8" t="s">
        <v>33</v>
      </c>
      <c r="C2455" s="8" t="s">
        <v>28</v>
      </c>
      <c r="D2455" s="9" t="n">
        <v>44484</v>
      </c>
      <c r="E2455" s="9" t="str">
        <f aca="false">TEXT(D2455,"MMM")</f>
        <v>out</v>
      </c>
      <c r="F2455" s="10" t="n">
        <v>4293.91</v>
      </c>
      <c r="G2455" s="8" t="s">
        <v>11</v>
      </c>
      <c r="H2455" s="8" t="s">
        <v>22</v>
      </c>
      <c r="I2455" s="11" t="s">
        <v>23</v>
      </c>
      <c r="J2455" s="8" t="s">
        <v>14</v>
      </c>
    </row>
    <row r="2456" customFormat="false" ht="14.25" hidden="false" customHeight="false" outlineLevel="0" collapsed="false">
      <c r="A2456" s="8" t="n">
        <v>2455</v>
      </c>
      <c r="B2456" s="8" t="s">
        <v>33</v>
      </c>
      <c r="C2456" s="8" t="s">
        <v>10</v>
      </c>
      <c r="D2456" s="9" t="n">
        <v>44484</v>
      </c>
      <c r="E2456" s="9" t="str">
        <f aca="false">TEXT(D2456,"MMM")</f>
        <v>out</v>
      </c>
      <c r="F2456" s="10" t="n">
        <v>21040.24</v>
      </c>
      <c r="G2456" s="8" t="s">
        <v>11</v>
      </c>
      <c r="H2456" s="8" t="s">
        <v>30</v>
      </c>
      <c r="I2456" s="11" t="s">
        <v>31</v>
      </c>
      <c r="J2456" s="8" t="s">
        <v>26</v>
      </c>
    </row>
    <row r="2457" customFormat="false" ht="14.25" hidden="false" customHeight="false" outlineLevel="0" collapsed="false">
      <c r="A2457" s="8" t="n">
        <v>2456</v>
      </c>
      <c r="B2457" s="8" t="s">
        <v>207</v>
      </c>
      <c r="C2457" s="8" t="s">
        <v>28</v>
      </c>
      <c r="D2457" s="9" t="n">
        <v>44485</v>
      </c>
      <c r="E2457" s="9" t="str">
        <f aca="false">TEXT(D2457,"MMM")</f>
        <v>out</v>
      </c>
      <c r="F2457" s="10" t="n">
        <v>4379.79</v>
      </c>
      <c r="G2457" s="8" t="s">
        <v>11</v>
      </c>
      <c r="H2457" s="8" t="s">
        <v>22</v>
      </c>
      <c r="I2457" s="11" t="s">
        <v>23</v>
      </c>
      <c r="J2457" s="8" t="s">
        <v>26</v>
      </c>
    </row>
    <row r="2458" customFormat="false" ht="14.25" hidden="false" customHeight="false" outlineLevel="0" collapsed="false">
      <c r="A2458" s="8" t="n">
        <v>2457</v>
      </c>
      <c r="B2458" s="8" t="s">
        <v>199</v>
      </c>
      <c r="C2458" s="8" t="s">
        <v>28</v>
      </c>
      <c r="D2458" s="9" t="n">
        <v>44485</v>
      </c>
      <c r="E2458" s="9" t="str">
        <f aca="false">TEXT(D2458,"MMM")</f>
        <v>out</v>
      </c>
      <c r="F2458" s="10" t="n">
        <v>-8434.06</v>
      </c>
      <c r="G2458" s="8" t="s">
        <v>34</v>
      </c>
      <c r="H2458" s="8" t="s">
        <v>36</v>
      </c>
      <c r="I2458" s="11" t="s">
        <v>37</v>
      </c>
      <c r="J2458" s="8" t="s">
        <v>14</v>
      </c>
    </row>
    <row r="2459" customFormat="false" ht="14.25" hidden="false" customHeight="false" outlineLevel="0" collapsed="false">
      <c r="A2459" s="8" t="n">
        <v>2458</v>
      </c>
      <c r="B2459" s="8" t="s">
        <v>248</v>
      </c>
      <c r="C2459" s="8" t="s">
        <v>10</v>
      </c>
      <c r="D2459" s="9" t="n">
        <v>44485</v>
      </c>
      <c r="E2459" s="9" t="str">
        <f aca="false">TEXT(D2459,"MMM")</f>
        <v>out</v>
      </c>
      <c r="F2459" s="10" t="n">
        <v>-788.03</v>
      </c>
      <c r="G2459" s="8" t="s">
        <v>34</v>
      </c>
      <c r="H2459" s="8" t="s">
        <v>17</v>
      </c>
      <c r="I2459" s="11" t="s">
        <v>18</v>
      </c>
      <c r="J2459" s="8" t="s">
        <v>14</v>
      </c>
    </row>
    <row r="2460" customFormat="false" ht="14.25" hidden="false" customHeight="false" outlineLevel="0" collapsed="false">
      <c r="A2460" s="8" t="n">
        <v>2459</v>
      </c>
      <c r="B2460" s="8" t="s">
        <v>273</v>
      </c>
      <c r="C2460" s="8" t="s">
        <v>28</v>
      </c>
      <c r="D2460" s="9" t="n">
        <v>44486</v>
      </c>
      <c r="E2460" s="9" t="str">
        <f aca="false">TEXT(D2460,"MMM")</f>
        <v>out</v>
      </c>
      <c r="F2460" s="10" t="n">
        <v>-7889.7</v>
      </c>
      <c r="G2460" s="8" t="s">
        <v>34</v>
      </c>
      <c r="H2460" s="8" t="s">
        <v>12</v>
      </c>
      <c r="I2460" s="11" t="s">
        <v>13</v>
      </c>
      <c r="J2460" s="8" t="s">
        <v>14</v>
      </c>
    </row>
    <row r="2461" customFormat="false" ht="14.25" hidden="false" customHeight="false" outlineLevel="0" collapsed="false">
      <c r="A2461" s="8" t="n">
        <v>2460</v>
      </c>
      <c r="B2461" s="8" t="s">
        <v>274</v>
      </c>
      <c r="C2461" s="8" t="s">
        <v>21</v>
      </c>
      <c r="D2461" s="9" t="n">
        <v>44486</v>
      </c>
      <c r="E2461" s="9" t="str">
        <f aca="false">TEXT(D2461,"MMM")</f>
        <v>out</v>
      </c>
      <c r="F2461" s="10" t="n">
        <v>-11231.68</v>
      </c>
      <c r="G2461" s="8" t="s">
        <v>34</v>
      </c>
      <c r="H2461" s="8" t="s">
        <v>17</v>
      </c>
      <c r="I2461" s="11" t="s">
        <v>18</v>
      </c>
      <c r="J2461" s="8" t="s">
        <v>14</v>
      </c>
    </row>
    <row r="2462" customFormat="false" ht="14.25" hidden="false" customHeight="false" outlineLevel="0" collapsed="false">
      <c r="A2462" s="8" t="n">
        <v>2461</v>
      </c>
      <c r="B2462" s="8" t="s">
        <v>39</v>
      </c>
      <c r="C2462" s="8" t="s">
        <v>21</v>
      </c>
      <c r="D2462" s="9" t="n">
        <v>44487</v>
      </c>
      <c r="E2462" s="9" t="str">
        <f aca="false">TEXT(D2462,"MMM")</f>
        <v>out</v>
      </c>
      <c r="F2462" s="10" t="n">
        <v>-7375.55</v>
      </c>
      <c r="G2462" s="8" t="s">
        <v>34</v>
      </c>
      <c r="H2462" s="8" t="s">
        <v>17</v>
      </c>
      <c r="I2462" s="11" t="s">
        <v>18</v>
      </c>
      <c r="J2462" s="8" t="s">
        <v>26</v>
      </c>
    </row>
    <row r="2463" customFormat="false" ht="14.25" hidden="false" customHeight="false" outlineLevel="0" collapsed="false">
      <c r="A2463" s="8" t="n">
        <v>2462</v>
      </c>
      <c r="B2463" s="8" t="s">
        <v>39</v>
      </c>
      <c r="C2463" s="8" t="s">
        <v>16</v>
      </c>
      <c r="D2463" s="9" t="n">
        <v>44487</v>
      </c>
      <c r="E2463" s="9" t="str">
        <f aca="false">TEXT(D2463,"MMM")</f>
        <v>out</v>
      </c>
      <c r="F2463" s="10" t="n">
        <v>-3499.51</v>
      </c>
      <c r="G2463" s="8" t="s">
        <v>34</v>
      </c>
      <c r="H2463" s="8" t="s">
        <v>17</v>
      </c>
      <c r="I2463" s="11" t="s">
        <v>18</v>
      </c>
      <c r="J2463" s="8" t="s">
        <v>24</v>
      </c>
    </row>
    <row r="2464" customFormat="false" ht="14.25" hidden="false" customHeight="false" outlineLevel="0" collapsed="false">
      <c r="A2464" s="8" t="n">
        <v>2463</v>
      </c>
      <c r="B2464" s="8" t="s">
        <v>190</v>
      </c>
      <c r="C2464" s="8" t="s">
        <v>28</v>
      </c>
      <c r="D2464" s="9" t="n">
        <v>44488</v>
      </c>
      <c r="E2464" s="9" t="str">
        <f aca="false">TEXT(D2464,"MMM")</f>
        <v>out</v>
      </c>
      <c r="F2464" s="10" t="n">
        <v>9805.01</v>
      </c>
      <c r="G2464" s="8" t="s">
        <v>11</v>
      </c>
      <c r="H2464" s="8" t="s">
        <v>17</v>
      </c>
      <c r="I2464" s="11" t="s">
        <v>18</v>
      </c>
      <c r="J2464" s="8" t="s">
        <v>19</v>
      </c>
    </row>
    <row r="2465" customFormat="false" ht="14.25" hidden="false" customHeight="false" outlineLevel="0" collapsed="false">
      <c r="A2465" s="8" t="n">
        <v>2464</v>
      </c>
      <c r="B2465" s="8" t="s">
        <v>189</v>
      </c>
      <c r="C2465" s="8" t="s">
        <v>21</v>
      </c>
      <c r="D2465" s="9" t="n">
        <v>44488</v>
      </c>
      <c r="E2465" s="9" t="str">
        <f aca="false">TEXT(D2465,"MMM")</f>
        <v>out</v>
      </c>
      <c r="F2465" s="10" t="n">
        <v>9116.05</v>
      </c>
      <c r="G2465" s="8" t="s">
        <v>11</v>
      </c>
      <c r="H2465" s="8" t="s">
        <v>36</v>
      </c>
      <c r="I2465" s="11" t="s">
        <v>37</v>
      </c>
      <c r="J2465" s="8" t="s">
        <v>26</v>
      </c>
    </row>
    <row r="2466" customFormat="false" ht="14.25" hidden="false" customHeight="false" outlineLevel="0" collapsed="false">
      <c r="A2466" s="8" t="n">
        <v>2465</v>
      </c>
      <c r="B2466" s="8" t="s">
        <v>145</v>
      </c>
      <c r="C2466" s="8" t="s">
        <v>21</v>
      </c>
      <c r="D2466" s="9" t="n">
        <v>44488</v>
      </c>
      <c r="E2466" s="9" t="str">
        <f aca="false">TEXT(D2466,"MMM")</f>
        <v>out</v>
      </c>
      <c r="F2466" s="10" t="n">
        <v>9287.47</v>
      </c>
      <c r="G2466" s="8" t="s">
        <v>11</v>
      </c>
      <c r="H2466" s="8" t="s">
        <v>17</v>
      </c>
      <c r="I2466" s="11" t="s">
        <v>18</v>
      </c>
      <c r="J2466" s="8" t="s">
        <v>26</v>
      </c>
    </row>
    <row r="2467" customFormat="false" ht="14.25" hidden="false" customHeight="false" outlineLevel="0" collapsed="false">
      <c r="A2467" s="8" t="n">
        <v>2466</v>
      </c>
      <c r="B2467" s="8" t="s">
        <v>50</v>
      </c>
      <c r="C2467" s="8" t="s">
        <v>21</v>
      </c>
      <c r="D2467" s="9" t="n">
        <v>44491</v>
      </c>
      <c r="E2467" s="9" t="str">
        <f aca="false">TEXT(D2467,"MMM")</f>
        <v>out</v>
      </c>
      <c r="F2467" s="10" t="n">
        <v>9121.73</v>
      </c>
      <c r="G2467" s="8" t="s">
        <v>11</v>
      </c>
      <c r="H2467" s="8" t="s">
        <v>22</v>
      </c>
      <c r="I2467" s="11" t="s">
        <v>23</v>
      </c>
      <c r="J2467" s="8" t="s">
        <v>19</v>
      </c>
    </row>
    <row r="2468" customFormat="false" ht="14.25" hidden="false" customHeight="false" outlineLevel="0" collapsed="false">
      <c r="A2468" s="8" t="n">
        <v>2467</v>
      </c>
      <c r="B2468" s="8" t="s">
        <v>185</v>
      </c>
      <c r="C2468" s="8" t="s">
        <v>21</v>
      </c>
      <c r="D2468" s="9" t="n">
        <v>44491</v>
      </c>
      <c r="E2468" s="9" t="str">
        <f aca="false">TEXT(D2468,"MMM")</f>
        <v>out</v>
      </c>
      <c r="F2468" s="10" t="n">
        <v>10063.75</v>
      </c>
      <c r="G2468" s="8" t="s">
        <v>11</v>
      </c>
      <c r="H2468" s="8" t="s">
        <v>30</v>
      </c>
      <c r="I2468" s="11" t="s">
        <v>31</v>
      </c>
      <c r="J2468" s="8" t="s">
        <v>14</v>
      </c>
    </row>
    <row r="2469" customFormat="false" ht="14.25" hidden="false" customHeight="false" outlineLevel="0" collapsed="false">
      <c r="A2469" s="8" t="n">
        <v>2468</v>
      </c>
      <c r="B2469" s="8" t="s">
        <v>178</v>
      </c>
      <c r="C2469" s="8" t="s">
        <v>21</v>
      </c>
      <c r="D2469" s="9" t="n">
        <v>44491</v>
      </c>
      <c r="E2469" s="9" t="str">
        <f aca="false">TEXT(D2469,"MMM")</f>
        <v>out</v>
      </c>
      <c r="F2469" s="10" t="n">
        <v>10772.11</v>
      </c>
      <c r="G2469" s="8" t="s">
        <v>11</v>
      </c>
      <c r="H2469" s="8" t="s">
        <v>12</v>
      </c>
      <c r="I2469" s="11" t="s">
        <v>13</v>
      </c>
      <c r="J2469" s="8" t="s">
        <v>26</v>
      </c>
    </row>
    <row r="2470" customFormat="false" ht="14.25" hidden="false" customHeight="false" outlineLevel="0" collapsed="false">
      <c r="A2470" s="8" t="n">
        <v>2469</v>
      </c>
      <c r="B2470" s="8" t="s">
        <v>235</v>
      </c>
      <c r="C2470" s="8" t="s">
        <v>28</v>
      </c>
      <c r="D2470" s="9" t="n">
        <v>44491</v>
      </c>
      <c r="E2470" s="9" t="str">
        <f aca="false">TEXT(D2470,"MMM")</f>
        <v>out</v>
      </c>
      <c r="F2470" s="10" t="n">
        <v>8903.59</v>
      </c>
      <c r="G2470" s="8" t="s">
        <v>11</v>
      </c>
      <c r="H2470" s="8" t="s">
        <v>12</v>
      </c>
      <c r="I2470" s="11" t="s">
        <v>13</v>
      </c>
      <c r="J2470" s="8" t="s">
        <v>14</v>
      </c>
    </row>
    <row r="2471" customFormat="false" ht="14.25" hidden="false" customHeight="false" outlineLevel="0" collapsed="false">
      <c r="A2471" s="8" t="n">
        <v>2470</v>
      </c>
      <c r="B2471" s="8" t="s">
        <v>85</v>
      </c>
      <c r="C2471" s="8" t="s">
        <v>21</v>
      </c>
      <c r="D2471" s="9" t="n">
        <v>44491</v>
      </c>
      <c r="E2471" s="9" t="str">
        <f aca="false">TEXT(D2471,"MMM")</f>
        <v>out</v>
      </c>
      <c r="F2471" s="10" t="n">
        <v>9579.05</v>
      </c>
      <c r="G2471" s="8" t="s">
        <v>11</v>
      </c>
      <c r="H2471" s="8" t="s">
        <v>12</v>
      </c>
      <c r="I2471" s="11" t="s">
        <v>13</v>
      </c>
      <c r="J2471" s="8" t="s">
        <v>26</v>
      </c>
    </row>
    <row r="2472" customFormat="false" ht="14.25" hidden="false" customHeight="false" outlineLevel="0" collapsed="false">
      <c r="A2472" s="8" t="n">
        <v>2471</v>
      </c>
      <c r="B2472" s="8" t="s">
        <v>77</v>
      </c>
      <c r="C2472" s="8" t="s">
        <v>21</v>
      </c>
      <c r="D2472" s="9" t="n">
        <v>44491</v>
      </c>
      <c r="E2472" s="9" t="str">
        <f aca="false">TEXT(D2472,"MMM")</f>
        <v>out</v>
      </c>
      <c r="F2472" s="10" t="n">
        <v>-23455.36</v>
      </c>
      <c r="G2472" s="8" t="s">
        <v>34</v>
      </c>
      <c r="H2472" s="8" t="s">
        <v>17</v>
      </c>
      <c r="I2472" s="11" t="s">
        <v>18</v>
      </c>
      <c r="J2472" s="8" t="s">
        <v>14</v>
      </c>
    </row>
    <row r="2473" customFormat="false" ht="14.25" hidden="false" customHeight="false" outlineLevel="0" collapsed="false">
      <c r="A2473" s="8" t="n">
        <v>2472</v>
      </c>
      <c r="B2473" s="8" t="s">
        <v>15</v>
      </c>
      <c r="C2473" s="8" t="s">
        <v>21</v>
      </c>
      <c r="D2473" s="9" t="n">
        <v>44491</v>
      </c>
      <c r="E2473" s="9" t="str">
        <f aca="false">TEXT(D2473,"MMM")</f>
        <v>out</v>
      </c>
      <c r="F2473" s="10" t="n">
        <v>-4869.66</v>
      </c>
      <c r="G2473" s="8" t="s">
        <v>34</v>
      </c>
      <c r="H2473" s="8" t="s">
        <v>30</v>
      </c>
      <c r="I2473" s="11" t="s">
        <v>31</v>
      </c>
      <c r="J2473" s="8" t="s">
        <v>19</v>
      </c>
    </row>
    <row r="2474" customFormat="false" ht="14.25" hidden="false" customHeight="false" outlineLevel="0" collapsed="false">
      <c r="A2474" s="8" t="n">
        <v>2473</v>
      </c>
      <c r="B2474" s="8" t="s">
        <v>160</v>
      </c>
      <c r="C2474" s="8" t="s">
        <v>21</v>
      </c>
      <c r="D2474" s="9" t="n">
        <v>44492</v>
      </c>
      <c r="E2474" s="9" t="str">
        <f aca="false">TEXT(D2474,"MMM")</f>
        <v>out</v>
      </c>
      <c r="F2474" s="10" t="n">
        <v>-7068.6</v>
      </c>
      <c r="G2474" s="8" t="s">
        <v>34</v>
      </c>
      <c r="H2474" s="8" t="s">
        <v>17</v>
      </c>
      <c r="I2474" s="11" t="s">
        <v>18</v>
      </c>
      <c r="J2474" s="8" t="s">
        <v>19</v>
      </c>
    </row>
    <row r="2475" customFormat="false" ht="14.25" hidden="false" customHeight="false" outlineLevel="0" collapsed="false">
      <c r="A2475" s="8" t="n">
        <v>2474</v>
      </c>
      <c r="B2475" s="8" t="s">
        <v>52</v>
      </c>
      <c r="C2475" s="8" t="s">
        <v>10</v>
      </c>
      <c r="D2475" s="9" t="n">
        <v>44492</v>
      </c>
      <c r="E2475" s="9" t="str">
        <f aca="false">TEXT(D2475,"MMM")</f>
        <v>out</v>
      </c>
      <c r="F2475" s="10" t="n">
        <v>-7499.84</v>
      </c>
      <c r="G2475" s="8" t="s">
        <v>34</v>
      </c>
      <c r="H2475" s="8" t="s">
        <v>22</v>
      </c>
      <c r="I2475" s="11" t="s">
        <v>23</v>
      </c>
      <c r="J2475" s="8" t="s">
        <v>26</v>
      </c>
    </row>
    <row r="2476" customFormat="false" ht="14.25" hidden="false" customHeight="false" outlineLevel="0" collapsed="false">
      <c r="A2476" s="8" t="n">
        <v>2475</v>
      </c>
      <c r="B2476" s="8" t="s">
        <v>52</v>
      </c>
      <c r="C2476" s="8" t="s">
        <v>28</v>
      </c>
      <c r="D2476" s="9" t="n">
        <v>44492</v>
      </c>
      <c r="E2476" s="9" t="str">
        <f aca="false">TEXT(D2476,"MMM")</f>
        <v>out</v>
      </c>
      <c r="F2476" s="10" t="n">
        <v>-12924.28</v>
      </c>
      <c r="G2476" s="8" t="s">
        <v>34</v>
      </c>
      <c r="H2476" s="8" t="s">
        <v>22</v>
      </c>
      <c r="I2476" s="11" t="s">
        <v>23</v>
      </c>
      <c r="J2476" s="8" t="s">
        <v>26</v>
      </c>
    </row>
    <row r="2477" customFormat="false" ht="14.25" hidden="false" customHeight="false" outlineLevel="0" collapsed="false">
      <c r="A2477" s="8" t="n">
        <v>2476</v>
      </c>
      <c r="B2477" s="8" t="s">
        <v>52</v>
      </c>
      <c r="C2477" s="8" t="s">
        <v>21</v>
      </c>
      <c r="D2477" s="9" t="n">
        <v>44492</v>
      </c>
      <c r="E2477" s="9" t="str">
        <f aca="false">TEXT(D2477,"MMM")</f>
        <v>out</v>
      </c>
      <c r="F2477" s="10" t="n">
        <v>-9879.21</v>
      </c>
      <c r="G2477" s="8" t="s">
        <v>34</v>
      </c>
      <c r="H2477" s="8" t="s">
        <v>36</v>
      </c>
      <c r="I2477" s="11" t="s">
        <v>37</v>
      </c>
      <c r="J2477" s="8" t="s">
        <v>26</v>
      </c>
    </row>
    <row r="2478" customFormat="false" ht="14.25" hidden="false" customHeight="false" outlineLevel="0" collapsed="false">
      <c r="A2478" s="8" t="n">
        <v>2477</v>
      </c>
      <c r="B2478" s="8" t="s">
        <v>189</v>
      </c>
      <c r="C2478" s="8" t="s">
        <v>28</v>
      </c>
      <c r="D2478" s="9" t="n">
        <v>44493</v>
      </c>
      <c r="E2478" s="9" t="str">
        <f aca="false">TEXT(D2478,"MMM")</f>
        <v>out</v>
      </c>
      <c r="F2478" s="10" t="n">
        <v>-24120.57</v>
      </c>
      <c r="G2478" s="8" t="s">
        <v>34</v>
      </c>
      <c r="H2478" s="8" t="s">
        <v>30</v>
      </c>
      <c r="I2478" s="11" t="s">
        <v>31</v>
      </c>
      <c r="J2478" s="8" t="s">
        <v>26</v>
      </c>
    </row>
    <row r="2479" customFormat="false" ht="14.25" hidden="false" customHeight="false" outlineLevel="0" collapsed="false">
      <c r="A2479" s="8" t="n">
        <v>2478</v>
      </c>
      <c r="B2479" s="8" t="s">
        <v>227</v>
      </c>
      <c r="C2479" s="8" t="s">
        <v>28</v>
      </c>
      <c r="D2479" s="9" t="n">
        <v>44493</v>
      </c>
      <c r="E2479" s="9" t="str">
        <f aca="false">TEXT(D2479,"MMM")</f>
        <v>out</v>
      </c>
      <c r="F2479" s="10" t="n">
        <v>16530.51</v>
      </c>
      <c r="G2479" s="8" t="s">
        <v>11</v>
      </c>
      <c r="H2479" s="8" t="s">
        <v>30</v>
      </c>
      <c r="I2479" s="11" t="s">
        <v>31</v>
      </c>
      <c r="J2479" s="8" t="s">
        <v>26</v>
      </c>
    </row>
    <row r="2480" customFormat="false" ht="14.25" hidden="false" customHeight="false" outlineLevel="0" collapsed="false">
      <c r="A2480" s="8" t="n">
        <v>2479</v>
      </c>
      <c r="B2480" s="8" t="s">
        <v>228</v>
      </c>
      <c r="C2480" s="8" t="s">
        <v>28</v>
      </c>
      <c r="D2480" s="9" t="n">
        <v>44493</v>
      </c>
      <c r="E2480" s="9" t="str">
        <f aca="false">TEXT(D2480,"MMM")</f>
        <v>out</v>
      </c>
      <c r="F2480" s="10" t="n">
        <v>35087.92</v>
      </c>
      <c r="G2480" s="8" t="s">
        <v>11</v>
      </c>
      <c r="H2480" s="8" t="s">
        <v>12</v>
      </c>
      <c r="I2480" s="11" t="s">
        <v>13</v>
      </c>
      <c r="J2480" s="8" t="s">
        <v>19</v>
      </c>
    </row>
    <row r="2481" customFormat="false" ht="14.25" hidden="false" customHeight="false" outlineLevel="0" collapsed="false">
      <c r="A2481" s="8" t="n">
        <v>2480</v>
      </c>
      <c r="B2481" s="8" t="s">
        <v>229</v>
      </c>
      <c r="C2481" s="8" t="s">
        <v>28</v>
      </c>
      <c r="D2481" s="9" t="n">
        <v>44493</v>
      </c>
      <c r="E2481" s="9" t="str">
        <f aca="false">TEXT(D2481,"MMM")</f>
        <v>out</v>
      </c>
      <c r="F2481" s="10" t="n">
        <v>2795.37</v>
      </c>
      <c r="G2481" s="8" t="s">
        <v>11</v>
      </c>
      <c r="H2481" s="8" t="s">
        <v>36</v>
      </c>
      <c r="I2481" s="11" t="s">
        <v>37</v>
      </c>
      <c r="J2481" s="8" t="s">
        <v>26</v>
      </c>
    </row>
    <row r="2482" customFormat="false" ht="14.25" hidden="false" customHeight="false" outlineLevel="0" collapsed="false">
      <c r="A2482" s="8" t="n">
        <v>2481</v>
      </c>
      <c r="B2482" s="8" t="s">
        <v>230</v>
      </c>
      <c r="C2482" s="8" t="s">
        <v>21</v>
      </c>
      <c r="D2482" s="9" t="n">
        <v>44493</v>
      </c>
      <c r="E2482" s="9" t="str">
        <f aca="false">TEXT(D2482,"MMM")</f>
        <v>out</v>
      </c>
      <c r="F2482" s="10" t="n">
        <v>-325989.02</v>
      </c>
      <c r="G2482" s="8" t="s">
        <v>34</v>
      </c>
      <c r="H2482" s="8" t="s">
        <v>17</v>
      </c>
      <c r="I2482" s="11" t="s">
        <v>18</v>
      </c>
      <c r="J2482" s="8" t="s">
        <v>26</v>
      </c>
    </row>
    <row r="2483" customFormat="false" ht="14.25" hidden="false" customHeight="false" outlineLevel="0" collapsed="false">
      <c r="A2483" s="8" t="n">
        <v>2482</v>
      </c>
      <c r="B2483" s="8" t="s">
        <v>233</v>
      </c>
      <c r="C2483" s="8" t="s">
        <v>16</v>
      </c>
      <c r="D2483" s="9" t="n">
        <v>44493</v>
      </c>
      <c r="E2483" s="9" t="str">
        <f aca="false">TEXT(D2483,"MMM")</f>
        <v>out</v>
      </c>
      <c r="F2483" s="10" t="n">
        <v>146416.19</v>
      </c>
      <c r="G2483" s="8" t="s">
        <v>11</v>
      </c>
      <c r="H2483" s="8" t="s">
        <v>36</v>
      </c>
      <c r="I2483" s="11" t="s">
        <v>37</v>
      </c>
      <c r="J2483" s="8" t="s">
        <v>14</v>
      </c>
    </row>
    <row r="2484" customFormat="false" ht="14.25" hidden="false" customHeight="false" outlineLevel="0" collapsed="false">
      <c r="A2484" s="8" t="n">
        <v>2483</v>
      </c>
      <c r="B2484" s="8" t="s">
        <v>225</v>
      </c>
      <c r="C2484" s="8" t="s">
        <v>21</v>
      </c>
      <c r="D2484" s="9" t="n">
        <v>44493</v>
      </c>
      <c r="E2484" s="9" t="str">
        <f aca="false">TEXT(D2484,"MMM")</f>
        <v>out</v>
      </c>
      <c r="F2484" s="10" t="n">
        <v>-204.51</v>
      </c>
      <c r="G2484" s="8" t="s">
        <v>34</v>
      </c>
      <c r="H2484" s="8" t="s">
        <v>36</v>
      </c>
      <c r="I2484" s="11" t="s">
        <v>37</v>
      </c>
      <c r="J2484" s="8" t="s">
        <v>14</v>
      </c>
    </row>
    <row r="2485" customFormat="false" ht="14.25" hidden="false" customHeight="false" outlineLevel="0" collapsed="false">
      <c r="A2485" s="8" t="n">
        <v>2484</v>
      </c>
      <c r="B2485" s="8" t="s">
        <v>226</v>
      </c>
      <c r="C2485" s="8" t="s">
        <v>21</v>
      </c>
      <c r="D2485" s="9" t="n">
        <v>44493</v>
      </c>
      <c r="E2485" s="9" t="str">
        <f aca="false">TEXT(D2485,"MMM")</f>
        <v>out</v>
      </c>
      <c r="F2485" s="10" t="n">
        <v>-6434.93</v>
      </c>
      <c r="G2485" s="8" t="s">
        <v>34</v>
      </c>
      <c r="H2485" s="8" t="s">
        <v>22</v>
      </c>
      <c r="I2485" s="11" t="s">
        <v>23</v>
      </c>
      <c r="J2485" s="8" t="s">
        <v>19</v>
      </c>
    </row>
    <row r="2486" customFormat="false" ht="14.25" hidden="false" customHeight="false" outlineLevel="0" collapsed="false">
      <c r="A2486" s="8" t="n">
        <v>2485</v>
      </c>
      <c r="B2486" s="8" t="s">
        <v>232</v>
      </c>
      <c r="C2486" s="8" t="s">
        <v>21</v>
      </c>
      <c r="D2486" s="9" t="n">
        <v>44493</v>
      </c>
      <c r="E2486" s="9" t="str">
        <f aca="false">TEXT(D2486,"MMM")</f>
        <v>out</v>
      </c>
      <c r="F2486" s="10" t="n">
        <v>-5656.07</v>
      </c>
      <c r="G2486" s="8" t="s">
        <v>34</v>
      </c>
      <c r="H2486" s="8" t="s">
        <v>17</v>
      </c>
      <c r="I2486" s="11" t="s">
        <v>18</v>
      </c>
      <c r="J2486" s="8" t="s">
        <v>26</v>
      </c>
    </row>
    <row r="2487" customFormat="false" ht="14.25" hidden="false" customHeight="false" outlineLevel="0" collapsed="false">
      <c r="A2487" s="8" t="n">
        <v>2486</v>
      </c>
      <c r="B2487" s="8" t="s">
        <v>269</v>
      </c>
      <c r="C2487" s="8" t="s">
        <v>16</v>
      </c>
      <c r="D2487" s="9" t="n">
        <v>44493</v>
      </c>
      <c r="E2487" s="9" t="str">
        <f aca="false">TEXT(D2487,"MMM")</f>
        <v>out</v>
      </c>
      <c r="F2487" s="10" t="n">
        <v>-6126.12</v>
      </c>
      <c r="G2487" s="8" t="s">
        <v>34</v>
      </c>
      <c r="H2487" s="8" t="s">
        <v>17</v>
      </c>
      <c r="I2487" s="11" t="s">
        <v>18</v>
      </c>
      <c r="J2487" s="8" t="s">
        <v>19</v>
      </c>
    </row>
    <row r="2488" customFormat="false" ht="14.25" hidden="false" customHeight="false" outlineLevel="0" collapsed="false">
      <c r="A2488" s="8" t="n">
        <v>2487</v>
      </c>
      <c r="B2488" s="8" t="s">
        <v>40</v>
      </c>
      <c r="C2488" s="8" t="s">
        <v>10</v>
      </c>
      <c r="D2488" s="9" t="n">
        <v>44493</v>
      </c>
      <c r="E2488" s="9" t="str">
        <f aca="false">TEXT(D2488,"MMM")</f>
        <v>out</v>
      </c>
      <c r="F2488" s="10" t="n">
        <v>-6060.08</v>
      </c>
      <c r="G2488" s="8" t="s">
        <v>34</v>
      </c>
      <c r="H2488" s="8" t="s">
        <v>12</v>
      </c>
      <c r="I2488" s="11" t="s">
        <v>13</v>
      </c>
      <c r="J2488" s="8" t="s">
        <v>26</v>
      </c>
    </row>
    <row r="2489" customFormat="false" ht="14.25" hidden="false" customHeight="false" outlineLevel="0" collapsed="false">
      <c r="A2489" s="8" t="n">
        <v>2488</v>
      </c>
      <c r="B2489" s="8" t="s">
        <v>15</v>
      </c>
      <c r="C2489" s="8" t="s">
        <v>28</v>
      </c>
      <c r="D2489" s="9" t="n">
        <v>44493</v>
      </c>
      <c r="E2489" s="9" t="str">
        <f aca="false">TEXT(D2489,"MMM")</f>
        <v>out</v>
      </c>
      <c r="F2489" s="10" t="n">
        <v>-5652.5</v>
      </c>
      <c r="G2489" s="8" t="s">
        <v>34</v>
      </c>
      <c r="H2489" s="8" t="s">
        <v>17</v>
      </c>
      <c r="I2489" s="11" t="s">
        <v>18</v>
      </c>
      <c r="J2489" s="8" t="s">
        <v>19</v>
      </c>
    </row>
    <row r="2490" customFormat="false" ht="14.25" hidden="false" customHeight="false" outlineLevel="0" collapsed="false">
      <c r="A2490" s="8" t="n">
        <v>2489</v>
      </c>
      <c r="B2490" s="8" t="s">
        <v>222</v>
      </c>
      <c r="C2490" s="8" t="s">
        <v>16</v>
      </c>
      <c r="D2490" s="9" t="n">
        <v>44494</v>
      </c>
      <c r="E2490" s="9" t="str">
        <f aca="false">TEXT(D2490,"MMM")</f>
        <v>out</v>
      </c>
      <c r="F2490" s="10" t="n">
        <v>-6435.52</v>
      </c>
      <c r="G2490" s="8" t="s">
        <v>34</v>
      </c>
      <c r="H2490" s="8" t="s">
        <v>17</v>
      </c>
      <c r="I2490" s="11" t="s">
        <v>18</v>
      </c>
      <c r="J2490" s="8" t="s">
        <v>14</v>
      </c>
    </row>
    <row r="2491" customFormat="false" ht="14.25" hidden="false" customHeight="false" outlineLevel="0" collapsed="false">
      <c r="A2491" s="8" t="n">
        <v>2490</v>
      </c>
      <c r="B2491" s="8" t="s">
        <v>86</v>
      </c>
      <c r="C2491" s="8" t="s">
        <v>16</v>
      </c>
      <c r="D2491" s="9" t="n">
        <v>44494</v>
      </c>
      <c r="E2491" s="9" t="str">
        <f aca="false">TEXT(D2491,"MMM")</f>
        <v>out</v>
      </c>
      <c r="F2491" s="10" t="n">
        <v>-4335.94</v>
      </c>
      <c r="G2491" s="8" t="s">
        <v>34</v>
      </c>
      <c r="H2491" s="8" t="s">
        <v>12</v>
      </c>
      <c r="I2491" s="11" t="s">
        <v>13</v>
      </c>
      <c r="J2491" s="8" t="s">
        <v>14</v>
      </c>
    </row>
    <row r="2492" customFormat="false" ht="14.25" hidden="false" customHeight="false" outlineLevel="0" collapsed="false">
      <c r="A2492" s="8" t="n">
        <v>2491</v>
      </c>
      <c r="B2492" s="8" t="s">
        <v>39</v>
      </c>
      <c r="C2492" s="8" t="s">
        <v>16</v>
      </c>
      <c r="D2492" s="9" t="n">
        <v>44494</v>
      </c>
      <c r="E2492" s="9" t="str">
        <f aca="false">TEXT(D2492,"MMM")</f>
        <v>out</v>
      </c>
      <c r="F2492" s="10" t="n">
        <v>-6069</v>
      </c>
      <c r="G2492" s="8" t="s">
        <v>34</v>
      </c>
      <c r="H2492" s="8" t="s">
        <v>12</v>
      </c>
      <c r="I2492" s="11" t="s">
        <v>13</v>
      </c>
      <c r="J2492" s="8" t="s">
        <v>26</v>
      </c>
    </row>
    <row r="2493" customFormat="false" ht="14.25" hidden="false" customHeight="false" outlineLevel="0" collapsed="false">
      <c r="A2493" s="8" t="n">
        <v>2492</v>
      </c>
      <c r="B2493" s="8" t="s">
        <v>39</v>
      </c>
      <c r="C2493" s="8" t="s">
        <v>16</v>
      </c>
      <c r="D2493" s="9" t="n">
        <v>44494</v>
      </c>
      <c r="E2493" s="9" t="str">
        <f aca="false">TEXT(D2493,"MMM")</f>
        <v>out</v>
      </c>
      <c r="F2493" s="10" t="n">
        <v>-5947.62</v>
      </c>
      <c r="G2493" s="8" t="s">
        <v>34</v>
      </c>
      <c r="H2493" s="8" t="s">
        <v>36</v>
      </c>
      <c r="I2493" s="11" t="s">
        <v>37</v>
      </c>
      <c r="J2493" s="8" t="s">
        <v>26</v>
      </c>
    </row>
    <row r="2494" customFormat="false" ht="14.25" hidden="false" customHeight="false" outlineLevel="0" collapsed="false">
      <c r="A2494" s="8" t="n">
        <v>2493</v>
      </c>
      <c r="B2494" s="8" t="s">
        <v>136</v>
      </c>
      <c r="C2494" s="8" t="s">
        <v>28</v>
      </c>
      <c r="D2494" s="9" t="n">
        <v>44494</v>
      </c>
      <c r="E2494" s="9" t="str">
        <f aca="false">TEXT(D2494,"MMM")</f>
        <v>out</v>
      </c>
      <c r="F2494" s="10" t="n">
        <v>-369.36</v>
      </c>
      <c r="G2494" s="8" t="s">
        <v>34</v>
      </c>
      <c r="H2494" s="8" t="s">
        <v>17</v>
      </c>
      <c r="I2494" s="11" t="s">
        <v>18</v>
      </c>
      <c r="J2494" s="8" t="s">
        <v>26</v>
      </c>
    </row>
    <row r="2495" customFormat="false" ht="14.25" hidden="false" customHeight="false" outlineLevel="0" collapsed="false">
      <c r="A2495" s="8" t="n">
        <v>2494</v>
      </c>
      <c r="B2495" s="8" t="s">
        <v>136</v>
      </c>
      <c r="C2495" s="8" t="s">
        <v>28</v>
      </c>
      <c r="D2495" s="9" t="n">
        <v>44494</v>
      </c>
      <c r="E2495" s="9" t="str">
        <f aca="false">TEXT(D2495,"MMM")</f>
        <v>out</v>
      </c>
      <c r="F2495" s="10" t="n">
        <v>154555.3</v>
      </c>
      <c r="G2495" s="8" t="s">
        <v>11</v>
      </c>
      <c r="H2495" s="8" t="s">
        <v>17</v>
      </c>
      <c r="I2495" s="11" t="s">
        <v>18</v>
      </c>
      <c r="J2495" s="8" t="s">
        <v>14</v>
      </c>
    </row>
    <row r="2496" customFormat="false" ht="14.25" hidden="false" customHeight="false" outlineLevel="0" collapsed="false">
      <c r="A2496" s="8" t="n">
        <v>2495</v>
      </c>
      <c r="B2496" s="8" t="s">
        <v>136</v>
      </c>
      <c r="C2496" s="8" t="s">
        <v>16</v>
      </c>
      <c r="D2496" s="9" t="n">
        <v>44494</v>
      </c>
      <c r="E2496" s="9" t="str">
        <f aca="false">TEXT(D2496,"MMM")</f>
        <v>out</v>
      </c>
      <c r="F2496" s="10" t="n">
        <v>145318.99</v>
      </c>
      <c r="G2496" s="8" t="s">
        <v>11</v>
      </c>
      <c r="H2496" s="8" t="s">
        <v>12</v>
      </c>
      <c r="I2496" s="11" t="s">
        <v>13</v>
      </c>
      <c r="J2496" s="8" t="s">
        <v>26</v>
      </c>
    </row>
    <row r="2497" customFormat="false" ht="14.25" hidden="false" customHeight="false" outlineLevel="0" collapsed="false">
      <c r="A2497" s="8" t="n">
        <v>2496</v>
      </c>
      <c r="B2497" s="8" t="s">
        <v>185</v>
      </c>
      <c r="C2497" s="8" t="s">
        <v>21</v>
      </c>
      <c r="D2497" s="9" t="n">
        <v>44495</v>
      </c>
      <c r="E2497" s="9" t="str">
        <f aca="false">TEXT(D2497,"MMM")</f>
        <v>out</v>
      </c>
      <c r="F2497" s="10" t="n">
        <v>6970</v>
      </c>
      <c r="G2497" s="8" t="s">
        <v>11</v>
      </c>
      <c r="H2497" s="8" t="s">
        <v>17</v>
      </c>
      <c r="I2497" s="11" t="s">
        <v>18</v>
      </c>
      <c r="J2497" s="8" t="s">
        <v>26</v>
      </c>
    </row>
    <row r="2498" customFormat="false" ht="14.25" hidden="false" customHeight="false" outlineLevel="0" collapsed="false">
      <c r="A2498" s="8" t="n">
        <v>2497</v>
      </c>
      <c r="B2498" s="8" t="s">
        <v>174</v>
      </c>
      <c r="C2498" s="8" t="s">
        <v>28</v>
      </c>
      <c r="D2498" s="9" t="n">
        <v>44495</v>
      </c>
      <c r="E2498" s="9" t="str">
        <f aca="false">TEXT(D2498,"MMM")</f>
        <v>out</v>
      </c>
      <c r="F2498" s="10" t="n">
        <v>3833.5</v>
      </c>
      <c r="G2498" s="8" t="s">
        <v>11</v>
      </c>
      <c r="H2498" s="8" t="s">
        <v>17</v>
      </c>
      <c r="I2498" s="11" t="s">
        <v>18</v>
      </c>
      <c r="J2498" s="8" t="s">
        <v>26</v>
      </c>
    </row>
    <row r="2499" customFormat="false" ht="14.25" hidden="false" customHeight="false" outlineLevel="0" collapsed="false">
      <c r="A2499" s="8" t="n">
        <v>2498</v>
      </c>
      <c r="B2499" s="8" t="s">
        <v>247</v>
      </c>
      <c r="C2499" s="8" t="s">
        <v>21</v>
      </c>
      <c r="D2499" s="9" t="n">
        <v>44495</v>
      </c>
      <c r="E2499" s="9" t="str">
        <f aca="false">TEXT(D2499,"MMM")</f>
        <v>out</v>
      </c>
      <c r="F2499" s="10" t="n">
        <v>8364</v>
      </c>
      <c r="G2499" s="8" t="s">
        <v>11</v>
      </c>
      <c r="H2499" s="8" t="s">
        <v>36</v>
      </c>
      <c r="I2499" s="11" t="s">
        <v>37</v>
      </c>
      <c r="J2499" s="8" t="s">
        <v>14</v>
      </c>
    </row>
    <row r="2500" customFormat="false" ht="14.25" hidden="false" customHeight="false" outlineLevel="0" collapsed="false">
      <c r="A2500" s="8" t="n">
        <v>2499</v>
      </c>
      <c r="B2500" s="8" t="s">
        <v>207</v>
      </c>
      <c r="C2500" s="8" t="s">
        <v>21</v>
      </c>
      <c r="D2500" s="9" t="n">
        <v>44498</v>
      </c>
      <c r="E2500" s="9" t="str">
        <f aca="false">TEXT(D2500,"MMM")</f>
        <v>out</v>
      </c>
      <c r="F2500" s="10" t="n">
        <v>8364</v>
      </c>
      <c r="G2500" s="8" t="s">
        <v>11</v>
      </c>
      <c r="H2500" s="8" t="s">
        <v>36</v>
      </c>
      <c r="I2500" s="11" t="s">
        <v>37</v>
      </c>
      <c r="J2500" s="8" t="s">
        <v>26</v>
      </c>
    </row>
    <row r="2501" customFormat="false" ht="14.25" hidden="false" customHeight="false" outlineLevel="0" collapsed="false">
      <c r="A2501" s="8" t="n">
        <v>2500</v>
      </c>
      <c r="B2501" s="8" t="s">
        <v>171</v>
      </c>
      <c r="C2501" s="8" t="s">
        <v>10</v>
      </c>
      <c r="D2501" s="9" t="n">
        <v>44498</v>
      </c>
      <c r="E2501" s="9" t="str">
        <f aca="false">TEXT(D2501,"MMM")</f>
        <v>out</v>
      </c>
      <c r="F2501" s="10" t="n">
        <v>8573.1</v>
      </c>
      <c r="G2501" s="8" t="s">
        <v>11</v>
      </c>
      <c r="H2501" s="8" t="s">
        <v>12</v>
      </c>
      <c r="I2501" s="11" t="s">
        <v>13</v>
      </c>
      <c r="J2501" s="8" t="s">
        <v>14</v>
      </c>
    </row>
    <row r="2502" customFormat="false" ht="14.25" hidden="false" customHeight="false" outlineLevel="0" collapsed="false">
      <c r="A2502" s="8" t="n">
        <v>2501</v>
      </c>
      <c r="B2502" s="8" t="s">
        <v>183</v>
      </c>
      <c r="C2502" s="8" t="s">
        <v>16</v>
      </c>
      <c r="D2502" s="9" t="n">
        <v>44498</v>
      </c>
      <c r="E2502" s="9" t="str">
        <f aca="false">TEXT(D2502,"MMM")</f>
        <v>out</v>
      </c>
      <c r="F2502" s="10" t="n">
        <v>6970</v>
      </c>
      <c r="G2502" s="8" t="s">
        <v>11</v>
      </c>
      <c r="H2502" s="8" t="s">
        <v>12</v>
      </c>
      <c r="I2502" s="11" t="s">
        <v>13</v>
      </c>
      <c r="J2502" s="8" t="s">
        <v>14</v>
      </c>
    </row>
    <row r="2503" customFormat="false" ht="14.25" hidden="false" customHeight="false" outlineLevel="0" collapsed="false">
      <c r="A2503" s="8" t="n">
        <v>2502</v>
      </c>
      <c r="B2503" s="8" t="s">
        <v>85</v>
      </c>
      <c r="C2503" s="8" t="s">
        <v>21</v>
      </c>
      <c r="D2503" s="9" t="n">
        <v>44498</v>
      </c>
      <c r="E2503" s="9" t="str">
        <f aca="false">TEXT(D2503,"MMM")</f>
        <v>out</v>
      </c>
      <c r="F2503" s="10" t="n">
        <v>3833.5</v>
      </c>
      <c r="G2503" s="8" t="s">
        <v>11</v>
      </c>
      <c r="H2503" s="8" t="s">
        <v>17</v>
      </c>
      <c r="I2503" s="11" t="s">
        <v>18</v>
      </c>
      <c r="J2503" s="8" t="s">
        <v>19</v>
      </c>
    </row>
    <row r="2504" customFormat="false" ht="14.25" hidden="false" customHeight="false" outlineLevel="0" collapsed="false">
      <c r="A2504" s="8" t="n">
        <v>2503</v>
      </c>
      <c r="B2504" s="8" t="s">
        <v>15</v>
      </c>
      <c r="C2504" s="8" t="s">
        <v>28</v>
      </c>
      <c r="D2504" s="9" t="n">
        <v>44498</v>
      </c>
      <c r="E2504" s="9" t="str">
        <f aca="false">TEXT(D2504,"MMM")</f>
        <v>out</v>
      </c>
      <c r="F2504" s="10" t="n">
        <v>8573.1</v>
      </c>
      <c r="G2504" s="8" t="s">
        <v>11</v>
      </c>
      <c r="H2504" s="8" t="s">
        <v>12</v>
      </c>
      <c r="I2504" s="11" t="s">
        <v>13</v>
      </c>
      <c r="J2504" s="8" t="s">
        <v>26</v>
      </c>
    </row>
    <row r="2505" customFormat="false" ht="14.25" hidden="false" customHeight="false" outlineLevel="0" collapsed="false">
      <c r="A2505" s="8" t="n">
        <v>2504</v>
      </c>
      <c r="B2505" s="8" t="s">
        <v>49</v>
      </c>
      <c r="C2505" s="8" t="s">
        <v>21</v>
      </c>
      <c r="D2505" s="9" t="n">
        <v>44498</v>
      </c>
      <c r="E2505" s="9" t="str">
        <f aca="false">TEXT(D2505,"MMM")</f>
        <v>out</v>
      </c>
      <c r="F2505" s="10" t="n">
        <v>-5899.71</v>
      </c>
      <c r="G2505" s="8" t="s">
        <v>34</v>
      </c>
      <c r="H2505" s="8" t="s">
        <v>12</v>
      </c>
      <c r="I2505" s="11" t="s">
        <v>13</v>
      </c>
      <c r="J2505" s="8" t="s">
        <v>26</v>
      </c>
    </row>
    <row r="2506" customFormat="false" ht="14.25" hidden="false" customHeight="false" outlineLevel="0" collapsed="false">
      <c r="A2506" s="8" t="n">
        <v>2505</v>
      </c>
      <c r="B2506" s="8" t="s">
        <v>189</v>
      </c>
      <c r="C2506" s="8" t="s">
        <v>21</v>
      </c>
      <c r="D2506" s="9" t="n">
        <v>44499</v>
      </c>
      <c r="E2506" s="9" t="str">
        <f aca="false">TEXT(D2506,"MMM")</f>
        <v>out</v>
      </c>
      <c r="F2506" s="10" t="n">
        <v>-965.97</v>
      </c>
      <c r="G2506" s="8" t="s">
        <v>34</v>
      </c>
      <c r="H2506" s="8" t="s">
        <v>12</v>
      </c>
      <c r="I2506" s="11" t="s">
        <v>13</v>
      </c>
      <c r="J2506" s="8" t="s">
        <v>19</v>
      </c>
    </row>
    <row r="2507" customFormat="false" ht="14.25" hidden="false" customHeight="false" outlineLevel="0" collapsed="false">
      <c r="A2507" s="8" t="n">
        <v>2506</v>
      </c>
      <c r="B2507" s="8" t="s">
        <v>185</v>
      </c>
      <c r="C2507" s="8" t="s">
        <v>28</v>
      </c>
      <c r="D2507" s="9" t="n">
        <v>44499</v>
      </c>
      <c r="E2507" s="9" t="str">
        <f aca="false">TEXT(D2507,"MMM")</f>
        <v>out</v>
      </c>
      <c r="F2507" s="10" t="n">
        <v>-6850.83</v>
      </c>
      <c r="G2507" s="8" t="s">
        <v>34</v>
      </c>
      <c r="H2507" s="8" t="s">
        <v>36</v>
      </c>
      <c r="I2507" s="11" t="s">
        <v>37</v>
      </c>
      <c r="J2507" s="8" t="s">
        <v>14</v>
      </c>
    </row>
    <row r="2508" customFormat="false" ht="14.25" hidden="false" customHeight="false" outlineLevel="0" collapsed="false">
      <c r="A2508" s="8" t="n">
        <v>2507</v>
      </c>
      <c r="B2508" s="8" t="s">
        <v>40</v>
      </c>
      <c r="C2508" s="8" t="s">
        <v>10</v>
      </c>
      <c r="D2508" s="9" t="n">
        <v>44499</v>
      </c>
      <c r="E2508" s="9" t="str">
        <f aca="false">TEXT(D2508,"MMM")</f>
        <v>out</v>
      </c>
      <c r="F2508" s="10" t="n">
        <v>4272.81</v>
      </c>
      <c r="G2508" s="8" t="s">
        <v>11</v>
      </c>
      <c r="H2508" s="8" t="s">
        <v>12</v>
      </c>
      <c r="I2508" s="11" t="s">
        <v>13</v>
      </c>
      <c r="J2508" s="8" t="s">
        <v>26</v>
      </c>
    </row>
    <row r="2509" customFormat="false" ht="14.25" hidden="false" customHeight="false" outlineLevel="0" collapsed="false">
      <c r="A2509" s="8" t="n">
        <v>2508</v>
      </c>
      <c r="B2509" s="8" t="s">
        <v>62</v>
      </c>
      <c r="C2509" s="8" t="s">
        <v>10</v>
      </c>
      <c r="D2509" s="9" t="n">
        <v>44499</v>
      </c>
      <c r="E2509" s="9" t="str">
        <f aca="false">TEXT(D2509,"MMM")</f>
        <v>out</v>
      </c>
      <c r="F2509" s="10" t="n">
        <v>143834.29</v>
      </c>
      <c r="G2509" s="8" t="s">
        <v>11</v>
      </c>
      <c r="H2509" s="8" t="s">
        <v>17</v>
      </c>
      <c r="I2509" s="11" t="s">
        <v>18</v>
      </c>
      <c r="J2509" s="8" t="s">
        <v>14</v>
      </c>
    </row>
    <row r="2510" customFormat="false" ht="14.25" hidden="false" customHeight="false" outlineLevel="0" collapsed="false">
      <c r="A2510" s="8" t="n">
        <v>2509</v>
      </c>
      <c r="B2510" s="8" t="s">
        <v>61</v>
      </c>
      <c r="C2510" s="8" t="s">
        <v>10</v>
      </c>
      <c r="D2510" s="9" t="n">
        <v>44499</v>
      </c>
      <c r="E2510" s="9" t="str">
        <f aca="false">TEXT(D2510,"MMM")</f>
        <v>out</v>
      </c>
      <c r="F2510" s="10" t="n">
        <v>-7855.86</v>
      </c>
      <c r="G2510" s="8" t="s">
        <v>34</v>
      </c>
      <c r="H2510" s="8" t="s">
        <v>12</v>
      </c>
      <c r="I2510" s="11" t="s">
        <v>13</v>
      </c>
      <c r="J2510" s="8" t="s">
        <v>19</v>
      </c>
    </row>
    <row r="2511" customFormat="false" ht="14.25" hidden="false" customHeight="false" outlineLevel="0" collapsed="false">
      <c r="A2511" s="8" t="n">
        <v>2510</v>
      </c>
      <c r="B2511" s="8" t="s">
        <v>61</v>
      </c>
      <c r="C2511" s="8" t="s">
        <v>16</v>
      </c>
      <c r="D2511" s="9" t="n">
        <v>44499</v>
      </c>
      <c r="E2511" s="9" t="str">
        <f aca="false">TEXT(D2511,"MMM")</f>
        <v>out</v>
      </c>
      <c r="F2511" s="10" t="n">
        <v>-7692.16</v>
      </c>
      <c r="G2511" s="8" t="s">
        <v>34</v>
      </c>
      <c r="H2511" s="8" t="s">
        <v>12</v>
      </c>
      <c r="I2511" s="11" t="s">
        <v>13</v>
      </c>
      <c r="J2511" s="8" t="s">
        <v>14</v>
      </c>
    </row>
    <row r="2512" customFormat="false" ht="14.25" hidden="false" customHeight="false" outlineLevel="0" collapsed="false">
      <c r="A2512" s="8" t="n">
        <v>2511</v>
      </c>
      <c r="B2512" s="8" t="s">
        <v>62</v>
      </c>
      <c r="C2512" s="8" t="s">
        <v>28</v>
      </c>
      <c r="D2512" s="9" t="n">
        <v>44499</v>
      </c>
      <c r="E2512" s="9" t="str">
        <f aca="false">TEXT(D2512,"MMM")</f>
        <v>out</v>
      </c>
      <c r="F2512" s="10" t="n">
        <v>-11298.77</v>
      </c>
      <c r="G2512" s="8" t="s">
        <v>34</v>
      </c>
      <c r="H2512" s="8" t="s">
        <v>36</v>
      </c>
      <c r="I2512" s="11" t="s">
        <v>37</v>
      </c>
      <c r="J2512" s="8" t="s">
        <v>14</v>
      </c>
    </row>
    <row r="2513" customFormat="false" ht="14.25" hidden="false" customHeight="false" outlineLevel="0" collapsed="false">
      <c r="A2513" s="8" t="n">
        <v>2512</v>
      </c>
      <c r="B2513" s="8" t="s">
        <v>52</v>
      </c>
      <c r="C2513" s="8" t="s">
        <v>10</v>
      </c>
      <c r="D2513" s="9" t="n">
        <v>44499</v>
      </c>
      <c r="E2513" s="9" t="str">
        <f aca="false">TEXT(D2513,"MMM")</f>
        <v>out</v>
      </c>
      <c r="F2513" s="10" t="n">
        <v>19671.05</v>
      </c>
      <c r="G2513" s="8" t="s">
        <v>11</v>
      </c>
      <c r="H2513" s="8" t="s">
        <v>17</v>
      </c>
      <c r="I2513" s="11" t="s">
        <v>18</v>
      </c>
      <c r="J2513" s="8" t="s">
        <v>19</v>
      </c>
    </row>
    <row r="2514" customFormat="false" ht="14.25" hidden="false" customHeight="false" outlineLevel="0" collapsed="false">
      <c r="A2514" s="8" t="n">
        <v>2513</v>
      </c>
      <c r="B2514" s="8" t="s">
        <v>61</v>
      </c>
      <c r="C2514" s="8" t="s">
        <v>21</v>
      </c>
      <c r="D2514" s="9" t="n">
        <v>44499</v>
      </c>
      <c r="E2514" s="9" t="str">
        <f aca="false">TEXT(D2514,"MMM")</f>
        <v>out</v>
      </c>
      <c r="F2514" s="10" t="n">
        <v>127578.32</v>
      </c>
      <c r="G2514" s="8" t="s">
        <v>11</v>
      </c>
      <c r="H2514" s="8" t="s">
        <v>12</v>
      </c>
      <c r="I2514" s="11" t="s">
        <v>13</v>
      </c>
      <c r="J2514" s="8" t="s">
        <v>14</v>
      </c>
    </row>
    <row r="2515" customFormat="false" ht="14.25" hidden="false" customHeight="false" outlineLevel="0" collapsed="false">
      <c r="A2515" s="8" t="n">
        <v>2514</v>
      </c>
      <c r="B2515" s="8" t="s">
        <v>62</v>
      </c>
      <c r="C2515" s="8" t="s">
        <v>21</v>
      </c>
      <c r="D2515" s="9" t="n">
        <v>44499</v>
      </c>
      <c r="E2515" s="9" t="str">
        <f aca="false">TEXT(D2515,"MMM")</f>
        <v>out</v>
      </c>
      <c r="F2515" s="10" t="n">
        <v>-9415.88</v>
      </c>
      <c r="G2515" s="8" t="s">
        <v>34</v>
      </c>
      <c r="H2515" s="8" t="s">
        <v>12</v>
      </c>
      <c r="I2515" s="11" t="s">
        <v>13</v>
      </c>
      <c r="J2515" s="8" t="s">
        <v>14</v>
      </c>
    </row>
    <row r="2516" customFormat="false" ht="14.25" hidden="false" customHeight="false" outlineLevel="0" collapsed="false">
      <c r="A2516" s="8" t="n">
        <v>2515</v>
      </c>
      <c r="B2516" s="8" t="s">
        <v>52</v>
      </c>
      <c r="C2516" s="8" t="s">
        <v>16</v>
      </c>
      <c r="D2516" s="9" t="n">
        <v>44499</v>
      </c>
      <c r="E2516" s="9" t="str">
        <f aca="false">TEXT(D2516,"MMM")</f>
        <v>out</v>
      </c>
      <c r="F2516" s="10" t="n">
        <v>-3171.32</v>
      </c>
      <c r="G2516" s="8" t="s">
        <v>34</v>
      </c>
      <c r="H2516" s="8" t="s">
        <v>12</v>
      </c>
      <c r="I2516" s="11" t="s">
        <v>13</v>
      </c>
      <c r="J2516" s="8" t="s">
        <v>14</v>
      </c>
    </row>
    <row r="2517" customFormat="false" ht="14.25" hidden="false" customHeight="false" outlineLevel="0" collapsed="false">
      <c r="A2517" s="8" t="n">
        <v>2516</v>
      </c>
      <c r="B2517" s="8" t="s">
        <v>61</v>
      </c>
      <c r="C2517" s="8" t="s">
        <v>21</v>
      </c>
      <c r="D2517" s="9" t="n">
        <v>44499</v>
      </c>
      <c r="E2517" s="9" t="str">
        <f aca="false">TEXT(D2517,"MMM")</f>
        <v>out</v>
      </c>
      <c r="F2517" s="10" t="n">
        <v>129940.27</v>
      </c>
      <c r="G2517" s="8" t="s">
        <v>11</v>
      </c>
      <c r="H2517" s="8" t="s">
        <v>12</v>
      </c>
      <c r="I2517" s="11" t="s">
        <v>13</v>
      </c>
      <c r="J2517" s="8" t="s">
        <v>14</v>
      </c>
    </row>
    <row r="2518" customFormat="false" ht="14.25" hidden="false" customHeight="false" outlineLevel="0" collapsed="false">
      <c r="A2518" s="8" t="n">
        <v>2517</v>
      </c>
      <c r="B2518" s="8" t="s">
        <v>52</v>
      </c>
      <c r="C2518" s="8" t="s">
        <v>10</v>
      </c>
      <c r="D2518" s="9" t="n">
        <v>44499</v>
      </c>
      <c r="E2518" s="9" t="str">
        <f aca="false">TEXT(D2518,"MMM")</f>
        <v>out</v>
      </c>
      <c r="F2518" s="10" t="n">
        <v>-2144.31</v>
      </c>
      <c r="G2518" s="8" t="s">
        <v>34</v>
      </c>
      <c r="H2518" s="8" t="s">
        <v>12</v>
      </c>
      <c r="I2518" s="11" t="s">
        <v>13</v>
      </c>
      <c r="J2518" s="8" t="s">
        <v>26</v>
      </c>
    </row>
    <row r="2519" customFormat="false" ht="14.25" hidden="false" customHeight="false" outlineLevel="0" collapsed="false">
      <c r="A2519" s="8" t="n">
        <v>2518</v>
      </c>
      <c r="B2519" s="8" t="s">
        <v>61</v>
      </c>
      <c r="C2519" s="8" t="s">
        <v>28</v>
      </c>
      <c r="D2519" s="9" t="n">
        <v>44499</v>
      </c>
      <c r="E2519" s="9" t="str">
        <f aca="false">TEXT(D2519,"MMM")</f>
        <v>out</v>
      </c>
      <c r="F2519" s="10" t="n">
        <v>-2180.71</v>
      </c>
      <c r="G2519" s="8" t="s">
        <v>34</v>
      </c>
      <c r="H2519" s="8" t="s">
        <v>12</v>
      </c>
      <c r="I2519" s="11" t="s">
        <v>13</v>
      </c>
      <c r="J2519" s="8" t="s">
        <v>19</v>
      </c>
    </row>
    <row r="2520" customFormat="false" ht="14.25" hidden="false" customHeight="false" outlineLevel="0" collapsed="false">
      <c r="A2520" s="8" t="n">
        <v>2519</v>
      </c>
      <c r="B2520" s="8" t="s">
        <v>62</v>
      </c>
      <c r="C2520" s="8" t="s">
        <v>28</v>
      </c>
      <c r="D2520" s="9" t="n">
        <v>44499</v>
      </c>
      <c r="E2520" s="9" t="str">
        <f aca="false">TEXT(D2520,"MMM")</f>
        <v>out</v>
      </c>
      <c r="F2520" s="10" t="n">
        <v>-1572.17</v>
      </c>
      <c r="G2520" s="8" t="s">
        <v>34</v>
      </c>
      <c r="H2520" s="8" t="s">
        <v>17</v>
      </c>
      <c r="I2520" s="11" t="s">
        <v>18</v>
      </c>
      <c r="J2520" s="8" t="s">
        <v>19</v>
      </c>
    </row>
    <row r="2521" customFormat="false" ht="14.25" hidden="false" customHeight="false" outlineLevel="0" collapsed="false">
      <c r="A2521" s="8" t="n">
        <v>2520</v>
      </c>
      <c r="B2521" s="8" t="s">
        <v>62</v>
      </c>
      <c r="C2521" s="8" t="s">
        <v>10</v>
      </c>
      <c r="D2521" s="9" t="n">
        <v>44499</v>
      </c>
      <c r="E2521" s="9" t="str">
        <f aca="false">TEXT(D2521,"MMM")</f>
        <v>out</v>
      </c>
      <c r="F2521" s="10" t="n">
        <v>21853.64</v>
      </c>
      <c r="G2521" s="8" t="s">
        <v>11</v>
      </c>
      <c r="H2521" s="8" t="s">
        <v>36</v>
      </c>
      <c r="I2521" s="11" t="s">
        <v>37</v>
      </c>
      <c r="J2521" s="8" t="s">
        <v>24</v>
      </c>
    </row>
    <row r="2522" customFormat="false" ht="14.25" hidden="false" customHeight="false" outlineLevel="0" collapsed="false">
      <c r="A2522" s="8" t="n">
        <v>2521</v>
      </c>
      <c r="B2522" s="8" t="s">
        <v>172</v>
      </c>
      <c r="C2522" s="8" t="s">
        <v>21</v>
      </c>
      <c r="D2522" s="9" t="n">
        <v>44500</v>
      </c>
      <c r="E2522" s="9" t="str">
        <f aca="false">TEXT(D2522,"MMM")</f>
        <v>out</v>
      </c>
      <c r="F2522" s="10" t="n">
        <v>17580.31</v>
      </c>
      <c r="G2522" s="8" t="s">
        <v>11</v>
      </c>
      <c r="H2522" s="8" t="s">
        <v>17</v>
      </c>
      <c r="I2522" s="11" t="s">
        <v>18</v>
      </c>
      <c r="J2522" s="8" t="s">
        <v>26</v>
      </c>
    </row>
    <row r="2523" customFormat="false" ht="14.25" hidden="false" customHeight="false" outlineLevel="0" collapsed="false">
      <c r="A2523" s="8" t="n">
        <v>2522</v>
      </c>
      <c r="B2523" s="8" t="s">
        <v>190</v>
      </c>
      <c r="C2523" s="8" t="s">
        <v>10</v>
      </c>
      <c r="D2523" s="9" t="n">
        <v>44500</v>
      </c>
      <c r="E2523" s="9" t="str">
        <f aca="false">TEXT(D2523,"MMM")</f>
        <v>out</v>
      </c>
      <c r="F2523" s="10" t="n">
        <v>16048.64</v>
      </c>
      <c r="G2523" s="8" t="s">
        <v>11</v>
      </c>
      <c r="H2523" s="8" t="s">
        <v>30</v>
      </c>
      <c r="I2523" s="11" t="s">
        <v>31</v>
      </c>
      <c r="J2523" s="8" t="s">
        <v>26</v>
      </c>
    </row>
    <row r="2524" customFormat="false" ht="14.25" hidden="false" customHeight="false" outlineLevel="0" collapsed="false">
      <c r="A2524" s="8" t="n">
        <v>2523</v>
      </c>
      <c r="B2524" s="8" t="s">
        <v>236</v>
      </c>
      <c r="C2524" s="8" t="s">
        <v>10</v>
      </c>
      <c r="D2524" s="9" t="n">
        <v>44500</v>
      </c>
      <c r="E2524" s="9" t="str">
        <f aca="false">TEXT(D2524,"MMM")</f>
        <v>out</v>
      </c>
      <c r="F2524" s="10" t="n">
        <v>2486.04</v>
      </c>
      <c r="G2524" s="8" t="s">
        <v>11</v>
      </c>
      <c r="H2524" s="8" t="s">
        <v>12</v>
      </c>
      <c r="I2524" s="11" t="s">
        <v>13</v>
      </c>
      <c r="J2524" s="8" t="s">
        <v>14</v>
      </c>
    </row>
    <row r="2525" customFormat="false" ht="14.25" hidden="false" customHeight="false" outlineLevel="0" collapsed="false">
      <c r="A2525" s="8" t="n">
        <v>2524</v>
      </c>
      <c r="B2525" s="8" t="s">
        <v>222</v>
      </c>
      <c r="C2525" s="8" t="s">
        <v>21</v>
      </c>
      <c r="D2525" s="9" t="n">
        <v>44500</v>
      </c>
      <c r="E2525" s="9" t="str">
        <f aca="false">TEXT(D2525,"MMM")</f>
        <v>out</v>
      </c>
      <c r="F2525" s="10" t="n">
        <v>158404.21</v>
      </c>
      <c r="G2525" s="8" t="s">
        <v>11</v>
      </c>
      <c r="H2525" s="8" t="s">
        <v>12</v>
      </c>
      <c r="I2525" s="11" t="s">
        <v>13</v>
      </c>
      <c r="J2525" s="8" t="s">
        <v>24</v>
      </c>
    </row>
    <row r="2526" customFormat="false" ht="14.25" hidden="false" customHeight="false" outlineLevel="0" collapsed="false">
      <c r="A2526" s="8" t="n">
        <v>2525</v>
      </c>
      <c r="B2526" s="8" t="s">
        <v>235</v>
      </c>
      <c r="C2526" s="8" t="s">
        <v>21</v>
      </c>
      <c r="D2526" s="9" t="n">
        <v>44500</v>
      </c>
      <c r="E2526" s="9" t="str">
        <f aca="false">TEXT(D2526,"MMM")</f>
        <v>out</v>
      </c>
      <c r="F2526" s="10" t="n">
        <v>-301.39</v>
      </c>
      <c r="G2526" s="8" t="s">
        <v>34</v>
      </c>
      <c r="H2526" s="8" t="s">
        <v>36</v>
      </c>
      <c r="I2526" s="11" t="s">
        <v>37</v>
      </c>
      <c r="J2526" s="8" t="s">
        <v>26</v>
      </c>
    </row>
    <row r="2527" customFormat="false" ht="14.25" hidden="false" customHeight="false" outlineLevel="0" collapsed="false">
      <c r="A2527" s="8" t="n">
        <v>2526</v>
      </c>
      <c r="B2527" s="8" t="s">
        <v>178</v>
      </c>
      <c r="C2527" s="8" t="s">
        <v>16</v>
      </c>
      <c r="D2527" s="9" t="n">
        <v>44500</v>
      </c>
      <c r="E2527" s="9" t="str">
        <f aca="false">TEXT(D2527,"MMM")</f>
        <v>out</v>
      </c>
      <c r="F2527" s="10" t="n">
        <v>-508.1</v>
      </c>
      <c r="G2527" s="8" t="s">
        <v>34</v>
      </c>
      <c r="H2527" s="8" t="s">
        <v>12</v>
      </c>
      <c r="I2527" s="11" t="s">
        <v>13</v>
      </c>
      <c r="J2527" s="8" t="s">
        <v>14</v>
      </c>
    </row>
    <row r="2528" customFormat="false" ht="14.25" hidden="false" customHeight="false" outlineLevel="0" collapsed="false">
      <c r="A2528" s="8" t="n">
        <v>2527</v>
      </c>
      <c r="B2528" s="8" t="s">
        <v>275</v>
      </c>
      <c r="C2528" s="8" t="s">
        <v>21</v>
      </c>
      <c r="D2528" s="9" t="n">
        <v>44500</v>
      </c>
      <c r="E2528" s="9" t="str">
        <f aca="false">TEXT(D2528,"MMM")</f>
        <v>out</v>
      </c>
      <c r="F2528" s="10" t="n">
        <v>-209.76</v>
      </c>
      <c r="G2528" s="8" t="s">
        <v>34</v>
      </c>
      <c r="H2528" s="8" t="s">
        <v>17</v>
      </c>
      <c r="I2528" s="11" t="s">
        <v>18</v>
      </c>
      <c r="J2528" s="8" t="s">
        <v>14</v>
      </c>
    </row>
    <row r="2529" customFormat="false" ht="14.25" hidden="false" customHeight="false" outlineLevel="0" collapsed="false">
      <c r="A2529" s="8" t="n">
        <v>2528</v>
      </c>
      <c r="B2529" s="8" t="s">
        <v>250</v>
      </c>
      <c r="C2529" s="8" t="s">
        <v>10</v>
      </c>
      <c r="D2529" s="9" t="n">
        <v>44500</v>
      </c>
      <c r="E2529" s="9" t="str">
        <f aca="false">TEXT(D2529,"MMM")</f>
        <v>out</v>
      </c>
      <c r="F2529" s="10" t="n">
        <v>145306.73</v>
      </c>
      <c r="G2529" s="8" t="s">
        <v>11</v>
      </c>
      <c r="H2529" s="8" t="s">
        <v>12</v>
      </c>
      <c r="I2529" s="11" t="s">
        <v>13</v>
      </c>
      <c r="J2529" s="8" t="s">
        <v>14</v>
      </c>
    </row>
    <row r="2530" customFormat="false" ht="14.25" hidden="false" customHeight="false" outlineLevel="0" collapsed="false">
      <c r="A2530" s="8" t="n">
        <v>2529</v>
      </c>
      <c r="B2530" s="8" t="s">
        <v>15</v>
      </c>
      <c r="C2530" s="8" t="s">
        <v>28</v>
      </c>
      <c r="D2530" s="9" t="n">
        <v>44500</v>
      </c>
      <c r="E2530" s="9" t="str">
        <f aca="false">TEXT(D2530,"MMM")</f>
        <v>out</v>
      </c>
      <c r="F2530" s="10" t="n">
        <v>61361.5</v>
      </c>
      <c r="G2530" s="8" t="s">
        <v>11</v>
      </c>
      <c r="H2530" s="8" t="s">
        <v>17</v>
      </c>
      <c r="I2530" s="11" t="s">
        <v>18</v>
      </c>
      <c r="J2530" s="8" t="s">
        <v>24</v>
      </c>
    </row>
    <row r="2531" customFormat="false" ht="14.25" hidden="false" customHeight="false" outlineLevel="0" collapsed="false">
      <c r="A2531" s="8" t="n">
        <v>2530</v>
      </c>
      <c r="B2531" s="8" t="s">
        <v>250</v>
      </c>
      <c r="C2531" s="8" t="s">
        <v>21</v>
      </c>
      <c r="D2531" s="9" t="n">
        <v>44500</v>
      </c>
      <c r="E2531" s="9" t="str">
        <f aca="false">TEXT(D2531,"MMM")</f>
        <v>out</v>
      </c>
      <c r="F2531" s="10" t="n">
        <v>0</v>
      </c>
      <c r="G2531" s="8" t="s">
        <v>34</v>
      </c>
      <c r="H2531" s="8" t="s">
        <v>17</v>
      </c>
      <c r="I2531" s="11" t="s">
        <v>18</v>
      </c>
      <c r="J2531" s="8" t="s">
        <v>26</v>
      </c>
    </row>
    <row r="2532" customFormat="false" ht="14.25" hidden="false" customHeight="false" outlineLevel="0" collapsed="false">
      <c r="A2532" s="8" t="n">
        <v>2531</v>
      </c>
      <c r="B2532" s="8" t="s">
        <v>51</v>
      </c>
      <c r="C2532" s="8" t="s">
        <v>21</v>
      </c>
      <c r="D2532" s="9" t="n">
        <v>44500</v>
      </c>
      <c r="E2532" s="9" t="str">
        <f aca="false">TEXT(D2532,"MMM")</f>
        <v>out</v>
      </c>
      <c r="F2532" s="10" t="n">
        <v>11146.98</v>
      </c>
      <c r="G2532" s="8" t="s">
        <v>11</v>
      </c>
      <c r="H2532" s="8" t="s">
        <v>36</v>
      </c>
      <c r="I2532" s="11" t="s">
        <v>37</v>
      </c>
      <c r="J2532" s="8" t="s">
        <v>14</v>
      </c>
    </row>
    <row r="2533" customFormat="false" ht="14.25" hidden="false" customHeight="false" outlineLevel="0" collapsed="false">
      <c r="A2533" s="8" t="n">
        <v>2532</v>
      </c>
      <c r="B2533" s="8" t="s">
        <v>15</v>
      </c>
      <c r="C2533" s="8" t="s">
        <v>28</v>
      </c>
      <c r="D2533" s="9" t="n">
        <v>44500</v>
      </c>
      <c r="E2533" s="9" t="str">
        <f aca="false">TEXT(D2533,"MMM")</f>
        <v>out</v>
      </c>
      <c r="F2533" s="10" t="n">
        <v>170777.37</v>
      </c>
      <c r="G2533" s="8" t="s">
        <v>11</v>
      </c>
      <c r="H2533" s="8" t="s">
        <v>17</v>
      </c>
      <c r="I2533" s="11" t="s">
        <v>18</v>
      </c>
      <c r="J2533" s="8" t="s">
        <v>14</v>
      </c>
    </row>
    <row r="2534" customFormat="false" ht="14.25" hidden="false" customHeight="false" outlineLevel="0" collapsed="false">
      <c r="A2534" s="8" t="n">
        <v>2533</v>
      </c>
      <c r="B2534" s="8" t="s">
        <v>20</v>
      </c>
      <c r="C2534" s="8" t="s">
        <v>10</v>
      </c>
      <c r="D2534" s="9" t="n">
        <v>44500</v>
      </c>
      <c r="E2534" s="9" t="str">
        <f aca="false">TEXT(D2534,"MMM")</f>
        <v>out</v>
      </c>
      <c r="F2534" s="10" t="n">
        <v>11060.34</v>
      </c>
      <c r="G2534" s="8" t="s">
        <v>11</v>
      </c>
      <c r="H2534" s="8" t="s">
        <v>22</v>
      </c>
      <c r="I2534" s="11" t="s">
        <v>23</v>
      </c>
      <c r="J2534" s="8" t="s">
        <v>26</v>
      </c>
    </row>
    <row r="2535" customFormat="false" ht="14.25" hidden="false" customHeight="false" outlineLevel="0" collapsed="false">
      <c r="A2535" s="8" t="n">
        <v>2534</v>
      </c>
      <c r="B2535" s="8" t="s">
        <v>81</v>
      </c>
      <c r="C2535" s="8" t="s">
        <v>21</v>
      </c>
      <c r="D2535" s="9" t="n">
        <v>44500</v>
      </c>
      <c r="E2535" s="9" t="str">
        <f aca="false">TEXT(D2535,"MMM")</f>
        <v>out</v>
      </c>
      <c r="F2535" s="10" t="n">
        <v>30737.65</v>
      </c>
      <c r="G2535" s="8" t="s">
        <v>11</v>
      </c>
      <c r="H2535" s="8" t="s">
        <v>12</v>
      </c>
      <c r="I2535" s="11" t="s">
        <v>13</v>
      </c>
      <c r="J2535" s="8" t="s">
        <v>24</v>
      </c>
    </row>
    <row r="2536" customFormat="false" ht="14.25" hidden="false" customHeight="false" outlineLevel="0" collapsed="false">
      <c r="A2536" s="8" t="n">
        <v>2535</v>
      </c>
      <c r="B2536" s="8" t="s">
        <v>81</v>
      </c>
      <c r="C2536" s="8" t="s">
        <v>10</v>
      </c>
      <c r="D2536" s="9" t="n">
        <v>44500</v>
      </c>
      <c r="E2536" s="9" t="str">
        <f aca="false">TEXT(D2536,"MMM")</f>
        <v>out</v>
      </c>
      <c r="F2536" s="10" t="n">
        <v>10501.2</v>
      </c>
      <c r="G2536" s="8" t="s">
        <v>11</v>
      </c>
      <c r="H2536" s="8" t="s">
        <v>22</v>
      </c>
      <c r="I2536" s="11" t="s">
        <v>23</v>
      </c>
      <c r="J2536" s="8" t="s">
        <v>26</v>
      </c>
    </row>
    <row r="2537" customFormat="false" ht="14.25" hidden="false" customHeight="false" outlineLevel="0" collapsed="false">
      <c r="A2537" s="8" t="n">
        <v>2536</v>
      </c>
      <c r="B2537" s="8" t="s">
        <v>276</v>
      </c>
      <c r="C2537" s="8" t="s">
        <v>28</v>
      </c>
      <c r="D2537" s="9" t="n">
        <v>44500</v>
      </c>
      <c r="E2537" s="9" t="str">
        <f aca="false">TEXT(D2537,"MMM")</f>
        <v>out</v>
      </c>
      <c r="F2537" s="10" t="n">
        <v>11245.35</v>
      </c>
      <c r="G2537" s="8" t="s">
        <v>11</v>
      </c>
      <c r="H2537" s="8" t="s">
        <v>36</v>
      </c>
      <c r="I2537" s="11" t="s">
        <v>37</v>
      </c>
      <c r="J2537" s="8" t="s">
        <v>14</v>
      </c>
    </row>
    <row r="2538" customFormat="false" ht="14.25" hidden="false" customHeight="false" outlineLevel="0" collapsed="false">
      <c r="A2538" s="8" t="n">
        <v>2537</v>
      </c>
      <c r="B2538" s="8" t="s">
        <v>20</v>
      </c>
      <c r="C2538" s="8" t="s">
        <v>28</v>
      </c>
      <c r="D2538" s="9" t="n">
        <v>44500</v>
      </c>
      <c r="E2538" s="9" t="str">
        <f aca="false">TEXT(D2538,"MMM")</f>
        <v>out</v>
      </c>
      <c r="F2538" s="10" t="n">
        <v>10419.06</v>
      </c>
      <c r="G2538" s="8" t="s">
        <v>11</v>
      </c>
      <c r="H2538" s="8" t="s">
        <v>17</v>
      </c>
      <c r="I2538" s="11" t="s">
        <v>18</v>
      </c>
      <c r="J2538" s="8" t="s">
        <v>24</v>
      </c>
    </row>
    <row r="2539" customFormat="false" ht="14.25" hidden="false" customHeight="false" outlineLevel="0" collapsed="false">
      <c r="A2539" s="8" t="n">
        <v>2538</v>
      </c>
      <c r="B2539" s="8" t="s">
        <v>73</v>
      </c>
      <c r="C2539" s="8" t="s">
        <v>16</v>
      </c>
      <c r="D2539" s="9" t="n">
        <v>44500</v>
      </c>
      <c r="E2539" s="9" t="str">
        <f aca="false">TEXT(D2539,"MMM")</f>
        <v>out</v>
      </c>
      <c r="F2539" s="10" t="n">
        <v>10806.03</v>
      </c>
      <c r="G2539" s="8" t="s">
        <v>11</v>
      </c>
      <c r="H2539" s="8" t="s">
        <v>12</v>
      </c>
      <c r="I2539" s="11" t="s">
        <v>13</v>
      </c>
      <c r="J2539" s="8" t="s">
        <v>26</v>
      </c>
    </row>
    <row r="2540" customFormat="false" ht="14.25" hidden="false" customHeight="false" outlineLevel="0" collapsed="false">
      <c r="A2540" s="8" t="n">
        <v>2539</v>
      </c>
      <c r="B2540" s="8" t="s">
        <v>66</v>
      </c>
      <c r="C2540" s="8" t="s">
        <v>16</v>
      </c>
      <c r="D2540" s="9" t="n">
        <v>44500</v>
      </c>
      <c r="E2540" s="9" t="str">
        <f aca="false">TEXT(D2540,"MMM")</f>
        <v>out</v>
      </c>
      <c r="F2540" s="10" t="n">
        <v>29522.28</v>
      </c>
      <c r="G2540" s="8" t="s">
        <v>11</v>
      </c>
      <c r="H2540" s="8" t="s">
        <v>36</v>
      </c>
      <c r="I2540" s="11" t="s">
        <v>37</v>
      </c>
      <c r="J2540" s="8" t="s">
        <v>14</v>
      </c>
    </row>
    <row r="2541" customFormat="false" ht="14.25" hidden="false" customHeight="false" outlineLevel="0" collapsed="false">
      <c r="A2541" s="8" t="n">
        <v>2540</v>
      </c>
      <c r="B2541" s="8" t="s">
        <v>66</v>
      </c>
      <c r="C2541" s="8" t="s">
        <v>16</v>
      </c>
      <c r="D2541" s="9" t="n">
        <v>44500</v>
      </c>
      <c r="E2541" s="9" t="str">
        <f aca="false">TEXT(D2541,"MMM")</f>
        <v>out</v>
      </c>
      <c r="F2541" s="10" t="n">
        <v>11205.94</v>
      </c>
      <c r="G2541" s="8" t="s">
        <v>11</v>
      </c>
      <c r="H2541" s="8" t="s">
        <v>12</v>
      </c>
      <c r="I2541" s="11" t="s">
        <v>13</v>
      </c>
      <c r="J2541" s="8" t="s">
        <v>26</v>
      </c>
    </row>
    <row r="2542" customFormat="false" ht="14.25" hidden="false" customHeight="false" outlineLevel="0" collapsed="false">
      <c r="A2542" s="8" t="n">
        <v>2541</v>
      </c>
      <c r="B2542" s="8" t="s">
        <v>276</v>
      </c>
      <c r="C2542" s="8" t="s">
        <v>10</v>
      </c>
      <c r="D2542" s="9" t="n">
        <v>44500</v>
      </c>
      <c r="E2542" s="9" t="str">
        <f aca="false">TEXT(D2542,"MMM")</f>
        <v>out</v>
      </c>
      <c r="F2542" s="10" t="n">
        <v>11166.26</v>
      </c>
      <c r="G2542" s="8" t="s">
        <v>11</v>
      </c>
      <c r="H2542" s="8" t="s">
        <v>12</v>
      </c>
      <c r="I2542" s="11" t="s">
        <v>13</v>
      </c>
      <c r="J2542" s="8" t="s">
        <v>26</v>
      </c>
    </row>
    <row r="2543" customFormat="false" ht="14.25" hidden="false" customHeight="false" outlineLevel="0" collapsed="false">
      <c r="A2543" s="8" t="n">
        <v>2542</v>
      </c>
      <c r="B2543" s="8" t="s">
        <v>20</v>
      </c>
      <c r="C2543" s="8" t="s">
        <v>10</v>
      </c>
      <c r="D2543" s="9" t="n">
        <v>44500</v>
      </c>
      <c r="E2543" s="9" t="str">
        <f aca="false">TEXT(D2543,"MMM")</f>
        <v>out</v>
      </c>
      <c r="F2543" s="10" t="n">
        <v>11303.66</v>
      </c>
      <c r="G2543" s="8" t="s">
        <v>11</v>
      </c>
      <c r="H2543" s="8" t="s">
        <v>12</v>
      </c>
      <c r="I2543" s="11" t="s">
        <v>13</v>
      </c>
      <c r="J2543" s="8" t="s">
        <v>14</v>
      </c>
    </row>
    <row r="2544" customFormat="false" ht="14.25" hidden="false" customHeight="false" outlineLevel="0" collapsed="false">
      <c r="A2544" s="8" t="n">
        <v>2543</v>
      </c>
      <c r="B2544" s="8" t="s">
        <v>75</v>
      </c>
      <c r="C2544" s="8" t="s">
        <v>10</v>
      </c>
      <c r="D2544" s="9" t="n">
        <v>44500</v>
      </c>
      <c r="E2544" s="9" t="str">
        <f aca="false">TEXT(D2544,"MMM")</f>
        <v>out</v>
      </c>
      <c r="F2544" s="10" t="n">
        <v>10420.1</v>
      </c>
      <c r="G2544" s="8" t="s">
        <v>11</v>
      </c>
      <c r="H2544" s="8" t="s">
        <v>12</v>
      </c>
      <c r="I2544" s="11" t="s">
        <v>13</v>
      </c>
      <c r="J2544" s="8" t="s">
        <v>14</v>
      </c>
    </row>
    <row r="2545" customFormat="false" ht="14.25" hidden="false" customHeight="false" outlineLevel="0" collapsed="false">
      <c r="A2545" s="8" t="n">
        <v>2544</v>
      </c>
      <c r="B2545" s="8" t="s">
        <v>73</v>
      </c>
      <c r="C2545" s="8" t="s">
        <v>10</v>
      </c>
      <c r="D2545" s="9" t="n">
        <v>44500</v>
      </c>
      <c r="E2545" s="9" t="str">
        <f aca="false">TEXT(D2545,"MMM")</f>
        <v>out</v>
      </c>
      <c r="F2545" s="10" t="n">
        <v>10622.06</v>
      </c>
      <c r="G2545" s="8" t="s">
        <v>11</v>
      </c>
      <c r="H2545" s="8" t="s">
        <v>36</v>
      </c>
      <c r="I2545" s="11" t="s">
        <v>37</v>
      </c>
      <c r="J2545" s="8" t="s">
        <v>26</v>
      </c>
    </row>
    <row r="2546" customFormat="false" ht="14.25" hidden="false" customHeight="false" outlineLevel="0" collapsed="false">
      <c r="A2546" s="8" t="n">
        <v>2545</v>
      </c>
      <c r="B2546" s="8" t="s">
        <v>81</v>
      </c>
      <c r="C2546" s="8" t="s">
        <v>28</v>
      </c>
      <c r="D2546" s="9" t="n">
        <v>44500</v>
      </c>
      <c r="E2546" s="9" t="str">
        <f aca="false">TEXT(D2546,"MMM")</f>
        <v>out</v>
      </c>
      <c r="F2546" s="10" t="n">
        <v>10622.06</v>
      </c>
      <c r="G2546" s="8" t="s">
        <v>11</v>
      </c>
      <c r="H2546" s="8" t="s">
        <v>30</v>
      </c>
      <c r="I2546" s="11" t="s">
        <v>31</v>
      </c>
      <c r="J2546" s="8" t="s">
        <v>14</v>
      </c>
    </row>
    <row r="2547" customFormat="false" ht="14.25" hidden="false" customHeight="false" outlineLevel="0" collapsed="false">
      <c r="A2547" s="8" t="n">
        <v>2546</v>
      </c>
      <c r="B2547" s="8" t="s">
        <v>66</v>
      </c>
      <c r="C2547" s="8" t="s">
        <v>10</v>
      </c>
      <c r="D2547" s="9" t="n">
        <v>44500</v>
      </c>
      <c r="E2547" s="9" t="str">
        <f aca="false">TEXT(D2547,"MMM")</f>
        <v>out</v>
      </c>
      <c r="F2547" s="10" t="n">
        <v>11159.92</v>
      </c>
      <c r="G2547" s="8" t="s">
        <v>11</v>
      </c>
      <c r="H2547" s="8" t="s">
        <v>22</v>
      </c>
      <c r="I2547" s="11" t="s">
        <v>23</v>
      </c>
      <c r="J2547" s="8" t="s">
        <v>14</v>
      </c>
    </row>
    <row r="2548" customFormat="false" ht="14.25" hidden="false" customHeight="false" outlineLevel="0" collapsed="false">
      <c r="A2548" s="8" t="n">
        <v>2547</v>
      </c>
      <c r="B2548" s="8" t="s">
        <v>66</v>
      </c>
      <c r="C2548" s="8" t="s">
        <v>21</v>
      </c>
      <c r="D2548" s="9" t="n">
        <v>44500</v>
      </c>
      <c r="E2548" s="9" t="str">
        <f aca="false">TEXT(D2548,"MMM")</f>
        <v>out</v>
      </c>
      <c r="F2548" s="10" t="n">
        <v>-2049.04</v>
      </c>
      <c r="G2548" s="8" t="s">
        <v>34</v>
      </c>
      <c r="H2548" s="8" t="s">
        <v>17</v>
      </c>
      <c r="I2548" s="11" t="s">
        <v>18</v>
      </c>
      <c r="J2548" s="8" t="s">
        <v>19</v>
      </c>
    </row>
    <row r="2549" customFormat="false" ht="14.25" hidden="false" customHeight="false" outlineLevel="0" collapsed="false">
      <c r="A2549" s="8" t="n">
        <v>2548</v>
      </c>
      <c r="B2549" s="8" t="s">
        <v>276</v>
      </c>
      <c r="C2549" s="8" t="s">
        <v>28</v>
      </c>
      <c r="D2549" s="9" t="n">
        <v>44500</v>
      </c>
      <c r="E2549" s="9" t="str">
        <f aca="false">TEXT(D2549,"MMM")</f>
        <v>out</v>
      </c>
      <c r="F2549" s="10" t="n">
        <v>-236.71</v>
      </c>
      <c r="G2549" s="8" t="s">
        <v>34</v>
      </c>
      <c r="H2549" s="8" t="s">
        <v>12</v>
      </c>
      <c r="I2549" s="11" t="s">
        <v>13</v>
      </c>
      <c r="J2549" s="8" t="s">
        <v>14</v>
      </c>
    </row>
    <row r="2550" customFormat="false" ht="14.25" hidden="false" customHeight="false" outlineLevel="0" collapsed="false">
      <c r="A2550" s="8" t="n">
        <v>2549</v>
      </c>
      <c r="B2550" s="8" t="s">
        <v>81</v>
      </c>
      <c r="C2550" s="8" t="s">
        <v>16</v>
      </c>
      <c r="D2550" s="9" t="n">
        <v>44500</v>
      </c>
      <c r="E2550" s="9" t="str">
        <f aca="false">TEXT(D2550,"MMM")</f>
        <v>out</v>
      </c>
      <c r="F2550" s="10" t="n">
        <v>18169.12</v>
      </c>
      <c r="G2550" s="8" t="s">
        <v>11</v>
      </c>
      <c r="H2550" s="8" t="s">
        <v>12</v>
      </c>
      <c r="I2550" s="11" t="s">
        <v>13</v>
      </c>
      <c r="J2550" s="8" t="s">
        <v>26</v>
      </c>
    </row>
    <row r="2551" customFormat="false" ht="14.25" hidden="false" customHeight="false" outlineLevel="0" collapsed="false">
      <c r="A2551" s="8" t="n">
        <v>2550</v>
      </c>
      <c r="B2551" s="8" t="s">
        <v>73</v>
      </c>
      <c r="C2551" s="8" t="s">
        <v>16</v>
      </c>
      <c r="D2551" s="9" t="n">
        <v>44500</v>
      </c>
      <c r="E2551" s="9" t="str">
        <f aca="false">TEXT(D2551,"MMM")</f>
        <v>out</v>
      </c>
      <c r="F2551" s="10" t="n">
        <v>132927.84</v>
      </c>
      <c r="G2551" s="8" t="s">
        <v>11</v>
      </c>
      <c r="H2551" s="8" t="s">
        <v>12</v>
      </c>
      <c r="I2551" s="11" t="s">
        <v>13</v>
      </c>
      <c r="J2551" s="8" t="s">
        <v>14</v>
      </c>
    </row>
    <row r="2552" customFormat="false" ht="14.25" hidden="false" customHeight="false" outlineLevel="0" collapsed="false">
      <c r="A2552" s="8" t="n">
        <v>2551</v>
      </c>
      <c r="B2552" s="8" t="s">
        <v>66</v>
      </c>
      <c r="C2552" s="8" t="s">
        <v>21</v>
      </c>
      <c r="D2552" s="9" t="n">
        <v>44500</v>
      </c>
      <c r="E2552" s="9" t="str">
        <f aca="false">TEXT(D2552,"MMM")</f>
        <v>out</v>
      </c>
      <c r="F2552" s="10" t="n">
        <v>2102.93</v>
      </c>
      <c r="G2552" s="8" t="s">
        <v>11</v>
      </c>
      <c r="H2552" s="8" t="s">
        <v>17</v>
      </c>
      <c r="I2552" s="11" t="s">
        <v>18</v>
      </c>
      <c r="J2552" s="8" t="s">
        <v>24</v>
      </c>
    </row>
    <row r="2553" customFormat="false" ht="14.25" hidden="false" customHeight="false" outlineLevel="0" collapsed="false">
      <c r="A2553" s="8" t="n">
        <v>2552</v>
      </c>
      <c r="B2553" s="8" t="s">
        <v>66</v>
      </c>
      <c r="C2553" s="8" t="s">
        <v>21</v>
      </c>
      <c r="D2553" s="9" t="n">
        <v>44500</v>
      </c>
      <c r="E2553" s="9" t="str">
        <f aca="false">TEXT(D2553,"MMM")</f>
        <v>out</v>
      </c>
      <c r="F2553" s="10" t="n">
        <v>6454.18</v>
      </c>
      <c r="G2553" s="8" t="s">
        <v>11</v>
      </c>
      <c r="H2553" s="8" t="s">
        <v>36</v>
      </c>
      <c r="I2553" s="11" t="s">
        <v>37</v>
      </c>
      <c r="J2553" s="8" t="s">
        <v>19</v>
      </c>
    </row>
    <row r="2554" customFormat="false" ht="14.25" hidden="false" customHeight="false" outlineLevel="0" collapsed="false">
      <c r="A2554" s="8" t="n">
        <v>2553</v>
      </c>
      <c r="B2554" s="8" t="s">
        <v>66</v>
      </c>
      <c r="C2554" s="8" t="s">
        <v>16</v>
      </c>
      <c r="D2554" s="9" t="n">
        <v>44500</v>
      </c>
      <c r="E2554" s="9" t="str">
        <f aca="false">TEXT(D2554,"MMM")</f>
        <v>out</v>
      </c>
      <c r="F2554" s="10" t="n">
        <v>8306.88</v>
      </c>
      <c r="G2554" s="8" t="s">
        <v>11</v>
      </c>
      <c r="H2554" s="8" t="s">
        <v>17</v>
      </c>
      <c r="I2554" s="11" t="s">
        <v>18</v>
      </c>
      <c r="J2554" s="8" t="s">
        <v>24</v>
      </c>
    </row>
    <row r="2555" customFormat="false" ht="14.25" hidden="false" customHeight="false" outlineLevel="0" collapsed="false">
      <c r="A2555" s="8" t="n">
        <v>2554</v>
      </c>
      <c r="B2555" s="8" t="s">
        <v>66</v>
      </c>
      <c r="C2555" s="8" t="s">
        <v>10</v>
      </c>
      <c r="D2555" s="9" t="n">
        <v>44500</v>
      </c>
      <c r="E2555" s="9" t="str">
        <f aca="false">TEXT(D2555,"MMM")</f>
        <v>out</v>
      </c>
      <c r="F2555" s="10" t="n">
        <v>816</v>
      </c>
      <c r="G2555" s="8" t="s">
        <v>11</v>
      </c>
      <c r="H2555" s="8" t="s">
        <v>12</v>
      </c>
      <c r="I2555" s="11" t="s">
        <v>13</v>
      </c>
      <c r="J2555" s="8" t="s">
        <v>14</v>
      </c>
    </row>
    <row r="2556" customFormat="false" ht="14.25" hidden="false" customHeight="false" outlineLevel="0" collapsed="false">
      <c r="A2556" s="8" t="n">
        <v>2555</v>
      </c>
      <c r="B2556" s="8" t="s">
        <v>66</v>
      </c>
      <c r="C2556" s="8" t="s">
        <v>10</v>
      </c>
      <c r="D2556" s="9" t="n">
        <v>44500</v>
      </c>
      <c r="E2556" s="9" t="str">
        <f aca="false">TEXT(D2556,"MMM")</f>
        <v>out</v>
      </c>
      <c r="F2556" s="10" t="n">
        <v>2280.92</v>
      </c>
      <c r="G2556" s="8" t="s">
        <v>11</v>
      </c>
      <c r="H2556" s="8" t="s">
        <v>12</v>
      </c>
      <c r="I2556" s="11" t="s">
        <v>13</v>
      </c>
      <c r="J2556" s="8" t="s">
        <v>14</v>
      </c>
    </row>
    <row r="2557" customFormat="false" ht="14.25" hidden="false" customHeight="false" outlineLevel="0" collapsed="false">
      <c r="A2557" s="8" t="n">
        <v>2556</v>
      </c>
      <c r="B2557" s="8" t="s">
        <v>66</v>
      </c>
      <c r="C2557" s="8" t="s">
        <v>10</v>
      </c>
      <c r="D2557" s="9" t="n">
        <v>44500</v>
      </c>
      <c r="E2557" s="9" t="str">
        <f aca="false">TEXT(D2557,"MMM")</f>
        <v>out</v>
      </c>
      <c r="F2557" s="10" t="n">
        <v>6015.55</v>
      </c>
      <c r="G2557" s="8" t="s">
        <v>11</v>
      </c>
      <c r="H2557" s="8" t="s">
        <v>22</v>
      </c>
      <c r="I2557" s="11" t="s">
        <v>23</v>
      </c>
      <c r="J2557" s="8" t="s">
        <v>26</v>
      </c>
    </row>
    <row r="2558" customFormat="false" ht="14.25" hidden="false" customHeight="false" outlineLevel="0" collapsed="false">
      <c r="A2558" s="8" t="n">
        <v>2557</v>
      </c>
      <c r="B2558" s="8" t="s">
        <v>49</v>
      </c>
      <c r="C2558" s="8" t="s">
        <v>10</v>
      </c>
      <c r="D2558" s="9" t="n">
        <v>44505</v>
      </c>
      <c r="E2558" s="9" t="str">
        <f aca="false">TEXT(D2558,"MMM")</f>
        <v>nov</v>
      </c>
      <c r="F2558" s="10" t="n">
        <v>-2219.56</v>
      </c>
      <c r="G2558" s="8" t="s">
        <v>34</v>
      </c>
      <c r="H2558" s="8" t="s">
        <v>30</v>
      </c>
      <c r="I2558" s="11" t="s">
        <v>31</v>
      </c>
      <c r="J2558" s="8" t="s">
        <v>26</v>
      </c>
    </row>
    <row r="2559" customFormat="false" ht="14.25" hidden="false" customHeight="false" outlineLevel="0" collapsed="false">
      <c r="A2559" s="8" t="n">
        <v>2558</v>
      </c>
      <c r="B2559" s="8" t="s">
        <v>163</v>
      </c>
      <c r="C2559" s="8" t="s">
        <v>21</v>
      </c>
      <c r="D2559" s="9" t="n">
        <v>44506</v>
      </c>
      <c r="E2559" s="9" t="str">
        <f aca="false">TEXT(D2559,"MMM")</f>
        <v>nov</v>
      </c>
      <c r="F2559" s="10" t="n">
        <v>144086.34</v>
      </c>
      <c r="G2559" s="8" t="s">
        <v>11</v>
      </c>
      <c r="H2559" s="8" t="s">
        <v>36</v>
      </c>
      <c r="I2559" s="11" t="s">
        <v>37</v>
      </c>
      <c r="J2559" s="8" t="s">
        <v>26</v>
      </c>
    </row>
    <row r="2560" customFormat="false" ht="14.25" hidden="false" customHeight="false" outlineLevel="0" collapsed="false">
      <c r="A2560" s="8" t="n">
        <v>2559</v>
      </c>
      <c r="B2560" s="8" t="s">
        <v>208</v>
      </c>
      <c r="C2560" s="8" t="s">
        <v>28</v>
      </c>
      <c r="D2560" s="9" t="n">
        <v>44506</v>
      </c>
      <c r="E2560" s="9" t="str">
        <f aca="false">TEXT(D2560,"MMM")</f>
        <v>nov</v>
      </c>
      <c r="F2560" s="10" t="n">
        <v>-708.16</v>
      </c>
      <c r="G2560" s="8" t="s">
        <v>34</v>
      </c>
      <c r="H2560" s="8" t="s">
        <v>12</v>
      </c>
      <c r="I2560" s="11" t="s">
        <v>13</v>
      </c>
      <c r="J2560" s="8" t="s">
        <v>26</v>
      </c>
    </row>
    <row r="2561" customFormat="false" ht="14.25" hidden="false" customHeight="false" outlineLevel="0" collapsed="false">
      <c r="A2561" s="8" t="n">
        <v>2560</v>
      </c>
      <c r="B2561" s="8" t="s">
        <v>85</v>
      </c>
      <c r="C2561" s="8" t="s">
        <v>28</v>
      </c>
      <c r="D2561" s="9" t="n">
        <v>44506</v>
      </c>
      <c r="E2561" s="9" t="str">
        <f aca="false">TEXT(D2561,"MMM")</f>
        <v>nov</v>
      </c>
      <c r="F2561" s="10" t="n">
        <v>-6725.43</v>
      </c>
      <c r="G2561" s="8" t="s">
        <v>34</v>
      </c>
      <c r="H2561" s="8" t="s">
        <v>12</v>
      </c>
      <c r="I2561" s="11" t="s">
        <v>13</v>
      </c>
      <c r="J2561" s="8" t="s">
        <v>26</v>
      </c>
    </row>
    <row r="2562" customFormat="false" ht="14.25" hidden="false" customHeight="false" outlineLevel="0" collapsed="false">
      <c r="A2562" s="8" t="n">
        <v>2561</v>
      </c>
      <c r="B2562" s="8" t="s">
        <v>77</v>
      </c>
      <c r="C2562" s="8" t="s">
        <v>10</v>
      </c>
      <c r="D2562" s="9" t="n">
        <v>44506</v>
      </c>
      <c r="E2562" s="9" t="str">
        <f aca="false">TEXT(D2562,"MMM")</f>
        <v>nov</v>
      </c>
      <c r="F2562" s="10" t="n">
        <v>-1256.43</v>
      </c>
      <c r="G2562" s="8" t="s">
        <v>34</v>
      </c>
      <c r="H2562" s="8" t="s">
        <v>17</v>
      </c>
      <c r="I2562" s="11" t="s">
        <v>18</v>
      </c>
      <c r="J2562" s="8" t="s">
        <v>24</v>
      </c>
    </row>
    <row r="2563" customFormat="false" ht="14.25" hidden="false" customHeight="false" outlineLevel="0" collapsed="false">
      <c r="A2563" s="8" t="n">
        <v>2562</v>
      </c>
      <c r="B2563" s="8" t="s">
        <v>188</v>
      </c>
      <c r="C2563" s="8" t="s">
        <v>21</v>
      </c>
      <c r="D2563" s="9" t="n">
        <v>44507</v>
      </c>
      <c r="E2563" s="9" t="str">
        <f aca="false">TEXT(D2563,"MMM")</f>
        <v>nov</v>
      </c>
      <c r="F2563" s="10" t="n">
        <v>-10599.3</v>
      </c>
      <c r="G2563" s="8" t="s">
        <v>34</v>
      </c>
      <c r="H2563" s="8" t="s">
        <v>30</v>
      </c>
      <c r="I2563" s="11" t="s">
        <v>31</v>
      </c>
      <c r="J2563" s="8" t="s">
        <v>24</v>
      </c>
    </row>
    <row r="2564" customFormat="false" ht="14.25" hidden="false" customHeight="false" outlineLevel="0" collapsed="false">
      <c r="A2564" s="8" t="n">
        <v>2563</v>
      </c>
      <c r="B2564" s="8" t="s">
        <v>173</v>
      </c>
      <c r="C2564" s="8" t="s">
        <v>21</v>
      </c>
      <c r="D2564" s="9" t="n">
        <v>44507</v>
      </c>
      <c r="E2564" s="9" t="str">
        <f aca="false">TEXT(D2564,"MMM")</f>
        <v>nov</v>
      </c>
      <c r="F2564" s="10" t="n">
        <v>-7111.41</v>
      </c>
      <c r="G2564" s="8" t="s">
        <v>34</v>
      </c>
      <c r="H2564" s="8" t="s">
        <v>12</v>
      </c>
      <c r="I2564" s="11" t="s">
        <v>13</v>
      </c>
      <c r="J2564" s="8" t="s">
        <v>14</v>
      </c>
    </row>
    <row r="2565" customFormat="false" ht="14.25" hidden="false" customHeight="false" outlineLevel="0" collapsed="false">
      <c r="A2565" s="8" t="n">
        <v>2564</v>
      </c>
      <c r="B2565" s="8" t="s">
        <v>85</v>
      </c>
      <c r="C2565" s="8" t="s">
        <v>21</v>
      </c>
      <c r="D2565" s="9" t="n">
        <v>44507</v>
      </c>
      <c r="E2565" s="9" t="str">
        <f aca="false">TEXT(D2565,"MMM")</f>
        <v>nov</v>
      </c>
      <c r="F2565" s="10" t="n">
        <v>-457.1</v>
      </c>
      <c r="G2565" s="8" t="s">
        <v>34</v>
      </c>
      <c r="H2565" s="8" t="s">
        <v>17</v>
      </c>
      <c r="I2565" s="11" t="s">
        <v>18</v>
      </c>
      <c r="J2565" s="8" t="s">
        <v>26</v>
      </c>
    </row>
    <row r="2566" customFormat="false" ht="14.25" hidden="false" customHeight="false" outlineLevel="0" collapsed="false">
      <c r="A2566" s="8" t="n">
        <v>2565</v>
      </c>
      <c r="B2566" s="8" t="s">
        <v>73</v>
      </c>
      <c r="C2566" s="8" t="s">
        <v>28</v>
      </c>
      <c r="D2566" s="9" t="n">
        <v>44507</v>
      </c>
      <c r="E2566" s="9" t="str">
        <f aca="false">TEXT(D2566,"MMM")</f>
        <v>nov</v>
      </c>
      <c r="F2566" s="10" t="n">
        <v>154075.94</v>
      </c>
      <c r="G2566" s="8" t="s">
        <v>11</v>
      </c>
      <c r="H2566" s="8" t="s">
        <v>12</v>
      </c>
      <c r="I2566" s="11" t="s">
        <v>13</v>
      </c>
      <c r="J2566" s="8" t="s">
        <v>26</v>
      </c>
    </row>
    <row r="2567" customFormat="false" ht="14.25" hidden="false" customHeight="false" outlineLevel="0" collapsed="false">
      <c r="A2567" s="8" t="n">
        <v>2566</v>
      </c>
      <c r="B2567" s="8" t="s">
        <v>73</v>
      </c>
      <c r="C2567" s="8" t="s">
        <v>28</v>
      </c>
      <c r="D2567" s="9" t="n">
        <v>44507</v>
      </c>
      <c r="E2567" s="9" t="str">
        <f aca="false">TEXT(D2567,"MMM")</f>
        <v>nov</v>
      </c>
      <c r="F2567" s="10" t="n">
        <v>-339.99</v>
      </c>
      <c r="G2567" s="8" t="s">
        <v>34</v>
      </c>
      <c r="H2567" s="8" t="s">
        <v>36</v>
      </c>
      <c r="I2567" s="11" t="s">
        <v>37</v>
      </c>
      <c r="J2567" s="8" t="s">
        <v>26</v>
      </c>
    </row>
    <row r="2568" customFormat="false" ht="14.25" hidden="false" customHeight="false" outlineLevel="0" collapsed="false">
      <c r="A2568" s="8" t="n">
        <v>2567</v>
      </c>
      <c r="B2568" s="8" t="s">
        <v>73</v>
      </c>
      <c r="C2568" s="8" t="s">
        <v>21</v>
      </c>
      <c r="D2568" s="9" t="n">
        <v>44507</v>
      </c>
      <c r="E2568" s="9" t="str">
        <f aca="false">TEXT(D2568,"MMM")</f>
        <v>nov</v>
      </c>
      <c r="F2568" s="10" t="n">
        <v>-8228.26</v>
      </c>
      <c r="G2568" s="8" t="s">
        <v>34</v>
      </c>
      <c r="H2568" s="8" t="s">
        <v>17</v>
      </c>
      <c r="I2568" s="11" t="s">
        <v>18</v>
      </c>
      <c r="J2568" s="8" t="s">
        <v>24</v>
      </c>
    </row>
    <row r="2569" customFormat="false" ht="14.25" hidden="false" customHeight="false" outlineLevel="0" collapsed="false">
      <c r="A2569" s="8" t="n">
        <v>2568</v>
      </c>
      <c r="B2569" s="8" t="s">
        <v>250</v>
      </c>
      <c r="C2569" s="8" t="s">
        <v>21</v>
      </c>
      <c r="D2569" s="9" t="n">
        <v>44508</v>
      </c>
      <c r="E2569" s="9" t="str">
        <f aca="false">TEXT(D2569,"MMM")</f>
        <v>nov</v>
      </c>
      <c r="F2569" s="10" t="n">
        <v>-8329.37</v>
      </c>
      <c r="G2569" s="8" t="s">
        <v>34</v>
      </c>
      <c r="H2569" s="8" t="s">
        <v>36</v>
      </c>
      <c r="I2569" s="11" t="s">
        <v>37</v>
      </c>
      <c r="J2569" s="8" t="s">
        <v>14</v>
      </c>
    </row>
    <row r="2570" customFormat="false" ht="14.25" hidden="false" customHeight="false" outlineLevel="0" collapsed="false">
      <c r="A2570" s="8" t="n">
        <v>2569</v>
      </c>
      <c r="B2570" s="8" t="s">
        <v>250</v>
      </c>
      <c r="C2570" s="8" t="s">
        <v>28</v>
      </c>
      <c r="D2570" s="9" t="n">
        <v>44508</v>
      </c>
      <c r="E2570" s="9" t="str">
        <f aca="false">TEXT(D2570,"MMM")</f>
        <v>nov</v>
      </c>
      <c r="F2570" s="10" t="n">
        <v>-8413.86</v>
      </c>
      <c r="G2570" s="8" t="s">
        <v>34</v>
      </c>
      <c r="H2570" s="8" t="s">
        <v>12</v>
      </c>
      <c r="I2570" s="11" t="s">
        <v>13</v>
      </c>
      <c r="J2570" s="8" t="s">
        <v>26</v>
      </c>
    </row>
    <row r="2571" customFormat="false" ht="14.25" hidden="false" customHeight="false" outlineLevel="0" collapsed="false">
      <c r="A2571" s="8" t="n">
        <v>2570</v>
      </c>
      <c r="B2571" s="8" t="s">
        <v>33</v>
      </c>
      <c r="C2571" s="8" t="s">
        <v>21</v>
      </c>
      <c r="D2571" s="9" t="n">
        <v>44508</v>
      </c>
      <c r="E2571" s="9" t="str">
        <f aca="false">TEXT(D2571,"MMM")</f>
        <v>nov</v>
      </c>
      <c r="F2571" s="10" t="n">
        <v>-8806.28</v>
      </c>
      <c r="G2571" s="8" t="s">
        <v>34</v>
      </c>
      <c r="H2571" s="8" t="s">
        <v>17</v>
      </c>
      <c r="I2571" s="11" t="s">
        <v>18</v>
      </c>
      <c r="J2571" s="8" t="s">
        <v>14</v>
      </c>
    </row>
    <row r="2572" customFormat="false" ht="14.25" hidden="false" customHeight="false" outlineLevel="0" collapsed="false">
      <c r="A2572" s="8" t="n">
        <v>2571</v>
      </c>
      <c r="B2572" s="8" t="s">
        <v>33</v>
      </c>
      <c r="C2572" s="8" t="s">
        <v>10</v>
      </c>
      <c r="D2572" s="9" t="n">
        <v>44508</v>
      </c>
      <c r="E2572" s="9" t="str">
        <f aca="false">TEXT(D2572,"MMM")</f>
        <v>nov</v>
      </c>
      <c r="F2572" s="10" t="n">
        <v>-11795.25</v>
      </c>
      <c r="G2572" s="8" t="s">
        <v>34</v>
      </c>
      <c r="H2572" s="8" t="s">
        <v>12</v>
      </c>
      <c r="I2572" s="11" t="s">
        <v>13</v>
      </c>
      <c r="J2572" s="8" t="s">
        <v>14</v>
      </c>
    </row>
    <row r="2573" customFormat="false" ht="14.25" hidden="false" customHeight="false" outlineLevel="0" collapsed="false">
      <c r="A2573" s="8" t="n">
        <v>2572</v>
      </c>
      <c r="B2573" s="8" t="s">
        <v>39</v>
      </c>
      <c r="C2573" s="8" t="s">
        <v>10</v>
      </c>
      <c r="D2573" s="9" t="n">
        <v>44508</v>
      </c>
      <c r="E2573" s="9" t="str">
        <f aca="false">TEXT(D2573,"MMM")</f>
        <v>nov</v>
      </c>
      <c r="F2573" s="10" t="n">
        <v>-11227.72</v>
      </c>
      <c r="G2573" s="8" t="s">
        <v>34</v>
      </c>
      <c r="H2573" s="8" t="s">
        <v>17</v>
      </c>
      <c r="I2573" s="11" t="s">
        <v>18</v>
      </c>
      <c r="J2573" s="8" t="s">
        <v>24</v>
      </c>
    </row>
    <row r="2574" customFormat="false" ht="14.25" hidden="false" customHeight="false" outlineLevel="0" collapsed="false">
      <c r="A2574" s="8" t="n">
        <v>2573</v>
      </c>
      <c r="B2574" s="8" t="s">
        <v>33</v>
      </c>
      <c r="C2574" s="8" t="s">
        <v>21</v>
      </c>
      <c r="D2574" s="9" t="n">
        <v>44508</v>
      </c>
      <c r="E2574" s="9" t="str">
        <f aca="false">TEXT(D2574,"MMM")</f>
        <v>nov</v>
      </c>
      <c r="F2574" s="10" t="n">
        <v>-11123.53</v>
      </c>
      <c r="G2574" s="8" t="s">
        <v>34</v>
      </c>
      <c r="H2574" s="8" t="s">
        <v>12</v>
      </c>
      <c r="I2574" s="11" t="s">
        <v>13</v>
      </c>
      <c r="J2574" s="8" t="s">
        <v>26</v>
      </c>
    </row>
    <row r="2575" customFormat="false" ht="14.25" hidden="false" customHeight="false" outlineLevel="0" collapsed="false">
      <c r="A2575" s="8" t="n">
        <v>2574</v>
      </c>
      <c r="B2575" s="8" t="s">
        <v>33</v>
      </c>
      <c r="C2575" s="8" t="s">
        <v>21</v>
      </c>
      <c r="D2575" s="9" t="n">
        <v>44508</v>
      </c>
      <c r="E2575" s="9" t="str">
        <f aca="false">TEXT(D2575,"MMM")</f>
        <v>nov</v>
      </c>
      <c r="F2575" s="10" t="n">
        <v>-2382.28</v>
      </c>
      <c r="G2575" s="8" t="s">
        <v>34</v>
      </c>
      <c r="H2575" s="8" t="s">
        <v>17</v>
      </c>
      <c r="I2575" s="11" t="s">
        <v>18</v>
      </c>
      <c r="J2575" s="8" t="s">
        <v>14</v>
      </c>
    </row>
    <row r="2576" customFormat="false" ht="14.25" hidden="false" customHeight="false" outlineLevel="0" collapsed="false">
      <c r="A2576" s="8" t="n">
        <v>2575</v>
      </c>
      <c r="B2576" s="8" t="s">
        <v>149</v>
      </c>
      <c r="C2576" s="8" t="s">
        <v>10</v>
      </c>
      <c r="D2576" s="9" t="n">
        <v>44509</v>
      </c>
      <c r="E2576" s="9" t="str">
        <f aca="false">TEXT(D2576,"MMM")</f>
        <v>nov</v>
      </c>
      <c r="F2576" s="10" t="n">
        <v>-3087.6</v>
      </c>
      <c r="G2576" s="8" t="s">
        <v>34</v>
      </c>
      <c r="H2576" s="8" t="s">
        <v>22</v>
      </c>
      <c r="I2576" s="11" t="s">
        <v>23</v>
      </c>
      <c r="J2576" s="8" t="s">
        <v>26</v>
      </c>
    </row>
    <row r="2577" customFormat="false" ht="14.25" hidden="false" customHeight="false" outlineLevel="0" collapsed="false">
      <c r="A2577" s="8" t="n">
        <v>2576</v>
      </c>
      <c r="B2577" s="8" t="s">
        <v>150</v>
      </c>
      <c r="C2577" s="8" t="s">
        <v>10</v>
      </c>
      <c r="D2577" s="9" t="n">
        <v>44509</v>
      </c>
      <c r="E2577" s="9" t="str">
        <f aca="false">TEXT(D2577,"MMM")</f>
        <v>nov</v>
      </c>
      <c r="F2577" s="10" t="n">
        <v>-19747.88</v>
      </c>
      <c r="G2577" s="8" t="s">
        <v>34</v>
      </c>
      <c r="H2577" s="8" t="s">
        <v>12</v>
      </c>
      <c r="I2577" s="11" t="s">
        <v>13</v>
      </c>
      <c r="J2577" s="8" t="s">
        <v>14</v>
      </c>
    </row>
    <row r="2578" customFormat="false" ht="14.25" hidden="false" customHeight="false" outlineLevel="0" collapsed="false">
      <c r="A2578" s="8" t="n">
        <v>2577</v>
      </c>
      <c r="B2578" s="8" t="s">
        <v>181</v>
      </c>
      <c r="C2578" s="8" t="s">
        <v>28</v>
      </c>
      <c r="D2578" s="9" t="n">
        <v>44509</v>
      </c>
      <c r="E2578" s="9" t="str">
        <f aca="false">TEXT(D2578,"MMM")</f>
        <v>nov</v>
      </c>
      <c r="F2578" s="10" t="n">
        <v>-1483.48</v>
      </c>
      <c r="G2578" s="8" t="s">
        <v>34</v>
      </c>
      <c r="H2578" s="8" t="s">
        <v>12</v>
      </c>
      <c r="I2578" s="11" t="s">
        <v>13</v>
      </c>
      <c r="J2578" s="8" t="s">
        <v>26</v>
      </c>
    </row>
    <row r="2579" customFormat="false" ht="14.25" hidden="false" customHeight="false" outlineLevel="0" collapsed="false">
      <c r="A2579" s="8" t="n">
        <v>2578</v>
      </c>
      <c r="B2579" s="8" t="s">
        <v>113</v>
      </c>
      <c r="C2579" s="8" t="s">
        <v>28</v>
      </c>
      <c r="D2579" s="9" t="n">
        <v>44509</v>
      </c>
      <c r="E2579" s="9" t="str">
        <f aca="false">TEXT(D2579,"MMM")</f>
        <v>nov</v>
      </c>
      <c r="F2579" s="10" t="n">
        <v>-1874.25</v>
      </c>
      <c r="G2579" s="8" t="s">
        <v>34</v>
      </c>
      <c r="H2579" s="8" t="s">
        <v>12</v>
      </c>
      <c r="I2579" s="11" t="s">
        <v>13</v>
      </c>
      <c r="J2579" s="8" t="s">
        <v>26</v>
      </c>
    </row>
    <row r="2580" customFormat="false" ht="14.25" hidden="false" customHeight="false" outlineLevel="0" collapsed="false">
      <c r="A2580" s="8" t="n">
        <v>2579</v>
      </c>
      <c r="B2580" s="8" t="s">
        <v>235</v>
      </c>
      <c r="C2580" s="8" t="s">
        <v>21</v>
      </c>
      <c r="D2580" s="9" t="n">
        <v>44509</v>
      </c>
      <c r="E2580" s="9" t="str">
        <f aca="false">TEXT(D2580,"MMM")</f>
        <v>nov</v>
      </c>
      <c r="F2580" s="10" t="n">
        <v>-2155.65</v>
      </c>
      <c r="G2580" s="8" t="s">
        <v>34</v>
      </c>
      <c r="H2580" s="8" t="s">
        <v>36</v>
      </c>
      <c r="I2580" s="11" t="s">
        <v>37</v>
      </c>
      <c r="J2580" s="8" t="s">
        <v>24</v>
      </c>
    </row>
    <row r="2581" customFormat="false" ht="14.25" hidden="false" customHeight="false" outlineLevel="0" collapsed="false">
      <c r="A2581" s="8" t="n">
        <v>2580</v>
      </c>
      <c r="B2581" s="8" t="s">
        <v>277</v>
      </c>
      <c r="C2581" s="8" t="s">
        <v>16</v>
      </c>
      <c r="D2581" s="9" t="n">
        <v>44509</v>
      </c>
      <c r="E2581" s="9" t="str">
        <f aca="false">TEXT(D2581,"MMM")</f>
        <v>nov</v>
      </c>
      <c r="F2581" s="10" t="n">
        <v>-1692.67</v>
      </c>
      <c r="G2581" s="8" t="s">
        <v>34</v>
      </c>
      <c r="H2581" s="8" t="s">
        <v>12</v>
      </c>
      <c r="I2581" s="11" t="s">
        <v>13</v>
      </c>
      <c r="J2581" s="8" t="s">
        <v>14</v>
      </c>
    </row>
    <row r="2582" customFormat="false" ht="14.25" hidden="false" customHeight="false" outlineLevel="0" collapsed="false">
      <c r="A2582" s="8" t="n">
        <v>2581</v>
      </c>
      <c r="B2582" s="8" t="s">
        <v>145</v>
      </c>
      <c r="C2582" s="8" t="s">
        <v>16</v>
      </c>
      <c r="D2582" s="9" t="n">
        <v>44509</v>
      </c>
      <c r="E2582" s="9" t="str">
        <f aca="false">TEXT(D2582,"MMM")</f>
        <v>nov</v>
      </c>
      <c r="F2582" s="10" t="n">
        <v>-299.57</v>
      </c>
      <c r="G2582" s="8" t="s">
        <v>34</v>
      </c>
      <c r="H2582" s="8" t="s">
        <v>17</v>
      </c>
      <c r="I2582" s="11" t="s">
        <v>18</v>
      </c>
      <c r="J2582" s="8" t="s">
        <v>14</v>
      </c>
    </row>
    <row r="2583" customFormat="false" ht="14.25" hidden="false" customHeight="false" outlineLevel="0" collapsed="false">
      <c r="A2583" s="8" t="n">
        <v>2582</v>
      </c>
      <c r="B2583" s="8" t="s">
        <v>250</v>
      </c>
      <c r="C2583" s="8" t="s">
        <v>16</v>
      </c>
      <c r="D2583" s="9" t="n">
        <v>44509</v>
      </c>
      <c r="E2583" s="9" t="str">
        <f aca="false">TEXT(D2583,"MMM")</f>
        <v>nov</v>
      </c>
      <c r="F2583" s="10" t="n">
        <v>154511.88</v>
      </c>
      <c r="G2583" s="8" t="s">
        <v>11</v>
      </c>
      <c r="H2583" s="8" t="s">
        <v>17</v>
      </c>
      <c r="I2583" s="11" t="s">
        <v>18</v>
      </c>
      <c r="J2583" s="8" t="s">
        <v>24</v>
      </c>
    </row>
    <row r="2584" customFormat="false" ht="14.25" hidden="false" customHeight="false" outlineLevel="0" collapsed="false">
      <c r="A2584" s="8" t="n">
        <v>2583</v>
      </c>
      <c r="B2584" s="8" t="s">
        <v>49</v>
      </c>
      <c r="C2584" s="8" t="s">
        <v>16</v>
      </c>
      <c r="D2584" s="9" t="n">
        <v>44509</v>
      </c>
      <c r="E2584" s="9" t="str">
        <f aca="false">TEXT(D2584,"MMM")</f>
        <v>nov</v>
      </c>
      <c r="F2584" s="10" t="n">
        <v>144197.67</v>
      </c>
      <c r="G2584" s="8" t="s">
        <v>11</v>
      </c>
      <c r="H2584" s="8" t="s">
        <v>17</v>
      </c>
      <c r="I2584" s="11" t="s">
        <v>18</v>
      </c>
      <c r="J2584" s="8" t="s">
        <v>14</v>
      </c>
    </row>
    <row r="2585" customFormat="false" ht="14.25" hidden="false" customHeight="false" outlineLevel="0" collapsed="false">
      <c r="A2585" s="8" t="n">
        <v>2584</v>
      </c>
      <c r="B2585" s="8" t="s">
        <v>182</v>
      </c>
      <c r="C2585" s="8" t="s">
        <v>10</v>
      </c>
      <c r="D2585" s="9" t="n">
        <v>44512</v>
      </c>
      <c r="E2585" s="9" t="str">
        <f aca="false">TEXT(D2585,"MMM")</f>
        <v>nov</v>
      </c>
      <c r="F2585" s="10" t="n">
        <v>151597.63</v>
      </c>
      <c r="G2585" s="8" t="s">
        <v>11</v>
      </c>
      <c r="H2585" s="8" t="s">
        <v>17</v>
      </c>
      <c r="I2585" s="11" t="s">
        <v>18</v>
      </c>
      <c r="J2585" s="8" t="s">
        <v>14</v>
      </c>
    </row>
    <row r="2586" customFormat="false" ht="14.25" hidden="false" customHeight="false" outlineLevel="0" collapsed="false">
      <c r="A2586" s="8" t="n">
        <v>2585</v>
      </c>
      <c r="B2586" s="8" t="s">
        <v>172</v>
      </c>
      <c r="C2586" s="8" t="s">
        <v>10</v>
      </c>
      <c r="D2586" s="9" t="n">
        <v>44512</v>
      </c>
      <c r="E2586" s="9" t="str">
        <f aca="false">TEXT(D2586,"MMM")</f>
        <v>nov</v>
      </c>
      <c r="F2586" s="10" t="n">
        <v>-7183.44</v>
      </c>
      <c r="G2586" s="8" t="s">
        <v>34</v>
      </c>
      <c r="H2586" s="8" t="s">
        <v>17</v>
      </c>
      <c r="I2586" s="11" t="s">
        <v>18</v>
      </c>
      <c r="J2586" s="8" t="s">
        <v>24</v>
      </c>
    </row>
    <row r="2587" customFormat="false" ht="14.25" hidden="false" customHeight="false" outlineLevel="0" collapsed="false">
      <c r="A2587" s="8" t="n">
        <v>2586</v>
      </c>
      <c r="B2587" s="8" t="s">
        <v>190</v>
      </c>
      <c r="C2587" s="8" t="s">
        <v>16</v>
      </c>
      <c r="D2587" s="9" t="n">
        <v>44512</v>
      </c>
      <c r="E2587" s="9" t="str">
        <f aca="false">TEXT(D2587,"MMM")</f>
        <v>nov</v>
      </c>
      <c r="F2587" s="10" t="n">
        <v>-2833.67</v>
      </c>
      <c r="G2587" s="8" t="s">
        <v>34</v>
      </c>
      <c r="H2587" s="8" t="s">
        <v>12</v>
      </c>
      <c r="I2587" s="11" t="s">
        <v>13</v>
      </c>
      <c r="J2587" s="8" t="s">
        <v>19</v>
      </c>
    </row>
    <row r="2588" customFormat="false" ht="14.25" hidden="false" customHeight="false" outlineLevel="0" collapsed="false">
      <c r="A2588" s="8" t="n">
        <v>2587</v>
      </c>
      <c r="B2588" s="8" t="s">
        <v>248</v>
      </c>
      <c r="C2588" s="8" t="s">
        <v>16</v>
      </c>
      <c r="D2588" s="9" t="n">
        <v>44512</v>
      </c>
      <c r="E2588" s="9" t="str">
        <f aca="false">TEXT(D2588,"MMM")</f>
        <v>nov</v>
      </c>
      <c r="F2588" s="10" t="n">
        <v>-18095.11</v>
      </c>
      <c r="G2588" s="8" t="s">
        <v>34</v>
      </c>
      <c r="H2588" s="8" t="s">
        <v>12</v>
      </c>
      <c r="I2588" s="11" t="s">
        <v>13</v>
      </c>
      <c r="J2588" s="8" t="s">
        <v>26</v>
      </c>
    </row>
    <row r="2589" customFormat="false" ht="14.25" hidden="false" customHeight="false" outlineLevel="0" collapsed="false">
      <c r="A2589" s="8" t="n">
        <v>2588</v>
      </c>
      <c r="B2589" s="8" t="s">
        <v>85</v>
      </c>
      <c r="C2589" s="8" t="s">
        <v>28</v>
      </c>
      <c r="D2589" s="9" t="n">
        <v>44512</v>
      </c>
      <c r="E2589" s="9" t="str">
        <f aca="false">TEXT(D2589,"MMM")</f>
        <v>nov</v>
      </c>
      <c r="F2589" s="10" t="n">
        <v>-16124.01</v>
      </c>
      <c r="G2589" s="8" t="s">
        <v>34</v>
      </c>
      <c r="H2589" s="8" t="s">
        <v>12</v>
      </c>
      <c r="I2589" s="11" t="s">
        <v>13</v>
      </c>
      <c r="J2589" s="8" t="s">
        <v>24</v>
      </c>
    </row>
    <row r="2590" customFormat="false" ht="14.25" hidden="false" customHeight="false" outlineLevel="0" collapsed="false">
      <c r="A2590" s="8" t="n">
        <v>2589</v>
      </c>
      <c r="B2590" s="8" t="s">
        <v>207</v>
      </c>
      <c r="C2590" s="8" t="s">
        <v>28</v>
      </c>
      <c r="D2590" s="9" t="n">
        <v>44513</v>
      </c>
      <c r="E2590" s="9" t="str">
        <f aca="false">TEXT(D2590,"MMM")</f>
        <v>nov</v>
      </c>
      <c r="F2590" s="10" t="n">
        <v>134424.98</v>
      </c>
      <c r="G2590" s="8" t="s">
        <v>11</v>
      </c>
      <c r="H2590" s="8" t="s">
        <v>12</v>
      </c>
      <c r="I2590" s="11" t="s">
        <v>13</v>
      </c>
      <c r="J2590" s="8" t="s">
        <v>14</v>
      </c>
    </row>
    <row r="2591" customFormat="false" ht="14.25" hidden="false" customHeight="false" outlineLevel="0" collapsed="false">
      <c r="A2591" s="8" t="n">
        <v>2590</v>
      </c>
      <c r="B2591" s="8" t="s">
        <v>278</v>
      </c>
      <c r="C2591" s="8" t="s">
        <v>10</v>
      </c>
      <c r="D2591" s="9" t="n">
        <v>44513</v>
      </c>
      <c r="E2591" s="9" t="str">
        <f aca="false">TEXT(D2591,"MMM")</f>
        <v>nov</v>
      </c>
      <c r="F2591" s="10" t="n">
        <v>-6599.15</v>
      </c>
      <c r="G2591" s="8" t="s">
        <v>34</v>
      </c>
      <c r="H2591" s="8" t="s">
        <v>17</v>
      </c>
      <c r="I2591" s="11" t="s">
        <v>18</v>
      </c>
      <c r="J2591" s="8" t="s">
        <v>14</v>
      </c>
    </row>
    <row r="2592" customFormat="false" ht="14.25" hidden="false" customHeight="false" outlineLevel="0" collapsed="false">
      <c r="A2592" s="8" t="n">
        <v>2591</v>
      </c>
      <c r="B2592" s="8" t="s">
        <v>279</v>
      </c>
      <c r="C2592" s="8" t="s">
        <v>28</v>
      </c>
      <c r="D2592" s="9" t="n">
        <v>44514</v>
      </c>
      <c r="E2592" s="9" t="str">
        <f aca="false">TEXT(D2592,"MMM")</f>
        <v>nov</v>
      </c>
      <c r="F2592" s="10" t="n">
        <v>-7454.9</v>
      </c>
      <c r="G2592" s="8" t="s">
        <v>34</v>
      </c>
      <c r="H2592" s="8" t="s">
        <v>12</v>
      </c>
      <c r="I2592" s="11" t="s">
        <v>13</v>
      </c>
      <c r="J2592" s="8" t="s">
        <v>14</v>
      </c>
    </row>
    <row r="2593" customFormat="false" ht="14.25" hidden="false" customHeight="false" outlineLevel="0" collapsed="false">
      <c r="A2593" s="8" t="n">
        <v>2592</v>
      </c>
      <c r="B2593" s="8" t="s">
        <v>55</v>
      </c>
      <c r="C2593" s="8" t="s">
        <v>16</v>
      </c>
      <c r="D2593" s="9" t="n">
        <v>44514</v>
      </c>
      <c r="E2593" s="9" t="str">
        <f aca="false">TEXT(D2593,"MMM")</f>
        <v>nov</v>
      </c>
      <c r="F2593" s="10" t="n">
        <v>176497.37</v>
      </c>
      <c r="G2593" s="8" t="s">
        <v>11</v>
      </c>
      <c r="H2593" s="8" t="s">
        <v>12</v>
      </c>
      <c r="I2593" s="11" t="s">
        <v>13</v>
      </c>
      <c r="J2593" s="8" t="s">
        <v>14</v>
      </c>
    </row>
    <row r="2594" customFormat="false" ht="14.25" hidden="false" customHeight="false" outlineLevel="0" collapsed="false">
      <c r="A2594" s="8" t="n">
        <v>2593</v>
      </c>
      <c r="B2594" s="8" t="s">
        <v>158</v>
      </c>
      <c r="C2594" s="8" t="s">
        <v>10</v>
      </c>
      <c r="D2594" s="9" t="n">
        <v>44514</v>
      </c>
      <c r="E2594" s="9" t="str">
        <f aca="false">TEXT(D2594,"MMM")</f>
        <v>nov</v>
      </c>
      <c r="F2594" s="10" t="n">
        <v>-200492.74</v>
      </c>
      <c r="G2594" s="8" t="s">
        <v>34</v>
      </c>
      <c r="H2594" s="8" t="s">
        <v>36</v>
      </c>
      <c r="I2594" s="11" t="s">
        <v>37</v>
      </c>
      <c r="J2594" s="8" t="s">
        <v>14</v>
      </c>
    </row>
    <row r="2595" customFormat="false" ht="14.25" hidden="false" customHeight="false" outlineLevel="0" collapsed="false">
      <c r="A2595" s="8" t="n">
        <v>2594</v>
      </c>
      <c r="B2595" s="8" t="s">
        <v>157</v>
      </c>
      <c r="C2595" s="8" t="s">
        <v>21</v>
      </c>
      <c r="D2595" s="9" t="n">
        <v>44514</v>
      </c>
      <c r="E2595" s="9" t="str">
        <f aca="false">TEXT(D2595,"MMM")</f>
        <v>nov</v>
      </c>
      <c r="F2595" s="10" t="n">
        <v>-202576.36</v>
      </c>
      <c r="G2595" s="8" t="s">
        <v>34</v>
      </c>
      <c r="H2595" s="8" t="s">
        <v>30</v>
      </c>
      <c r="I2595" s="11" t="s">
        <v>31</v>
      </c>
      <c r="J2595" s="8" t="s">
        <v>14</v>
      </c>
    </row>
    <row r="2596" customFormat="false" ht="14.25" hidden="false" customHeight="false" outlineLevel="0" collapsed="false">
      <c r="A2596" s="8" t="n">
        <v>2595</v>
      </c>
      <c r="B2596" s="8" t="s">
        <v>171</v>
      </c>
      <c r="C2596" s="8" t="s">
        <v>16</v>
      </c>
      <c r="D2596" s="9" t="n">
        <v>44514</v>
      </c>
      <c r="E2596" s="9" t="str">
        <f aca="false">TEXT(D2596,"MMM")</f>
        <v>nov</v>
      </c>
      <c r="F2596" s="10" t="n">
        <v>-25871.48</v>
      </c>
      <c r="G2596" s="8" t="s">
        <v>34</v>
      </c>
      <c r="H2596" s="8" t="s">
        <v>36</v>
      </c>
      <c r="I2596" s="11" t="s">
        <v>37</v>
      </c>
      <c r="J2596" s="8" t="s">
        <v>19</v>
      </c>
    </row>
    <row r="2597" customFormat="false" ht="14.25" hidden="false" customHeight="false" outlineLevel="0" collapsed="false">
      <c r="A2597" s="8" t="n">
        <v>2596</v>
      </c>
      <c r="B2597" s="8" t="s">
        <v>214</v>
      </c>
      <c r="C2597" s="8" t="s">
        <v>16</v>
      </c>
      <c r="D2597" s="9" t="n">
        <v>44514</v>
      </c>
      <c r="E2597" s="9" t="str">
        <f aca="false">TEXT(D2597,"MMM")</f>
        <v>nov</v>
      </c>
      <c r="F2597" s="10" t="n">
        <v>-94.64</v>
      </c>
      <c r="G2597" s="8" t="s">
        <v>34</v>
      </c>
      <c r="H2597" s="8" t="s">
        <v>12</v>
      </c>
      <c r="I2597" s="11" t="s">
        <v>13</v>
      </c>
      <c r="J2597" s="8" t="s">
        <v>26</v>
      </c>
    </row>
    <row r="2598" customFormat="false" ht="14.25" hidden="false" customHeight="false" outlineLevel="0" collapsed="false">
      <c r="A2598" s="8" t="n">
        <v>2597</v>
      </c>
      <c r="B2598" s="8" t="s">
        <v>280</v>
      </c>
      <c r="C2598" s="8" t="s">
        <v>10</v>
      </c>
      <c r="D2598" s="9" t="n">
        <v>44514</v>
      </c>
      <c r="E2598" s="9" t="str">
        <f aca="false">TEXT(D2598,"MMM")</f>
        <v>nov</v>
      </c>
      <c r="F2598" s="10" t="n">
        <v>-1114.72</v>
      </c>
      <c r="G2598" s="8" t="s">
        <v>34</v>
      </c>
      <c r="H2598" s="8" t="s">
        <v>36</v>
      </c>
      <c r="I2598" s="11" t="s">
        <v>37</v>
      </c>
      <c r="J2598" s="8" t="s">
        <v>14</v>
      </c>
    </row>
    <row r="2599" customFormat="false" ht="14.25" hidden="false" customHeight="false" outlineLevel="0" collapsed="false">
      <c r="A2599" s="8" t="n">
        <v>2598</v>
      </c>
      <c r="B2599" s="8" t="s">
        <v>85</v>
      </c>
      <c r="C2599" s="8" t="s">
        <v>16</v>
      </c>
      <c r="D2599" s="9" t="n">
        <v>44514</v>
      </c>
      <c r="E2599" s="9" t="str">
        <f aca="false">TEXT(D2599,"MMM")</f>
        <v>nov</v>
      </c>
      <c r="F2599" s="10" t="n">
        <v>-13455.09</v>
      </c>
      <c r="G2599" s="8" t="s">
        <v>34</v>
      </c>
      <c r="H2599" s="8" t="s">
        <v>36</v>
      </c>
      <c r="I2599" s="11" t="s">
        <v>37</v>
      </c>
      <c r="J2599" s="8" t="s">
        <v>14</v>
      </c>
    </row>
    <row r="2600" customFormat="false" ht="14.25" hidden="false" customHeight="false" outlineLevel="0" collapsed="false">
      <c r="A2600" s="8" t="n">
        <v>2599</v>
      </c>
      <c r="B2600" s="8" t="s">
        <v>77</v>
      </c>
      <c r="C2600" s="8" t="s">
        <v>16</v>
      </c>
      <c r="D2600" s="9" t="n">
        <v>44514</v>
      </c>
      <c r="E2600" s="9" t="str">
        <f aca="false">TEXT(D2600,"MMM")</f>
        <v>nov</v>
      </c>
      <c r="F2600" s="10" t="n">
        <v>-2340.7</v>
      </c>
      <c r="G2600" s="8" t="s">
        <v>34</v>
      </c>
      <c r="H2600" s="8" t="s">
        <v>12</v>
      </c>
      <c r="I2600" s="11" t="s">
        <v>13</v>
      </c>
      <c r="J2600" s="8" t="s">
        <v>19</v>
      </c>
    </row>
    <row r="2601" customFormat="false" ht="14.25" hidden="false" customHeight="false" outlineLevel="0" collapsed="false">
      <c r="A2601" s="8" t="n">
        <v>2600</v>
      </c>
      <c r="B2601" s="8" t="s">
        <v>250</v>
      </c>
      <c r="C2601" s="8" t="s">
        <v>28</v>
      </c>
      <c r="D2601" s="9" t="n">
        <v>44514</v>
      </c>
      <c r="E2601" s="9" t="str">
        <f aca="false">TEXT(D2601,"MMM")</f>
        <v>nov</v>
      </c>
      <c r="F2601" s="10" t="n">
        <v>-402.7</v>
      </c>
      <c r="G2601" s="8" t="s">
        <v>34</v>
      </c>
      <c r="H2601" s="8" t="s">
        <v>12</v>
      </c>
      <c r="I2601" s="11" t="s">
        <v>13</v>
      </c>
      <c r="J2601" s="8" t="s">
        <v>26</v>
      </c>
    </row>
    <row r="2602" customFormat="false" ht="14.25" hidden="false" customHeight="false" outlineLevel="0" collapsed="false">
      <c r="A2602" s="8" t="n">
        <v>2601</v>
      </c>
      <c r="B2602" s="8" t="s">
        <v>250</v>
      </c>
      <c r="C2602" s="8" t="s">
        <v>16</v>
      </c>
      <c r="D2602" s="9" t="n">
        <v>44514</v>
      </c>
      <c r="E2602" s="9" t="str">
        <f aca="false">TEXT(D2602,"MMM")</f>
        <v>nov</v>
      </c>
      <c r="F2602" s="10" t="n">
        <v>-29796.59</v>
      </c>
      <c r="G2602" s="8" t="s">
        <v>34</v>
      </c>
      <c r="H2602" s="8" t="s">
        <v>17</v>
      </c>
      <c r="I2602" s="11" t="s">
        <v>18</v>
      </c>
      <c r="J2602" s="8" t="s">
        <v>14</v>
      </c>
    </row>
    <row r="2603" customFormat="false" ht="14.25" hidden="false" customHeight="false" outlineLevel="0" collapsed="false">
      <c r="A2603" s="8" t="n">
        <v>2602</v>
      </c>
      <c r="B2603" s="8" t="s">
        <v>32</v>
      </c>
      <c r="C2603" s="8" t="s">
        <v>16</v>
      </c>
      <c r="D2603" s="9" t="n">
        <v>44514</v>
      </c>
      <c r="E2603" s="9" t="str">
        <f aca="false">TEXT(D2603,"MMM")</f>
        <v>nov</v>
      </c>
      <c r="F2603" s="10" t="n">
        <v>-5770.17</v>
      </c>
      <c r="G2603" s="8" t="s">
        <v>34</v>
      </c>
      <c r="H2603" s="8" t="s">
        <v>12</v>
      </c>
      <c r="I2603" s="11" t="s">
        <v>13</v>
      </c>
      <c r="J2603" s="8" t="s">
        <v>26</v>
      </c>
    </row>
    <row r="2604" customFormat="false" ht="14.25" hidden="false" customHeight="false" outlineLevel="0" collapsed="false">
      <c r="A2604" s="8" t="n">
        <v>2603</v>
      </c>
      <c r="B2604" s="8" t="s">
        <v>32</v>
      </c>
      <c r="C2604" s="8" t="s">
        <v>21</v>
      </c>
      <c r="D2604" s="9" t="n">
        <v>44514</v>
      </c>
      <c r="E2604" s="9" t="str">
        <f aca="false">TEXT(D2604,"MMM")</f>
        <v>nov</v>
      </c>
      <c r="F2604" s="10" t="n">
        <v>-7277.06</v>
      </c>
      <c r="G2604" s="8" t="s">
        <v>34</v>
      </c>
      <c r="H2604" s="8" t="s">
        <v>17</v>
      </c>
      <c r="I2604" s="11" t="s">
        <v>18</v>
      </c>
      <c r="J2604" s="8" t="s">
        <v>14</v>
      </c>
    </row>
    <row r="2605" customFormat="false" ht="14.25" hidden="false" customHeight="false" outlineLevel="0" collapsed="false">
      <c r="A2605" s="8" t="n">
        <v>2604</v>
      </c>
      <c r="B2605" s="8" t="s">
        <v>39</v>
      </c>
      <c r="C2605" s="8" t="s">
        <v>28</v>
      </c>
      <c r="D2605" s="9" t="n">
        <v>44514</v>
      </c>
      <c r="E2605" s="9" t="str">
        <f aca="false">TEXT(D2605,"MMM")</f>
        <v>nov</v>
      </c>
      <c r="F2605" s="10" t="n">
        <v>-10752.63</v>
      </c>
      <c r="G2605" s="8" t="s">
        <v>34</v>
      </c>
      <c r="H2605" s="8" t="s">
        <v>22</v>
      </c>
      <c r="I2605" s="11" t="s">
        <v>23</v>
      </c>
      <c r="J2605" s="8" t="s">
        <v>14</v>
      </c>
    </row>
    <row r="2606" customFormat="false" ht="14.25" hidden="false" customHeight="false" outlineLevel="0" collapsed="false">
      <c r="A2606" s="8" t="n">
        <v>2605</v>
      </c>
      <c r="B2606" s="8" t="s">
        <v>164</v>
      </c>
      <c r="C2606" s="8" t="s">
        <v>28</v>
      </c>
      <c r="D2606" s="9" t="n">
        <v>44519</v>
      </c>
      <c r="E2606" s="9" t="str">
        <f aca="false">TEXT(D2606,"MMM")</f>
        <v>nov</v>
      </c>
      <c r="F2606" s="10" t="n">
        <v>-14137.2</v>
      </c>
      <c r="G2606" s="8" t="s">
        <v>34</v>
      </c>
      <c r="H2606" s="8" t="s">
        <v>30</v>
      </c>
      <c r="I2606" s="11" t="s">
        <v>31</v>
      </c>
      <c r="J2606" s="8" t="s">
        <v>14</v>
      </c>
    </row>
    <row r="2607" customFormat="false" ht="14.25" hidden="false" customHeight="false" outlineLevel="0" collapsed="false">
      <c r="A2607" s="8" t="n">
        <v>2606</v>
      </c>
      <c r="B2607" s="8" t="s">
        <v>281</v>
      </c>
      <c r="C2607" s="8" t="s">
        <v>10</v>
      </c>
      <c r="D2607" s="9" t="n">
        <v>44519</v>
      </c>
      <c r="E2607" s="9" t="str">
        <f aca="false">TEXT(D2607,"MMM")</f>
        <v>nov</v>
      </c>
      <c r="F2607" s="10" t="n">
        <v>-18065.32</v>
      </c>
      <c r="G2607" s="8" t="s">
        <v>34</v>
      </c>
      <c r="H2607" s="8" t="s">
        <v>22</v>
      </c>
      <c r="I2607" s="11" t="s">
        <v>23</v>
      </c>
      <c r="J2607" s="8" t="s">
        <v>14</v>
      </c>
    </row>
    <row r="2608" customFormat="false" ht="14.25" hidden="false" customHeight="false" outlineLevel="0" collapsed="false">
      <c r="A2608" s="8" t="n">
        <v>2607</v>
      </c>
      <c r="B2608" s="8" t="s">
        <v>189</v>
      </c>
      <c r="C2608" s="8" t="s">
        <v>21</v>
      </c>
      <c r="D2608" s="9" t="n">
        <v>44520</v>
      </c>
      <c r="E2608" s="9" t="str">
        <f aca="false">TEXT(D2608,"MMM")</f>
        <v>nov</v>
      </c>
      <c r="F2608" s="10" t="n">
        <v>-2431.38</v>
      </c>
      <c r="G2608" s="8" t="s">
        <v>34</v>
      </c>
      <c r="H2608" s="8" t="s">
        <v>12</v>
      </c>
      <c r="I2608" s="11" t="s">
        <v>13</v>
      </c>
      <c r="J2608" s="8" t="s">
        <v>19</v>
      </c>
    </row>
    <row r="2609" customFormat="false" ht="14.25" hidden="false" customHeight="false" outlineLevel="0" collapsed="false">
      <c r="A2609" s="8" t="n">
        <v>2608</v>
      </c>
      <c r="B2609" s="8" t="s">
        <v>50</v>
      </c>
      <c r="C2609" s="8" t="s">
        <v>16</v>
      </c>
      <c r="D2609" s="9" t="n">
        <v>44520</v>
      </c>
      <c r="E2609" s="9" t="str">
        <f aca="false">TEXT(D2609,"MMM")</f>
        <v>nov</v>
      </c>
      <c r="F2609" s="10" t="n">
        <v>-159.36</v>
      </c>
      <c r="G2609" s="8" t="s">
        <v>34</v>
      </c>
      <c r="H2609" s="8" t="s">
        <v>12</v>
      </c>
      <c r="I2609" s="11" t="s">
        <v>13</v>
      </c>
      <c r="J2609" s="8" t="s">
        <v>26</v>
      </c>
    </row>
    <row r="2610" customFormat="false" ht="14.25" hidden="false" customHeight="false" outlineLevel="0" collapsed="false">
      <c r="A2610" s="8" t="n">
        <v>2609</v>
      </c>
      <c r="B2610" s="8" t="s">
        <v>178</v>
      </c>
      <c r="C2610" s="8" t="s">
        <v>21</v>
      </c>
      <c r="D2610" s="9" t="n">
        <v>44520</v>
      </c>
      <c r="E2610" s="9" t="str">
        <f aca="false">TEXT(D2610,"MMM")</f>
        <v>nov</v>
      </c>
      <c r="F2610" s="10" t="n">
        <v>-151.73</v>
      </c>
      <c r="G2610" s="8" t="s">
        <v>34</v>
      </c>
      <c r="H2610" s="8" t="s">
        <v>30</v>
      </c>
      <c r="I2610" s="11" t="s">
        <v>31</v>
      </c>
      <c r="J2610" s="8" t="s">
        <v>26</v>
      </c>
    </row>
    <row r="2611" customFormat="false" ht="14.25" hidden="false" customHeight="false" outlineLevel="0" collapsed="false">
      <c r="A2611" s="8" t="n">
        <v>2610</v>
      </c>
      <c r="B2611" s="8" t="s">
        <v>190</v>
      </c>
      <c r="C2611" s="8" t="s">
        <v>10</v>
      </c>
      <c r="D2611" s="9" t="n">
        <v>44520</v>
      </c>
      <c r="E2611" s="9" t="str">
        <f aca="false">TEXT(D2611,"MMM")</f>
        <v>nov</v>
      </c>
      <c r="F2611" s="10" t="n">
        <v>141213.69</v>
      </c>
      <c r="G2611" s="8" t="s">
        <v>11</v>
      </c>
      <c r="H2611" s="8" t="s">
        <v>12</v>
      </c>
      <c r="I2611" s="11" t="s">
        <v>13</v>
      </c>
      <c r="J2611" s="8" t="s">
        <v>24</v>
      </c>
    </row>
    <row r="2612" customFormat="false" ht="14.25" hidden="false" customHeight="false" outlineLevel="0" collapsed="false">
      <c r="A2612" s="8" t="n">
        <v>2611</v>
      </c>
      <c r="B2612" s="8" t="s">
        <v>89</v>
      </c>
      <c r="C2612" s="8" t="s">
        <v>28</v>
      </c>
      <c r="D2612" s="9" t="n">
        <v>44520</v>
      </c>
      <c r="E2612" s="9" t="str">
        <f aca="false">TEXT(D2612,"MMM")</f>
        <v>nov</v>
      </c>
      <c r="F2612" s="10" t="n">
        <v>-4581.89</v>
      </c>
      <c r="G2612" s="8" t="s">
        <v>34</v>
      </c>
      <c r="H2612" s="8" t="s">
        <v>12</v>
      </c>
      <c r="I2612" s="11" t="s">
        <v>13</v>
      </c>
      <c r="J2612" s="8" t="s">
        <v>14</v>
      </c>
    </row>
    <row r="2613" customFormat="false" ht="14.25" hidden="false" customHeight="false" outlineLevel="0" collapsed="false">
      <c r="A2613" s="8" t="n">
        <v>2612</v>
      </c>
      <c r="B2613" s="8" t="s">
        <v>282</v>
      </c>
      <c r="C2613" s="8" t="s">
        <v>21</v>
      </c>
      <c r="D2613" s="9" t="n">
        <v>44520</v>
      </c>
      <c r="E2613" s="9" t="str">
        <f aca="false">TEXT(D2613,"MMM")</f>
        <v>nov</v>
      </c>
      <c r="F2613" s="10" t="n">
        <v>-37276.96</v>
      </c>
      <c r="G2613" s="8" t="s">
        <v>34</v>
      </c>
      <c r="H2613" s="8" t="s">
        <v>36</v>
      </c>
      <c r="I2613" s="11" t="s">
        <v>37</v>
      </c>
      <c r="J2613" s="8" t="s">
        <v>19</v>
      </c>
    </row>
    <row r="2614" customFormat="false" ht="14.25" hidden="false" customHeight="false" outlineLevel="0" collapsed="false">
      <c r="A2614" s="8" t="n">
        <v>2613</v>
      </c>
      <c r="B2614" s="8" t="s">
        <v>283</v>
      </c>
      <c r="C2614" s="8" t="s">
        <v>28</v>
      </c>
      <c r="D2614" s="9" t="n">
        <v>44520</v>
      </c>
      <c r="E2614" s="9" t="str">
        <f aca="false">TEXT(D2614,"MMM")</f>
        <v>nov</v>
      </c>
      <c r="F2614" s="10" t="n">
        <v>-1590.09</v>
      </c>
      <c r="G2614" s="8" t="s">
        <v>34</v>
      </c>
      <c r="H2614" s="8" t="s">
        <v>22</v>
      </c>
      <c r="I2614" s="11" t="s">
        <v>23</v>
      </c>
      <c r="J2614" s="8" t="s">
        <v>26</v>
      </c>
    </row>
    <row r="2615" customFormat="false" ht="14.25" hidden="false" customHeight="false" outlineLevel="0" collapsed="false">
      <c r="A2615" s="8" t="n">
        <v>2614</v>
      </c>
      <c r="B2615" s="8" t="s">
        <v>75</v>
      </c>
      <c r="C2615" s="8" t="s">
        <v>16</v>
      </c>
      <c r="D2615" s="9" t="n">
        <v>44520</v>
      </c>
      <c r="E2615" s="9" t="str">
        <f aca="false">TEXT(D2615,"MMM")</f>
        <v>nov</v>
      </c>
      <c r="F2615" s="10" t="n">
        <v>141257.82</v>
      </c>
      <c r="G2615" s="8" t="s">
        <v>11</v>
      </c>
      <c r="H2615" s="8" t="s">
        <v>12</v>
      </c>
      <c r="I2615" s="11" t="s">
        <v>13</v>
      </c>
      <c r="J2615" s="8" t="s">
        <v>26</v>
      </c>
    </row>
    <row r="2616" customFormat="false" ht="14.25" hidden="false" customHeight="false" outlineLevel="0" collapsed="false">
      <c r="A2616" s="8" t="n">
        <v>2615</v>
      </c>
      <c r="B2616" s="8" t="s">
        <v>73</v>
      </c>
      <c r="C2616" s="8" t="s">
        <v>10</v>
      </c>
      <c r="D2616" s="9" t="n">
        <v>44520</v>
      </c>
      <c r="E2616" s="9" t="str">
        <f aca="false">TEXT(D2616,"MMM")</f>
        <v>nov</v>
      </c>
      <c r="F2616" s="10" t="n">
        <v>142537.57</v>
      </c>
      <c r="G2616" s="8" t="s">
        <v>11</v>
      </c>
      <c r="H2616" s="8" t="s">
        <v>12</v>
      </c>
      <c r="I2616" s="11" t="s">
        <v>13</v>
      </c>
      <c r="J2616" s="8" t="s">
        <v>24</v>
      </c>
    </row>
    <row r="2617" customFormat="false" ht="14.25" hidden="false" customHeight="false" outlineLevel="0" collapsed="false">
      <c r="A2617" s="8" t="n">
        <v>2616</v>
      </c>
      <c r="B2617" s="8" t="s">
        <v>73</v>
      </c>
      <c r="C2617" s="8" t="s">
        <v>10</v>
      </c>
      <c r="D2617" s="9" t="n">
        <v>44520</v>
      </c>
      <c r="E2617" s="9" t="str">
        <f aca="false">TEXT(D2617,"MMM")</f>
        <v>nov</v>
      </c>
      <c r="F2617" s="10" t="n">
        <v>136977.28</v>
      </c>
      <c r="G2617" s="8" t="s">
        <v>11</v>
      </c>
      <c r="H2617" s="8" t="s">
        <v>12</v>
      </c>
      <c r="I2617" s="11" t="s">
        <v>13</v>
      </c>
      <c r="J2617" s="8" t="s">
        <v>26</v>
      </c>
    </row>
    <row r="2618" customFormat="false" ht="14.25" hidden="false" customHeight="false" outlineLevel="0" collapsed="false">
      <c r="A2618" s="8" t="n">
        <v>2617</v>
      </c>
      <c r="B2618" s="8" t="s">
        <v>157</v>
      </c>
      <c r="C2618" s="8" t="s">
        <v>10</v>
      </c>
      <c r="D2618" s="9" t="n">
        <v>44521</v>
      </c>
      <c r="E2618" s="9" t="str">
        <f aca="false">TEXT(D2618,"MMM")</f>
        <v>nov</v>
      </c>
      <c r="F2618" s="10" t="n">
        <v>155169.9</v>
      </c>
      <c r="G2618" s="8" t="s">
        <v>11</v>
      </c>
      <c r="H2618" s="8" t="s">
        <v>36</v>
      </c>
      <c r="I2618" s="11" t="s">
        <v>37</v>
      </c>
      <c r="J2618" s="8" t="s">
        <v>14</v>
      </c>
    </row>
    <row r="2619" customFormat="false" ht="14.25" hidden="false" customHeight="false" outlineLevel="0" collapsed="false">
      <c r="A2619" s="8" t="n">
        <v>2618</v>
      </c>
      <c r="B2619" s="8" t="s">
        <v>225</v>
      </c>
      <c r="C2619" s="8" t="s">
        <v>10</v>
      </c>
      <c r="D2619" s="9" t="n">
        <v>44521</v>
      </c>
      <c r="E2619" s="9" t="str">
        <f aca="false">TEXT(D2619,"MMM")</f>
        <v>nov</v>
      </c>
      <c r="F2619" s="10" t="n">
        <v>172049.74</v>
      </c>
      <c r="G2619" s="8" t="s">
        <v>11</v>
      </c>
      <c r="H2619" s="8" t="s">
        <v>36</v>
      </c>
      <c r="I2619" s="11" t="s">
        <v>37</v>
      </c>
      <c r="J2619" s="8" t="s">
        <v>14</v>
      </c>
    </row>
    <row r="2620" customFormat="false" ht="14.25" hidden="false" customHeight="false" outlineLevel="0" collapsed="false">
      <c r="A2620" s="8" t="n">
        <v>2619</v>
      </c>
      <c r="B2620" s="8" t="s">
        <v>226</v>
      </c>
      <c r="C2620" s="8" t="s">
        <v>28</v>
      </c>
      <c r="D2620" s="9" t="n">
        <v>44521</v>
      </c>
      <c r="E2620" s="9" t="str">
        <f aca="false">TEXT(D2620,"MMM")</f>
        <v>nov</v>
      </c>
      <c r="F2620" s="10" t="n">
        <v>148378.79</v>
      </c>
      <c r="G2620" s="8" t="s">
        <v>11</v>
      </c>
      <c r="H2620" s="8" t="s">
        <v>12</v>
      </c>
      <c r="I2620" s="11" t="s">
        <v>13</v>
      </c>
      <c r="J2620" s="8" t="s">
        <v>26</v>
      </c>
    </row>
    <row r="2621" customFormat="false" ht="14.25" hidden="false" customHeight="false" outlineLevel="0" collapsed="false">
      <c r="A2621" s="8" t="n">
        <v>2620</v>
      </c>
      <c r="B2621" s="8" t="s">
        <v>269</v>
      </c>
      <c r="C2621" s="8" t="s">
        <v>16</v>
      </c>
      <c r="D2621" s="9" t="n">
        <v>44521</v>
      </c>
      <c r="E2621" s="9" t="str">
        <f aca="false">TEXT(D2621,"MMM")</f>
        <v>nov</v>
      </c>
      <c r="F2621" s="10" t="n">
        <v>160866.81</v>
      </c>
      <c r="G2621" s="8" t="s">
        <v>11</v>
      </c>
      <c r="H2621" s="8" t="s">
        <v>36</v>
      </c>
      <c r="I2621" s="11" t="s">
        <v>37</v>
      </c>
      <c r="J2621" s="8" t="s">
        <v>26</v>
      </c>
    </row>
    <row r="2622" customFormat="false" ht="14.25" hidden="false" customHeight="false" outlineLevel="0" collapsed="false">
      <c r="A2622" s="8" t="n">
        <v>2621</v>
      </c>
      <c r="B2622" s="8" t="s">
        <v>227</v>
      </c>
      <c r="C2622" s="8" t="s">
        <v>21</v>
      </c>
      <c r="D2622" s="9" t="n">
        <v>44521</v>
      </c>
      <c r="E2622" s="9" t="str">
        <f aca="false">TEXT(D2622,"MMM")</f>
        <v>nov</v>
      </c>
      <c r="F2622" s="10" t="n">
        <v>3485</v>
      </c>
      <c r="G2622" s="8" t="s">
        <v>11</v>
      </c>
      <c r="H2622" s="8" t="s">
        <v>30</v>
      </c>
      <c r="I2622" s="11" t="s">
        <v>31</v>
      </c>
      <c r="J2622" s="8" t="s">
        <v>14</v>
      </c>
    </row>
    <row r="2623" customFormat="false" ht="14.25" hidden="false" customHeight="false" outlineLevel="0" collapsed="false">
      <c r="A2623" s="8" t="n">
        <v>2622</v>
      </c>
      <c r="B2623" s="8" t="s">
        <v>228</v>
      </c>
      <c r="C2623" s="8" t="s">
        <v>10</v>
      </c>
      <c r="D2623" s="9" t="n">
        <v>44521</v>
      </c>
      <c r="E2623" s="9" t="str">
        <f aca="false">TEXT(D2623,"MMM")</f>
        <v>nov</v>
      </c>
      <c r="F2623" s="10" t="n">
        <v>4530.5</v>
      </c>
      <c r="G2623" s="8" t="s">
        <v>11</v>
      </c>
      <c r="H2623" s="8" t="s">
        <v>12</v>
      </c>
      <c r="I2623" s="11" t="s">
        <v>13</v>
      </c>
      <c r="J2623" s="8" t="s">
        <v>19</v>
      </c>
    </row>
    <row r="2624" customFormat="false" ht="14.25" hidden="false" customHeight="false" outlineLevel="0" collapsed="false">
      <c r="A2624" s="8" t="n">
        <v>2623</v>
      </c>
      <c r="B2624" s="8" t="s">
        <v>229</v>
      </c>
      <c r="C2624" s="8" t="s">
        <v>10</v>
      </c>
      <c r="D2624" s="9" t="n">
        <v>44521</v>
      </c>
      <c r="E2624" s="9" t="str">
        <f aca="false">TEXT(D2624,"MMM")</f>
        <v>nov</v>
      </c>
      <c r="F2624" s="10" t="n">
        <v>2788</v>
      </c>
      <c r="G2624" s="8" t="s">
        <v>11</v>
      </c>
      <c r="H2624" s="8" t="s">
        <v>30</v>
      </c>
      <c r="I2624" s="11" t="s">
        <v>31</v>
      </c>
      <c r="J2624" s="8" t="s">
        <v>14</v>
      </c>
    </row>
    <row r="2625" customFormat="false" ht="14.25" hidden="false" customHeight="false" outlineLevel="0" collapsed="false">
      <c r="A2625" s="8" t="n">
        <v>2624</v>
      </c>
      <c r="B2625" s="8" t="s">
        <v>230</v>
      </c>
      <c r="C2625" s="8" t="s">
        <v>10</v>
      </c>
      <c r="D2625" s="9" t="n">
        <v>44521</v>
      </c>
      <c r="E2625" s="9" t="str">
        <f aca="false">TEXT(D2625,"MMM")</f>
        <v>nov</v>
      </c>
      <c r="F2625" s="10" t="n">
        <v>3933.22</v>
      </c>
      <c r="G2625" s="8" t="s">
        <v>11</v>
      </c>
      <c r="H2625" s="8" t="s">
        <v>12</v>
      </c>
      <c r="I2625" s="11" t="s">
        <v>13</v>
      </c>
      <c r="J2625" s="8" t="s">
        <v>26</v>
      </c>
    </row>
    <row r="2626" customFormat="false" ht="14.25" hidden="false" customHeight="false" outlineLevel="0" collapsed="false">
      <c r="A2626" s="8" t="n">
        <v>2625</v>
      </c>
      <c r="B2626" s="8" t="s">
        <v>233</v>
      </c>
      <c r="C2626" s="8" t="s">
        <v>21</v>
      </c>
      <c r="D2626" s="9" t="n">
        <v>44521</v>
      </c>
      <c r="E2626" s="9" t="str">
        <f aca="false">TEXT(D2626,"MMM")</f>
        <v>nov</v>
      </c>
      <c r="F2626" s="10" t="n">
        <v>4530.5</v>
      </c>
      <c r="G2626" s="8" t="s">
        <v>11</v>
      </c>
      <c r="H2626" s="8" t="s">
        <v>30</v>
      </c>
      <c r="I2626" s="11" t="s">
        <v>31</v>
      </c>
      <c r="J2626" s="8" t="s">
        <v>14</v>
      </c>
    </row>
    <row r="2627" customFormat="false" ht="14.25" hidden="false" customHeight="false" outlineLevel="0" collapsed="false">
      <c r="A2627" s="8" t="n">
        <v>2626</v>
      </c>
      <c r="B2627" s="8" t="s">
        <v>232</v>
      </c>
      <c r="C2627" s="8" t="s">
        <v>21</v>
      </c>
      <c r="D2627" s="9" t="n">
        <v>44521</v>
      </c>
      <c r="E2627" s="9" t="str">
        <f aca="false">TEXT(D2627,"MMM")</f>
        <v>nov</v>
      </c>
      <c r="F2627" s="10" t="n">
        <v>2788</v>
      </c>
      <c r="G2627" s="8" t="s">
        <v>11</v>
      </c>
      <c r="H2627" s="8" t="s">
        <v>22</v>
      </c>
      <c r="I2627" s="11" t="s">
        <v>23</v>
      </c>
      <c r="J2627" s="8" t="s">
        <v>14</v>
      </c>
    </row>
    <row r="2628" customFormat="false" ht="14.25" hidden="false" customHeight="false" outlineLevel="0" collapsed="false">
      <c r="A2628" s="8" t="n">
        <v>2627</v>
      </c>
      <c r="B2628" s="8" t="s">
        <v>171</v>
      </c>
      <c r="C2628" s="8" t="s">
        <v>10</v>
      </c>
      <c r="D2628" s="9" t="n">
        <v>44522</v>
      </c>
      <c r="E2628" s="9" t="str">
        <f aca="false">TEXT(D2628,"MMM")</f>
        <v>nov</v>
      </c>
      <c r="F2628" s="10" t="n">
        <v>3565.16</v>
      </c>
      <c r="G2628" s="8" t="s">
        <v>11</v>
      </c>
      <c r="H2628" s="8" t="s">
        <v>12</v>
      </c>
      <c r="I2628" s="11" t="s">
        <v>13</v>
      </c>
      <c r="J2628" s="8" t="s">
        <v>26</v>
      </c>
    </row>
    <row r="2629" customFormat="false" ht="14.25" hidden="false" customHeight="false" outlineLevel="0" collapsed="false">
      <c r="A2629" s="8" t="n">
        <v>2628</v>
      </c>
      <c r="B2629" s="8" t="s">
        <v>50</v>
      </c>
      <c r="C2629" s="8" t="s">
        <v>16</v>
      </c>
      <c r="D2629" s="9" t="n">
        <v>44523</v>
      </c>
      <c r="E2629" s="9" t="str">
        <f aca="false">TEXT(D2629,"MMM")</f>
        <v>nov</v>
      </c>
      <c r="F2629" s="10" t="n">
        <v>3948.59</v>
      </c>
      <c r="G2629" s="8" t="s">
        <v>11</v>
      </c>
      <c r="H2629" s="8" t="s">
        <v>17</v>
      </c>
      <c r="I2629" s="11" t="s">
        <v>18</v>
      </c>
      <c r="J2629" s="8" t="s">
        <v>14</v>
      </c>
    </row>
    <row r="2630" customFormat="false" ht="14.25" hidden="false" customHeight="false" outlineLevel="0" collapsed="false">
      <c r="A2630" s="8" t="n">
        <v>2629</v>
      </c>
      <c r="B2630" s="8" t="s">
        <v>73</v>
      </c>
      <c r="C2630" s="8" t="s">
        <v>28</v>
      </c>
      <c r="D2630" s="9" t="n">
        <v>44523</v>
      </c>
      <c r="E2630" s="9" t="str">
        <f aca="false">TEXT(D2630,"MMM")</f>
        <v>nov</v>
      </c>
      <c r="F2630" s="10" t="n">
        <v>-770.84</v>
      </c>
      <c r="G2630" s="8" t="s">
        <v>34</v>
      </c>
      <c r="H2630" s="8" t="s">
        <v>12</v>
      </c>
      <c r="I2630" s="11" t="s">
        <v>13</v>
      </c>
      <c r="J2630" s="8" t="s">
        <v>14</v>
      </c>
    </row>
    <row r="2631" customFormat="false" ht="14.25" hidden="false" customHeight="false" outlineLevel="0" collapsed="false">
      <c r="A2631" s="8" t="n">
        <v>2630</v>
      </c>
      <c r="B2631" s="8" t="s">
        <v>160</v>
      </c>
      <c r="C2631" s="8" t="s">
        <v>16</v>
      </c>
      <c r="D2631" s="9" t="n">
        <v>44523</v>
      </c>
      <c r="E2631" s="9" t="str">
        <f aca="false">TEXT(D2631,"MMM")</f>
        <v>nov</v>
      </c>
      <c r="F2631" s="10" t="n">
        <v>-19634.27</v>
      </c>
      <c r="G2631" s="8" t="s">
        <v>34</v>
      </c>
      <c r="H2631" s="8" t="s">
        <v>17</v>
      </c>
      <c r="I2631" s="11" t="s">
        <v>18</v>
      </c>
      <c r="J2631" s="8" t="s">
        <v>14</v>
      </c>
    </row>
    <row r="2632" customFormat="false" ht="14.25" hidden="false" customHeight="false" outlineLevel="0" collapsed="false">
      <c r="A2632" s="8" t="n">
        <v>2631</v>
      </c>
      <c r="B2632" s="8" t="s">
        <v>183</v>
      </c>
      <c r="C2632" s="8" t="s">
        <v>28</v>
      </c>
      <c r="D2632" s="9" t="n">
        <v>44526</v>
      </c>
      <c r="E2632" s="9" t="str">
        <f aca="false">TEXT(D2632,"MMM")</f>
        <v>nov</v>
      </c>
      <c r="F2632" s="10" t="n">
        <v>102786.45</v>
      </c>
      <c r="G2632" s="8" t="s">
        <v>11</v>
      </c>
      <c r="H2632" s="8" t="s">
        <v>30</v>
      </c>
      <c r="I2632" s="11" t="s">
        <v>31</v>
      </c>
      <c r="J2632" s="8" t="s">
        <v>26</v>
      </c>
    </row>
    <row r="2633" customFormat="false" ht="14.25" hidden="false" customHeight="false" outlineLevel="0" collapsed="false">
      <c r="A2633" s="8" t="n">
        <v>2632</v>
      </c>
      <c r="B2633" s="8" t="s">
        <v>174</v>
      </c>
      <c r="C2633" s="8" t="s">
        <v>21</v>
      </c>
      <c r="D2633" s="9" t="n">
        <v>44526</v>
      </c>
      <c r="E2633" s="9" t="str">
        <f aca="false">TEXT(D2633,"MMM")</f>
        <v>nov</v>
      </c>
      <c r="F2633" s="10" t="n">
        <v>53223.99</v>
      </c>
      <c r="G2633" s="8" t="s">
        <v>11</v>
      </c>
      <c r="H2633" s="8" t="s">
        <v>17</v>
      </c>
      <c r="I2633" s="11" t="s">
        <v>18</v>
      </c>
      <c r="J2633" s="8" t="s">
        <v>14</v>
      </c>
    </row>
    <row r="2634" customFormat="false" ht="14.25" hidden="false" customHeight="false" outlineLevel="0" collapsed="false">
      <c r="A2634" s="8" t="n">
        <v>2633</v>
      </c>
      <c r="B2634" s="8" t="s">
        <v>85</v>
      </c>
      <c r="C2634" s="8" t="s">
        <v>21</v>
      </c>
      <c r="D2634" s="9" t="n">
        <v>44526</v>
      </c>
      <c r="E2634" s="9" t="str">
        <f aca="false">TEXT(D2634,"MMM")</f>
        <v>nov</v>
      </c>
      <c r="F2634" s="10" t="n">
        <v>-323.3</v>
      </c>
      <c r="G2634" s="8" t="s">
        <v>34</v>
      </c>
      <c r="H2634" s="8" t="s">
        <v>36</v>
      </c>
      <c r="I2634" s="11" t="s">
        <v>37</v>
      </c>
      <c r="J2634" s="8" t="s">
        <v>19</v>
      </c>
    </row>
    <row r="2635" customFormat="false" ht="14.25" hidden="false" customHeight="false" outlineLevel="0" collapsed="false">
      <c r="A2635" s="8" t="n">
        <v>2634</v>
      </c>
      <c r="B2635" s="8" t="s">
        <v>32</v>
      </c>
      <c r="C2635" s="8" t="s">
        <v>16</v>
      </c>
      <c r="D2635" s="9" t="n">
        <v>44526</v>
      </c>
      <c r="E2635" s="9" t="str">
        <f aca="false">TEXT(D2635,"MMM")</f>
        <v>nov</v>
      </c>
      <c r="F2635" s="10" t="n">
        <v>17205.61</v>
      </c>
      <c r="G2635" s="8" t="s">
        <v>11</v>
      </c>
      <c r="H2635" s="8" t="s">
        <v>17</v>
      </c>
      <c r="I2635" s="11" t="s">
        <v>18</v>
      </c>
      <c r="J2635" s="8" t="s">
        <v>26</v>
      </c>
    </row>
    <row r="2636" customFormat="false" ht="14.25" hidden="false" customHeight="false" outlineLevel="0" collapsed="false">
      <c r="A2636" s="8" t="n">
        <v>2635</v>
      </c>
      <c r="B2636" s="8" t="s">
        <v>32</v>
      </c>
      <c r="C2636" s="8" t="s">
        <v>16</v>
      </c>
      <c r="D2636" s="9" t="n">
        <v>44526</v>
      </c>
      <c r="E2636" s="9" t="str">
        <f aca="false">TEXT(D2636,"MMM")</f>
        <v>nov</v>
      </c>
      <c r="F2636" s="10" t="n">
        <v>-14813.19</v>
      </c>
      <c r="G2636" s="8" t="s">
        <v>34</v>
      </c>
      <c r="H2636" s="8" t="s">
        <v>12</v>
      </c>
      <c r="I2636" s="11" t="s">
        <v>13</v>
      </c>
      <c r="J2636" s="8" t="s">
        <v>24</v>
      </c>
    </row>
    <row r="2637" customFormat="false" ht="14.25" hidden="false" customHeight="false" outlineLevel="0" collapsed="false">
      <c r="A2637" s="8" t="n">
        <v>2636</v>
      </c>
      <c r="B2637" s="8" t="s">
        <v>29</v>
      </c>
      <c r="C2637" s="8" t="s">
        <v>10</v>
      </c>
      <c r="D2637" s="9" t="n">
        <v>44527</v>
      </c>
      <c r="E2637" s="9" t="str">
        <f aca="false">TEXT(D2637,"MMM")</f>
        <v>nov</v>
      </c>
      <c r="F2637" s="10" t="n">
        <v>-14189.63</v>
      </c>
      <c r="G2637" s="8" t="s">
        <v>34</v>
      </c>
      <c r="H2637" s="8" t="s">
        <v>12</v>
      </c>
      <c r="I2637" s="11" t="s">
        <v>13</v>
      </c>
      <c r="J2637" s="8" t="s">
        <v>24</v>
      </c>
    </row>
    <row r="2638" customFormat="false" ht="14.25" hidden="false" customHeight="false" outlineLevel="0" collapsed="false">
      <c r="A2638" s="8" t="n">
        <v>2637</v>
      </c>
      <c r="B2638" s="8" t="s">
        <v>176</v>
      </c>
      <c r="C2638" s="8" t="s">
        <v>16</v>
      </c>
      <c r="D2638" s="9" t="n">
        <v>44527</v>
      </c>
      <c r="E2638" s="9" t="str">
        <f aca="false">TEXT(D2638,"MMM")</f>
        <v>nov</v>
      </c>
      <c r="F2638" s="10" t="n">
        <v>-268.47</v>
      </c>
      <c r="G2638" s="8" t="s">
        <v>34</v>
      </c>
      <c r="H2638" s="8" t="s">
        <v>17</v>
      </c>
      <c r="I2638" s="11" t="s">
        <v>18</v>
      </c>
      <c r="J2638" s="8" t="s">
        <v>14</v>
      </c>
    </row>
    <row r="2639" customFormat="false" ht="14.25" hidden="false" customHeight="false" outlineLevel="0" collapsed="false">
      <c r="A2639" s="8" t="n">
        <v>2638</v>
      </c>
      <c r="B2639" s="8" t="s">
        <v>20</v>
      </c>
      <c r="C2639" s="8" t="s">
        <v>28</v>
      </c>
      <c r="D2639" s="9" t="n">
        <v>44528</v>
      </c>
      <c r="E2639" s="9" t="str">
        <f aca="false">TEXT(D2639,"MMM")</f>
        <v>nov</v>
      </c>
      <c r="F2639" s="10" t="n">
        <v>-41110.58</v>
      </c>
      <c r="G2639" s="8" t="s">
        <v>34</v>
      </c>
      <c r="H2639" s="8" t="s">
        <v>17</v>
      </c>
      <c r="I2639" s="11" t="s">
        <v>18</v>
      </c>
      <c r="J2639" s="8" t="s">
        <v>14</v>
      </c>
    </row>
    <row r="2640" customFormat="false" ht="14.25" hidden="false" customHeight="false" outlineLevel="0" collapsed="false">
      <c r="A2640" s="8" t="n">
        <v>2639</v>
      </c>
      <c r="B2640" s="8" t="s">
        <v>81</v>
      </c>
      <c r="C2640" s="8" t="s">
        <v>16</v>
      </c>
      <c r="D2640" s="9" t="n">
        <v>44528</v>
      </c>
      <c r="E2640" s="9" t="str">
        <f aca="false">TEXT(D2640,"MMM")</f>
        <v>nov</v>
      </c>
      <c r="F2640" s="10" t="n">
        <v>-15943.55</v>
      </c>
      <c r="G2640" s="8" t="s">
        <v>34</v>
      </c>
      <c r="H2640" s="8" t="s">
        <v>30</v>
      </c>
      <c r="I2640" s="11" t="s">
        <v>31</v>
      </c>
      <c r="J2640" s="8" t="s">
        <v>14</v>
      </c>
    </row>
    <row r="2641" customFormat="false" ht="14.25" hidden="false" customHeight="false" outlineLevel="0" collapsed="false">
      <c r="A2641" s="8" t="n">
        <v>2640</v>
      </c>
      <c r="B2641" s="8" t="s">
        <v>66</v>
      </c>
      <c r="C2641" s="8" t="s">
        <v>16</v>
      </c>
      <c r="D2641" s="9" t="n">
        <v>44528</v>
      </c>
      <c r="E2641" s="9" t="str">
        <f aca="false">TEXT(D2641,"MMM")</f>
        <v>nov</v>
      </c>
      <c r="F2641" s="10" t="n">
        <v>-954.25</v>
      </c>
      <c r="G2641" s="8" t="s">
        <v>34</v>
      </c>
      <c r="H2641" s="8" t="s">
        <v>17</v>
      </c>
      <c r="I2641" s="11" t="s">
        <v>18</v>
      </c>
      <c r="J2641" s="8" t="s">
        <v>14</v>
      </c>
    </row>
    <row r="2642" customFormat="false" ht="14.25" hidden="false" customHeight="false" outlineLevel="0" collapsed="false">
      <c r="A2642" s="8" t="n">
        <v>2641</v>
      </c>
      <c r="B2642" s="8" t="s">
        <v>163</v>
      </c>
      <c r="C2642" s="8" t="s">
        <v>10</v>
      </c>
      <c r="D2642" s="9" t="n">
        <v>44529</v>
      </c>
      <c r="E2642" s="9" t="str">
        <f aca="false">TEXT(D2642,"MMM")</f>
        <v>nov</v>
      </c>
      <c r="F2642" s="10" t="n">
        <v>-156.96</v>
      </c>
      <c r="G2642" s="8" t="s">
        <v>34</v>
      </c>
      <c r="H2642" s="8" t="s">
        <v>12</v>
      </c>
      <c r="I2642" s="11" t="s">
        <v>13</v>
      </c>
      <c r="J2642" s="8" t="s">
        <v>14</v>
      </c>
    </row>
    <row r="2643" customFormat="false" ht="14.25" hidden="false" customHeight="false" outlineLevel="0" collapsed="false">
      <c r="A2643" s="8" t="n">
        <v>2642</v>
      </c>
      <c r="B2643" s="8" t="s">
        <v>207</v>
      </c>
      <c r="C2643" s="8" t="s">
        <v>21</v>
      </c>
      <c r="D2643" s="9" t="n">
        <v>44529</v>
      </c>
      <c r="E2643" s="9" t="str">
        <f aca="false">TEXT(D2643,"MMM")</f>
        <v>nov</v>
      </c>
      <c r="F2643" s="10" t="n">
        <v>-17336.2</v>
      </c>
      <c r="G2643" s="8" t="s">
        <v>34</v>
      </c>
      <c r="H2643" s="8" t="s">
        <v>17</v>
      </c>
      <c r="I2643" s="11" t="s">
        <v>18</v>
      </c>
      <c r="J2643" s="8" t="s">
        <v>14</v>
      </c>
    </row>
    <row r="2644" customFormat="false" ht="14.25" hidden="false" customHeight="false" outlineLevel="0" collapsed="false">
      <c r="A2644" s="8" t="n">
        <v>2643</v>
      </c>
      <c r="B2644" s="8" t="s">
        <v>188</v>
      </c>
      <c r="C2644" s="8" t="s">
        <v>10</v>
      </c>
      <c r="D2644" s="9" t="n">
        <v>44529</v>
      </c>
      <c r="E2644" s="9" t="str">
        <f aca="false">TEXT(D2644,"MMM")</f>
        <v>nov</v>
      </c>
      <c r="F2644" s="10" t="n">
        <v>-10052.7</v>
      </c>
      <c r="G2644" s="8" t="s">
        <v>34</v>
      </c>
      <c r="H2644" s="8" t="s">
        <v>12</v>
      </c>
      <c r="I2644" s="11" t="s">
        <v>13</v>
      </c>
      <c r="J2644" s="8" t="s">
        <v>26</v>
      </c>
    </row>
    <row r="2645" customFormat="false" ht="14.25" hidden="false" customHeight="false" outlineLevel="0" collapsed="false">
      <c r="A2645" s="8" t="n">
        <v>2644</v>
      </c>
      <c r="B2645" s="8" t="s">
        <v>181</v>
      </c>
      <c r="C2645" s="8" t="s">
        <v>28</v>
      </c>
      <c r="D2645" s="9" t="n">
        <v>44530</v>
      </c>
      <c r="E2645" s="9" t="str">
        <f aca="false">TEXT(D2645,"MMM")</f>
        <v>nov</v>
      </c>
      <c r="F2645" s="10" t="n">
        <v>-341987.52</v>
      </c>
      <c r="G2645" s="8" t="s">
        <v>34</v>
      </c>
      <c r="H2645" s="8" t="s">
        <v>17</v>
      </c>
      <c r="I2645" s="11" t="s">
        <v>18</v>
      </c>
      <c r="J2645" s="8" t="s">
        <v>26</v>
      </c>
    </row>
    <row r="2646" customFormat="false" ht="14.25" hidden="false" customHeight="false" outlineLevel="0" collapsed="false">
      <c r="A2646" s="8" t="n">
        <v>2645</v>
      </c>
      <c r="B2646" s="8" t="s">
        <v>163</v>
      </c>
      <c r="C2646" s="8" t="s">
        <v>16</v>
      </c>
      <c r="D2646" s="9" t="n">
        <v>44530</v>
      </c>
      <c r="E2646" s="9" t="str">
        <f aca="false">TEXT(D2646,"MMM")</f>
        <v>nov</v>
      </c>
      <c r="F2646" s="10" t="n">
        <v>-372.09</v>
      </c>
      <c r="G2646" s="8" t="s">
        <v>34</v>
      </c>
      <c r="H2646" s="8" t="s">
        <v>17</v>
      </c>
      <c r="I2646" s="11" t="s">
        <v>18</v>
      </c>
      <c r="J2646" s="8" t="s">
        <v>26</v>
      </c>
    </row>
    <row r="2647" customFormat="false" ht="14.25" hidden="false" customHeight="false" outlineLevel="0" collapsed="false">
      <c r="A2647" s="8" t="n">
        <v>2646</v>
      </c>
      <c r="B2647" s="8" t="s">
        <v>32</v>
      </c>
      <c r="C2647" s="8" t="s">
        <v>16</v>
      </c>
      <c r="D2647" s="9" t="n">
        <v>44530</v>
      </c>
      <c r="E2647" s="9" t="str">
        <f aca="false">TEXT(D2647,"MMM")</f>
        <v>nov</v>
      </c>
      <c r="F2647" s="10" t="n">
        <v>-14709.84</v>
      </c>
      <c r="G2647" s="8" t="s">
        <v>34</v>
      </c>
      <c r="H2647" s="8" t="s">
        <v>12</v>
      </c>
      <c r="I2647" s="11" t="s">
        <v>13</v>
      </c>
      <c r="J2647" s="8" t="s">
        <v>26</v>
      </c>
    </row>
    <row r="2648" customFormat="false" ht="14.25" hidden="false" customHeight="false" outlineLevel="0" collapsed="false">
      <c r="A2648" s="8" t="n">
        <v>2647</v>
      </c>
      <c r="B2648" s="8" t="s">
        <v>32</v>
      </c>
      <c r="C2648" s="8" t="s">
        <v>16</v>
      </c>
      <c r="D2648" s="9" t="n">
        <v>44530</v>
      </c>
      <c r="E2648" s="9" t="str">
        <f aca="false">TEXT(D2648,"MMM")</f>
        <v>nov</v>
      </c>
      <c r="F2648" s="10" t="n">
        <v>-1637.65</v>
      </c>
      <c r="G2648" s="8" t="s">
        <v>34</v>
      </c>
      <c r="H2648" s="8" t="s">
        <v>22</v>
      </c>
      <c r="I2648" s="11" t="s">
        <v>23</v>
      </c>
      <c r="J2648" s="8" t="s">
        <v>19</v>
      </c>
    </row>
    <row r="2649" customFormat="false" ht="14.25" hidden="false" customHeight="false" outlineLevel="0" collapsed="false">
      <c r="A2649" s="8" t="n">
        <v>2648</v>
      </c>
      <c r="B2649" s="8" t="s">
        <v>61</v>
      </c>
      <c r="C2649" s="8" t="s">
        <v>21</v>
      </c>
      <c r="D2649" s="9" t="n">
        <v>44530</v>
      </c>
      <c r="E2649" s="9" t="str">
        <f aca="false">TEXT(D2649,"MMM")</f>
        <v>nov</v>
      </c>
      <c r="F2649" s="10" t="n">
        <v>-3342.26</v>
      </c>
      <c r="G2649" s="8" t="s">
        <v>34</v>
      </c>
      <c r="H2649" s="8" t="s">
        <v>12</v>
      </c>
      <c r="I2649" s="11" t="s">
        <v>13</v>
      </c>
      <c r="J2649" s="8" t="s">
        <v>14</v>
      </c>
    </row>
    <row r="2650" customFormat="false" ht="14.25" hidden="false" customHeight="false" outlineLevel="0" collapsed="false">
      <c r="A2650" s="8" t="n">
        <v>2649</v>
      </c>
      <c r="B2650" s="8" t="s">
        <v>62</v>
      </c>
      <c r="C2650" s="8" t="s">
        <v>10</v>
      </c>
      <c r="D2650" s="9" t="n">
        <v>44530</v>
      </c>
      <c r="E2650" s="9" t="str">
        <f aca="false">TEXT(D2650,"MMM")</f>
        <v>nov</v>
      </c>
      <c r="F2650" s="10" t="n">
        <v>145669.08</v>
      </c>
      <c r="G2650" s="8" t="s">
        <v>11</v>
      </c>
      <c r="H2650" s="8" t="s">
        <v>30</v>
      </c>
      <c r="I2650" s="11" t="s">
        <v>31</v>
      </c>
      <c r="J2650" s="8" t="s">
        <v>14</v>
      </c>
    </row>
    <row r="2651" customFormat="false" ht="14.25" hidden="false" customHeight="false" outlineLevel="0" collapsed="false">
      <c r="A2651" s="8" t="n">
        <v>2650</v>
      </c>
      <c r="B2651" s="8" t="s">
        <v>136</v>
      </c>
      <c r="C2651" s="8" t="s">
        <v>16</v>
      </c>
      <c r="D2651" s="9" t="n">
        <v>44530</v>
      </c>
      <c r="E2651" s="9" t="str">
        <f aca="false">TEXT(D2651,"MMM")</f>
        <v>nov</v>
      </c>
      <c r="F2651" s="10" t="n">
        <v>-2079.14</v>
      </c>
      <c r="G2651" s="8" t="s">
        <v>34</v>
      </c>
      <c r="H2651" s="8" t="s">
        <v>12</v>
      </c>
      <c r="I2651" s="11" t="s">
        <v>13</v>
      </c>
      <c r="J2651" s="8" t="s">
        <v>14</v>
      </c>
    </row>
    <row r="2652" customFormat="false" ht="14.25" hidden="false" customHeight="false" outlineLevel="0" collapsed="false">
      <c r="A2652" s="8" t="n">
        <v>2651</v>
      </c>
      <c r="B2652" s="8" t="s">
        <v>33</v>
      </c>
      <c r="C2652" s="8" t="s">
        <v>28</v>
      </c>
      <c r="D2652" s="9" t="n">
        <v>44530</v>
      </c>
      <c r="E2652" s="9" t="str">
        <f aca="false">TEXT(D2652,"MMM")</f>
        <v>nov</v>
      </c>
      <c r="F2652" s="10" t="n">
        <v>-5616.94</v>
      </c>
      <c r="G2652" s="8" t="s">
        <v>34</v>
      </c>
      <c r="H2652" s="8" t="s">
        <v>17</v>
      </c>
      <c r="I2652" s="11" t="s">
        <v>18</v>
      </c>
      <c r="J2652" s="8" t="s">
        <v>26</v>
      </c>
    </row>
    <row r="2653" customFormat="false" ht="14.25" hidden="false" customHeight="false" outlineLevel="0" collapsed="false">
      <c r="A2653" s="8" t="n">
        <v>2652</v>
      </c>
      <c r="B2653" s="8" t="s">
        <v>61</v>
      </c>
      <c r="C2653" s="8" t="s">
        <v>21</v>
      </c>
      <c r="D2653" s="9" t="n">
        <v>44530</v>
      </c>
      <c r="E2653" s="9" t="str">
        <f aca="false">TEXT(D2653,"MMM")</f>
        <v>nov</v>
      </c>
      <c r="F2653" s="10" t="n">
        <v>-7708.82</v>
      </c>
      <c r="G2653" s="8" t="s">
        <v>34</v>
      </c>
      <c r="H2653" s="8" t="s">
        <v>17</v>
      </c>
      <c r="I2653" s="11" t="s">
        <v>18</v>
      </c>
      <c r="J2653" s="8" t="s">
        <v>24</v>
      </c>
    </row>
    <row r="2654" customFormat="false" ht="14.25" hidden="false" customHeight="false" outlineLevel="0" collapsed="false">
      <c r="A2654" s="8" t="n">
        <v>2653</v>
      </c>
      <c r="B2654" s="8" t="s">
        <v>62</v>
      </c>
      <c r="C2654" s="8" t="s">
        <v>16</v>
      </c>
      <c r="D2654" s="9" t="n">
        <v>44530</v>
      </c>
      <c r="E2654" s="9" t="str">
        <f aca="false">TEXT(D2654,"MMM")</f>
        <v>nov</v>
      </c>
      <c r="F2654" s="10" t="n">
        <v>-8958.81</v>
      </c>
      <c r="G2654" s="8" t="s">
        <v>34</v>
      </c>
      <c r="H2654" s="8" t="s">
        <v>12</v>
      </c>
      <c r="I2654" s="11" t="s">
        <v>13</v>
      </c>
      <c r="J2654" s="8" t="s">
        <v>14</v>
      </c>
    </row>
    <row r="2655" customFormat="false" ht="14.25" hidden="false" customHeight="false" outlineLevel="0" collapsed="false">
      <c r="A2655" s="8" t="n">
        <v>2654</v>
      </c>
      <c r="B2655" s="8" t="s">
        <v>178</v>
      </c>
      <c r="C2655" s="8" t="s">
        <v>21</v>
      </c>
      <c r="D2655" s="9" t="n">
        <v>44533</v>
      </c>
      <c r="E2655" s="9" t="str">
        <f aca="false">TEXT(D2655,"MMM")</f>
        <v>dez</v>
      </c>
      <c r="F2655" s="10" t="n">
        <v>6249.79</v>
      </c>
      <c r="G2655" s="8" t="s">
        <v>11</v>
      </c>
      <c r="H2655" s="8" t="s">
        <v>22</v>
      </c>
      <c r="I2655" s="11" t="s">
        <v>23</v>
      </c>
      <c r="J2655" s="8" t="s">
        <v>14</v>
      </c>
    </row>
    <row r="2656" customFormat="false" ht="14.25" hidden="false" customHeight="false" outlineLevel="0" collapsed="false">
      <c r="A2656" s="8" t="n">
        <v>2655</v>
      </c>
      <c r="B2656" s="8" t="s">
        <v>236</v>
      </c>
      <c r="C2656" s="8" t="s">
        <v>28</v>
      </c>
      <c r="D2656" s="9" t="n">
        <v>44533</v>
      </c>
      <c r="E2656" s="9" t="str">
        <f aca="false">TEXT(D2656,"MMM")</f>
        <v>dez</v>
      </c>
      <c r="F2656" s="10" t="n">
        <v>12503.92</v>
      </c>
      <c r="G2656" s="8" t="s">
        <v>11</v>
      </c>
      <c r="H2656" s="8" t="s">
        <v>12</v>
      </c>
      <c r="I2656" s="11" t="s">
        <v>13</v>
      </c>
      <c r="J2656" s="8" t="s">
        <v>26</v>
      </c>
    </row>
    <row r="2657" customFormat="false" ht="14.25" hidden="false" customHeight="false" outlineLevel="0" collapsed="false">
      <c r="A2657" s="8" t="n">
        <v>2656</v>
      </c>
      <c r="B2657" s="8" t="s">
        <v>277</v>
      </c>
      <c r="C2657" s="8" t="s">
        <v>21</v>
      </c>
      <c r="D2657" s="9" t="n">
        <v>44533</v>
      </c>
      <c r="E2657" s="9" t="str">
        <f aca="false">TEXT(D2657,"MMM")</f>
        <v>dez</v>
      </c>
      <c r="F2657" s="10" t="n">
        <v>6123.04</v>
      </c>
      <c r="G2657" s="8" t="s">
        <v>11</v>
      </c>
      <c r="H2657" s="8" t="s">
        <v>17</v>
      </c>
      <c r="I2657" s="11" t="s">
        <v>18</v>
      </c>
      <c r="J2657" s="8" t="s">
        <v>14</v>
      </c>
    </row>
    <row r="2658" customFormat="false" ht="14.25" hidden="false" customHeight="false" outlineLevel="0" collapsed="false">
      <c r="A2658" s="8" t="n">
        <v>2657</v>
      </c>
      <c r="B2658" s="8" t="s">
        <v>185</v>
      </c>
      <c r="C2658" s="8" t="s">
        <v>10</v>
      </c>
      <c r="D2658" s="9" t="n">
        <v>44534</v>
      </c>
      <c r="E2658" s="9" t="str">
        <f aca="false">TEXT(D2658,"MMM")</f>
        <v>dez</v>
      </c>
      <c r="F2658" s="10" t="n">
        <v>7250.96</v>
      </c>
      <c r="G2658" s="8" t="s">
        <v>11</v>
      </c>
      <c r="H2658" s="8" t="s">
        <v>36</v>
      </c>
      <c r="I2658" s="11" t="s">
        <v>37</v>
      </c>
      <c r="J2658" s="8" t="s">
        <v>26</v>
      </c>
    </row>
    <row r="2659" customFormat="false" ht="14.25" hidden="false" customHeight="false" outlineLevel="0" collapsed="false">
      <c r="A2659" s="8" t="n">
        <v>2658</v>
      </c>
      <c r="B2659" s="8" t="s">
        <v>222</v>
      </c>
      <c r="C2659" s="8" t="s">
        <v>28</v>
      </c>
      <c r="D2659" s="9" t="n">
        <v>44534</v>
      </c>
      <c r="E2659" s="9" t="str">
        <f aca="false">TEXT(D2659,"MMM")</f>
        <v>dez</v>
      </c>
      <c r="F2659" s="10" t="n">
        <v>12753.84</v>
      </c>
      <c r="G2659" s="8" t="s">
        <v>11</v>
      </c>
      <c r="H2659" s="8" t="s">
        <v>17</v>
      </c>
      <c r="I2659" s="11" t="s">
        <v>18</v>
      </c>
      <c r="J2659" s="8" t="s">
        <v>14</v>
      </c>
    </row>
    <row r="2660" customFormat="false" ht="14.25" hidden="false" customHeight="false" outlineLevel="0" collapsed="false">
      <c r="A2660" s="8" t="n">
        <v>2659</v>
      </c>
      <c r="B2660" s="8" t="s">
        <v>165</v>
      </c>
      <c r="C2660" s="8" t="s">
        <v>10</v>
      </c>
      <c r="D2660" s="9" t="n">
        <v>44534</v>
      </c>
      <c r="E2660" s="9" t="str">
        <f aca="false">TEXT(D2660,"MMM")</f>
        <v>dez</v>
      </c>
      <c r="F2660" s="10" t="n">
        <v>6776.09</v>
      </c>
      <c r="G2660" s="8" t="s">
        <v>11</v>
      </c>
      <c r="H2660" s="8" t="s">
        <v>36</v>
      </c>
      <c r="I2660" s="11" t="s">
        <v>37</v>
      </c>
      <c r="J2660" s="8" t="s">
        <v>24</v>
      </c>
    </row>
    <row r="2661" customFormat="false" ht="14.25" hidden="false" customHeight="false" outlineLevel="0" collapsed="false">
      <c r="A2661" s="8" t="n">
        <v>2660</v>
      </c>
      <c r="B2661" s="8" t="s">
        <v>173</v>
      </c>
      <c r="C2661" s="8" t="s">
        <v>10</v>
      </c>
      <c r="D2661" s="9" t="n">
        <v>44535</v>
      </c>
      <c r="E2661" s="9" t="str">
        <f aca="false">TEXT(D2661,"MMM")</f>
        <v>dez</v>
      </c>
      <c r="F2661" s="10" t="n">
        <v>21306.93</v>
      </c>
      <c r="G2661" s="8" t="s">
        <v>11</v>
      </c>
      <c r="H2661" s="8" t="s">
        <v>17</v>
      </c>
      <c r="I2661" s="11" t="s">
        <v>18</v>
      </c>
      <c r="J2661" s="8" t="s">
        <v>14</v>
      </c>
    </row>
    <row r="2662" customFormat="false" ht="14.25" hidden="false" customHeight="false" outlineLevel="0" collapsed="false">
      <c r="A2662" s="8" t="n">
        <v>2661</v>
      </c>
      <c r="B2662" s="8" t="s">
        <v>284</v>
      </c>
      <c r="C2662" s="8" t="s">
        <v>16</v>
      </c>
      <c r="D2662" s="9" t="n">
        <v>44535</v>
      </c>
      <c r="E2662" s="9" t="str">
        <f aca="false">TEXT(D2662,"MMM")</f>
        <v>dez</v>
      </c>
      <c r="F2662" s="10" t="n">
        <v>6131.71</v>
      </c>
      <c r="G2662" s="8" t="s">
        <v>11</v>
      </c>
      <c r="H2662" s="8" t="s">
        <v>12</v>
      </c>
      <c r="I2662" s="11" t="s">
        <v>13</v>
      </c>
      <c r="J2662" s="8" t="s">
        <v>14</v>
      </c>
    </row>
    <row r="2663" customFormat="false" ht="14.25" hidden="false" customHeight="false" outlineLevel="0" collapsed="false">
      <c r="A2663" s="8" t="n">
        <v>2662</v>
      </c>
      <c r="B2663" s="8" t="s">
        <v>247</v>
      </c>
      <c r="C2663" s="8" t="s">
        <v>10</v>
      </c>
      <c r="D2663" s="9" t="n">
        <v>44535</v>
      </c>
      <c r="E2663" s="9" t="str">
        <f aca="false">TEXT(D2663,"MMM")</f>
        <v>dez</v>
      </c>
      <c r="F2663" s="10" t="n">
        <v>6642.6</v>
      </c>
      <c r="G2663" s="8" t="s">
        <v>11</v>
      </c>
      <c r="H2663" s="8" t="s">
        <v>12</v>
      </c>
      <c r="I2663" s="11" t="s">
        <v>13</v>
      </c>
      <c r="J2663" s="8" t="s">
        <v>14</v>
      </c>
    </row>
    <row r="2664" customFormat="false" ht="14.25" hidden="false" customHeight="false" outlineLevel="0" collapsed="false">
      <c r="A2664" s="8" t="n">
        <v>2663</v>
      </c>
      <c r="B2664" s="8" t="s">
        <v>172</v>
      </c>
      <c r="C2664" s="8" t="s">
        <v>10</v>
      </c>
      <c r="D2664" s="9" t="n">
        <v>44537</v>
      </c>
      <c r="E2664" s="9" t="str">
        <f aca="false">TEXT(D2664,"MMM")</f>
        <v>dez</v>
      </c>
      <c r="F2664" s="10" t="n">
        <v>14641.42</v>
      </c>
      <c r="G2664" s="8" t="s">
        <v>11</v>
      </c>
      <c r="H2664" s="8" t="s">
        <v>36</v>
      </c>
      <c r="I2664" s="11" t="s">
        <v>37</v>
      </c>
      <c r="J2664" s="8" t="s">
        <v>26</v>
      </c>
    </row>
    <row r="2665" customFormat="false" ht="14.25" hidden="false" customHeight="false" outlineLevel="0" collapsed="false">
      <c r="A2665" s="8" t="n">
        <v>2664</v>
      </c>
      <c r="B2665" s="8" t="s">
        <v>235</v>
      </c>
      <c r="C2665" s="8" t="s">
        <v>16</v>
      </c>
      <c r="D2665" s="9" t="n">
        <v>44537</v>
      </c>
      <c r="E2665" s="9" t="str">
        <f aca="false">TEXT(D2665,"MMM")</f>
        <v>dez</v>
      </c>
      <c r="F2665" s="10" t="n">
        <v>178364.87</v>
      </c>
      <c r="G2665" s="8" t="s">
        <v>11</v>
      </c>
      <c r="H2665" s="8" t="s">
        <v>17</v>
      </c>
      <c r="I2665" s="11" t="s">
        <v>18</v>
      </c>
      <c r="J2665" s="8" t="s">
        <v>24</v>
      </c>
    </row>
    <row r="2666" customFormat="false" ht="14.25" hidden="false" customHeight="false" outlineLevel="0" collapsed="false">
      <c r="A2666" s="8" t="n">
        <v>2665</v>
      </c>
      <c r="B2666" s="8" t="s">
        <v>182</v>
      </c>
      <c r="C2666" s="8" t="s">
        <v>10</v>
      </c>
      <c r="D2666" s="9" t="n">
        <v>44537</v>
      </c>
      <c r="E2666" s="9" t="str">
        <f aca="false">TEXT(D2666,"MMM")</f>
        <v>dez</v>
      </c>
      <c r="F2666" s="10" t="n">
        <v>21306.93</v>
      </c>
      <c r="G2666" s="8" t="s">
        <v>11</v>
      </c>
      <c r="H2666" s="8" t="s">
        <v>12</v>
      </c>
      <c r="I2666" s="11" t="s">
        <v>13</v>
      </c>
      <c r="J2666" s="8" t="s">
        <v>14</v>
      </c>
    </row>
    <row r="2667" customFormat="false" ht="14.25" hidden="false" customHeight="false" outlineLevel="0" collapsed="false">
      <c r="A2667" s="8" t="n">
        <v>2666</v>
      </c>
      <c r="B2667" s="8" t="s">
        <v>113</v>
      </c>
      <c r="C2667" s="8" t="s">
        <v>10</v>
      </c>
      <c r="D2667" s="9" t="n">
        <v>44537</v>
      </c>
      <c r="E2667" s="9" t="str">
        <f aca="false">TEXT(D2667,"MMM")</f>
        <v>dez</v>
      </c>
      <c r="F2667" s="10" t="n">
        <v>5825.05</v>
      </c>
      <c r="G2667" s="8" t="s">
        <v>11</v>
      </c>
      <c r="H2667" s="8" t="s">
        <v>22</v>
      </c>
      <c r="I2667" s="11" t="s">
        <v>23</v>
      </c>
      <c r="J2667" s="8" t="s">
        <v>14</v>
      </c>
    </row>
    <row r="2668" customFormat="false" ht="14.25" hidden="false" customHeight="false" outlineLevel="0" collapsed="false">
      <c r="A2668" s="8" t="n">
        <v>2667</v>
      </c>
      <c r="B2668" s="8" t="s">
        <v>149</v>
      </c>
      <c r="C2668" s="8" t="s">
        <v>16</v>
      </c>
      <c r="D2668" s="9" t="n">
        <v>44537</v>
      </c>
      <c r="E2668" s="9" t="str">
        <f aca="false">TEXT(D2668,"MMM")</f>
        <v>dez</v>
      </c>
      <c r="F2668" s="10" t="n">
        <v>6127.84</v>
      </c>
      <c r="G2668" s="8" t="s">
        <v>11</v>
      </c>
      <c r="H2668" s="8" t="s">
        <v>12</v>
      </c>
      <c r="I2668" s="11" t="s">
        <v>13</v>
      </c>
      <c r="J2668" s="8" t="s">
        <v>14</v>
      </c>
    </row>
    <row r="2669" customFormat="false" ht="14.25" hidden="false" customHeight="false" outlineLevel="0" collapsed="false">
      <c r="A2669" s="8" t="n">
        <v>2668</v>
      </c>
      <c r="B2669" s="8" t="s">
        <v>150</v>
      </c>
      <c r="C2669" s="8" t="s">
        <v>16</v>
      </c>
      <c r="D2669" s="9" t="n">
        <v>44537</v>
      </c>
      <c r="E2669" s="9" t="str">
        <f aca="false">TEXT(D2669,"MMM")</f>
        <v>dez</v>
      </c>
      <c r="F2669" s="10" t="n">
        <v>12024.23</v>
      </c>
      <c r="G2669" s="8" t="s">
        <v>11</v>
      </c>
      <c r="H2669" s="8" t="s">
        <v>17</v>
      </c>
      <c r="I2669" s="11" t="s">
        <v>18</v>
      </c>
      <c r="J2669" s="8" t="s">
        <v>24</v>
      </c>
    </row>
    <row r="2670" customFormat="false" ht="14.25" hidden="false" customHeight="false" outlineLevel="0" collapsed="false">
      <c r="A2670" s="8" t="n">
        <v>2669</v>
      </c>
      <c r="B2670" s="8" t="s">
        <v>176</v>
      </c>
      <c r="C2670" s="8" t="s">
        <v>16</v>
      </c>
      <c r="D2670" s="9" t="n">
        <v>44537</v>
      </c>
      <c r="E2670" s="9" t="str">
        <f aca="false">TEXT(D2670,"MMM")</f>
        <v>dez</v>
      </c>
      <c r="F2670" s="10" t="n">
        <v>21306.95</v>
      </c>
      <c r="G2670" s="8" t="s">
        <v>11</v>
      </c>
      <c r="H2670" s="8" t="s">
        <v>17</v>
      </c>
      <c r="I2670" s="11" t="s">
        <v>18</v>
      </c>
      <c r="J2670" s="8" t="s">
        <v>14</v>
      </c>
    </row>
    <row r="2671" customFormat="false" ht="14.25" hidden="false" customHeight="false" outlineLevel="0" collapsed="false">
      <c r="A2671" s="8" t="n">
        <v>2670</v>
      </c>
      <c r="B2671" s="8" t="s">
        <v>284</v>
      </c>
      <c r="C2671" s="8" t="s">
        <v>16</v>
      </c>
      <c r="D2671" s="9" t="n">
        <v>44537</v>
      </c>
      <c r="E2671" s="9" t="str">
        <f aca="false">TEXT(D2671,"MMM")</f>
        <v>dez</v>
      </c>
      <c r="F2671" s="10" t="n">
        <v>6444.59</v>
      </c>
      <c r="G2671" s="8" t="s">
        <v>11</v>
      </c>
      <c r="H2671" s="8" t="s">
        <v>12</v>
      </c>
      <c r="I2671" s="11" t="s">
        <v>13</v>
      </c>
      <c r="J2671" s="8" t="s">
        <v>14</v>
      </c>
    </row>
    <row r="2672" customFormat="false" ht="14.25" hidden="false" customHeight="false" outlineLevel="0" collapsed="false">
      <c r="A2672" s="8" t="n">
        <v>2671</v>
      </c>
      <c r="B2672" s="8" t="s">
        <v>250</v>
      </c>
      <c r="C2672" s="8" t="s">
        <v>28</v>
      </c>
      <c r="D2672" s="9" t="n">
        <v>44538</v>
      </c>
      <c r="E2672" s="9" t="str">
        <f aca="false">TEXT(D2672,"MMM")</f>
        <v>dez</v>
      </c>
      <c r="F2672" s="10" t="n">
        <v>5769.85</v>
      </c>
      <c r="G2672" s="8" t="s">
        <v>11</v>
      </c>
      <c r="H2672" s="8" t="s">
        <v>17</v>
      </c>
      <c r="I2672" s="11" t="s">
        <v>18</v>
      </c>
      <c r="J2672" s="8" t="s">
        <v>19</v>
      </c>
    </row>
    <row r="2673" customFormat="false" ht="14.25" hidden="false" customHeight="false" outlineLevel="0" collapsed="false">
      <c r="A2673" s="8" t="n">
        <v>2672</v>
      </c>
      <c r="B2673" s="8" t="s">
        <v>164</v>
      </c>
      <c r="C2673" s="8" t="s">
        <v>16</v>
      </c>
      <c r="D2673" s="9" t="n">
        <v>44540</v>
      </c>
      <c r="E2673" s="9" t="str">
        <f aca="false">TEXT(D2673,"MMM")</f>
        <v>dez</v>
      </c>
      <c r="F2673" s="10" t="n">
        <v>12013.16</v>
      </c>
      <c r="G2673" s="8" t="s">
        <v>11</v>
      </c>
      <c r="H2673" s="8" t="s">
        <v>17</v>
      </c>
      <c r="I2673" s="11" t="s">
        <v>18</v>
      </c>
      <c r="J2673" s="8" t="s">
        <v>19</v>
      </c>
    </row>
    <row r="2674" customFormat="false" ht="14.25" hidden="false" customHeight="false" outlineLevel="0" collapsed="false">
      <c r="A2674" s="8" t="n">
        <v>2673</v>
      </c>
      <c r="B2674" s="8" t="s">
        <v>190</v>
      </c>
      <c r="C2674" s="8" t="s">
        <v>16</v>
      </c>
      <c r="D2674" s="9" t="n">
        <v>44540</v>
      </c>
      <c r="E2674" s="9" t="str">
        <f aca="false">TEXT(D2674,"MMM")</f>
        <v>dez</v>
      </c>
      <c r="F2674" s="10" t="n">
        <v>-6715.17</v>
      </c>
      <c r="G2674" s="8" t="s">
        <v>34</v>
      </c>
      <c r="H2674" s="8" t="s">
        <v>12</v>
      </c>
      <c r="I2674" s="11" t="s">
        <v>13</v>
      </c>
      <c r="J2674" s="8" t="s">
        <v>26</v>
      </c>
    </row>
    <row r="2675" customFormat="false" ht="14.25" hidden="false" customHeight="false" outlineLevel="0" collapsed="false">
      <c r="A2675" s="8" t="n">
        <v>2674</v>
      </c>
      <c r="B2675" s="8" t="s">
        <v>210</v>
      </c>
      <c r="C2675" s="8" t="s">
        <v>28</v>
      </c>
      <c r="D2675" s="9" t="n">
        <v>44540</v>
      </c>
      <c r="E2675" s="9" t="str">
        <f aca="false">TEXT(D2675,"MMM")</f>
        <v>dez</v>
      </c>
      <c r="F2675" s="10" t="n">
        <v>-7422.03</v>
      </c>
      <c r="G2675" s="8" t="s">
        <v>34</v>
      </c>
      <c r="H2675" s="8" t="s">
        <v>22</v>
      </c>
      <c r="I2675" s="11" t="s">
        <v>23</v>
      </c>
      <c r="J2675" s="8" t="s">
        <v>14</v>
      </c>
    </row>
    <row r="2676" customFormat="false" ht="14.25" hidden="false" customHeight="false" outlineLevel="0" collapsed="false">
      <c r="A2676" s="8" t="n">
        <v>2675</v>
      </c>
      <c r="B2676" s="8" t="s">
        <v>50</v>
      </c>
      <c r="C2676" s="8" t="s">
        <v>28</v>
      </c>
      <c r="D2676" s="9" t="n">
        <v>44540</v>
      </c>
      <c r="E2676" s="9" t="str">
        <f aca="false">TEXT(D2676,"MMM")</f>
        <v>dez</v>
      </c>
      <c r="F2676" s="10" t="n">
        <v>-2729.09</v>
      </c>
      <c r="G2676" s="8" t="s">
        <v>34</v>
      </c>
      <c r="H2676" s="8" t="s">
        <v>17</v>
      </c>
      <c r="I2676" s="11" t="s">
        <v>18</v>
      </c>
      <c r="J2676" s="8" t="s">
        <v>14</v>
      </c>
    </row>
    <row r="2677" customFormat="false" ht="14.25" hidden="false" customHeight="false" outlineLevel="0" collapsed="false">
      <c r="A2677" s="8" t="n">
        <v>2676</v>
      </c>
      <c r="B2677" s="8" t="s">
        <v>250</v>
      </c>
      <c r="C2677" s="8" t="s">
        <v>16</v>
      </c>
      <c r="D2677" s="9" t="n">
        <v>44540</v>
      </c>
      <c r="E2677" s="9" t="str">
        <f aca="false">TEXT(D2677,"MMM")</f>
        <v>dez</v>
      </c>
      <c r="F2677" s="10" t="n">
        <v>-7146.9</v>
      </c>
      <c r="G2677" s="8" t="s">
        <v>34</v>
      </c>
      <c r="H2677" s="8" t="s">
        <v>17</v>
      </c>
      <c r="I2677" s="11" t="s">
        <v>18</v>
      </c>
      <c r="J2677" s="8" t="s">
        <v>14</v>
      </c>
    </row>
    <row r="2678" customFormat="false" ht="14.25" hidden="false" customHeight="false" outlineLevel="0" collapsed="false">
      <c r="A2678" s="8" t="n">
        <v>2677</v>
      </c>
      <c r="B2678" s="8" t="s">
        <v>154</v>
      </c>
      <c r="C2678" s="8" t="s">
        <v>28</v>
      </c>
      <c r="D2678" s="9" t="n">
        <v>44541</v>
      </c>
      <c r="E2678" s="9" t="str">
        <f aca="false">TEXT(D2678,"MMM")</f>
        <v>dez</v>
      </c>
      <c r="F2678" s="10" t="n">
        <v>148274.38</v>
      </c>
      <c r="G2678" s="8" t="s">
        <v>11</v>
      </c>
      <c r="H2678" s="8" t="s">
        <v>17</v>
      </c>
      <c r="I2678" s="11" t="s">
        <v>18</v>
      </c>
      <c r="J2678" s="8" t="s">
        <v>14</v>
      </c>
    </row>
    <row r="2679" customFormat="false" ht="14.25" hidden="false" customHeight="false" outlineLevel="0" collapsed="false">
      <c r="A2679" s="8" t="n">
        <v>2678</v>
      </c>
      <c r="B2679" s="8" t="s">
        <v>154</v>
      </c>
      <c r="C2679" s="8" t="s">
        <v>28</v>
      </c>
      <c r="D2679" s="9" t="n">
        <v>44541</v>
      </c>
      <c r="E2679" s="9" t="str">
        <f aca="false">TEXT(D2679,"MMM")</f>
        <v>dez</v>
      </c>
      <c r="F2679" s="10" t="n">
        <v>144086.34</v>
      </c>
      <c r="G2679" s="8" t="s">
        <v>11</v>
      </c>
      <c r="H2679" s="8" t="s">
        <v>30</v>
      </c>
      <c r="I2679" s="11" t="s">
        <v>31</v>
      </c>
      <c r="J2679" s="8" t="s">
        <v>14</v>
      </c>
    </row>
    <row r="2680" customFormat="false" ht="14.25" hidden="false" customHeight="false" outlineLevel="0" collapsed="false">
      <c r="A2680" s="8" t="n">
        <v>2679</v>
      </c>
      <c r="B2680" s="8" t="s">
        <v>248</v>
      </c>
      <c r="C2680" s="8" t="s">
        <v>10</v>
      </c>
      <c r="D2680" s="9" t="n">
        <v>44541</v>
      </c>
      <c r="E2680" s="9" t="str">
        <f aca="false">TEXT(D2680,"MMM")</f>
        <v>dez</v>
      </c>
      <c r="F2680" s="10" t="n">
        <v>10879.9</v>
      </c>
      <c r="G2680" s="8" t="s">
        <v>11</v>
      </c>
      <c r="H2680" s="8" t="s">
        <v>22</v>
      </c>
      <c r="I2680" s="11" t="s">
        <v>23</v>
      </c>
      <c r="J2680" s="8" t="s">
        <v>26</v>
      </c>
    </row>
    <row r="2681" customFormat="false" ht="14.25" hidden="false" customHeight="false" outlineLevel="0" collapsed="false">
      <c r="A2681" s="8" t="n">
        <v>2680</v>
      </c>
      <c r="B2681" s="8" t="s">
        <v>207</v>
      </c>
      <c r="C2681" s="8" t="s">
        <v>28</v>
      </c>
      <c r="D2681" s="9" t="n">
        <v>44541</v>
      </c>
      <c r="E2681" s="9" t="str">
        <f aca="false">TEXT(D2681,"MMM")</f>
        <v>dez</v>
      </c>
      <c r="F2681" s="10" t="n">
        <v>10879.9</v>
      </c>
      <c r="G2681" s="8" t="s">
        <v>11</v>
      </c>
      <c r="H2681" s="8" t="s">
        <v>22</v>
      </c>
      <c r="I2681" s="11" t="s">
        <v>23</v>
      </c>
      <c r="J2681" s="8" t="s">
        <v>14</v>
      </c>
    </row>
    <row r="2682" customFormat="false" ht="14.25" hidden="false" customHeight="false" outlineLevel="0" collapsed="false">
      <c r="A2682" s="8" t="n">
        <v>2681</v>
      </c>
      <c r="B2682" s="8" t="s">
        <v>270</v>
      </c>
      <c r="C2682" s="8" t="s">
        <v>16</v>
      </c>
      <c r="D2682" s="9" t="n">
        <v>44542</v>
      </c>
      <c r="E2682" s="9" t="str">
        <f aca="false">TEXT(D2682,"MMM")</f>
        <v>dez</v>
      </c>
      <c r="F2682" s="10" t="n">
        <v>10879.9</v>
      </c>
      <c r="G2682" s="8" t="s">
        <v>11</v>
      </c>
      <c r="H2682" s="8" t="s">
        <v>22</v>
      </c>
      <c r="I2682" s="11" t="s">
        <v>23</v>
      </c>
      <c r="J2682" s="8" t="s">
        <v>14</v>
      </c>
    </row>
    <row r="2683" customFormat="false" ht="14.25" hidden="false" customHeight="false" outlineLevel="0" collapsed="false">
      <c r="A2683" s="8" t="n">
        <v>2682</v>
      </c>
      <c r="B2683" s="8" t="s">
        <v>189</v>
      </c>
      <c r="C2683" s="8" t="s">
        <v>21</v>
      </c>
      <c r="D2683" s="9" t="n">
        <v>44543</v>
      </c>
      <c r="E2683" s="9" t="str">
        <f aca="false">TEXT(D2683,"MMM")</f>
        <v>dez</v>
      </c>
      <c r="F2683" s="10" t="n">
        <v>10879.9</v>
      </c>
      <c r="G2683" s="8" t="s">
        <v>11</v>
      </c>
      <c r="H2683" s="8" t="s">
        <v>36</v>
      </c>
      <c r="I2683" s="11" t="s">
        <v>37</v>
      </c>
      <c r="J2683" s="8" t="s">
        <v>19</v>
      </c>
    </row>
    <row r="2684" customFormat="false" ht="14.25" hidden="false" customHeight="false" outlineLevel="0" collapsed="false">
      <c r="A2684" s="8" t="n">
        <v>2683</v>
      </c>
      <c r="B2684" s="8" t="s">
        <v>189</v>
      </c>
      <c r="C2684" s="8" t="s">
        <v>21</v>
      </c>
      <c r="D2684" s="9" t="n">
        <v>44543</v>
      </c>
      <c r="E2684" s="9" t="str">
        <f aca="false">TEXT(D2684,"MMM")</f>
        <v>dez</v>
      </c>
      <c r="F2684" s="10" t="n">
        <v>10879.9</v>
      </c>
      <c r="G2684" s="8" t="s">
        <v>11</v>
      </c>
      <c r="H2684" s="8" t="s">
        <v>22</v>
      </c>
      <c r="I2684" s="11" t="s">
        <v>23</v>
      </c>
      <c r="J2684" s="8" t="s">
        <v>26</v>
      </c>
    </row>
    <row r="2685" customFormat="false" ht="14.25" hidden="false" customHeight="false" outlineLevel="0" collapsed="false">
      <c r="A2685" s="8" t="n">
        <v>2684</v>
      </c>
      <c r="B2685" s="8" t="s">
        <v>189</v>
      </c>
      <c r="C2685" s="8" t="s">
        <v>16</v>
      </c>
      <c r="D2685" s="9" t="n">
        <v>44543</v>
      </c>
      <c r="E2685" s="9" t="str">
        <f aca="false">TEXT(D2685,"MMM")</f>
        <v>dez</v>
      </c>
      <c r="F2685" s="10" t="n">
        <v>10879.9</v>
      </c>
      <c r="G2685" s="8" t="s">
        <v>11</v>
      </c>
      <c r="H2685" s="8" t="s">
        <v>12</v>
      </c>
      <c r="I2685" s="11" t="s">
        <v>13</v>
      </c>
      <c r="J2685" s="8" t="s">
        <v>14</v>
      </c>
    </row>
    <row r="2686" customFormat="false" ht="14.25" hidden="false" customHeight="false" outlineLevel="0" collapsed="false">
      <c r="A2686" s="8" t="n">
        <v>2685</v>
      </c>
      <c r="B2686" s="8" t="s">
        <v>189</v>
      </c>
      <c r="C2686" s="8" t="s">
        <v>21</v>
      </c>
      <c r="D2686" s="9" t="n">
        <v>44543</v>
      </c>
      <c r="E2686" s="9" t="str">
        <f aca="false">TEXT(D2686,"MMM")</f>
        <v>dez</v>
      </c>
      <c r="F2686" s="10" t="n">
        <v>146192.53</v>
      </c>
      <c r="G2686" s="8" t="s">
        <v>11</v>
      </c>
      <c r="H2686" s="8" t="s">
        <v>12</v>
      </c>
      <c r="I2686" s="11" t="s">
        <v>13</v>
      </c>
      <c r="J2686" s="8" t="s">
        <v>14</v>
      </c>
    </row>
    <row r="2687" customFormat="false" ht="14.25" hidden="false" customHeight="false" outlineLevel="0" collapsed="false">
      <c r="A2687" s="8" t="n">
        <v>2686</v>
      </c>
      <c r="B2687" s="8" t="s">
        <v>208</v>
      </c>
      <c r="C2687" s="8" t="s">
        <v>28</v>
      </c>
      <c r="D2687" s="9" t="n">
        <v>44543</v>
      </c>
      <c r="E2687" s="9" t="str">
        <f aca="false">TEXT(D2687,"MMM")</f>
        <v>dez</v>
      </c>
      <c r="F2687" s="10" t="n">
        <v>133024.72</v>
      </c>
      <c r="G2687" s="8" t="s">
        <v>11</v>
      </c>
      <c r="H2687" s="8" t="s">
        <v>17</v>
      </c>
      <c r="I2687" s="11" t="s">
        <v>18</v>
      </c>
      <c r="J2687" s="8" t="s">
        <v>14</v>
      </c>
    </row>
    <row r="2688" customFormat="false" ht="14.25" hidden="false" customHeight="false" outlineLevel="0" collapsed="false">
      <c r="A2688" s="8" t="n">
        <v>2687</v>
      </c>
      <c r="B2688" s="8" t="s">
        <v>41</v>
      </c>
      <c r="C2688" s="8" t="s">
        <v>10</v>
      </c>
      <c r="D2688" s="9" t="n">
        <v>44543</v>
      </c>
      <c r="E2688" s="9" t="str">
        <f aca="false">TEXT(D2688,"MMM")</f>
        <v>dez</v>
      </c>
      <c r="F2688" s="10" t="n">
        <v>-5650.51</v>
      </c>
      <c r="G2688" s="8" t="s">
        <v>34</v>
      </c>
      <c r="H2688" s="8" t="s">
        <v>12</v>
      </c>
      <c r="I2688" s="11" t="s">
        <v>13</v>
      </c>
      <c r="J2688" s="8" t="s">
        <v>19</v>
      </c>
    </row>
    <row r="2689" customFormat="false" ht="14.25" hidden="false" customHeight="false" outlineLevel="0" collapsed="false">
      <c r="A2689" s="8" t="n">
        <v>2688</v>
      </c>
      <c r="B2689" s="8" t="s">
        <v>29</v>
      </c>
      <c r="C2689" s="8" t="s">
        <v>16</v>
      </c>
      <c r="D2689" s="9" t="n">
        <v>44543</v>
      </c>
      <c r="E2689" s="9" t="str">
        <f aca="false">TEXT(D2689,"MMM")</f>
        <v>dez</v>
      </c>
      <c r="F2689" s="10" t="n">
        <v>-720.83</v>
      </c>
      <c r="G2689" s="8" t="s">
        <v>34</v>
      </c>
      <c r="H2689" s="8" t="s">
        <v>22</v>
      </c>
      <c r="I2689" s="11" t="s">
        <v>23</v>
      </c>
      <c r="J2689" s="8" t="s">
        <v>24</v>
      </c>
    </row>
    <row r="2690" customFormat="false" ht="14.25" hidden="false" customHeight="false" outlineLevel="0" collapsed="false">
      <c r="A2690" s="8" t="n">
        <v>2689</v>
      </c>
      <c r="B2690" s="8" t="s">
        <v>29</v>
      </c>
      <c r="C2690" s="8" t="s">
        <v>16</v>
      </c>
      <c r="D2690" s="9" t="n">
        <v>44543</v>
      </c>
      <c r="E2690" s="9" t="str">
        <f aca="false">TEXT(D2690,"MMM")</f>
        <v>dez</v>
      </c>
      <c r="F2690" s="10" t="n">
        <v>-20997.76</v>
      </c>
      <c r="G2690" s="8" t="s">
        <v>34</v>
      </c>
      <c r="H2690" s="8" t="s">
        <v>36</v>
      </c>
      <c r="I2690" s="11" t="s">
        <v>37</v>
      </c>
      <c r="J2690" s="8" t="s">
        <v>14</v>
      </c>
    </row>
    <row r="2691" customFormat="false" ht="14.25" hidden="false" customHeight="false" outlineLevel="0" collapsed="false">
      <c r="A2691" s="8" t="n">
        <v>2690</v>
      </c>
      <c r="B2691" s="8" t="s">
        <v>154</v>
      </c>
      <c r="C2691" s="8" t="s">
        <v>21</v>
      </c>
      <c r="D2691" s="9" t="n">
        <v>44543</v>
      </c>
      <c r="E2691" s="9" t="str">
        <f aca="false">TEXT(D2691,"MMM")</f>
        <v>dez</v>
      </c>
      <c r="F2691" s="10" t="n">
        <v>-30563.75</v>
      </c>
      <c r="G2691" s="8" t="s">
        <v>34</v>
      </c>
      <c r="H2691" s="8" t="s">
        <v>17</v>
      </c>
      <c r="I2691" s="11" t="s">
        <v>18</v>
      </c>
      <c r="J2691" s="8" t="s">
        <v>14</v>
      </c>
    </row>
    <row r="2692" customFormat="false" ht="14.25" hidden="false" customHeight="false" outlineLevel="0" collapsed="false">
      <c r="A2692" s="8" t="n">
        <v>2691</v>
      </c>
      <c r="B2692" s="8" t="s">
        <v>166</v>
      </c>
      <c r="C2692" s="8" t="s">
        <v>21</v>
      </c>
      <c r="D2692" s="9" t="n">
        <v>44544</v>
      </c>
      <c r="E2692" s="9" t="str">
        <f aca="false">TEXT(D2692,"MMM")</f>
        <v>dez</v>
      </c>
      <c r="F2692" s="10" t="n">
        <v>-1972.01</v>
      </c>
      <c r="G2692" s="8" t="s">
        <v>34</v>
      </c>
      <c r="H2692" s="8" t="s">
        <v>12</v>
      </c>
      <c r="I2692" s="11" t="s">
        <v>13</v>
      </c>
      <c r="J2692" s="8" t="s">
        <v>24</v>
      </c>
    </row>
    <row r="2693" customFormat="false" ht="14.25" hidden="false" customHeight="false" outlineLevel="0" collapsed="false">
      <c r="A2693" s="8" t="n">
        <v>2692</v>
      </c>
      <c r="B2693" s="8" t="s">
        <v>250</v>
      </c>
      <c r="C2693" s="8" t="s">
        <v>10</v>
      </c>
      <c r="D2693" s="9" t="n">
        <v>44545</v>
      </c>
      <c r="E2693" s="9" t="str">
        <f aca="false">TEXT(D2693,"MMM")</f>
        <v>dez</v>
      </c>
      <c r="F2693" s="10" t="n">
        <v>-2904.41</v>
      </c>
      <c r="G2693" s="8" t="s">
        <v>34</v>
      </c>
      <c r="H2693" s="8" t="s">
        <v>17</v>
      </c>
      <c r="I2693" s="11" t="s">
        <v>18</v>
      </c>
      <c r="J2693" s="8" t="s">
        <v>14</v>
      </c>
    </row>
    <row r="2694" customFormat="false" ht="14.25" hidden="false" customHeight="false" outlineLevel="0" collapsed="false">
      <c r="A2694" s="8" t="n">
        <v>2693</v>
      </c>
      <c r="B2694" s="8" t="s">
        <v>163</v>
      </c>
      <c r="C2694" s="8" t="s">
        <v>21</v>
      </c>
      <c r="D2694" s="9" t="n">
        <v>44547</v>
      </c>
      <c r="E2694" s="9" t="str">
        <f aca="false">TEXT(D2694,"MMM")</f>
        <v>dez</v>
      </c>
      <c r="F2694" s="10" t="n">
        <v>-1544.48</v>
      </c>
      <c r="G2694" s="8" t="s">
        <v>34</v>
      </c>
      <c r="H2694" s="8" t="s">
        <v>30</v>
      </c>
      <c r="I2694" s="11" t="s">
        <v>31</v>
      </c>
      <c r="J2694" s="8" t="s">
        <v>26</v>
      </c>
    </row>
    <row r="2695" customFormat="false" ht="14.25" hidden="false" customHeight="false" outlineLevel="0" collapsed="false">
      <c r="A2695" s="8" t="n">
        <v>2694</v>
      </c>
      <c r="B2695" s="8" t="s">
        <v>213</v>
      </c>
      <c r="C2695" s="8" t="s">
        <v>28</v>
      </c>
      <c r="D2695" s="9" t="n">
        <v>44547</v>
      </c>
      <c r="E2695" s="9" t="str">
        <f aca="false">TEXT(D2695,"MMM")</f>
        <v>dez</v>
      </c>
      <c r="F2695" s="10" t="n">
        <v>149818.9</v>
      </c>
      <c r="G2695" s="8" t="s">
        <v>11</v>
      </c>
      <c r="H2695" s="8" t="s">
        <v>17</v>
      </c>
      <c r="I2695" s="11" t="s">
        <v>18</v>
      </c>
      <c r="J2695" s="8" t="s">
        <v>26</v>
      </c>
    </row>
    <row r="2696" customFormat="false" ht="14.25" hidden="false" customHeight="false" outlineLevel="0" collapsed="false">
      <c r="A2696" s="8" t="n">
        <v>2695</v>
      </c>
      <c r="B2696" s="8" t="s">
        <v>250</v>
      </c>
      <c r="C2696" s="8" t="s">
        <v>10</v>
      </c>
      <c r="D2696" s="9" t="n">
        <v>44547</v>
      </c>
      <c r="E2696" s="9" t="str">
        <f aca="false">TEXT(D2696,"MMM")</f>
        <v>dez</v>
      </c>
      <c r="F2696" s="10" t="n">
        <v>149700.09</v>
      </c>
      <c r="G2696" s="8" t="s">
        <v>11</v>
      </c>
      <c r="H2696" s="8" t="s">
        <v>12</v>
      </c>
      <c r="I2696" s="11" t="s">
        <v>13</v>
      </c>
      <c r="J2696" s="8" t="s">
        <v>14</v>
      </c>
    </row>
    <row r="2697" customFormat="false" ht="14.25" hidden="false" customHeight="false" outlineLevel="0" collapsed="false">
      <c r="A2697" s="8" t="n">
        <v>2696</v>
      </c>
      <c r="B2697" s="8" t="s">
        <v>250</v>
      </c>
      <c r="C2697" s="8" t="s">
        <v>21</v>
      </c>
      <c r="D2697" s="9" t="n">
        <v>44547</v>
      </c>
      <c r="E2697" s="9" t="str">
        <f aca="false">TEXT(D2697,"MMM")</f>
        <v>dez</v>
      </c>
      <c r="F2697" s="10" t="n">
        <v>193419.24</v>
      </c>
      <c r="G2697" s="8" t="s">
        <v>11</v>
      </c>
      <c r="H2697" s="8" t="s">
        <v>22</v>
      </c>
      <c r="I2697" s="11" t="s">
        <v>23</v>
      </c>
      <c r="J2697" s="8" t="s">
        <v>14</v>
      </c>
    </row>
    <row r="2698" customFormat="false" ht="14.25" hidden="false" customHeight="false" outlineLevel="0" collapsed="false">
      <c r="A2698" s="8" t="n">
        <v>2697</v>
      </c>
      <c r="B2698" s="8" t="s">
        <v>67</v>
      </c>
      <c r="C2698" s="8" t="s">
        <v>28</v>
      </c>
      <c r="D2698" s="9" t="n">
        <v>44548</v>
      </c>
      <c r="E2698" s="9" t="str">
        <f aca="false">TEXT(D2698,"MMM")</f>
        <v>dez</v>
      </c>
      <c r="F2698" s="10" t="n">
        <v>34000</v>
      </c>
      <c r="G2698" s="8" t="s">
        <v>11</v>
      </c>
      <c r="H2698" s="8" t="s">
        <v>12</v>
      </c>
      <c r="I2698" s="11" t="s">
        <v>13</v>
      </c>
      <c r="J2698" s="8" t="s">
        <v>26</v>
      </c>
    </row>
    <row r="2699" customFormat="false" ht="14.25" hidden="false" customHeight="false" outlineLevel="0" collapsed="false">
      <c r="A2699" s="8" t="n">
        <v>2698</v>
      </c>
      <c r="B2699" s="8" t="s">
        <v>285</v>
      </c>
      <c r="C2699" s="8" t="s">
        <v>21</v>
      </c>
      <c r="D2699" s="9" t="n">
        <v>44548</v>
      </c>
      <c r="E2699" s="9" t="str">
        <f aca="false">TEXT(D2699,"MMM")</f>
        <v>dez</v>
      </c>
      <c r="F2699" s="10" t="n">
        <v>8500</v>
      </c>
      <c r="G2699" s="8" t="s">
        <v>11</v>
      </c>
      <c r="H2699" s="8" t="s">
        <v>12</v>
      </c>
      <c r="I2699" s="11" t="s">
        <v>13</v>
      </c>
      <c r="J2699" s="8" t="s">
        <v>26</v>
      </c>
    </row>
    <row r="2700" customFormat="false" ht="14.25" hidden="false" customHeight="false" outlineLevel="0" collapsed="false">
      <c r="A2700" s="8" t="n">
        <v>2699</v>
      </c>
      <c r="B2700" s="8" t="s">
        <v>286</v>
      </c>
      <c r="C2700" s="8" t="s">
        <v>28</v>
      </c>
      <c r="D2700" s="9" t="n">
        <v>44548</v>
      </c>
      <c r="E2700" s="9" t="str">
        <f aca="false">TEXT(D2700,"MMM")</f>
        <v>dez</v>
      </c>
      <c r="F2700" s="10" t="n">
        <v>8500</v>
      </c>
      <c r="G2700" s="8" t="s">
        <v>11</v>
      </c>
      <c r="H2700" s="8" t="s">
        <v>12</v>
      </c>
      <c r="I2700" s="11" t="s">
        <v>13</v>
      </c>
      <c r="J2700" s="8" t="s">
        <v>14</v>
      </c>
    </row>
    <row r="2701" customFormat="false" ht="14.25" hidden="false" customHeight="false" outlineLevel="0" collapsed="false">
      <c r="A2701" s="8" t="n">
        <v>2700</v>
      </c>
      <c r="B2701" s="8" t="s">
        <v>123</v>
      </c>
      <c r="C2701" s="8" t="s">
        <v>16</v>
      </c>
      <c r="D2701" s="9" t="n">
        <v>44548</v>
      </c>
      <c r="E2701" s="9" t="str">
        <f aca="false">TEXT(D2701,"MMM")</f>
        <v>dez</v>
      </c>
      <c r="F2701" s="10" t="n">
        <v>17000</v>
      </c>
      <c r="G2701" s="8" t="s">
        <v>11</v>
      </c>
      <c r="H2701" s="8" t="s">
        <v>17</v>
      </c>
      <c r="I2701" s="11" t="s">
        <v>18</v>
      </c>
      <c r="J2701" s="8" t="s">
        <v>19</v>
      </c>
    </row>
    <row r="2702" customFormat="false" ht="14.25" hidden="false" customHeight="false" outlineLevel="0" collapsed="false">
      <c r="A2702" s="8" t="n">
        <v>2701</v>
      </c>
      <c r="B2702" s="8" t="s">
        <v>287</v>
      </c>
      <c r="C2702" s="8" t="s">
        <v>10</v>
      </c>
      <c r="D2702" s="9" t="n">
        <v>44548</v>
      </c>
      <c r="E2702" s="9" t="str">
        <f aca="false">TEXT(D2702,"MMM")</f>
        <v>dez</v>
      </c>
      <c r="F2702" s="10" t="n">
        <v>-134.51</v>
      </c>
      <c r="G2702" s="8" t="s">
        <v>34</v>
      </c>
      <c r="H2702" s="8" t="s">
        <v>22</v>
      </c>
      <c r="I2702" s="11" t="s">
        <v>23</v>
      </c>
      <c r="J2702" s="8" t="s">
        <v>19</v>
      </c>
    </row>
    <row r="2703" customFormat="false" ht="14.25" hidden="false" customHeight="false" outlineLevel="0" collapsed="false">
      <c r="A2703" s="8" t="n">
        <v>2702</v>
      </c>
      <c r="B2703" s="8" t="s">
        <v>288</v>
      </c>
      <c r="C2703" s="8" t="s">
        <v>21</v>
      </c>
      <c r="D2703" s="9" t="n">
        <v>44548</v>
      </c>
      <c r="E2703" s="9" t="str">
        <f aca="false">TEXT(D2703,"MMM")</f>
        <v>dez</v>
      </c>
      <c r="F2703" s="10" t="n">
        <v>-157.56</v>
      </c>
      <c r="G2703" s="8" t="s">
        <v>34</v>
      </c>
      <c r="H2703" s="8" t="s">
        <v>12</v>
      </c>
      <c r="I2703" s="11" t="s">
        <v>13</v>
      </c>
      <c r="J2703" s="8" t="s">
        <v>26</v>
      </c>
    </row>
    <row r="2704" customFormat="false" ht="14.25" hidden="false" customHeight="false" outlineLevel="0" collapsed="false">
      <c r="A2704" s="8" t="n">
        <v>2703</v>
      </c>
      <c r="B2704" s="8" t="s">
        <v>289</v>
      </c>
      <c r="C2704" s="8" t="s">
        <v>28</v>
      </c>
      <c r="D2704" s="9" t="n">
        <v>44548</v>
      </c>
      <c r="E2704" s="9" t="str">
        <f aca="false">TEXT(D2704,"MMM")</f>
        <v>dez</v>
      </c>
      <c r="F2704" s="10" t="n">
        <v>-7227.36</v>
      </c>
      <c r="G2704" s="8" t="s">
        <v>34</v>
      </c>
      <c r="H2704" s="8" t="s">
        <v>17</v>
      </c>
      <c r="I2704" s="11" t="s">
        <v>18</v>
      </c>
      <c r="J2704" s="8" t="s">
        <v>26</v>
      </c>
    </row>
    <row r="2705" customFormat="false" ht="14.25" hidden="false" customHeight="false" outlineLevel="0" collapsed="false">
      <c r="A2705" s="8" t="n">
        <v>2704</v>
      </c>
      <c r="B2705" s="8" t="s">
        <v>290</v>
      </c>
      <c r="C2705" s="8" t="s">
        <v>28</v>
      </c>
      <c r="D2705" s="9" t="n">
        <v>44548</v>
      </c>
      <c r="E2705" s="9" t="str">
        <f aca="false">TEXT(D2705,"MMM")</f>
        <v>dez</v>
      </c>
      <c r="F2705" s="10" t="n">
        <v>-313.12</v>
      </c>
      <c r="G2705" s="8" t="s">
        <v>34</v>
      </c>
      <c r="H2705" s="8" t="s">
        <v>12</v>
      </c>
      <c r="I2705" s="11" t="s">
        <v>13</v>
      </c>
      <c r="J2705" s="8" t="s">
        <v>19</v>
      </c>
    </row>
    <row r="2706" customFormat="false" ht="14.25" hidden="false" customHeight="false" outlineLevel="0" collapsed="false">
      <c r="A2706" s="8" t="n">
        <v>2705</v>
      </c>
      <c r="B2706" s="8" t="s">
        <v>291</v>
      </c>
      <c r="C2706" s="8" t="s">
        <v>28</v>
      </c>
      <c r="D2706" s="9" t="n">
        <v>44548</v>
      </c>
      <c r="E2706" s="9" t="str">
        <f aca="false">TEXT(D2706,"MMM")</f>
        <v>dez</v>
      </c>
      <c r="F2706" s="10" t="n">
        <v>-6310.5</v>
      </c>
      <c r="G2706" s="8" t="s">
        <v>34</v>
      </c>
      <c r="H2706" s="8" t="s">
        <v>22</v>
      </c>
      <c r="I2706" s="11" t="s">
        <v>23</v>
      </c>
      <c r="J2706" s="8" t="s">
        <v>14</v>
      </c>
    </row>
    <row r="2707" customFormat="false" ht="14.25" hidden="false" customHeight="false" outlineLevel="0" collapsed="false">
      <c r="A2707" s="8" t="n">
        <v>2706</v>
      </c>
      <c r="B2707" s="8" t="s">
        <v>158</v>
      </c>
      <c r="C2707" s="8" t="s">
        <v>10</v>
      </c>
      <c r="D2707" s="9" t="n">
        <v>44549</v>
      </c>
      <c r="E2707" s="9" t="str">
        <f aca="false">TEXT(D2707,"MMM")</f>
        <v>dez</v>
      </c>
      <c r="F2707" s="10" t="n">
        <v>-211.98</v>
      </c>
      <c r="G2707" s="8" t="s">
        <v>34</v>
      </c>
      <c r="H2707" s="8" t="s">
        <v>12</v>
      </c>
      <c r="I2707" s="11" t="s">
        <v>13</v>
      </c>
      <c r="J2707" s="8" t="s">
        <v>26</v>
      </c>
    </row>
    <row r="2708" customFormat="false" ht="14.25" hidden="false" customHeight="false" outlineLevel="0" collapsed="false">
      <c r="A2708" s="8" t="n">
        <v>2707</v>
      </c>
      <c r="B2708" s="8" t="s">
        <v>182</v>
      </c>
      <c r="C2708" s="8" t="s">
        <v>10</v>
      </c>
      <c r="D2708" s="9" t="n">
        <v>44549</v>
      </c>
      <c r="E2708" s="9" t="str">
        <f aca="false">TEXT(D2708,"MMM")</f>
        <v>dez</v>
      </c>
      <c r="F2708" s="10" t="n">
        <v>-15080.49</v>
      </c>
      <c r="G2708" s="8" t="s">
        <v>34</v>
      </c>
      <c r="H2708" s="8" t="s">
        <v>36</v>
      </c>
      <c r="I2708" s="11" t="s">
        <v>37</v>
      </c>
      <c r="J2708" s="8" t="s">
        <v>14</v>
      </c>
    </row>
    <row r="2709" customFormat="false" ht="14.25" hidden="false" customHeight="false" outlineLevel="0" collapsed="false">
      <c r="A2709" s="8" t="n">
        <v>2708</v>
      </c>
      <c r="B2709" s="8" t="s">
        <v>78</v>
      </c>
      <c r="C2709" s="8" t="s">
        <v>10</v>
      </c>
      <c r="D2709" s="9" t="n">
        <v>44549</v>
      </c>
      <c r="E2709" s="9" t="str">
        <f aca="false">TEXT(D2709,"MMM")</f>
        <v>dez</v>
      </c>
      <c r="F2709" s="10" t="n">
        <v>21039.6</v>
      </c>
      <c r="G2709" s="8" t="s">
        <v>11</v>
      </c>
      <c r="H2709" s="8" t="s">
        <v>12</v>
      </c>
      <c r="I2709" s="11" t="s">
        <v>13</v>
      </c>
      <c r="J2709" s="8" t="s">
        <v>24</v>
      </c>
    </row>
    <row r="2710" customFormat="false" ht="14.25" hidden="false" customHeight="false" outlineLevel="0" collapsed="false">
      <c r="A2710" s="8" t="n">
        <v>2709</v>
      </c>
      <c r="B2710" s="8" t="s">
        <v>277</v>
      </c>
      <c r="C2710" s="8" t="s">
        <v>10</v>
      </c>
      <c r="D2710" s="9" t="n">
        <v>44549</v>
      </c>
      <c r="E2710" s="9" t="str">
        <f aca="false">TEXT(D2710,"MMM")</f>
        <v>dez</v>
      </c>
      <c r="F2710" s="10" t="n">
        <v>21016.66</v>
      </c>
      <c r="G2710" s="8" t="s">
        <v>11</v>
      </c>
      <c r="H2710" s="8" t="s">
        <v>12</v>
      </c>
      <c r="I2710" s="11" t="s">
        <v>13</v>
      </c>
      <c r="J2710" s="8" t="s">
        <v>14</v>
      </c>
    </row>
    <row r="2711" customFormat="false" ht="14.25" hidden="false" customHeight="false" outlineLevel="0" collapsed="false">
      <c r="A2711" s="8" t="n">
        <v>2710</v>
      </c>
      <c r="B2711" s="8" t="s">
        <v>250</v>
      </c>
      <c r="C2711" s="8" t="s">
        <v>16</v>
      </c>
      <c r="D2711" s="9" t="n">
        <v>44549</v>
      </c>
      <c r="E2711" s="9" t="str">
        <f aca="false">TEXT(D2711,"MMM")</f>
        <v>dez</v>
      </c>
      <c r="F2711" s="10" t="n">
        <v>20182.18</v>
      </c>
      <c r="G2711" s="8" t="s">
        <v>11</v>
      </c>
      <c r="H2711" s="8" t="s">
        <v>17</v>
      </c>
      <c r="I2711" s="11" t="s">
        <v>18</v>
      </c>
      <c r="J2711" s="8" t="s">
        <v>26</v>
      </c>
    </row>
    <row r="2712" customFormat="false" ht="14.25" hidden="false" customHeight="false" outlineLevel="0" collapsed="false">
      <c r="A2712" s="8" t="n">
        <v>2711</v>
      </c>
      <c r="B2712" s="8" t="s">
        <v>178</v>
      </c>
      <c r="C2712" s="8" t="s">
        <v>16</v>
      </c>
      <c r="D2712" s="9" t="n">
        <v>44550</v>
      </c>
      <c r="E2712" s="9" t="str">
        <f aca="false">TEXT(D2712,"MMM")</f>
        <v>dez</v>
      </c>
      <c r="F2712" s="10" t="n">
        <v>160132.02</v>
      </c>
      <c r="G2712" s="8" t="s">
        <v>11</v>
      </c>
      <c r="H2712" s="8" t="s">
        <v>12</v>
      </c>
      <c r="I2712" s="11" t="s">
        <v>13</v>
      </c>
      <c r="J2712" s="8" t="s">
        <v>14</v>
      </c>
    </row>
    <row r="2713" customFormat="false" ht="14.25" hidden="false" customHeight="false" outlineLevel="0" collapsed="false">
      <c r="A2713" s="8" t="n">
        <v>2712</v>
      </c>
      <c r="B2713" s="8" t="s">
        <v>190</v>
      </c>
      <c r="C2713" s="8" t="s">
        <v>16</v>
      </c>
      <c r="D2713" s="9" t="n">
        <v>44550</v>
      </c>
      <c r="E2713" s="9" t="str">
        <f aca="false">TEXT(D2713,"MMM")</f>
        <v>dez</v>
      </c>
      <c r="F2713" s="10" t="n">
        <v>-155.32</v>
      </c>
      <c r="G2713" s="8" t="s">
        <v>34</v>
      </c>
      <c r="H2713" s="8" t="s">
        <v>12</v>
      </c>
      <c r="I2713" s="11" t="s">
        <v>13</v>
      </c>
      <c r="J2713" s="8" t="s">
        <v>14</v>
      </c>
    </row>
    <row r="2714" customFormat="false" ht="14.25" hidden="false" customHeight="false" outlineLevel="0" collapsed="false">
      <c r="A2714" s="8" t="n">
        <v>2713</v>
      </c>
      <c r="B2714" s="8" t="s">
        <v>250</v>
      </c>
      <c r="C2714" s="8" t="s">
        <v>16</v>
      </c>
      <c r="D2714" s="9" t="n">
        <v>44551</v>
      </c>
      <c r="E2714" s="9" t="str">
        <f aca="false">TEXT(D2714,"MMM")</f>
        <v>dez</v>
      </c>
      <c r="F2714" s="10" t="n">
        <v>2793.4</v>
      </c>
      <c r="G2714" s="8" t="s">
        <v>11</v>
      </c>
      <c r="H2714" s="8" t="s">
        <v>12</v>
      </c>
      <c r="I2714" s="11" t="s">
        <v>13</v>
      </c>
      <c r="J2714" s="8" t="s">
        <v>14</v>
      </c>
    </row>
    <row r="2715" customFormat="false" ht="14.25" hidden="false" customHeight="false" outlineLevel="0" collapsed="false">
      <c r="A2715" s="8" t="n">
        <v>2714</v>
      </c>
      <c r="B2715" s="8" t="s">
        <v>250</v>
      </c>
      <c r="C2715" s="8" t="s">
        <v>28</v>
      </c>
      <c r="D2715" s="9" t="n">
        <v>44551</v>
      </c>
      <c r="E2715" s="9" t="str">
        <f aca="false">TEXT(D2715,"MMM")</f>
        <v>dez</v>
      </c>
      <c r="F2715" s="10" t="n">
        <v>-12335.96</v>
      </c>
      <c r="G2715" s="8" t="s">
        <v>34</v>
      </c>
      <c r="H2715" s="8" t="s">
        <v>12</v>
      </c>
      <c r="I2715" s="11" t="s">
        <v>13</v>
      </c>
      <c r="J2715" s="8" t="s">
        <v>14</v>
      </c>
    </row>
    <row r="2716" customFormat="false" ht="14.25" hidden="false" customHeight="false" outlineLevel="0" collapsed="false">
      <c r="A2716" s="8" t="n">
        <v>2715</v>
      </c>
      <c r="B2716" s="8" t="s">
        <v>78</v>
      </c>
      <c r="C2716" s="8" t="s">
        <v>16</v>
      </c>
      <c r="D2716" s="9" t="n">
        <v>44556</v>
      </c>
      <c r="E2716" s="9" t="str">
        <f aca="false">TEXT(D2716,"MMM")</f>
        <v>dez</v>
      </c>
      <c r="F2716" s="10" t="n">
        <v>-13635.23</v>
      </c>
      <c r="G2716" s="8" t="s">
        <v>34</v>
      </c>
      <c r="H2716" s="8" t="s">
        <v>30</v>
      </c>
      <c r="I2716" s="11" t="s">
        <v>31</v>
      </c>
      <c r="J2716" s="8" t="s">
        <v>14</v>
      </c>
    </row>
    <row r="2717" customFormat="false" ht="14.25" hidden="false" customHeight="false" outlineLevel="0" collapsed="false">
      <c r="A2717" s="8" t="n">
        <v>2716</v>
      </c>
      <c r="B2717" s="8" t="s">
        <v>155</v>
      </c>
      <c r="C2717" s="8" t="s">
        <v>10</v>
      </c>
      <c r="D2717" s="9" t="n">
        <v>44556</v>
      </c>
      <c r="E2717" s="9" t="str">
        <f aca="false">TEXT(D2717,"MMM")</f>
        <v>dez</v>
      </c>
      <c r="F2717" s="10" t="n">
        <v>132369.43</v>
      </c>
      <c r="G2717" s="8" t="s">
        <v>11</v>
      </c>
      <c r="H2717" s="8" t="s">
        <v>12</v>
      </c>
      <c r="I2717" s="11" t="s">
        <v>13</v>
      </c>
      <c r="J2717" s="8" t="s">
        <v>19</v>
      </c>
    </row>
    <row r="2718" customFormat="false" ht="14.25" hidden="false" customHeight="false" outlineLevel="0" collapsed="false">
      <c r="A2718" s="8" t="n">
        <v>2717</v>
      </c>
      <c r="B2718" s="8" t="s">
        <v>149</v>
      </c>
      <c r="C2718" s="8" t="s">
        <v>28</v>
      </c>
      <c r="D2718" s="9" t="n">
        <v>44557</v>
      </c>
      <c r="E2718" s="9" t="str">
        <f aca="false">TEXT(D2718,"MMM")</f>
        <v>dez</v>
      </c>
      <c r="F2718" s="10" t="n">
        <v>5063.57</v>
      </c>
      <c r="G2718" s="8" t="s">
        <v>11</v>
      </c>
      <c r="H2718" s="8" t="s">
        <v>17</v>
      </c>
      <c r="I2718" s="11" t="s">
        <v>18</v>
      </c>
      <c r="J2718" s="8" t="s">
        <v>14</v>
      </c>
    </row>
    <row r="2719" customFormat="false" ht="14.25" hidden="false" customHeight="false" outlineLevel="0" collapsed="false">
      <c r="A2719" s="8" t="n">
        <v>2718</v>
      </c>
      <c r="B2719" s="8" t="s">
        <v>148</v>
      </c>
      <c r="C2719" s="8" t="s">
        <v>21</v>
      </c>
      <c r="D2719" s="9" t="n">
        <v>44557</v>
      </c>
      <c r="E2719" s="9" t="str">
        <f aca="false">TEXT(D2719,"MMM")</f>
        <v>dez</v>
      </c>
      <c r="F2719" s="10" t="n">
        <v>5370.97</v>
      </c>
      <c r="G2719" s="8" t="s">
        <v>11</v>
      </c>
      <c r="H2719" s="8" t="s">
        <v>22</v>
      </c>
      <c r="I2719" s="11" t="s">
        <v>23</v>
      </c>
      <c r="J2719" s="8" t="s">
        <v>26</v>
      </c>
    </row>
    <row r="2720" customFormat="false" ht="14.25" hidden="false" customHeight="false" outlineLevel="0" collapsed="false">
      <c r="A2720" s="8" t="n">
        <v>2719</v>
      </c>
      <c r="B2720" s="8" t="s">
        <v>174</v>
      </c>
      <c r="C2720" s="8" t="s">
        <v>28</v>
      </c>
      <c r="D2720" s="9" t="n">
        <v>44557</v>
      </c>
      <c r="E2720" s="9" t="str">
        <f aca="false">TEXT(D2720,"MMM")</f>
        <v>dez</v>
      </c>
      <c r="F2720" s="10" t="n">
        <v>4761.83</v>
      </c>
      <c r="G2720" s="8" t="s">
        <v>11</v>
      </c>
      <c r="H2720" s="8" t="s">
        <v>12</v>
      </c>
      <c r="I2720" s="11" t="s">
        <v>13</v>
      </c>
      <c r="J2720" s="8" t="s">
        <v>19</v>
      </c>
    </row>
    <row r="2721" customFormat="false" ht="14.25" hidden="false" customHeight="false" outlineLevel="0" collapsed="false">
      <c r="A2721" s="8" t="n">
        <v>2720</v>
      </c>
      <c r="B2721" s="8" t="s">
        <v>206</v>
      </c>
      <c r="C2721" s="8" t="s">
        <v>21</v>
      </c>
      <c r="D2721" s="9" t="n">
        <v>44557</v>
      </c>
      <c r="E2721" s="9" t="str">
        <f aca="false">TEXT(D2721,"MMM")</f>
        <v>dez</v>
      </c>
      <c r="F2721" s="10" t="n">
        <v>5047.69</v>
      </c>
      <c r="G2721" s="8" t="s">
        <v>11</v>
      </c>
      <c r="H2721" s="8" t="s">
        <v>17</v>
      </c>
      <c r="I2721" s="11" t="s">
        <v>18</v>
      </c>
      <c r="J2721" s="8" t="s">
        <v>14</v>
      </c>
    </row>
    <row r="2722" customFormat="false" ht="14.25" hidden="false" customHeight="false" outlineLevel="0" collapsed="false">
      <c r="A2722" s="8" t="n">
        <v>2721</v>
      </c>
      <c r="B2722" s="8" t="s">
        <v>230</v>
      </c>
      <c r="C2722" s="8" t="s">
        <v>10</v>
      </c>
      <c r="D2722" s="9" t="n">
        <v>44557</v>
      </c>
      <c r="E2722" s="9" t="str">
        <f aca="false">TEXT(D2722,"MMM")</f>
        <v>dez</v>
      </c>
      <c r="F2722" s="10" t="n">
        <v>5700.38</v>
      </c>
      <c r="G2722" s="8" t="s">
        <v>11</v>
      </c>
      <c r="H2722" s="8" t="s">
        <v>12</v>
      </c>
      <c r="I2722" s="11" t="s">
        <v>13</v>
      </c>
      <c r="J2722" s="8" t="s">
        <v>24</v>
      </c>
    </row>
    <row r="2723" customFormat="false" ht="14.25" hidden="false" customHeight="false" outlineLevel="0" collapsed="false">
      <c r="A2723" s="8" t="n">
        <v>2722</v>
      </c>
      <c r="B2723" s="8" t="s">
        <v>247</v>
      </c>
      <c r="C2723" s="8" t="s">
        <v>16</v>
      </c>
      <c r="D2723" s="9" t="n">
        <v>44557</v>
      </c>
      <c r="E2723" s="9" t="str">
        <f aca="false">TEXT(D2723,"MMM")</f>
        <v>dez</v>
      </c>
      <c r="F2723" s="10" t="n">
        <v>5400.64</v>
      </c>
      <c r="G2723" s="8" t="s">
        <v>11</v>
      </c>
      <c r="H2723" s="8" t="s">
        <v>12</v>
      </c>
      <c r="I2723" s="11" t="s">
        <v>13</v>
      </c>
      <c r="J2723" s="8" t="s">
        <v>14</v>
      </c>
    </row>
    <row r="2724" customFormat="false" ht="14.25" hidden="false" customHeight="false" outlineLevel="0" collapsed="false">
      <c r="A2724" s="8" t="n">
        <v>2723</v>
      </c>
      <c r="B2724" s="8" t="s">
        <v>50</v>
      </c>
      <c r="C2724" s="8" t="s">
        <v>21</v>
      </c>
      <c r="D2724" s="9" t="n">
        <v>44557</v>
      </c>
      <c r="E2724" s="9" t="str">
        <f aca="false">TEXT(D2724,"MMM")</f>
        <v>dez</v>
      </c>
      <c r="F2724" s="10" t="n">
        <v>10551.23</v>
      </c>
      <c r="G2724" s="8" t="s">
        <v>11</v>
      </c>
      <c r="H2724" s="8" t="s">
        <v>22</v>
      </c>
      <c r="I2724" s="11" t="s">
        <v>23</v>
      </c>
      <c r="J2724" s="8" t="s">
        <v>14</v>
      </c>
    </row>
    <row r="2725" customFormat="false" ht="14.25" hidden="false" customHeight="false" outlineLevel="0" collapsed="false">
      <c r="A2725" s="8" t="n">
        <v>2724</v>
      </c>
      <c r="B2725" s="8" t="s">
        <v>292</v>
      </c>
      <c r="C2725" s="8" t="s">
        <v>28</v>
      </c>
      <c r="D2725" s="9" t="n">
        <v>44558</v>
      </c>
      <c r="E2725" s="9" t="str">
        <f aca="false">TEXT(D2725,"MMM")</f>
        <v>dez</v>
      </c>
      <c r="F2725" s="10" t="n">
        <v>10665.14</v>
      </c>
      <c r="G2725" s="8" t="s">
        <v>11</v>
      </c>
      <c r="H2725" s="8" t="s">
        <v>17</v>
      </c>
      <c r="I2725" s="11" t="s">
        <v>18</v>
      </c>
      <c r="J2725" s="8" t="s">
        <v>14</v>
      </c>
    </row>
    <row r="2726" customFormat="false" ht="14.25" hidden="false" customHeight="false" outlineLevel="0" collapsed="false">
      <c r="A2726" s="8" t="n">
        <v>2725</v>
      </c>
      <c r="B2726" s="8" t="s">
        <v>9</v>
      </c>
      <c r="C2726" s="8" t="s">
        <v>28</v>
      </c>
      <c r="D2726" s="9" t="n">
        <v>44558</v>
      </c>
      <c r="E2726" s="9" t="str">
        <f aca="false">TEXT(D2726,"MMM")</f>
        <v>dez</v>
      </c>
      <c r="F2726" s="10" t="n">
        <v>9729.77</v>
      </c>
      <c r="G2726" s="8" t="s">
        <v>11</v>
      </c>
      <c r="H2726" s="8" t="s">
        <v>36</v>
      </c>
      <c r="I2726" s="11" t="s">
        <v>37</v>
      </c>
      <c r="J2726" s="8" t="s">
        <v>14</v>
      </c>
    </row>
  </sheetData>
  <autoFilter ref="A1:I2726"/>
  <hyperlinks>
    <hyperlink ref="I2" r:id="rId1" display="https://i.ibb.co/DznB5q4/Itau.png"/>
    <hyperlink ref="I3" r:id="rId2" display="https://i.ibb.co/LpJM38D/Nubank.png"/>
    <hyperlink ref="I4" r:id="rId3" display="https://i.ibb.co/LpJM38D/Nubank.png"/>
    <hyperlink ref="I5" r:id="rId4" display="https://i.ibb.co/LpJM38D/Nubank.png"/>
    <hyperlink ref="I6" r:id="rId5" display="https://i.ibb.co/68RXB19/Bradesco.png"/>
    <hyperlink ref="I7" r:id="rId6" display="https://i.ibb.co/DznB5q4/Itau.png"/>
    <hyperlink ref="I8" r:id="rId7" display="https://i.ibb.co/68RXB19/Bradesco.png"/>
    <hyperlink ref="I9" r:id="rId8" display="https://i.ibb.co/68RXB19/Bradesco.png"/>
    <hyperlink ref="I10" r:id="rId9" display="https://i.ibb.co/DznB5q4/Itau.png"/>
    <hyperlink ref="I11" r:id="rId10" display="https://i.ibb.co/DznB5q4/Itau.png"/>
    <hyperlink ref="I12" r:id="rId11" display="https://i.ibb.co/DznB5q4/Itau.png"/>
    <hyperlink ref="I13" r:id="rId12" display="https://i.ibb.co/LpJM38D/Nubank.png"/>
    <hyperlink ref="I14" r:id="rId13" display="https://i.ibb.co/FhY6B5f/Safra.png"/>
    <hyperlink ref="I15" r:id="rId14" display="https://i.ibb.co/DznB5q4/Itau.png"/>
    <hyperlink ref="I16" r:id="rId15" display="https://i.ibb.co/FhY6B5f/Safra.png"/>
    <hyperlink ref="I17" r:id="rId16" display="https://i.ibb.co/DznB5q4/Itau.png"/>
    <hyperlink ref="I18" r:id="rId17" display="https://i.ibb.co/LpJM38D/Nubank.png"/>
    <hyperlink ref="I19" r:id="rId18" display="https://i.ibb.co/DznB5q4/Itau.png"/>
    <hyperlink ref="I20" r:id="rId19" display="https://i.ibb.co/DznB5q4/Itau.png"/>
    <hyperlink ref="I21" r:id="rId20" display="https://i.ibb.co/68RXB19/Bradesco.png"/>
    <hyperlink ref="I22" r:id="rId21" display="https://i.ibb.co/LpJM38D/Nubank.png"/>
    <hyperlink ref="I23" r:id="rId22" display="https://i.ibb.co/zX8KX6R/Santander.png"/>
    <hyperlink ref="I24" r:id="rId23" display="https://i.ibb.co/zX8KX6R/Santander.png"/>
    <hyperlink ref="I25" r:id="rId24" display="https://i.ibb.co/LpJM38D/Nubank.png"/>
    <hyperlink ref="I26" r:id="rId25" display="https://i.ibb.co/DznB5q4/Itau.png"/>
    <hyperlink ref="I27" r:id="rId26" display="https://i.ibb.co/DznB5q4/Itau.png"/>
    <hyperlink ref="I28" r:id="rId27" display="https://i.ibb.co/LpJM38D/Nubank.png"/>
    <hyperlink ref="I29" r:id="rId28" display="https://i.ibb.co/DznB5q4/Itau.png"/>
    <hyperlink ref="I30" r:id="rId29" display="https://i.ibb.co/LpJM38D/Nubank.png"/>
    <hyperlink ref="I31" r:id="rId30" display="https://i.ibb.co/DznB5q4/Itau.png"/>
    <hyperlink ref="I32" r:id="rId31" display="https://i.ibb.co/DznB5q4/Itau.png"/>
    <hyperlink ref="I33" r:id="rId32" display="https://i.ibb.co/LpJM38D/Nubank.png"/>
    <hyperlink ref="I34" r:id="rId33" display="https://i.ibb.co/DznB5q4/Itau.png"/>
    <hyperlink ref="I35" r:id="rId34" display="https://i.ibb.co/LpJM38D/Nubank.png"/>
    <hyperlink ref="I36" r:id="rId35" display="https://i.ibb.co/DznB5q4/Itau.png"/>
    <hyperlink ref="I37" r:id="rId36" display="https://i.ibb.co/LpJM38D/Nubank.png"/>
    <hyperlink ref="I38" r:id="rId37" display="https://i.ibb.co/68RXB19/Bradesco.png"/>
    <hyperlink ref="I39" r:id="rId38" display="https://i.ibb.co/LpJM38D/Nubank.png"/>
    <hyperlink ref="I40" r:id="rId39" display="https://i.ibb.co/DznB5q4/Itau.png"/>
    <hyperlink ref="I41" r:id="rId40" display="https://i.ibb.co/zX8KX6R/Santander.png"/>
    <hyperlink ref="I42" r:id="rId41" display="https://i.ibb.co/DznB5q4/Itau.png"/>
    <hyperlink ref="I43" r:id="rId42" display="https://i.ibb.co/68RXB19/Bradesco.png"/>
    <hyperlink ref="I44" r:id="rId43" display="https://i.ibb.co/DznB5q4/Itau.png"/>
    <hyperlink ref="I45" r:id="rId44" display="https://i.ibb.co/zX8KX6R/Santander.png"/>
    <hyperlink ref="I46" r:id="rId45" display="https://i.ibb.co/DznB5q4/Itau.png"/>
    <hyperlink ref="I47" r:id="rId46" display="https://i.ibb.co/68RXB19/Bradesco.png"/>
    <hyperlink ref="I48" r:id="rId47" display="https://i.ibb.co/DznB5q4/Itau.png"/>
    <hyperlink ref="I49" r:id="rId48" display="https://i.ibb.co/DznB5q4/Itau.png"/>
    <hyperlink ref="I50" r:id="rId49" display="https://i.ibb.co/DznB5q4/Itau.png"/>
    <hyperlink ref="I51" r:id="rId50" display="https://i.ibb.co/zX8KX6R/Santander.png"/>
    <hyperlink ref="I52" r:id="rId51" display="https://i.ibb.co/DznB5q4/Itau.png"/>
    <hyperlink ref="I53" r:id="rId52" display="https://i.ibb.co/DznB5q4/Itau.png"/>
    <hyperlink ref="I54" r:id="rId53" display="https://i.ibb.co/FhY6B5f/Safra.png"/>
    <hyperlink ref="I55" r:id="rId54" display="https://i.ibb.co/DznB5q4/Itau.png"/>
    <hyperlink ref="I56" r:id="rId55" display="https://i.ibb.co/LpJM38D/Nubank.png"/>
    <hyperlink ref="I57" r:id="rId56" display="https://i.ibb.co/DznB5q4/Itau.png"/>
    <hyperlink ref="I58" r:id="rId57" display="https://i.ibb.co/LpJM38D/Nubank.png"/>
    <hyperlink ref="I59" r:id="rId58" display="https://i.ibb.co/DznB5q4/Itau.png"/>
    <hyperlink ref="I60" r:id="rId59" display="https://i.ibb.co/DznB5q4/Itau.png"/>
    <hyperlink ref="I61" r:id="rId60" display="https://i.ibb.co/DznB5q4/Itau.png"/>
    <hyperlink ref="I62" r:id="rId61" display="https://i.ibb.co/DznB5q4/Itau.png"/>
    <hyperlink ref="I63" r:id="rId62" display="https://i.ibb.co/DznB5q4/Itau.png"/>
    <hyperlink ref="I64" r:id="rId63" display="https://i.ibb.co/DznB5q4/Itau.png"/>
    <hyperlink ref="I65" r:id="rId64" display="https://i.ibb.co/DznB5q4/Itau.png"/>
    <hyperlink ref="I66" r:id="rId65" display="https://i.ibb.co/LpJM38D/Nubank.png"/>
    <hyperlink ref="I67" r:id="rId66" display="https://i.ibb.co/FhY6B5f/Safra.png"/>
    <hyperlink ref="I68" r:id="rId67" display="https://i.ibb.co/68RXB19/Bradesco.png"/>
    <hyperlink ref="I69" r:id="rId68" display="https://i.ibb.co/DznB5q4/Itau.png"/>
    <hyperlink ref="I70" r:id="rId69" display="https://i.ibb.co/DznB5q4/Itau.png"/>
    <hyperlink ref="I71" r:id="rId70" display="https://i.ibb.co/DznB5q4/Itau.png"/>
    <hyperlink ref="I72" r:id="rId71" display="https://i.ibb.co/LpJM38D/Nubank.png"/>
    <hyperlink ref="I73" r:id="rId72" display="https://i.ibb.co/LpJM38D/Nubank.png"/>
    <hyperlink ref="I74" r:id="rId73" display="https://i.ibb.co/zX8KX6R/Santander.png"/>
    <hyperlink ref="I75" r:id="rId74" display="https://i.ibb.co/DznB5q4/Itau.png"/>
    <hyperlink ref="I76" r:id="rId75" display="https://i.ibb.co/DznB5q4/Itau.png"/>
    <hyperlink ref="I77" r:id="rId76" display="https://i.ibb.co/DznB5q4/Itau.png"/>
    <hyperlink ref="I78" r:id="rId77" display="https://i.ibb.co/68RXB19/Bradesco.png"/>
    <hyperlink ref="I79" r:id="rId78" display="https://i.ibb.co/68RXB19/Bradesco.png"/>
    <hyperlink ref="I80" r:id="rId79" display="https://i.ibb.co/DznB5q4/Itau.png"/>
    <hyperlink ref="I81" r:id="rId80" display="https://i.ibb.co/DznB5q4/Itau.png"/>
    <hyperlink ref="I82" r:id="rId81" display="https://i.ibb.co/DznB5q4/Itau.png"/>
    <hyperlink ref="I83" r:id="rId82" display="https://i.ibb.co/DznB5q4/Itau.png"/>
    <hyperlink ref="I84" r:id="rId83" display="https://i.ibb.co/DznB5q4/Itau.png"/>
    <hyperlink ref="I85" r:id="rId84" display="https://i.ibb.co/zX8KX6R/Santander.png"/>
    <hyperlink ref="I86" r:id="rId85" display="https://i.ibb.co/LpJM38D/Nubank.png"/>
    <hyperlink ref="I87" r:id="rId86" display="https://i.ibb.co/LpJM38D/Nubank.png"/>
    <hyperlink ref="I88" r:id="rId87" display="https://i.ibb.co/DznB5q4/Itau.png"/>
    <hyperlink ref="I89" r:id="rId88" display="https://i.ibb.co/DznB5q4/Itau.png"/>
    <hyperlink ref="I90" r:id="rId89" display="https://i.ibb.co/LpJM38D/Nubank.png"/>
    <hyperlink ref="I91" r:id="rId90" display="https://i.ibb.co/LpJM38D/Nubank.png"/>
    <hyperlink ref="I92" r:id="rId91" display="https://i.ibb.co/LpJM38D/Nubank.png"/>
    <hyperlink ref="I93" r:id="rId92" display="https://i.ibb.co/FhY6B5f/Safra.png"/>
    <hyperlink ref="I94" r:id="rId93" display="https://i.ibb.co/zX8KX6R/Santander.png"/>
    <hyperlink ref="I95" r:id="rId94" display="https://i.ibb.co/DznB5q4/Itau.png"/>
    <hyperlink ref="I96" r:id="rId95" display="https://i.ibb.co/zX8KX6R/Santander.png"/>
    <hyperlink ref="I97" r:id="rId96" display="https://i.ibb.co/zX8KX6R/Santander.png"/>
    <hyperlink ref="I98" r:id="rId97" display="https://i.ibb.co/DznB5q4/Itau.png"/>
    <hyperlink ref="I99" r:id="rId98" display="https://i.ibb.co/DznB5q4/Itau.png"/>
    <hyperlink ref="I100" r:id="rId99" display="https://i.ibb.co/zX8KX6R/Santander.png"/>
    <hyperlink ref="I101" r:id="rId100" display="https://i.ibb.co/DznB5q4/Itau.png"/>
    <hyperlink ref="I102" r:id="rId101" display="https://i.ibb.co/DznB5q4/Itau.png"/>
    <hyperlink ref="I103" r:id="rId102" display="https://i.ibb.co/DznB5q4/Itau.png"/>
    <hyperlink ref="I104" r:id="rId103" display="https://i.ibb.co/68RXB19/Bradesco.png"/>
    <hyperlink ref="I105" r:id="rId104" display="https://i.ibb.co/DznB5q4/Itau.png"/>
    <hyperlink ref="I106" r:id="rId105" display="https://i.ibb.co/DznB5q4/Itau.png"/>
    <hyperlink ref="I107" r:id="rId106" display="https://i.ibb.co/FhY6B5f/Safra.png"/>
    <hyperlink ref="I108" r:id="rId107" display="https://i.ibb.co/DznB5q4/Itau.png"/>
    <hyperlink ref="I109" r:id="rId108" display="https://i.ibb.co/zX8KX6R/Santander.png"/>
    <hyperlink ref="I110" r:id="rId109" display="https://i.ibb.co/DznB5q4/Itau.png"/>
    <hyperlink ref="I111" r:id="rId110" display="https://i.ibb.co/DznB5q4/Itau.png"/>
    <hyperlink ref="I112" r:id="rId111" display="https://i.ibb.co/zX8KX6R/Santander.png"/>
    <hyperlink ref="I113" r:id="rId112" display="https://i.ibb.co/DznB5q4/Itau.png"/>
    <hyperlink ref="I114" r:id="rId113" display="https://i.ibb.co/DznB5q4/Itau.png"/>
    <hyperlink ref="I115" r:id="rId114" display="https://i.ibb.co/DznB5q4/Itau.png"/>
    <hyperlink ref="I116" r:id="rId115" display="https://i.ibb.co/LpJM38D/Nubank.png"/>
    <hyperlink ref="I117" r:id="rId116" display="https://i.ibb.co/DznB5q4/Itau.png"/>
    <hyperlink ref="I118" r:id="rId117" display="https://i.ibb.co/FhY6B5f/Safra.png"/>
    <hyperlink ref="I119" r:id="rId118" display="https://i.ibb.co/DznB5q4/Itau.png"/>
    <hyperlink ref="I120" r:id="rId119" display="https://i.ibb.co/zX8KX6R/Santander.png"/>
    <hyperlink ref="I121" r:id="rId120" display="https://i.ibb.co/LpJM38D/Nubank.png"/>
    <hyperlink ref="I122" r:id="rId121" display="https://i.ibb.co/DznB5q4/Itau.png"/>
    <hyperlink ref="I123" r:id="rId122" display="https://i.ibb.co/DznB5q4/Itau.png"/>
    <hyperlink ref="I124" r:id="rId123" display="https://i.ibb.co/DznB5q4/Itau.png"/>
    <hyperlink ref="I125" r:id="rId124" display="https://i.ibb.co/DznB5q4/Itau.png"/>
    <hyperlink ref="I126" r:id="rId125" display="https://i.ibb.co/FhY6B5f/Safra.png"/>
    <hyperlink ref="I127" r:id="rId126" display="https://i.ibb.co/68RXB19/Bradesco.png"/>
    <hyperlink ref="I128" r:id="rId127" display="https://i.ibb.co/DznB5q4/Itau.png"/>
    <hyperlink ref="I129" r:id="rId128" display="https://i.ibb.co/68RXB19/Bradesco.png"/>
    <hyperlink ref="I130" r:id="rId129" display="https://i.ibb.co/LpJM38D/Nubank.png"/>
    <hyperlink ref="I131" r:id="rId130" display="https://i.ibb.co/68RXB19/Bradesco.png"/>
    <hyperlink ref="I132" r:id="rId131" display="https://i.ibb.co/DznB5q4/Itau.png"/>
    <hyperlink ref="I133" r:id="rId132" display="https://i.ibb.co/DznB5q4/Itau.png"/>
    <hyperlink ref="I134" r:id="rId133" display="https://i.ibb.co/LpJM38D/Nubank.png"/>
    <hyperlink ref="I135" r:id="rId134" display="https://i.ibb.co/zX8KX6R/Santander.png"/>
    <hyperlink ref="I136" r:id="rId135" display="https://i.ibb.co/LpJM38D/Nubank.png"/>
    <hyperlink ref="I137" r:id="rId136" display="https://i.ibb.co/DznB5q4/Itau.png"/>
    <hyperlink ref="I138" r:id="rId137" display="https://i.ibb.co/DznB5q4/Itau.png"/>
    <hyperlink ref="I139" r:id="rId138" display="https://i.ibb.co/DznB5q4/Itau.png"/>
    <hyperlink ref="I140" r:id="rId139" display="https://i.ibb.co/DznB5q4/Itau.png"/>
    <hyperlink ref="I141" r:id="rId140" display="https://i.ibb.co/zX8KX6R/Santander.png"/>
    <hyperlink ref="I142" r:id="rId141" display="https://i.ibb.co/LpJM38D/Nubank.png"/>
    <hyperlink ref="I143" r:id="rId142" display="https://i.ibb.co/DznB5q4/Itau.png"/>
    <hyperlink ref="I144" r:id="rId143" display="https://i.ibb.co/DznB5q4/Itau.png"/>
    <hyperlink ref="I145" r:id="rId144" display="https://i.ibb.co/DznB5q4/Itau.png"/>
    <hyperlink ref="I146" r:id="rId145" display="https://i.ibb.co/zX8KX6R/Santander.png"/>
    <hyperlink ref="I147" r:id="rId146" display="https://i.ibb.co/DznB5q4/Itau.png"/>
    <hyperlink ref="I148" r:id="rId147" display="https://i.ibb.co/LpJM38D/Nubank.png"/>
    <hyperlink ref="I149" r:id="rId148" display="https://i.ibb.co/LpJM38D/Nubank.png"/>
    <hyperlink ref="I150" r:id="rId149" display="https://i.ibb.co/DznB5q4/Itau.png"/>
    <hyperlink ref="I151" r:id="rId150" display="https://i.ibb.co/68RXB19/Bradesco.png"/>
    <hyperlink ref="I152" r:id="rId151" display="https://i.ibb.co/DznB5q4/Itau.png"/>
    <hyperlink ref="I153" r:id="rId152" display="https://i.ibb.co/DznB5q4/Itau.png"/>
    <hyperlink ref="I154" r:id="rId153" display="https://i.ibb.co/LpJM38D/Nubank.png"/>
    <hyperlink ref="I155" r:id="rId154" display="https://i.ibb.co/DznB5q4/Itau.png"/>
    <hyperlink ref="I156" r:id="rId155" display="https://i.ibb.co/DznB5q4/Itau.png"/>
    <hyperlink ref="I157" r:id="rId156" display="https://i.ibb.co/DznB5q4/Itau.png"/>
    <hyperlink ref="I158" r:id="rId157" display="https://i.ibb.co/LpJM38D/Nubank.png"/>
    <hyperlink ref="I159" r:id="rId158" display="https://i.ibb.co/DznB5q4/Itau.png"/>
    <hyperlink ref="I160" r:id="rId159" display="https://i.ibb.co/68RXB19/Bradesco.png"/>
    <hyperlink ref="I161" r:id="rId160" display="https://i.ibb.co/DznB5q4/Itau.png"/>
    <hyperlink ref="I162" r:id="rId161" display="https://i.ibb.co/LpJM38D/Nubank.png"/>
    <hyperlink ref="I163" r:id="rId162" display="https://i.ibb.co/68RXB19/Bradesco.png"/>
    <hyperlink ref="I164" r:id="rId163" display="https://i.ibb.co/68RXB19/Bradesco.png"/>
    <hyperlink ref="I165" r:id="rId164" display="https://i.ibb.co/zX8KX6R/Santander.png"/>
    <hyperlink ref="I166" r:id="rId165" display="https://i.ibb.co/LpJM38D/Nubank.png"/>
    <hyperlink ref="I167" r:id="rId166" display="https://i.ibb.co/DznB5q4/Itau.png"/>
    <hyperlink ref="I168" r:id="rId167" display="https://i.ibb.co/zX8KX6R/Santander.png"/>
    <hyperlink ref="I169" r:id="rId168" display="https://i.ibb.co/68RXB19/Bradesco.png"/>
    <hyperlink ref="I170" r:id="rId169" display="https://i.ibb.co/68RXB19/Bradesco.png"/>
    <hyperlink ref="I171" r:id="rId170" display="https://i.ibb.co/LpJM38D/Nubank.png"/>
    <hyperlink ref="I172" r:id="rId171" display="https://i.ibb.co/LpJM38D/Nubank.png"/>
    <hyperlink ref="I173" r:id="rId172" display="https://i.ibb.co/LpJM38D/Nubank.png"/>
    <hyperlink ref="I174" r:id="rId173" display="https://i.ibb.co/DznB5q4/Itau.png"/>
    <hyperlink ref="I175" r:id="rId174" display="https://i.ibb.co/LpJM38D/Nubank.png"/>
    <hyperlink ref="I176" r:id="rId175" display="https://i.ibb.co/DznB5q4/Itau.png"/>
    <hyperlink ref="I177" r:id="rId176" display="https://i.ibb.co/DznB5q4/Itau.png"/>
    <hyperlink ref="I178" r:id="rId177" display="https://i.ibb.co/zX8KX6R/Santander.png"/>
    <hyperlink ref="I179" r:id="rId178" display="https://i.ibb.co/LpJM38D/Nubank.png"/>
    <hyperlink ref="I180" r:id="rId179" display="https://i.ibb.co/LpJM38D/Nubank.png"/>
    <hyperlink ref="I181" r:id="rId180" display="https://i.ibb.co/LpJM38D/Nubank.png"/>
    <hyperlink ref="I182" r:id="rId181" display="https://i.ibb.co/DznB5q4/Itau.png"/>
    <hyperlink ref="I183" r:id="rId182" display="https://i.ibb.co/LpJM38D/Nubank.png"/>
    <hyperlink ref="I184" r:id="rId183" display="https://i.ibb.co/DznB5q4/Itau.png"/>
    <hyperlink ref="I185" r:id="rId184" display="https://i.ibb.co/DznB5q4/Itau.png"/>
    <hyperlink ref="I186" r:id="rId185" display="https://i.ibb.co/LpJM38D/Nubank.png"/>
    <hyperlink ref="I187" r:id="rId186" display="https://i.ibb.co/DznB5q4/Itau.png"/>
    <hyperlink ref="I188" r:id="rId187" display="https://i.ibb.co/zX8KX6R/Santander.png"/>
    <hyperlink ref="I189" r:id="rId188" display="https://i.ibb.co/zX8KX6R/Santander.png"/>
    <hyperlink ref="I190" r:id="rId189" display="https://i.ibb.co/DznB5q4/Itau.png"/>
    <hyperlink ref="I191" r:id="rId190" display="https://i.ibb.co/zX8KX6R/Santander.png"/>
    <hyperlink ref="I192" r:id="rId191" display="https://i.ibb.co/DznB5q4/Itau.png"/>
    <hyperlink ref="I193" r:id="rId192" display="https://i.ibb.co/DznB5q4/Itau.png"/>
    <hyperlink ref="I194" r:id="rId193" display="https://i.ibb.co/LpJM38D/Nubank.png"/>
    <hyperlink ref="I195" r:id="rId194" display="https://i.ibb.co/DznB5q4/Itau.png"/>
    <hyperlink ref="I196" r:id="rId195" display="https://i.ibb.co/LpJM38D/Nubank.png"/>
    <hyperlink ref="I197" r:id="rId196" display="https://i.ibb.co/zX8KX6R/Santander.png"/>
    <hyperlink ref="I198" r:id="rId197" display="https://i.ibb.co/68RXB19/Bradesco.png"/>
    <hyperlink ref="I199" r:id="rId198" display="https://i.ibb.co/FhY6B5f/Safra.png"/>
    <hyperlink ref="I200" r:id="rId199" display="https://i.ibb.co/LpJM38D/Nubank.png"/>
    <hyperlink ref="I201" r:id="rId200" display="https://i.ibb.co/LpJM38D/Nubank.png"/>
    <hyperlink ref="I202" r:id="rId201" display="https://i.ibb.co/LpJM38D/Nubank.png"/>
    <hyperlink ref="I203" r:id="rId202" display="https://i.ibb.co/68RXB19/Bradesco.png"/>
    <hyperlink ref="I204" r:id="rId203" display="https://i.ibb.co/DznB5q4/Itau.png"/>
    <hyperlink ref="I205" r:id="rId204" display="https://i.ibb.co/LpJM38D/Nubank.png"/>
    <hyperlink ref="I206" r:id="rId205" display="https://i.ibb.co/68RXB19/Bradesco.png"/>
    <hyperlink ref="I207" r:id="rId206" display="https://i.ibb.co/68RXB19/Bradesco.png"/>
    <hyperlink ref="I208" r:id="rId207" display="https://i.ibb.co/DznB5q4/Itau.png"/>
    <hyperlink ref="I209" r:id="rId208" display="https://i.ibb.co/zX8KX6R/Santander.png"/>
    <hyperlink ref="I210" r:id="rId209" display="https://i.ibb.co/LpJM38D/Nubank.png"/>
    <hyperlink ref="I211" r:id="rId210" display="https://i.ibb.co/DznB5q4/Itau.png"/>
    <hyperlink ref="I212" r:id="rId211" display="https://i.ibb.co/zX8KX6R/Santander.png"/>
    <hyperlink ref="I213" r:id="rId212" display="https://i.ibb.co/DznB5q4/Itau.png"/>
    <hyperlink ref="I214" r:id="rId213" display="https://i.ibb.co/DznB5q4/Itau.png"/>
    <hyperlink ref="I215" r:id="rId214" display="https://i.ibb.co/zX8KX6R/Santander.png"/>
    <hyperlink ref="I216" r:id="rId215" display="https://i.ibb.co/LpJM38D/Nubank.png"/>
    <hyperlink ref="I217" r:id="rId216" display="https://i.ibb.co/DznB5q4/Itau.png"/>
    <hyperlink ref="I218" r:id="rId217" display="https://i.ibb.co/LpJM38D/Nubank.png"/>
    <hyperlink ref="I219" r:id="rId218" display="https://i.ibb.co/68RXB19/Bradesco.png"/>
    <hyperlink ref="I220" r:id="rId219" display="https://i.ibb.co/LpJM38D/Nubank.png"/>
    <hyperlink ref="I221" r:id="rId220" display="https://i.ibb.co/LpJM38D/Nubank.png"/>
    <hyperlink ref="I222" r:id="rId221" display="https://i.ibb.co/DznB5q4/Itau.png"/>
    <hyperlink ref="I223" r:id="rId222" display="https://i.ibb.co/DznB5q4/Itau.png"/>
    <hyperlink ref="I224" r:id="rId223" display="https://i.ibb.co/FhY6B5f/Safra.png"/>
    <hyperlink ref="I225" r:id="rId224" display="https://i.ibb.co/LpJM38D/Nubank.png"/>
    <hyperlink ref="I226" r:id="rId225" display="https://i.ibb.co/LpJM38D/Nubank.png"/>
    <hyperlink ref="I227" r:id="rId226" display="https://i.ibb.co/LpJM38D/Nubank.png"/>
    <hyperlink ref="I228" r:id="rId227" display="https://i.ibb.co/zX8KX6R/Santander.png"/>
    <hyperlink ref="I229" r:id="rId228" display="https://i.ibb.co/DznB5q4/Itau.png"/>
    <hyperlink ref="I230" r:id="rId229" display="https://i.ibb.co/DznB5q4/Itau.png"/>
    <hyperlink ref="I231" r:id="rId230" display="https://i.ibb.co/DznB5q4/Itau.png"/>
    <hyperlink ref="I232" r:id="rId231" display="https://i.ibb.co/LpJM38D/Nubank.png"/>
    <hyperlink ref="I233" r:id="rId232" display="https://i.ibb.co/68RXB19/Bradesco.png"/>
    <hyperlink ref="I234" r:id="rId233" display="https://i.ibb.co/DznB5q4/Itau.png"/>
    <hyperlink ref="I235" r:id="rId234" display="https://i.ibb.co/68RXB19/Bradesco.png"/>
    <hyperlink ref="I236" r:id="rId235" display="https://i.ibb.co/DznB5q4/Itau.png"/>
    <hyperlink ref="I237" r:id="rId236" display="https://i.ibb.co/FhY6B5f/Safra.png"/>
    <hyperlink ref="I238" r:id="rId237" display="https://i.ibb.co/LpJM38D/Nubank.png"/>
    <hyperlink ref="I239" r:id="rId238" display="https://i.ibb.co/DznB5q4/Itau.png"/>
    <hyperlink ref="I240" r:id="rId239" display="https://i.ibb.co/DznB5q4/Itau.png"/>
    <hyperlink ref="I241" r:id="rId240" display="https://i.ibb.co/DznB5q4/Itau.png"/>
    <hyperlink ref="I242" r:id="rId241" display="https://i.ibb.co/68RXB19/Bradesco.png"/>
    <hyperlink ref="I243" r:id="rId242" display="https://i.ibb.co/LpJM38D/Nubank.png"/>
    <hyperlink ref="I244" r:id="rId243" display="https://i.ibb.co/LpJM38D/Nubank.png"/>
    <hyperlink ref="I245" r:id="rId244" display="https://i.ibb.co/LpJM38D/Nubank.png"/>
    <hyperlink ref="I246" r:id="rId245" display="https://i.ibb.co/DznB5q4/Itau.png"/>
    <hyperlink ref="I247" r:id="rId246" display="https://i.ibb.co/DznB5q4/Itau.png"/>
    <hyperlink ref="I248" r:id="rId247" display="https://i.ibb.co/68RXB19/Bradesco.png"/>
    <hyperlink ref="I249" r:id="rId248" display="https://i.ibb.co/DznB5q4/Itau.png"/>
    <hyperlink ref="I250" r:id="rId249" display="https://i.ibb.co/DznB5q4/Itau.png"/>
    <hyperlink ref="I251" r:id="rId250" display="https://i.ibb.co/zX8KX6R/Santander.png"/>
    <hyperlink ref="I252" r:id="rId251" display="https://i.ibb.co/LpJM38D/Nubank.png"/>
    <hyperlink ref="I253" r:id="rId252" display="https://i.ibb.co/DznB5q4/Itau.png"/>
    <hyperlink ref="I254" r:id="rId253" display="https://i.ibb.co/DznB5q4/Itau.png"/>
    <hyperlink ref="I255" r:id="rId254" display="https://i.ibb.co/DznB5q4/Itau.png"/>
    <hyperlink ref="I256" r:id="rId255" display="https://i.ibb.co/LpJM38D/Nubank.png"/>
    <hyperlink ref="I257" r:id="rId256" display="https://i.ibb.co/zX8KX6R/Santander.png"/>
    <hyperlink ref="I258" r:id="rId257" display="https://i.ibb.co/DznB5q4/Itau.png"/>
    <hyperlink ref="I259" r:id="rId258" display="https://i.ibb.co/68RXB19/Bradesco.png"/>
    <hyperlink ref="I260" r:id="rId259" display="https://i.ibb.co/DznB5q4/Itau.png"/>
    <hyperlink ref="I261" r:id="rId260" display="https://i.ibb.co/LpJM38D/Nubank.png"/>
    <hyperlink ref="I262" r:id="rId261" display="https://i.ibb.co/DznB5q4/Itau.png"/>
    <hyperlink ref="I263" r:id="rId262" display="https://i.ibb.co/DznB5q4/Itau.png"/>
    <hyperlink ref="I264" r:id="rId263" display="https://i.ibb.co/LpJM38D/Nubank.png"/>
    <hyperlink ref="I265" r:id="rId264" display="https://i.ibb.co/DznB5q4/Itau.png"/>
    <hyperlink ref="I266" r:id="rId265" display="https://i.ibb.co/LpJM38D/Nubank.png"/>
    <hyperlink ref="I267" r:id="rId266" display="https://i.ibb.co/DznB5q4/Itau.png"/>
    <hyperlink ref="I268" r:id="rId267" display="https://i.ibb.co/DznB5q4/Itau.png"/>
    <hyperlink ref="I269" r:id="rId268" display="https://i.ibb.co/LpJM38D/Nubank.png"/>
    <hyperlink ref="I270" r:id="rId269" display="https://i.ibb.co/DznB5q4/Itau.png"/>
    <hyperlink ref="I271" r:id="rId270" display="https://i.ibb.co/FhY6B5f/Safra.png"/>
    <hyperlink ref="I272" r:id="rId271" display="https://i.ibb.co/LpJM38D/Nubank.png"/>
    <hyperlink ref="I273" r:id="rId272" display="https://i.ibb.co/68RXB19/Bradesco.png"/>
    <hyperlink ref="I274" r:id="rId273" display="https://i.ibb.co/LpJM38D/Nubank.png"/>
    <hyperlink ref="I275" r:id="rId274" display="https://i.ibb.co/FhY6B5f/Safra.png"/>
    <hyperlink ref="I276" r:id="rId275" display="https://i.ibb.co/DznB5q4/Itau.png"/>
    <hyperlink ref="I277" r:id="rId276" display="https://i.ibb.co/LpJM38D/Nubank.png"/>
    <hyperlink ref="I278" r:id="rId277" display="https://i.ibb.co/DznB5q4/Itau.png"/>
    <hyperlink ref="I279" r:id="rId278" display="https://i.ibb.co/LpJM38D/Nubank.png"/>
    <hyperlink ref="I280" r:id="rId279" display="https://i.ibb.co/LpJM38D/Nubank.png"/>
    <hyperlink ref="I281" r:id="rId280" display="https://i.ibb.co/LpJM38D/Nubank.png"/>
    <hyperlink ref="I282" r:id="rId281" display="https://i.ibb.co/DznB5q4/Itau.png"/>
    <hyperlink ref="I283" r:id="rId282" display="https://i.ibb.co/DznB5q4/Itau.png"/>
    <hyperlink ref="I284" r:id="rId283" display="https://i.ibb.co/FhY6B5f/Safra.png"/>
    <hyperlink ref="I285" r:id="rId284" display="https://i.ibb.co/LpJM38D/Nubank.png"/>
    <hyperlink ref="I286" r:id="rId285" display="https://i.ibb.co/68RXB19/Bradesco.png"/>
    <hyperlink ref="I287" r:id="rId286" display="https://i.ibb.co/FhY6B5f/Safra.png"/>
    <hyperlink ref="I288" r:id="rId287" display="https://i.ibb.co/68RXB19/Bradesco.png"/>
    <hyperlink ref="I289" r:id="rId288" display="https://i.ibb.co/LpJM38D/Nubank.png"/>
    <hyperlink ref="I290" r:id="rId289" display="https://i.ibb.co/zX8KX6R/Santander.png"/>
    <hyperlink ref="I291" r:id="rId290" display="https://i.ibb.co/DznB5q4/Itau.png"/>
    <hyperlink ref="I292" r:id="rId291" display="https://i.ibb.co/DznB5q4/Itau.png"/>
    <hyperlink ref="I293" r:id="rId292" display="https://i.ibb.co/DznB5q4/Itau.png"/>
    <hyperlink ref="I294" r:id="rId293" display="https://i.ibb.co/zX8KX6R/Santander.png"/>
    <hyperlink ref="I295" r:id="rId294" display="https://i.ibb.co/DznB5q4/Itau.png"/>
    <hyperlink ref="I296" r:id="rId295" display="https://i.ibb.co/68RXB19/Bradesco.png"/>
    <hyperlink ref="I297" r:id="rId296" display="https://i.ibb.co/DznB5q4/Itau.png"/>
    <hyperlink ref="I298" r:id="rId297" display="https://i.ibb.co/FhY6B5f/Safra.png"/>
    <hyperlink ref="I299" r:id="rId298" display="https://i.ibb.co/DznB5q4/Itau.png"/>
    <hyperlink ref="I300" r:id="rId299" display="https://i.ibb.co/DznB5q4/Itau.png"/>
    <hyperlink ref="I301" r:id="rId300" display="https://i.ibb.co/DznB5q4/Itau.png"/>
    <hyperlink ref="I302" r:id="rId301" display="https://i.ibb.co/LpJM38D/Nubank.png"/>
    <hyperlink ref="I303" r:id="rId302" display="https://i.ibb.co/DznB5q4/Itau.png"/>
    <hyperlink ref="I304" r:id="rId303" display="https://i.ibb.co/68RXB19/Bradesco.png"/>
    <hyperlink ref="I305" r:id="rId304" display="https://i.ibb.co/LpJM38D/Nubank.png"/>
    <hyperlink ref="I306" r:id="rId305" display="https://i.ibb.co/68RXB19/Bradesco.png"/>
    <hyperlink ref="I307" r:id="rId306" display="https://i.ibb.co/DznB5q4/Itau.png"/>
    <hyperlink ref="I308" r:id="rId307" display="https://i.ibb.co/68RXB19/Bradesco.png"/>
    <hyperlink ref="I309" r:id="rId308" display="https://i.ibb.co/DznB5q4/Itau.png"/>
    <hyperlink ref="I310" r:id="rId309" display="https://i.ibb.co/DznB5q4/Itau.png"/>
    <hyperlink ref="I311" r:id="rId310" display="https://i.ibb.co/zX8KX6R/Santander.png"/>
    <hyperlink ref="I312" r:id="rId311" display="https://i.ibb.co/LpJM38D/Nubank.png"/>
    <hyperlink ref="I313" r:id="rId312" display="https://i.ibb.co/LpJM38D/Nubank.png"/>
    <hyperlink ref="I314" r:id="rId313" display="https://i.ibb.co/LpJM38D/Nubank.png"/>
    <hyperlink ref="I315" r:id="rId314" display="https://i.ibb.co/DznB5q4/Itau.png"/>
    <hyperlink ref="I316" r:id="rId315" display="https://i.ibb.co/LpJM38D/Nubank.png"/>
    <hyperlink ref="I317" r:id="rId316" display="https://i.ibb.co/68RXB19/Bradesco.png"/>
    <hyperlink ref="I318" r:id="rId317" display="https://i.ibb.co/68RXB19/Bradesco.png"/>
    <hyperlink ref="I319" r:id="rId318" display="https://i.ibb.co/FhY6B5f/Safra.png"/>
    <hyperlink ref="I320" r:id="rId319" display="https://i.ibb.co/DznB5q4/Itau.png"/>
    <hyperlink ref="I321" r:id="rId320" display="https://i.ibb.co/DznB5q4/Itau.png"/>
    <hyperlink ref="I322" r:id="rId321" display="https://i.ibb.co/LpJM38D/Nubank.png"/>
    <hyperlink ref="I323" r:id="rId322" display="https://i.ibb.co/zX8KX6R/Santander.png"/>
    <hyperlink ref="I324" r:id="rId323" display="https://i.ibb.co/DznB5q4/Itau.png"/>
    <hyperlink ref="I325" r:id="rId324" display="https://i.ibb.co/DznB5q4/Itau.png"/>
    <hyperlink ref="I326" r:id="rId325" display="https://i.ibb.co/DznB5q4/Itau.png"/>
    <hyperlink ref="I327" r:id="rId326" display="https://i.ibb.co/zX8KX6R/Santander.png"/>
    <hyperlink ref="I328" r:id="rId327" display="https://i.ibb.co/DznB5q4/Itau.png"/>
    <hyperlink ref="I329" r:id="rId328" display="https://i.ibb.co/LpJM38D/Nubank.png"/>
    <hyperlink ref="I330" r:id="rId329" display="https://i.ibb.co/LpJM38D/Nubank.png"/>
    <hyperlink ref="I331" r:id="rId330" display="https://i.ibb.co/DznB5q4/Itau.png"/>
    <hyperlink ref="I332" r:id="rId331" display="https://i.ibb.co/LpJM38D/Nubank.png"/>
    <hyperlink ref="I333" r:id="rId332" display="https://i.ibb.co/DznB5q4/Itau.png"/>
    <hyperlink ref="I334" r:id="rId333" display="https://i.ibb.co/LpJM38D/Nubank.png"/>
    <hyperlink ref="I335" r:id="rId334" display="https://i.ibb.co/DznB5q4/Itau.png"/>
    <hyperlink ref="I336" r:id="rId335" display="https://i.ibb.co/68RXB19/Bradesco.png"/>
    <hyperlink ref="I337" r:id="rId336" display="https://i.ibb.co/zX8KX6R/Santander.png"/>
    <hyperlink ref="I338" r:id="rId337" display="https://i.ibb.co/LpJM38D/Nubank.png"/>
    <hyperlink ref="I339" r:id="rId338" display="https://i.ibb.co/LpJM38D/Nubank.png"/>
    <hyperlink ref="I340" r:id="rId339" display="https://i.ibb.co/LpJM38D/Nubank.png"/>
    <hyperlink ref="I341" r:id="rId340" display="https://i.ibb.co/zX8KX6R/Santander.png"/>
    <hyperlink ref="I342" r:id="rId341" display="https://i.ibb.co/DznB5q4/Itau.png"/>
    <hyperlink ref="I343" r:id="rId342" display="https://i.ibb.co/68RXB19/Bradesco.png"/>
    <hyperlink ref="I344" r:id="rId343" display="https://i.ibb.co/LpJM38D/Nubank.png"/>
    <hyperlink ref="I345" r:id="rId344" display="https://i.ibb.co/zX8KX6R/Santander.png"/>
    <hyperlink ref="I346" r:id="rId345" display="https://i.ibb.co/LpJM38D/Nubank.png"/>
    <hyperlink ref="I347" r:id="rId346" display="https://i.ibb.co/68RXB19/Bradesco.png"/>
    <hyperlink ref="I348" r:id="rId347" display="https://i.ibb.co/LpJM38D/Nubank.png"/>
    <hyperlink ref="I349" r:id="rId348" display="https://i.ibb.co/LpJM38D/Nubank.png"/>
    <hyperlink ref="I350" r:id="rId349" display="https://i.ibb.co/DznB5q4/Itau.png"/>
    <hyperlink ref="I351" r:id="rId350" display="https://i.ibb.co/LpJM38D/Nubank.png"/>
    <hyperlink ref="I352" r:id="rId351" display="https://i.ibb.co/DznB5q4/Itau.png"/>
    <hyperlink ref="I353" r:id="rId352" display="https://i.ibb.co/LpJM38D/Nubank.png"/>
    <hyperlink ref="I354" r:id="rId353" display="https://i.ibb.co/DznB5q4/Itau.png"/>
    <hyperlink ref="I355" r:id="rId354" display="https://i.ibb.co/DznB5q4/Itau.png"/>
    <hyperlink ref="I356" r:id="rId355" display="https://i.ibb.co/LpJM38D/Nubank.png"/>
    <hyperlink ref="I357" r:id="rId356" display="https://i.ibb.co/DznB5q4/Itau.png"/>
    <hyperlink ref="I358" r:id="rId357" display="https://i.ibb.co/DznB5q4/Itau.png"/>
    <hyperlink ref="I359" r:id="rId358" display="https://i.ibb.co/LpJM38D/Nubank.png"/>
    <hyperlink ref="I360" r:id="rId359" display="https://i.ibb.co/DznB5q4/Itau.png"/>
    <hyperlink ref="I361" r:id="rId360" display="https://i.ibb.co/LpJM38D/Nubank.png"/>
    <hyperlink ref="I362" r:id="rId361" display="https://i.ibb.co/DznB5q4/Itau.png"/>
    <hyperlink ref="I363" r:id="rId362" display="https://i.ibb.co/DznB5q4/Itau.png"/>
    <hyperlink ref="I364" r:id="rId363" display="https://i.ibb.co/68RXB19/Bradesco.png"/>
    <hyperlink ref="I365" r:id="rId364" display="https://i.ibb.co/DznB5q4/Itau.png"/>
    <hyperlink ref="I366" r:id="rId365" display="https://i.ibb.co/DznB5q4/Itau.png"/>
    <hyperlink ref="I367" r:id="rId366" display="https://i.ibb.co/zX8KX6R/Santander.png"/>
    <hyperlink ref="I368" r:id="rId367" display="https://i.ibb.co/LpJM38D/Nubank.png"/>
    <hyperlink ref="I369" r:id="rId368" display="https://i.ibb.co/DznB5q4/Itau.png"/>
    <hyperlink ref="I370" r:id="rId369" display="https://i.ibb.co/68RXB19/Bradesco.png"/>
    <hyperlink ref="I371" r:id="rId370" display="https://i.ibb.co/LpJM38D/Nubank.png"/>
    <hyperlink ref="I372" r:id="rId371" display="https://i.ibb.co/LpJM38D/Nubank.png"/>
    <hyperlink ref="I373" r:id="rId372" display="https://i.ibb.co/DznB5q4/Itau.png"/>
    <hyperlink ref="I374" r:id="rId373" display="https://i.ibb.co/68RXB19/Bradesco.png"/>
    <hyperlink ref="I375" r:id="rId374" display="https://i.ibb.co/DznB5q4/Itau.png"/>
    <hyperlink ref="I376" r:id="rId375" display="https://i.ibb.co/LpJM38D/Nubank.png"/>
    <hyperlink ref="I377" r:id="rId376" display="https://i.ibb.co/zX8KX6R/Santander.png"/>
    <hyperlink ref="I378" r:id="rId377" display="https://i.ibb.co/zX8KX6R/Santander.png"/>
    <hyperlink ref="I379" r:id="rId378" display="https://i.ibb.co/DznB5q4/Itau.png"/>
    <hyperlink ref="I380" r:id="rId379" display="https://i.ibb.co/DznB5q4/Itau.png"/>
    <hyperlink ref="I381" r:id="rId380" display="https://i.ibb.co/LpJM38D/Nubank.png"/>
    <hyperlink ref="I382" r:id="rId381" display="https://i.ibb.co/LpJM38D/Nubank.png"/>
    <hyperlink ref="I383" r:id="rId382" display="https://i.ibb.co/LpJM38D/Nubank.png"/>
    <hyperlink ref="I384" r:id="rId383" display="https://i.ibb.co/DznB5q4/Itau.png"/>
    <hyperlink ref="I385" r:id="rId384" display="https://i.ibb.co/DznB5q4/Itau.png"/>
    <hyperlink ref="I386" r:id="rId385" display="https://i.ibb.co/zX8KX6R/Santander.png"/>
    <hyperlink ref="I387" r:id="rId386" display="https://i.ibb.co/DznB5q4/Itau.png"/>
    <hyperlink ref="I388" r:id="rId387" display="https://i.ibb.co/LpJM38D/Nubank.png"/>
    <hyperlink ref="I389" r:id="rId388" display="https://i.ibb.co/zX8KX6R/Santander.png"/>
    <hyperlink ref="I390" r:id="rId389" display="https://i.ibb.co/DznB5q4/Itau.png"/>
    <hyperlink ref="I391" r:id="rId390" display="https://i.ibb.co/68RXB19/Bradesco.png"/>
    <hyperlink ref="I392" r:id="rId391" display="https://i.ibb.co/68RXB19/Bradesco.png"/>
    <hyperlink ref="I393" r:id="rId392" display="https://i.ibb.co/LpJM38D/Nubank.png"/>
    <hyperlink ref="I394" r:id="rId393" display="https://i.ibb.co/LpJM38D/Nubank.png"/>
    <hyperlink ref="I395" r:id="rId394" display="https://i.ibb.co/LpJM38D/Nubank.png"/>
    <hyperlink ref="I396" r:id="rId395" display="https://i.ibb.co/LpJM38D/Nubank.png"/>
    <hyperlink ref="I397" r:id="rId396" display="https://i.ibb.co/DznB5q4/Itau.png"/>
    <hyperlink ref="I398" r:id="rId397" display="https://i.ibb.co/DznB5q4/Itau.png"/>
    <hyperlink ref="I399" r:id="rId398" display="https://i.ibb.co/DznB5q4/Itau.png"/>
    <hyperlink ref="I400" r:id="rId399" display="https://i.ibb.co/DznB5q4/Itau.png"/>
    <hyperlink ref="I401" r:id="rId400" display="https://i.ibb.co/zX8KX6R/Santander.png"/>
    <hyperlink ref="I402" r:id="rId401" display="https://i.ibb.co/FhY6B5f/Safra.png"/>
    <hyperlink ref="I403" r:id="rId402" display="https://i.ibb.co/DznB5q4/Itau.png"/>
    <hyperlink ref="I404" r:id="rId403" display="https://i.ibb.co/DznB5q4/Itau.png"/>
    <hyperlink ref="I405" r:id="rId404" display="https://i.ibb.co/zX8KX6R/Santander.png"/>
    <hyperlink ref="I406" r:id="rId405" display="https://i.ibb.co/DznB5q4/Itau.png"/>
    <hyperlink ref="I407" r:id="rId406" display="https://i.ibb.co/LpJM38D/Nubank.png"/>
    <hyperlink ref="I408" r:id="rId407" display="https://i.ibb.co/DznB5q4/Itau.png"/>
    <hyperlink ref="I409" r:id="rId408" display="https://i.ibb.co/LpJM38D/Nubank.png"/>
    <hyperlink ref="I410" r:id="rId409" display="https://i.ibb.co/DznB5q4/Itau.png"/>
    <hyperlink ref="I411" r:id="rId410" display="https://i.ibb.co/DznB5q4/Itau.png"/>
    <hyperlink ref="I412" r:id="rId411" display="https://i.ibb.co/DznB5q4/Itau.png"/>
    <hyperlink ref="I413" r:id="rId412" display="https://i.ibb.co/DznB5q4/Itau.png"/>
    <hyperlink ref="I414" r:id="rId413" display="https://i.ibb.co/DznB5q4/Itau.png"/>
    <hyperlink ref="I415" r:id="rId414" display="https://i.ibb.co/DznB5q4/Itau.png"/>
    <hyperlink ref="I416" r:id="rId415" display="https://i.ibb.co/DznB5q4/Itau.png"/>
    <hyperlink ref="I417" r:id="rId416" display="https://i.ibb.co/LpJM38D/Nubank.png"/>
    <hyperlink ref="I418" r:id="rId417" display="https://i.ibb.co/DznB5q4/Itau.png"/>
    <hyperlink ref="I419" r:id="rId418" display="https://i.ibb.co/68RXB19/Bradesco.png"/>
    <hyperlink ref="I420" r:id="rId419" display="https://i.ibb.co/LpJM38D/Nubank.png"/>
    <hyperlink ref="I421" r:id="rId420" display="https://i.ibb.co/DznB5q4/Itau.png"/>
    <hyperlink ref="I422" r:id="rId421" display="https://i.ibb.co/LpJM38D/Nubank.png"/>
    <hyperlink ref="I423" r:id="rId422" display="https://i.ibb.co/DznB5q4/Itau.png"/>
    <hyperlink ref="I424" r:id="rId423" display="https://i.ibb.co/DznB5q4/Itau.png"/>
    <hyperlink ref="I425" r:id="rId424" display="https://i.ibb.co/zX8KX6R/Santander.png"/>
    <hyperlink ref="I426" r:id="rId425" display="https://i.ibb.co/DznB5q4/Itau.png"/>
    <hyperlink ref="I427" r:id="rId426" display="https://i.ibb.co/LpJM38D/Nubank.png"/>
    <hyperlink ref="I428" r:id="rId427" display="https://i.ibb.co/FhY6B5f/Safra.png"/>
    <hyperlink ref="I429" r:id="rId428" display="https://i.ibb.co/DznB5q4/Itau.png"/>
    <hyperlink ref="I430" r:id="rId429" display="https://i.ibb.co/zX8KX6R/Santander.png"/>
    <hyperlink ref="I431" r:id="rId430" display="https://i.ibb.co/68RXB19/Bradesco.png"/>
    <hyperlink ref="I432" r:id="rId431" display="https://i.ibb.co/LpJM38D/Nubank.png"/>
    <hyperlink ref="I433" r:id="rId432" display="https://i.ibb.co/zX8KX6R/Santander.png"/>
    <hyperlink ref="I434" r:id="rId433" display="https://i.ibb.co/68RXB19/Bradesco.png"/>
    <hyperlink ref="I435" r:id="rId434" display="https://i.ibb.co/LpJM38D/Nubank.png"/>
    <hyperlink ref="I436" r:id="rId435" display="https://i.ibb.co/DznB5q4/Itau.png"/>
    <hyperlink ref="I437" r:id="rId436" display="https://i.ibb.co/zX8KX6R/Santander.png"/>
    <hyperlink ref="I438" r:id="rId437" display="https://i.ibb.co/zX8KX6R/Santander.png"/>
    <hyperlink ref="I439" r:id="rId438" display="https://i.ibb.co/DznB5q4/Itau.png"/>
    <hyperlink ref="I440" r:id="rId439" display="https://i.ibb.co/68RXB19/Bradesco.png"/>
    <hyperlink ref="I441" r:id="rId440" display="https://i.ibb.co/DznB5q4/Itau.png"/>
    <hyperlink ref="I442" r:id="rId441" display="https://i.ibb.co/LpJM38D/Nubank.png"/>
    <hyperlink ref="I443" r:id="rId442" display="https://i.ibb.co/DznB5q4/Itau.png"/>
    <hyperlink ref="I444" r:id="rId443" display="https://i.ibb.co/68RXB19/Bradesco.png"/>
    <hyperlink ref="I445" r:id="rId444" display="https://i.ibb.co/68RXB19/Bradesco.png"/>
    <hyperlink ref="I446" r:id="rId445" display="https://i.ibb.co/FhY6B5f/Safra.png"/>
    <hyperlink ref="I447" r:id="rId446" display="https://i.ibb.co/DznB5q4/Itau.png"/>
    <hyperlink ref="I448" r:id="rId447" display="https://i.ibb.co/zX8KX6R/Santander.png"/>
    <hyperlink ref="I449" r:id="rId448" display="https://i.ibb.co/LpJM38D/Nubank.png"/>
    <hyperlink ref="I450" r:id="rId449" display="https://i.ibb.co/68RXB19/Bradesco.png"/>
    <hyperlink ref="I451" r:id="rId450" display="https://i.ibb.co/DznB5q4/Itau.png"/>
    <hyperlink ref="I452" r:id="rId451" display="https://i.ibb.co/DznB5q4/Itau.png"/>
    <hyperlink ref="I453" r:id="rId452" display="https://i.ibb.co/DznB5q4/Itau.png"/>
    <hyperlink ref="I454" r:id="rId453" display="https://i.ibb.co/zX8KX6R/Santander.png"/>
    <hyperlink ref="I455" r:id="rId454" display="https://i.ibb.co/68RXB19/Bradesco.png"/>
    <hyperlink ref="I456" r:id="rId455" display="https://i.ibb.co/LpJM38D/Nubank.png"/>
    <hyperlink ref="I457" r:id="rId456" display="https://i.ibb.co/LpJM38D/Nubank.png"/>
    <hyperlink ref="I458" r:id="rId457" display="https://i.ibb.co/LpJM38D/Nubank.png"/>
    <hyperlink ref="I459" r:id="rId458" display="https://i.ibb.co/zX8KX6R/Santander.png"/>
    <hyperlink ref="I460" r:id="rId459" display="https://i.ibb.co/DznB5q4/Itau.png"/>
    <hyperlink ref="I461" r:id="rId460" display="https://i.ibb.co/DznB5q4/Itau.png"/>
    <hyperlink ref="I462" r:id="rId461" display="https://i.ibb.co/DznB5q4/Itau.png"/>
    <hyperlink ref="I463" r:id="rId462" display="https://i.ibb.co/FhY6B5f/Safra.png"/>
    <hyperlink ref="I464" r:id="rId463" display="https://i.ibb.co/DznB5q4/Itau.png"/>
    <hyperlink ref="I465" r:id="rId464" display="https://i.ibb.co/DznB5q4/Itau.png"/>
    <hyperlink ref="I466" r:id="rId465" display="https://i.ibb.co/DznB5q4/Itau.png"/>
    <hyperlink ref="I467" r:id="rId466" display="https://i.ibb.co/zX8KX6R/Santander.png"/>
    <hyperlink ref="I468" r:id="rId467" display="https://i.ibb.co/DznB5q4/Itau.png"/>
    <hyperlink ref="I469" r:id="rId468" display="https://i.ibb.co/DznB5q4/Itau.png"/>
    <hyperlink ref="I470" r:id="rId469" display="https://i.ibb.co/DznB5q4/Itau.png"/>
    <hyperlink ref="I471" r:id="rId470" display="https://i.ibb.co/FhY6B5f/Safra.png"/>
    <hyperlink ref="I472" r:id="rId471" display="https://i.ibb.co/68RXB19/Bradesco.png"/>
    <hyperlink ref="I473" r:id="rId472" display="https://i.ibb.co/zX8KX6R/Santander.png"/>
    <hyperlink ref="I474" r:id="rId473" display="https://i.ibb.co/LpJM38D/Nubank.png"/>
    <hyperlink ref="I475" r:id="rId474" display="https://i.ibb.co/zX8KX6R/Santander.png"/>
    <hyperlink ref="I476" r:id="rId475" display="https://i.ibb.co/LpJM38D/Nubank.png"/>
    <hyperlink ref="I477" r:id="rId476" display="https://i.ibb.co/DznB5q4/Itau.png"/>
    <hyperlink ref="I478" r:id="rId477" display="https://i.ibb.co/zX8KX6R/Santander.png"/>
    <hyperlink ref="I479" r:id="rId478" display="https://i.ibb.co/LpJM38D/Nubank.png"/>
    <hyperlink ref="I480" r:id="rId479" display="https://i.ibb.co/DznB5q4/Itau.png"/>
    <hyperlink ref="I481" r:id="rId480" display="https://i.ibb.co/LpJM38D/Nubank.png"/>
    <hyperlink ref="I482" r:id="rId481" display="https://i.ibb.co/LpJM38D/Nubank.png"/>
    <hyperlink ref="I483" r:id="rId482" display="https://i.ibb.co/68RXB19/Bradesco.png"/>
    <hyperlink ref="I484" r:id="rId483" display="https://i.ibb.co/DznB5q4/Itau.png"/>
    <hyperlink ref="I485" r:id="rId484" display="https://i.ibb.co/DznB5q4/Itau.png"/>
    <hyperlink ref="I486" r:id="rId485" display="https://i.ibb.co/zX8KX6R/Santander.png"/>
    <hyperlink ref="I487" r:id="rId486" display="https://i.ibb.co/DznB5q4/Itau.png"/>
    <hyperlink ref="I488" r:id="rId487" display="https://i.ibb.co/DznB5q4/Itau.png"/>
    <hyperlink ref="I489" r:id="rId488" display="https://i.ibb.co/68RXB19/Bradesco.png"/>
    <hyperlink ref="I490" r:id="rId489" display="https://i.ibb.co/DznB5q4/Itau.png"/>
    <hyperlink ref="I491" r:id="rId490" display="https://i.ibb.co/LpJM38D/Nubank.png"/>
    <hyperlink ref="I492" r:id="rId491" display="https://i.ibb.co/DznB5q4/Itau.png"/>
    <hyperlink ref="I493" r:id="rId492" display="https://i.ibb.co/DznB5q4/Itau.png"/>
    <hyperlink ref="I494" r:id="rId493" display="https://i.ibb.co/LpJM38D/Nubank.png"/>
    <hyperlink ref="I495" r:id="rId494" display="https://i.ibb.co/zX8KX6R/Santander.png"/>
    <hyperlink ref="I496" r:id="rId495" display="https://i.ibb.co/DznB5q4/Itau.png"/>
    <hyperlink ref="I497" r:id="rId496" display="https://i.ibb.co/DznB5q4/Itau.png"/>
    <hyperlink ref="I498" r:id="rId497" display="https://i.ibb.co/DznB5q4/Itau.png"/>
    <hyperlink ref="I499" r:id="rId498" display="https://i.ibb.co/68RXB19/Bradesco.png"/>
    <hyperlink ref="I500" r:id="rId499" display="https://i.ibb.co/DznB5q4/Itau.png"/>
    <hyperlink ref="I501" r:id="rId500" display="https://i.ibb.co/DznB5q4/Itau.png"/>
    <hyperlink ref="I502" r:id="rId501" display="https://i.ibb.co/zX8KX6R/Santander.png"/>
    <hyperlink ref="I503" r:id="rId502" display="https://i.ibb.co/68RXB19/Bradesco.png"/>
    <hyperlink ref="I504" r:id="rId503" display="https://i.ibb.co/FhY6B5f/Safra.png"/>
    <hyperlink ref="I505" r:id="rId504" display="https://i.ibb.co/LpJM38D/Nubank.png"/>
    <hyperlink ref="I506" r:id="rId505" display="https://i.ibb.co/DznB5q4/Itau.png"/>
    <hyperlink ref="I507" r:id="rId506" display="https://i.ibb.co/68RXB19/Bradesco.png"/>
    <hyperlink ref="I508" r:id="rId507" display="https://i.ibb.co/68RXB19/Bradesco.png"/>
    <hyperlink ref="I509" r:id="rId508" display="https://i.ibb.co/DznB5q4/Itau.png"/>
    <hyperlink ref="I510" r:id="rId509" display="https://i.ibb.co/zX8KX6R/Santander.png"/>
    <hyperlink ref="I511" r:id="rId510" display="https://i.ibb.co/DznB5q4/Itau.png"/>
    <hyperlink ref="I512" r:id="rId511" display="https://i.ibb.co/zX8KX6R/Santander.png"/>
    <hyperlink ref="I513" r:id="rId512" display="https://i.ibb.co/DznB5q4/Itau.png"/>
    <hyperlink ref="I514" r:id="rId513" display="https://i.ibb.co/DznB5q4/Itau.png"/>
    <hyperlink ref="I515" r:id="rId514" display="https://i.ibb.co/DznB5q4/Itau.png"/>
    <hyperlink ref="I516" r:id="rId515" display="https://i.ibb.co/DznB5q4/Itau.png"/>
    <hyperlink ref="I517" r:id="rId516" display="https://i.ibb.co/FhY6B5f/Safra.png"/>
    <hyperlink ref="I518" r:id="rId517" display="https://i.ibb.co/LpJM38D/Nubank.png"/>
    <hyperlink ref="I519" r:id="rId518" display="https://i.ibb.co/DznB5q4/Itau.png"/>
    <hyperlink ref="I520" r:id="rId519" display="https://i.ibb.co/DznB5q4/Itau.png"/>
    <hyperlink ref="I521" r:id="rId520" display="https://i.ibb.co/LpJM38D/Nubank.png"/>
    <hyperlink ref="I522" r:id="rId521" display="https://i.ibb.co/DznB5q4/Itau.png"/>
    <hyperlink ref="I523" r:id="rId522" display="https://i.ibb.co/DznB5q4/Itau.png"/>
    <hyperlink ref="I524" r:id="rId523" display="https://i.ibb.co/DznB5q4/Itau.png"/>
    <hyperlink ref="I525" r:id="rId524" display="https://i.ibb.co/DznB5q4/Itau.png"/>
    <hyperlink ref="I526" r:id="rId525" display="https://i.ibb.co/zX8KX6R/Santander.png"/>
    <hyperlink ref="I527" r:id="rId526" display="https://i.ibb.co/DznB5q4/Itau.png"/>
    <hyperlink ref="I528" r:id="rId527" display="https://i.ibb.co/DznB5q4/Itau.png"/>
    <hyperlink ref="I529" r:id="rId528" display="https://i.ibb.co/68RXB19/Bradesco.png"/>
    <hyperlink ref="I530" r:id="rId529" display="https://i.ibb.co/DznB5q4/Itau.png"/>
    <hyperlink ref="I531" r:id="rId530" display="https://i.ibb.co/DznB5q4/Itau.png"/>
    <hyperlink ref="I532" r:id="rId531" display="https://i.ibb.co/DznB5q4/Itau.png"/>
    <hyperlink ref="I533" r:id="rId532" display="https://i.ibb.co/DznB5q4/Itau.png"/>
    <hyperlink ref="I534" r:id="rId533" display="https://i.ibb.co/DznB5q4/Itau.png"/>
    <hyperlink ref="I535" r:id="rId534" display="https://i.ibb.co/FhY6B5f/Safra.png"/>
    <hyperlink ref="I536" r:id="rId535" display="https://i.ibb.co/LpJM38D/Nubank.png"/>
    <hyperlink ref="I537" r:id="rId536" display="https://i.ibb.co/zX8KX6R/Santander.png"/>
    <hyperlink ref="I538" r:id="rId537" display="https://i.ibb.co/zX8KX6R/Santander.png"/>
    <hyperlink ref="I539" r:id="rId538" display="https://i.ibb.co/zX8KX6R/Santander.png"/>
    <hyperlink ref="I540" r:id="rId539" display="https://i.ibb.co/zX8KX6R/Santander.png"/>
    <hyperlink ref="I541" r:id="rId540" display="https://i.ibb.co/LpJM38D/Nubank.png"/>
    <hyperlink ref="I542" r:id="rId541" display="https://i.ibb.co/DznB5q4/Itau.png"/>
    <hyperlink ref="I543" r:id="rId542" display="https://i.ibb.co/DznB5q4/Itau.png"/>
    <hyperlink ref="I544" r:id="rId543" display="https://i.ibb.co/FhY6B5f/Safra.png"/>
    <hyperlink ref="I545" r:id="rId544" display="https://i.ibb.co/DznB5q4/Itau.png"/>
    <hyperlink ref="I546" r:id="rId545" display="https://i.ibb.co/DznB5q4/Itau.png"/>
    <hyperlink ref="I547" r:id="rId546" display="https://i.ibb.co/68RXB19/Bradesco.png"/>
    <hyperlink ref="I548" r:id="rId547" display="https://i.ibb.co/DznB5q4/Itau.png"/>
    <hyperlink ref="I549" r:id="rId548" display="https://i.ibb.co/DznB5q4/Itau.png"/>
    <hyperlink ref="I550" r:id="rId549" display="https://i.ibb.co/DznB5q4/Itau.png"/>
    <hyperlink ref="I551" r:id="rId550" display="https://i.ibb.co/LpJM38D/Nubank.png"/>
    <hyperlink ref="I552" r:id="rId551" display="https://i.ibb.co/zX8KX6R/Santander.png"/>
    <hyperlink ref="I553" r:id="rId552" display="https://i.ibb.co/LpJM38D/Nubank.png"/>
    <hyperlink ref="I554" r:id="rId553" display="https://i.ibb.co/LpJM38D/Nubank.png"/>
    <hyperlink ref="I555" r:id="rId554" display="https://i.ibb.co/LpJM38D/Nubank.png"/>
    <hyperlink ref="I556" r:id="rId555" display="https://i.ibb.co/68RXB19/Bradesco.png"/>
    <hyperlink ref="I557" r:id="rId556" display="https://i.ibb.co/LpJM38D/Nubank.png"/>
    <hyperlink ref="I558" r:id="rId557" display="https://i.ibb.co/LpJM38D/Nubank.png"/>
    <hyperlink ref="I559" r:id="rId558" display="https://i.ibb.co/DznB5q4/Itau.png"/>
    <hyperlink ref="I560" r:id="rId559" display="https://i.ibb.co/LpJM38D/Nubank.png"/>
    <hyperlink ref="I561" r:id="rId560" display="https://i.ibb.co/FhY6B5f/Safra.png"/>
    <hyperlink ref="I562" r:id="rId561" display="https://i.ibb.co/LpJM38D/Nubank.png"/>
    <hyperlink ref="I563" r:id="rId562" display="https://i.ibb.co/zX8KX6R/Santander.png"/>
    <hyperlink ref="I564" r:id="rId563" display="https://i.ibb.co/DznB5q4/Itau.png"/>
    <hyperlink ref="I565" r:id="rId564" display="https://i.ibb.co/LpJM38D/Nubank.png"/>
    <hyperlink ref="I566" r:id="rId565" display="https://i.ibb.co/DznB5q4/Itau.png"/>
    <hyperlink ref="I567" r:id="rId566" display="https://i.ibb.co/FhY6B5f/Safra.png"/>
    <hyperlink ref="I568" r:id="rId567" display="https://i.ibb.co/DznB5q4/Itau.png"/>
    <hyperlink ref="I569" r:id="rId568" display="https://i.ibb.co/LpJM38D/Nubank.png"/>
    <hyperlink ref="I570" r:id="rId569" display="https://i.ibb.co/DznB5q4/Itau.png"/>
    <hyperlink ref="I571" r:id="rId570" display="https://i.ibb.co/zX8KX6R/Santander.png"/>
    <hyperlink ref="I572" r:id="rId571" display="https://i.ibb.co/zX8KX6R/Santander.png"/>
    <hyperlink ref="I573" r:id="rId572" display="https://i.ibb.co/68RXB19/Bradesco.png"/>
    <hyperlink ref="I574" r:id="rId573" display="https://i.ibb.co/zX8KX6R/Santander.png"/>
    <hyperlink ref="I575" r:id="rId574" display="https://i.ibb.co/DznB5q4/Itau.png"/>
    <hyperlink ref="I576" r:id="rId575" display="https://i.ibb.co/68RXB19/Bradesco.png"/>
    <hyperlink ref="I577" r:id="rId576" display="https://i.ibb.co/LpJM38D/Nubank.png"/>
    <hyperlink ref="I578" r:id="rId577" display="https://i.ibb.co/LpJM38D/Nubank.png"/>
    <hyperlink ref="I579" r:id="rId578" display="https://i.ibb.co/FhY6B5f/Safra.png"/>
    <hyperlink ref="I580" r:id="rId579" display="https://i.ibb.co/DznB5q4/Itau.png"/>
    <hyperlink ref="I581" r:id="rId580" display="https://i.ibb.co/DznB5q4/Itau.png"/>
    <hyperlink ref="I582" r:id="rId581" display="https://i.ibb.co/68RXB19/Bradesco.png"/>
    <hyperlink ref="I583" r:id="rId582" display="https://i.ibb.co/zX8KX6R/Santander.png"/>
    <hyperlink ref="I584" r:id="rId583" display="https://i.ibb.co/FhY6B5f/Safra.png"/>
    <hyperlink ref="I585" r:id="rId584" display="https://i.ibb.co/DznB5q4/Itau.png"/>
    <hyperlink ref="I586" r:id="rId585" display="https://i.ibb.co/DznB5q4/Itau.png"/>
    <hyperlink ref="I587" r:id="rId586" display="https://i.ibb.co/DznB5q4/Itau.png"/>
    <hyperlink ref="I588" r:id="rId587" display="https://i.ibb.co/68RXB19/Bradesco.png"/>
    <hyperlink ref="I589" r:id="rId588" display="https://i.ibb.co/zX8KX6R/Santander.png"/>
    <hyperlink ref="I590" r:id="rId589" display="https://i.ibb.co/zX8KX6R/Santander.png"/>
    <hyperlink ref="I591" r:id="rId590" display="https://i.ibb.co/zX8KX6R/Santander.png"/>
    <hyperlink ref="I592" r:id="rId591" display="https://i.ibb.co/DznB5q4/Itau.png"/>
    <hyperlink ref="I593" r:id="rId592" display="https://i.ibb.co/DznB5q4/Itau.png"/>
    <hyperlink ref="I594" r:id="rId593" display="https://i.ibb.co/DznB5q4/Itau.png"/>
    <hyperlink ref="I595" r:id="rId594" display="https://i.ibb.co/LpJM38D/Nubank.png"/>
    <hyperlink ref="I596" r:id="rId595" display="https://i.ibb.co/DznB5q4/Itau.png"/>
    <hyperlink ref="I597" r:id="rId596" display="https://i.ibb.co/DznB5q4/Itau.png"/>
    <hyperlink ref="I598" r:id="rId597" display="https://i.ibb.co/DznB5q4/Itau.png"/>
    <hyperlink ref="I599" r:id="rId598" display="https://i.ibb.co/DznB5q4/Itau.png"/>
    <hyperlink ref="I600" r:id="rId599" display="https://i.ibb.co/68RXB19/Bradesco.png"/>
    <hyperlink ref="I601" r:id="rId600" display="https://i.ibb.co/FhY6B5f/Safra.png"/>
    <hyperlink ref="I602" r:id="rId601" display="https://i.ibb.co/LpJM38D/Nubank.png"/>
    <hyperlink ref="I603" r:id="rId602" display="https://i.ibb.co/LpJM38D/Nubank.png"/>
    <hyperlink ref="I604" r:id="rId603" display="https://i.ibb.co/LpJM38D/Nubank.png"/>
    <hyperlink ref="I605" r:id="rId604" display="https://i.ibb.co/DznB5q4/Itau.png"/>
    <hyperlink ref="I606" r:id="rId605" display="https://i.ibb.co/DznB5q4/Itau.png"/>
    <hyperlink ref="I607" r:id="rId606" display="https://i.ibb.co/DznB5q4/Itau.png"/>
    <hyperlink ref="I608" r:id="rId607" display="https://i.ibb.co/DznB5q4/Itau.png"/>
    <hyperlink ref="I609" r:id="rId608" display="https://i.ibb.co/DznB5q4/Itau.png"/>
    <hyperlink ref="I610" r:id="rId609" display="https://i.ibb.co/DznB5q4/Itau.png"/>
    <hyperlink ref="I611" r:id="rId610" display="https://i.ibb.co/zX8KX6R/Santander.png"/>
    <hyperlink ref="I612" r:id="rId611" display="https://i.ibb.co/DznB5q4/Itau.png"/>
    <hyperlink ref="I613" r:id="rId612" display="https://i.ibb.co/LpJM38D/Nubank.png"/>
    <hyperlink ref="I614" r:id="rId613" display="https://i.ibb.co/LpJM38D/Nubank.png"/>
    <hyperlink ref="I615" r:id="rId614" display="https://i.ibb.co/DznB5q4/Itau.png"/>
    <hyperlink ref="I616" r:id="rId615" display="https://i.ibb.co/DznB5q4/Itau.png"/>
    <hyperlink ref="I617" r:id="rId616" display="https://i.ibb.co/68RXB19/Bradesco.png"/>
    <hyperlink ref="I618" r:id="rId617" display="https://i.ibb.co/DznB5q4/Itau.png"/>
    <hyperlink ref="I619" r:id="rId618" display="https://i.ibb.co/68RXB19/Bradesco.png"/>
    <hyperlink ref="I620" r:id="rId619" display="https://i.ibb.co/LpJM38D/Nubank.png"/>
    <hyperlink ref="I621" r:id="rId620" display="https://i.ibb.co/LpJM38D/Nubank.png"/>
    <hyperlink ref="I622" r:id="rId621" display="https://i.ibb.co/FhY6B5f/Safra.png"/>
    <hyperlink ref="I623" r:id="rId622" display="https://i.ibb.co/LpJM38D/Nubank.png"/>
    <hyperlink ref="I624" r:id="rId623" display="https://i.ibb.co/FhY6B5f/Safra.png"/>
    <hyperlink ref="I625" r:id="rId624" display="https://i.ibb.co/LpJM38D/Nubank.png"/>
    <hyperlink ref="I626" r:id="rId625" display="https://i.ibb.co/DznB5q4/Itau.png"/>
    <hyperlink ref="I627" r:id="rId626" display="https://i.ibb.co/LpJM38D/Nubank.png"/>
    <hyperlink ref="I628" r:id="rId627" display="https://i.ibb.co/LpJM38D/Nubank.png"/>
    <hyperlink ref="I629" r:id="rId628" display="https://i.ibb.co/DznB5q4/Itau.png"/>
    <hyperlink ref="I630" r:id="rId629" display="https://i.ibb.co/LpJM38D/Nubank.png"/>
    <hyperlink ref="I631" r:id="rId630" display="https://i.ibb.co/DznB5q4/Itau.png"/>
    <hyperlink ref="I632" r:id="rId631" display="https://i.ibb.co/DznB5q4/Itau.png"/>
    <hyperlink ref="I633" r:id="rId632" display="https://i.ibb.co/68RXB19/Bradesco.png"/>
    <hyperlink ref="I634" r:id="rId633" display="https://i.ibb.co/DznB5q4/Itau.png"/>
    <hyperlink ref="I635" r:id="rId634" display="https://i.ibb.co/DznB5q4/Itau.png"/>
    <hyperlink ref="I636" r:id="rId635" display="https://i.ibb.co/LpJM38D/Nubank.png"/>
    <hyperlink ref="I637" r:id="rId636" display="https://i.ibb.co/DznB5q4/Itau.png"/>
    <hyperlink ref="I638" r:id="rId637" display="https://i.ibb.co/LpJM38D/Nubank.png"/>
    <hyperlink ref="I639" r:id="rId638" display="https://i.ibb.co/zX8KX6R/Santander.png"/>
    <hyperlink ref="I640" r:id="rId639" display="https://i.ibb.co/DznB5q4/Itau.png"/>
    <hyperlink ref="I641" r:id="rId640" display="https://i.ibb.co/FhY6B5f/Safra.png"/>
    <hyperlink ref="I642" r:id="rId641" display="https://i.ibb.co/LpJM38D/Nubank.png"/>
    <hyperlink ref="I643" r:id="rId642" display="https://i.ibb.co/LpJM38D/Nubank.png"/>
    <hyperlink ref="I644" r:id="rId643" display="https://i.ibb.co/zX8KX6R/Santander.png"/>
    <hyperlink ref="I645" r:id="rId644" display="https://i.ibb.co/LpJM38D/Nubank.png"/>
    <hyperlink ref="I646" r:id="rId645" display="https://i.ibb.co/DznB5q4/Itau.png"/>
    <hyperlink ref="I647" r:id="rId646" display="https://i.ibb.co/LpJM38D/Nubank.png"/>
    <hyperlink ref="I648" r:id="rId647" display="https://i.ibb.co/zX8KX6R/Santander.png"/>
    <hyperlink ref="I649" r:id="rId648" display="https://i.ibb.co/zX8KX6R/Santander.png"/>
    <hyperlink ref="I650" r:id="rId649" display="https://i.ibb.co/DznB5q4/Itau.png"/>
    <hyperlink ref="I651" r:id="rId650" display="https://i.ibb.co/zX8KX6R/Santander.png"/>
    <hyperlink ref="I652" r:id="rId651" display="https://i.ibb.co/DznB5q4/Itau.png"/>
    <hyperlink ref="I653" r:id="rId652" display="https://i.ibb.co/LpJM38D/Nubank.png"/>
    <hyperlink ref="I654" r:id="rId653" display="https://i.ibb.co/LpJM38D/Nubank.png"/>
    <hyperlink ref="I655" r:id="rId654" display="https://i.ibb.co/DznB5q4/Itau.png"/>
    <hyperlink ref="I656" r:id="rId655" display="https://i.ibb.co/DznB5q4/Itau.png"/>
    <hyperlink ref="I657" r:id="rId656" display="https://i.ibb.co/LpJM38D/Nubank.png"/>
    <hyperlink ref="I658" r:id="rId657" display="https://i.ibb.co/zX8KX6R/Santander.png"/>
    <hyperlink ref="I659" r:id="rId658" display="https://i.ibb.co/LpJM38D/Nubank.png"/>
    <hyperlink ref="I660" r:id="rId659" display="https://i.ibb.co/68RXB19/Bradesco.png"/>
    <hyperlink ref="I661" r:id="rId660" display="https://i.ibb.co/DznB5q4/Itau.png"/>
    <hyperlink ref="I662" r:id="rId661" display="https://i.ibb.co/DznB5q4/Itau.png"/>
    <hyperlink ref="I663" r:id="rId662" display="https://i.ibb.co/68RXB19/Bradesco.png"/>
    <hyperlink ref="I664" r:id="rId663" display="https://i.ibb.co/zX8KX6R/Santander.png"/>
    <hyperlink ref="I665" r:id="rId664" display="https://i.ibb.co/DznB5q4/Itau.png"/>
    <hyperlink ref="I666" r:id="rId665" display="https://i.ibb.co/DznB5q4/Itau.png"/>
    <hyperlink ref="I667" r:id="rId666" display="https://i.ibb.co/LpJM38D/Nubank.png"/>
    <hyperlink ref="I668" r:id="rId667" display="https://i.ibb.co/DznB5q4/Itau.png"/>
    <hyperlink ref="I669" r:id="rId668" display="https://i.ibb.co/LpJM38D/Nubank.png"/>
    <hyperlink ref="I670" r:id="rId669" display="https://i.ibb.co/LpJM38D/Nubank.png"/>
    <hyperlink ref="I671" r:id="rId670" display="https://i.ibb.co/DznB5q4/Itau.png"/>
    <hyperlink ref="I672" r:id="rId671" display="https://i.ibb.co/DznB5q4/Itau.png"/>
    <hyperlink ref="I673" r:id="rId672" display="https://i.ibb.co/LpJM38D/Nubank.png"/>
    <hyperlink ref="I674" r:id="rId673" display="https://i.ibb.co/LpJM38D/Nubank.png"/>
    <hyperlink ref="I675" r:id="rId674" display="https://i.ibb.co/LpJM38D/Nubank.png"/>
    <hyperlink ref="I676" r:id="rId675" display="https://i.ibb.co/LpJM38D/Nubank.png"/>
    <hyperlink ref="I677" r:id="rId676" display="https://i.ibb.co/LpJM38D/Nubank.png"/>
    <hyperlink ref="I678" r:id="rId677" display="https://i.ibb.co/zX8KX6R/Santander.png"/>
    <hyperlink ref="I679" r:id="rId678" display="https://i.ibb.co/68RXB19/Bradesco.png"/>
    <hyperlink ref="I680" r:id="rId679" display="https://i.ibb.co/LpJM38D/Nubank.png"/>
    <hyperlink ref="I681" r:id="rId680" display="https://i.ibb.co/LpJM38D/Nubank.png"/>
    <hyperlink ref="I682" r:id="rId681" display="https://i.ibb.co/68RXB19/Bradesco.png"/>
    <hyperlink ref="I683" r:id="rId682" display="https://i.ibb.co/DznB5q4/Itau.png"/>
    <hyperlink ref="I684" r:id="rId683" display="https://i.ibb.co/LpJM38D/Nubank.png"/>
    <hyperlink ref="I685" r:id="rId684" display="https://i.ibb.co/LpJM38D/Nubank.png"/>
    <hyperlink ref="I686" r:id="rId685" display="https://i.ibb.co/DznB5q4/Itau.png"/>
    <hyperlink ref="I687" r:id="rId686" display="https://i.ibb.co/DznB5q4/Itau.png"/>
    <hyperlink ref="I688" r:id="rId687" display="https://i.ibb.co/zX8KX6R/Santander.png"/>
    <hyperlink ref="I689" r:id="rId688" display="https://i.ibb.co/68RXB19/Bradesco.png"/>
    <hyperlink ref="I690" r:id="rId689" display="https://i.ibb.co/LpJM38D/Nubank.png"/>
    <hyperlink ref="I691" r:id="rId690" display="https://i.ibb.co/zX8KX6R/Santander.png"/>
    <hyperlink ref="I692" r:id="rId691" display="https://i.ibb.co/DznB5q4/Itau.png"/>
    <hyperlink ref="I693" r:id="rId692" display="https://i.ibb.co/LpJM38D/Nubank.png"/>
    <hyperlink ref="I694" r:id="rId693" display="https://i.ibb.co/LpJM38D/Nubank.png"/>
    <hyperlink ref="I695" r:id="rId694" display="https://i.ibb.co/FhY6B5f/Safra.png"/>
    <hyperlink ref="I696" r:id="rId695" display="https://i.ibb.co/68RXB19/Bradesco.png"/>
    <hyperlink ref="I697" r:id="rId696" display="https://i.ibb.co/DznB5q4/Itau.png"/>
    <hyperlink ref="I698" r:id="rId697" display="https://i.ibb.co/LpJM38D/Nubank.png"/>
    <hyperlink ref="I699" r:id="rId698" display="https://i.ibb.co/DznB5q4/Itau.png"/>
    <hyperlink ref="I700" r:id="rId699" display="https://i.ibb.co/zX8KX6R/Santander.png"/>
    <hyperlink ref="I701" r:id="rId700" display="https://i.ibb.co/DznB5q4/Itau.png"/>
    <hyperlink ref="I702" r:id="rId701" display="https://i.ibb.co/68RXB19/Bradesco.png"/>
    <hyperlink ref="I703" r:id="rId702" display="https://i.ibb.co/LpJM38D/Nubank.png"/>
    <hyperlink ref="I704" r:id="rId703" display="https://i.ibb.co/LpJM38D/Nubank.png"/>
    <hyperlink ref="I705" r:id="rId704" display="https://i.ibb.co/DznB5q4/Itau.png"/>
    <hyperlink ref="I706" r:id="rId705" display="https://i.ibb.co/68RXB19/Bradesco.png"/>
    <hyperlink ref="I707" r:id="rId706" display="https://i.ibb.co/DznB5q4/Itau.png"/>
    <hyperlink ref="I708" r:id="rId707" display="https://i.ibb.co/DznB5q4/Itau.png"/>
    <hyperlink ref="I709" r:id="rId708" display="https://i.ibb.co/DznB5q4/Itau.png"/>
    <hyperlink ref="I710" r:id="rId709" display="https://i.ibb.co/zX8KX6R/Santander.png"/>
    <hyperlink ref="I711" r:id="rId710" display="https://i.ibb.co/zX8KX6R/Santander.png"/>
    <hyperlink ref="I712" r:id="rId711" display="https://i.ibb.co/DznB5q4/Itau.png"/>
    <hyperlink ref="I713" r:id="rId712" display="https://i.ibb.co/DznB5q4/Itau.png"/>
    <hyperlink ref="I714" r:id="rId713" display="https://i.ibb.co/DznB5q4/Itau.png"/>
    <hyperlink ref="I715" r:id="rId714" display="https://i.ibb.co/DznB5q4/Itau.png"/>
    <hyperlink ref="I716" r:id="rId715" display="https://i.ibb.co/zX8KX6R/Santander.png"/>
    <hyperlink ref="I717" r:id="rId716" display="https://i.ibb.co/DznB5q4/Itau.png"/>
    <hyperlink ref="I718" r:id="rId717" display="https://i.ibb.co/68RXB19/Bradesco.png"/>
    <hyperlink ref="I719" r:id="rId718" display="https://i.ibb.co/DznB5q4/Itau.png"/>
    <hyperlink ref="I720" r:id="rId719" display="https://i.ibb.co/DznB5q4/Itau.png"/>
    <hyperlink ref="I721" r:id="rId720" display="https://i.ibb.co/LpJM38D/Nubank.png"/>
    <hyperlink ref="I722" r:id="rId721" display="https://i.ibb.co/LpJM38D/Nubank.png"/>
    <hyperlink ref="I723" r:id="rId722" display="https://i.ibb.co/LpJM38D/Nubank.png"/>
    <hyperlink ref="I724" r:id="rId723" display="https://i.ibb.co/DznB5q4/Itau.png"/>
    <hyperlink ref="I725" r:id="rId724" display="https://i.ibb.co/LpJM38D/Nubank.png"/>
    <hyperlink ref="I726" r:id="rId725" display="https://i.ibb.co/LpJM38D/Nubank.png"/>
    <hyperlink ref="I727" r:id="rId726" display="https://i.ibb.co/zX8KX6R/Santander.png"/>
    <hyperlink ref="I728" r:id="rId727" display="https://i.ibb.co/DznB5q4/Itau.png"/>
    <hyperlink ref="I729" r:id="rId728" display="https://i.ibb.co/DznB5q4/Itau.png"/>
    <hyperlink ref="I730" r:id="rId729" display="https://i.ibb.co/68RXB19/Bradesco.png"/>
    <hyperlink ref="I731" r:id="rId730" display="https://i.ibb.co/DznB5q4/Itau.png"/>
    <hyperlink ref="I732" r:id="rId731" display="https://i.ibb.co/zX8KX6R/Santander.png"/>
    <hyperlink ref="I733" r:id="rId732" display="https://i.ibb.co/LpJM38D/Nubank.png"/>
    <hyperlink ref="I734" r:id="rId733" display="https://i.ibb.co/68RXB19/Bradesco.png"/>
    <hyperlink ref="I735" r:id="rId734" display="https://i.ibb.co/zX8KX6R/Santander.png"/>
    <hyperlink ref="I736" r:id="rId735" display="https://i.ibb.co/DznB5q4/Itau.png"/>
    <hyperlink ref="I737" r:id="rId736" display="https://i.ibb.co/DznB5q4/Itau.png"/>
    <hyperlink ref="I738" r:id="rId737" display="https://i.ibb.co/DznB5q4/Itau.png"/>
    <hyperlink ref="I739" r:id="rId738" display="https://i.ibb.co/DznB5q4/Itau.png"/>
    <hyperlink ref="I740" r:id="rId739" display="https://i.ibb.co/LpJM38D/Nubank.png"/>
    <hyperlink ref="I741" r:id="rId740" display="https://i.ibb.co/DznB5q4/Itau.png"/>
    <hyperlink ref="I742" r:id="rId741" display="https://i.ibb.co/DznB5q4/Itau.png"/>
    <hyperlink ref="I743" r:id="rId742" display="https://i.ibb.co/FhY6B5f/Safra.png"/>
    <hyperlink ref="I744" r:id="rId743" display="https://i.ibb.co/LpJM38D/Nubank.png"/>
    <hyperlink ref="I745" r:id="rId744" display="https://i.ibb.co/zX8KX6R/Santander.png"/>
    <hyperlink ref="I746" r:id="rId745" display="https://i.ibb.co/FhY6B5f/Safra.png"/>
    <hyperlink ref="I747" r:id="rId746" display="https://i.ibb.co/DznB5q4/Itau.png"/>
    <hyperlink ref="I748" r:id="rId747" display="https://i.ibb.co/LpJM38D/Nubank.png"/>
    <hyperlink ref="I749" r:id="rId748" display="https://i.ibb.co/DznB5q4/Itau.png"/>
    <hyperlink ref="I750" r:id="rId749" display="https://i.ibb.co/LpJM38D/Nubank.png"/>
    <hyperlink ref="I751" r:id="rId750" display="https://i.ibb.co/FhY6B5f/Safra.png"/>
    <hyperlink ref="I752" r:id="rId751" display="https://i.ibb.co/LpJM38D/Nubank.png"/>
    <hyperlink ref="I753" r:id="rId752" display="https://i.ibb.co/zX8KX6R/Santander.png"/>
    <hyperlink ref="I754" r:id="rId753" display="https://i.ibb.co/DznB5q4/Itau.png"/>
    <hyperlink ref="I755" r:id="rId754" display="https://i.ibb.co/zX8KX6R/Santander.png"/>
    <hyperlink ref="I756" r:id="rId755" display="https://i.ibb.co/zX8KX6R/Santander.png"/>
    <hyperlink ref="I757" r:id="rId756" display="https://i.ibb.co/zX8KX6R/Santander.png"/>
    <hyperlink ref="I758" r:id="rId757" display="https://i.ibb.co/LpJM38D/Nubank.png"/>
    <hyperlink ref="I759" r:id="rId758" display="https://i.ibb.co/LpJM38D/Nubank.png"/>
    <hyperlink ref="I760" r:id="rId759" display="https://i.ibb.co/DznB5q4/Itau.png"/>
    <hyperlink ref="I761" r:id="rId760" display="https://i.ibb.co/DznB5q4/Itau.png"/>
    <hyperlink ref="I762" r:id="rId761" display="https://i.ibb.co/LpJM38D/Nubank.png"/>
    <hyperlink ref="I763" r:id="rId762" display="https://i.ibb.co/DznB5q4/Itau.png"/>
    <hyperlink ref="I764" r:id="rId763" display="https://i.ibb.co/DznB5q4/Itau.png"/>
    <hyperlink ref="I765" r:id="rId764" display="https://i.ibb.co/zX8KX6R/Santander.png"/>
    <hyperlink ref="I766" r:id="rId765" display="https://i.ibb.co/LpJM38D/Nubank.png"/>
    <hyperlink ref="I767" r:id="rId766" display="https://i.ibb.co/DznB5q4/Itau.png"/>
    <hyperlink ref="I768" r:id="rId767" display="https://i.ibb.co/LpJM38D/Nubank.png"/>
    <hyperlink ref="I769" r:id="rId768" display="https://i.ibb.co/FhY6B5f/Safra.png"/>
    <hyperlink ref="I770" r:id="rId769" display="https://i.ibb.co/DznB5q4/Itau.png"/>
    <hyperlink ref="I771" r:id="rId770" display="https://i.ibb.co/zX8KX6R/Santander.png"/>
    <hyperlink ref="I772" r:id="rId771" display="https://i.ibb.co/DznB5q4/Itau.png"/>
    <hyperlink ref="I773" r:id="rId772" display="https://i.ibb.co/LpJM38D/Nubank.png"/>
    <hyperlink ref="I774" r:id="rId773" display="https://i.ibb.co/DznB5q4/Itau.png"/>
    <hyperlink ref="I775" r:id="rId774" display="https://i.ibb.co/DznB5q4/Itau.png"/>
    <hyperlink ref="I776" r:id="rId775" display="https://i.ibb.co/DznB5q4/Itau.png"/>
    <hyperlink ref="I777" r:id="rId776" display="https://i.ibb.co/DznB5q4/Itau.png"/>
    <hyperlink ref="I778" r:id="rId777" display="https://i.ibb.co/68RXB19/Bradesco.png"/>
    <hyperlink ref="I779" r:id="rId778" display="https://i.ibb.co/FhY6B5f/Safra.png"/>
    <hyperlink ref="I780" r:id="rId779" display="https://i.ibb.co/zX8KX6R/Santander.png"/>
    <hyperlink ref="I781" r:id="rId780" display="https://i.ibb.co/zX8KX6R/Santander.png"/>
    <hyperlink ref="I782" r:id="rId781" display="https://i.ibb.co/LpJM38D/Nubank.png"/>
    <hyperlink ref="I783" r:id="rId782" display="https://i.ibb.co/DznB5q4/Itau.png"/>
    <hyperlink ref="I784" r:id="rId783" display="https://i.ibb.co/DznB5q4/Itau.png"/>
    <hyperlink ref="I785" r:id="rId784" display="https://i.ibb.co/DznB5q4/Itau.png"/>
    <hyperlink ref="I786" r:id="rId785" display="https://i.ibb.co/LpJM38D/Nubank.png"/>
    <hyperlink ref="I787" r:id="rId786" display="https://i.ibb.co/DznB5q4/Itau.png"/>
    <hyperlink ref="I788" r:id="rId787" display="https://i.ibb.co/DznB5q4/Itau.png"/>
    <hyperlink ref="I789" r:id="rId788" display="https://i.ibb.co/DznB5q4/Itau.png"/>
    <hyperlink ref="I790" r:id="rId789" display="https://i.ibb.co/DznB5q4/Itau.png"/>
    <hyperlink ref="I791" r:id="rId790" display="https://i.ibb.co/68RXB19/Bradesco.png"/>
    <hyperlink ref="I792" r:id="rId791" display="https://i.ibb.co/zX8KX6R/Santander.png"/>
    <hyperlink ref="I793" r:id="rId792" display="https://i.ibb.co/DznB5q4/Itau.png"/>
    <hyperlink ref="I794" r:id="rId793" display="https://i.ibb.co/DznB5q4/Itau.png"/>
    <hyperlink ref="I795" r:id="rId794" display="https://i.ibb.co/FhY6B5f/Safra.png"/>
    <hyperlink ref="I796" r:id="rId795" display="https://i.ibb.co/LpJM38D/Nubank.png"/>
    <hyperlink ref="I797" r:id="rId796" display="https://i.ibb.co/FhY6B5f/Safra.png"/>
    <hyperlink ref="I798" r:id="rId797" display="https://i.ibb.co/LpJM38D/Nubank.png"/>
    <hyperlink ref="I799" r:id="rId798" display="https://i.ibb.co/DznB5q4/Itau.png"/>
    <hyperlink ref="I800" r:id="rId799" display="https://i.ibb.co/zX8KX6R/Santander.png"/>
    <hyperlink ref="I801" r:id="rId800" display="https://i.ibb.co/68RXB19/Bradesco.png"/>
    <hyperlink ref="I802" r:id="rId801" display="https://i.ibb.co/68RXB19/Bradesco.png"/>
    <hyperlink ref="I803" r:id="rId802" display="https://i.ibb.co/LpJM38D/Nubank.png"/>
    <hyperlink ref="I804" r:id="rId803" display="https://i.ibb.co/68RXB19/Bradesco.png"/>
    <hyperlink ref="I805" r:id="rId804" display="https://i.ibb.co/68RXB19/Bradesco.png"/>
    <hyperlink ref="I806" r:id="rId805" display="https://i.ibb.co/DznB5q4/Itau.png"/>
    <hyperlink ref="I807" r:id="rId806" display="https://i.ibb.co/DznB5q4/Itau.png"/>
    <hyperlink ref="I808" r:id="rId807" display="https://i.ibb.co/LpJM38D/Nubank.png"/>
    <hyperlink ref="I809" r:id="rId808" display="https://i.ibb.co/DznB5q4/Itau.png"/>
    <hyperlink ref="I810" r:id="rId809" display="https://i.ibb.co/DznB5q4/Itau.png"/>
    <hyperlink ref="I811" r:id="rId810" display="https://i.ibb.co/DznB5q4/Itau.png"/>
    <hyperlink ref="I812" r:id="rId811" display="https://i.ibb.co/DznB5q4/Itau.png"/>
    <hyperlink ref="I813" r:id="rId812" display="https://i.ibb.co/DznB5q4/Itau.png"/>
    <hyperlink ref="I814" r:id="rId813" display="https://i.ibb.co/zX8KX6R/Santander.png"/>
    <hyperlink ref="I815" r:id="rId814" display="https://i.ibb.co/DznB5q4/Itau.png"/>
    <hyperlink ref="I816" r:id="rId815" display="https://i.ibb.co/LpJM38D/Nubank.png"/>
    <hyperlink ref="I817" r:id="rId816" display="https://i.ibb.co/DznB5q4/Itau.png"/>
    <hyperlink ref="I818" r:id="rId817" display="https://i.ibb.co/zX8KX6R/Santander.png"/>
    <hyperlink ref="I819" r:id="rId818" display="https://i.ibb.co/DznB5q4/Itau.png"/>
    <hyperlink ref="I820" r:id="rId819" display="https://i.ibb.co/zX8KX6R/Santander.png"/>
    <hyperlink ref="I821" r:id="rId820" display="https://i.ibb.co/DznB5q4/Itau.png"/>
    <hyperlink ref="I822" r:id="rId821" display="https://i.ibb.co/LpJM38D/Nubank.png"/>
    <hyperlink ref="I823" r:id="rId822" display="https://i.ibb.co/LpJM38D/Nubank.png"/>
    <hyperlink ref="I824" r:id="rId823" display="https://i.ibb.co/zX8KX6R/Santander.png"/>
    <hyperlink ref="I825" r:id="rId824" display="https://i.ibb.co/DznB5q4/Itau.png"/>
    <hyperlink ref="I826" r:id="rId825" display="https://i.ibb.co/LpJM38D/Nubank.png"/>
    <hyperlink ref="I827" r:id="rId826" display="https://i.ibb.co/DznB5q4/Itau.png"/>
    <hyperlink ref="I828" r:id="rId827" display="https://i.ibb.co/FhY6B5f/Safra.png"/>
    <hyperlink ref="I829" r:id="rId828" display="https://i.ibb.co/zX8KX6R/Santander.png"/>
    <hyperlink ref="I830" r:id="rId829" display="https://i.ibb.co/LpJM38D/Nubank.png"/>
    <hyperlink ref="I831" r:id="rId830" display="https://i.ibb.co/zX8KX6R/Santander.png"/>
    <hyperlink ref="I832" r:id="rId831" display="https://i.ibb.co/DznB5q4/Itau.png"/>
    <hyperlink ref="I833" r:id="rId832" display="https://i.ibb.co/LpJM38D/Nubank.png"/>
    <hyperlink ref="I834" r:id="rId833" display="https://i.ibb.co/DznB5q4/Itau.png"/>
    <hyperlink ref="I835" r:id="rId834" display="https://i.ibb.co/LpJM38D/Nubank.png"/>
    <hyperlink ref="I836" r:id="rId835" display="https://i.ibb.co/DznB5q4/Itau.png"/>
    <hyperlink ref="I837" r:id="rId836" display="https://i.ibb.co/zX8KX6R/Santander.png"/>
    <hyperlink ref="I838" r:id="rId837" display="https://i.ibb.co/DznB5q4/Itau.png"/>
    <hyperlink ref="I839" r:id="rId838" display="https://i.ibb.co/zX8KX6R/Santander.png"/>
    <hyperlink ref="I840" r:id="rId839" display="https://i.ibb.co/zX8KX6R/Santander.png"/>
    <hyperlink ref="I841" r:id="rId840" display="https://i.ibb.co/DznB5q4/Itau.png"/>
    <hyperlink ref="I842" r:id="rId841" display="https://i.ibb.co/LpJM38D/Nubank.png"/>
    <hyperlink ref="I843" r:id="rId842" display="https://i.ibb.co/LpJM38D/Nubank.png"/>
    <hyperlink ref="I844" r:id="rId843" display="https://i.ibb.co/68RXB19/Bradesco.png"/>
    <hyperlink ref="I845" r:id="rId844" display="https://i.ibb.co/LpJM38D/Nubank.png"/>
    <hyperlink ref="I846" r:id="rId845" display="https://i.ibb.co/zX8KX6R/Santander.png"/>
    <hyperlink ref="I847" r:id="rId846" display="https://i.ibb.co/LpJM38D/Nubank.png"/>
    <hyperlink ref="I848" r:id="rId847" display="https://i.ibb.co/DznB5q4/Itau.png"/>
    <hyperlink ref="I849" r:id="rId848" display="https://i.ibb.co/zX8KX6R/Santander.png"/>
    <hyperlink ref="I850" r:id="rId849" display="https://i.ibb.co/LpJM38D/Nubank.png"/>
    <hyperlink ref="I851" r:id="rId850" display="https://i.ibb.co/DznB5q4/Itau.png"/>
    <hyperlink ref="I852" r:id="rId851" display="https://i.ibb.co/LpJM38D/Nubank.png"/>
    <hyperlink ref="I853" r:id="rId852" display="https://i.ibb.co/DznB5q4/Itau.png"/>
    <hyperlink ref="I854" r:id="rId853" display="https://i.ibb.co/DznB5q4/Itau.png"/>
    <hyperlink ref="I855" r:id="rId854" display="https://i.ibb.co/LpJM38D/Nubank.png"/>
    <hyperlink ref="I856" r:id="rId855" display="https://i.ibb.co/DznB5q4/Itau.png"/>
    <hyperlink ref="I857" r:id="rId856" display="https://i.ibb.co/zX8KX6R/Santander.png"/>
    <hyperlink ref="I858" r:id="rId857" display="https://i.ibb.co/LpJM38D/Nubank.png"/>
    <hyperlink ref="I859" r:id="rId858" display="https://i.ibb.co/DznB5q4/Itau.png"/>
    <hyperlink ref="I860" r:id="rId859" display="https://i.ibb.co/FhY6B5f/Safra.png"/>
    <hyperlink ref="I861" r:id="rId860" display="https://i.ibb.co/LpJM38D/Nubank.png"/>
    <hyperlink ref="I862" r:id="rId861" display="https://i.ibb.co/LpJM38D/Nubank.png"/>
    <hyperlink ref="I863" r:id="rId862" display="https://i.ibb.co/LpJM38D/Nubank.png"/>
    <hyperlink ref="I864" r:id="rId863" display="https://i.ibb.co/zX8KX6R/Santander.png"/>
    <hyperlink ref="I865" r:id="rId864" display="https://i.ibb.co/LpJM38D/Nubank.png"/>
    <hyperlink ref="I866" r:id="rId865" display="https://i.ibb.co/FhY6B5f/Safra.png"/>
    <hyperlink ref="I867" r:id="rId866" display="https://i.ibb.co/LpJM38D/Nubank.png"/>
    <hyperlink ref="I868" r:id="rId867" display="https://i.ibb.co/LpJM38D/Nubank.png"/>
    <hyperlink ref="I869" r:id="rId868" display="https://i.ibb.co/LpJM38D/Nubank.png"/>
    <hyperlink ref="I870" r:id="rId869" display="https://i.ibb.co/68RXB19/Bradesco.png"/>
    <hyperlink ref="I871" r:id="rId870" display="https://i.ibb.co/zX8KX6R/Santander.png"/>
    <hyperlink ref="I872" r:id="rId871" display="https://i.ibb.co/DznB5q4/Itau.png"/>
    <hyperlink ref="I873" r:id="rId872" display="https://i.ibb.co/LpJM38D/Nubank.png"/>
    <hyperlink ref="I874" r:id="rId873" display="https://i.ibb.co/zX8KX6R/Santander.png"/>
    <hyperlink ref="I875" r:id="rId874" display="https://i.ibb.co/LpJM38D/Nubank.png"/>
    <hyperlink ref="I876" r:id="rId875" display="https://i.ibb.co/DznB5q4/Itau.png"/>
    <hyperlink ref="I877" r:id="rId876" display="https://i.ibb.co/DznB5q4/Itau.png"/>
    <hyperlink ref="I878" r:id="rId877" display="https://i.ibb.co/DznB5q4/Itau.png"/>
    <hyperlink ref="I879" r:id="rId878" display="https://i.ibb.co/68RXB19/Bradesco.png"/>
    <hyperlink ref="I880" r:id="rId879" display="https://i.ibb.co/LpJM38D/Nubank.png"/>
    <hyperlink ref="I881" r:id="rId880" display="https://i.ibb.co/DznB5q4/Itau.png"/>
    <hyperlink ref="I882" r:id="rId881" display="https://i.ibb.co/FhY6B5f/Safra.png"/>
    <hyperlink ref="I883" r:id="rId882" display="https://i.ibb.co/DznB5q4/Itau.png"/>
    <hyperlink ref="I884" r:id="rId883" display="https://i.ibb.co/LpJM38D/Nubank.png"/>
    <hyperlink ref="I885" r:id="rId884" display="https://i.ibb.co/LpJM38D/Nubank.png"/>
    <hyperlink ref="I886" r:id="rId885" display="https://i.ibb.co/68RXB19/Bradesco.png"/>
    <hyperlink ref="I887" r:id="rId886" display="https://i.ibb.co/DznB5q4/Itau.png"/>
    <hyperlink ref="I888" r:id="rId887" display="https://i.ibb.co/zX8KX6R/Santander.png"/>
    <hyperlink ref="I889" r:id="rId888" display="https://i.ibb.co/LpJM38D/Nubank.png"/>
    <hyperlink ref="I890" r:id="rId889" display="https://i.ibb.co/DznB5q4/Itau.png"/>
    <hyperlink ref="I891" r:id="rId890" display="https://i.ibb.co/DznB5q4/Itau.png"/>
    <hyperlink ref="I892" r:id="rId891" display="https://i.ibb.co/68RXB19/Bradesco.png"/>
    <hyperlink ref="I893" r:id="rId892" display="https://i.ibb.co/DznB5q4/Itau.png"/>
    <hyperlink ref="I894" r:id="rId893" display="https://i.ibb.co/DznB5q4/Itau.png"/>
    <hyperlink ref="I895" r:id="rId894" display="https://i.ibb.co/DznB5q4/Itau.png"/>
    <hyperlink ref="I896" r:id="rId895" display="https://i.ibb.co/DznB5q4/Itau.png"/>
    <hyperlink ref="I897" r:id="rId896" display="https://i.ibb.co/DznB5q4/Itau.png"/>
    <hyperlink ref="I898" r:id="rId897" display="https://i.ibb.co/DznB5q4/Itau.png"/>
    <hyperlink ref="I899" r:id="rId898" display="https://i.ibb.co/DznB5q4/Itau.png"/>
    <hyperlink ref="I900" r:id="rId899" display="https://i.ibb.co/DznB5q4/Itau.png"/>
    <hyperlink ref="I901" r:id="rId900" display="https://i.ibb.co/zX8KX6R/Santander.png"/>
    <hyperlink ref="I902" r:id="rId901" display="https://i.ibb.co/DznB5q4/Itau.png"/>
    <hyperlink ref="I903" r:id="rId902" display="https://i.ibb.co/DznB5q4/Itau.png"/>
    <hyperlink ref="I904" r:id="rId903" display="https://i.ibb.co/DznB5q4/Itau.png"/>
    <hyperlink ref="I905" r:id="rId904" display="https://i.ibb.co/LpJM38D/Nubank.png"/>
    <hyperlink ref="I906" r:id="rId905" display="https://i.ibb.co/68RXB19/Bradesco.png"/>
    <hyperlink ref="I907" r:id="rId906" display="https://i.ibb.co/LpJM38D/Nubank.png"/>
    <hyperlink ref="I908" r:id="rId907" display="https://i.ibb.co/DznB5q4/Itau.png"/>
    <hyperlink ref="I909" r:id="rId908" display="https://i.ibb.co/DznB5q4/Itau.png"/>
    <hyperlink ref="I910" r:id="rId909" display="https://i.ibb.co/zX8KX6R/Santander.png"/>
    <hyperlink ref="I911" r:id="rId910" display="https://i.ibb.co/LpJM38D/Nubank.png"/>
    <hyperlink ref="I912" r:id="rId911" display="https://i.ibb.co/LpJM38D/Nubank.png"/>
    <hyperlink ref="I913" r:id="rId912" display="https://i.ibb.co/DznB5q4/Itau.png"/>
    <hyperlink ref="I914" r:id="rId913" display="https://i.ibb.co/68RXB19/Bradesco.png"/>
    <hyperlink ref="I915" r:id="rId914" display="https://i.ibb.co/DznB5q4/Itau.png"/>
    <hyperlink ref="I916" r:id="rId915" display="https://i.ibb.co/DznB5q4/Itau.png"/>
    <hyperlink ref="I917" r:id="rId916" display="https://i.ibb.co/FhY6B5f/Safra.png"/>
    <hyperlink ref="I918" r:id="rId917" display="https://i.ibb.co/DznB5q4/Itau.png"/>
    <hyperlink ref="I919" r:id="rId918" display="https://i.ibb.co/LpJM38D/Nubank.png"/>
    <hyperlink ref="I920" r:id="rId919" display="https://i.ibb.co/zX8KX6R/Santander.png"/>
    <hyperlink ref="I921" r:id="rId920" display="https://i.ibb.co/LpJM38D/Nubank.png"/>
    <hyperlink ref="I922" r:id="rId921" display="https://i.ibb.co/LpJM38D/Nubank.png"/>
    <hyperlink ref="I923" r:id="rId922" display="https://i.ibb.co/zX8KX6R/Santander.png"/>
    <hyperlink ref="I924" r:id="rId923" display="https://i.ibb.co/LpJM38D/Nubank.png"/>
    <hyperlink ref="I925" r:id="rId924" display="https://i.ibb.co/LpJM38D/Nubank.png"/>
    <hyperlink ref="I926" r:id="rId925" display="https://i.ibb.co/FhY6B5f/Safra.png"/>
    <hyperlink ref="I927" r:id="rId926" display="https://i.ibb.co/LpJM38D/Nubank.png"/>
    <hyperlink ref="I928" r:id="rId927" display="https://i.ibb.co/LpJM38D/Nubank.png"/>
    <hyperlink ref="I929" r:id="rId928" display="https://i.ibb.co/DznB5q4/Itau.png"/>
    <hyperlink ref="I930" r:id="rId929" display="https://i.ibb.co/DznB5q4/Itau.png"/>
    <hyperlink ref="I931" r:id="rId930" display="https://i.ibb.co/zX8KX6R/Santander.png"/>
    <hyperlink ref="I932" r:id="rId931" display="https://i.ibb.co/FhY6B5f/Safra.png"/>
    <hyperlink ref="I933" r:id="rId932" display="https://i.ibb.co/DznB5q4/Itau.png"/>
    <hyperlink ref="I934" r:id="rId933" display="https://i.ibb.co/68RXB19/Bradesco.png"/>
    <hyperlink ref="I935" r:id="rId934" display="https://i.ibb.co/zX8KX6R/Santander.png"/>
    <hyperlink ref="I936" r:id="rId935" display="https://i.ibb.co/DznB5q4/Itau.png"/>
    <hyperlink ref="I937" r:id="rId936" display="https://i.ibb.co/DznB5q4/Itau.png"/>
    <hyperlink ref="I938" r:id="rId937" display="https://i.ibb.co/DznB5q4/Itau.png"/>
    <hyperlink ref="I939" r:id="rId938" display="https://i.ibb.co/LpJM38D/Nubank.png"/>
    <hyperlink ref="I940" r:id="rId939" display="https://i.ibb.co/LpJM38D/Nubank.png"/>
    <hyperlink ref="I941" r:id="rId940" display="https://i.ibb.co/DznB5q4/Itau.png"/>
    <hyperlink ref="I942" r:id="rId941" display="https://i.ibb.co/LpJM38D/Nubank.png"/>
    <hyperlink ref="I943" r:id="rId942" display="https://i.ibb.co/DznB5q4/Itau.png"/>
    <hyperlink ref="I944" r:id="rId943" display="https://i.ibb.co/zX8KX6R/Santander.png"/>
    <hyperlink ref="I945" r:id="rId944" display="https://i.ibb.co/DznB5q4/Itau.png"/>
    <hyperlink ref="I946" r:id="rId945" display="https://i.ibb.co/LpJM38D/Nubank.png"/>
    <hyperlink ref="I947" r:id="rId946" display="https://i.ibb.co/LpJM38D/Nubank.png"/>
    <hyperlink ref="I948" r:id="rId947" display="https://i.ibb.co/LpJM38D/Nubank.png"/>
    <hyperlink ref="I949" r:id="rId948" display="https://i.ibb.co/DznB5q4/Itau.png"/>
    <hyperlink ref="I950" r:id="rId949" display="https://i.ibb.co/FhY6B5f/Safra.png"/>
    <hyperlink ref="I951" r:id="rId950" display="https://i.ibb.co/LpJM38D/Nubank.png"/>
    <hyperlink ref="I952" r:id="rId951" display="https://i.ibb.co/LpJM38D/Nubank.png"/>
    <hyperlink ref="I953" r:id="rId952" display="https://i.ibb.co/DznB5q4/Itau.png"/>
    <hyperlink ref="I954" r:id="rId953" display="https://i.ibb.co/DznB5q4/Itau.png"/>
    <hyperlink ref="I955" r:id="rId954" display="https://i.ibb.co/LpJM38D/Nubank.png"/>
    <hyperlink ref="I956" r:id="rId955" display="https://i.ibb.co/zX8KX6R/Santander.png"/>
    <hyperlink ref="I957" r:id="rId956" display="https://i.ibb.co/DznB5q4/Itau.png"/>
    <hyperlink ref="I958" r:id="rId957" display="https://i.ibb.co/FhY6B5f/Safra.png"/>
    <hyperlink ref="I959" r:id="rId958" display="https://i.ibb.co/LpJM38D/Nubank.png"/>
    <hyperlink ref="I960" r:id="rId959" display="https://i.ibb.co/68RXB19/Bradesco.png"/>
    <hyperlink ref="I961" r:id="rId960" display="https://i.ibb.co/DznB5q4/Itau.png"/>
    <hyperlink ref="I962" r:id="rId961" display="https://i.ibb.co/DznB5q4/Itau.png"/>
    <hyperlink ref="I963" r:id="rId962" display="https://i.ibb.co/DznB5q4/Itau.png"/>
    <hyperlink ref="I964" r:id="rId963" display="https://i.ibb.co/FhY6B5f/Safra.png"/>
    <hyperlink ref="I965" r:id="rId964" display="https://i.ibb.co/zX8KX6R/Santander.png"/>
    <hyperlink ref="I966" r:id="rId965" display="https://i.ibb.co/DznB5q4/Itau.png"/>
    <hyperlink ref="I967" r:id="rId966" display="https://i.ibb.co/FhY6B5f/Safra.png"/>
    <hyperlink ref="I968" r:id="rId967" display="https://i.ibb.co/68RXB19/Bradesco.png"/>
    <hyperlink ref="I969" r:id="rId968" display="https://i.ibb.co/LpJM38D/Nubank.png"/>
    <hyperlink ref="I970" r:id="rId969" display="https://i.ibb.co/DznB5q4/Itau.png"/>
    <hyperlink ref="I971" r:id="rId970" display="https://i.ibb.co/FhY6B5f/Safra.png"/>
    <hyperlink ref="I972" r:id="rId971" display="https://i.ibb.co/DznB5q4/Itau.png"/>
    <hyperlink ref="I973" r:id="rId972" display="https://i.ibb.co/DznB5q4/Itau.png"/>
    <hyperlink ref="I974" r:id="rId973" display="https://i.ibb.co/DznB5q4/Itau.png"/>
    <hyperlink ref="I975" r:id="rId974" display="https://i.ibb.co/LpJM38D/Nubank.png"/>
    <hyperlink ref="I976" r:id="rId975" display="https://i.ibb.co/DznB5q4/Itau.png"/>
    <hyperlink ref="I977" r:id="rId976" display="https://i.ibb.co/LpJM38D/Nubank.png"/>
    <hyperlink ref="I978" r:id="rId977" display="https://i.ibb.co/DznB5q4/Itau.png"/>
    <hyperlink ref="I979" r:id="rId978" display="https://i.ibb.co/68RXB19/Bradesco.png"/>
    <hyperlink ref="I980" r:id="rId979" display="https://i.ibb.co/DznB5q4/Itau.png"/>
    <hyperlink ref="I981" r:id="rId980" display="https://i.ibb.co/DznB5q4/Itau.png"/>
    <hyperlink ref="I982" r:id="rId981" display="https://i.ibb.co/68RXB19/Bradesco.png"/>
    <hyperlink ref="I983" r:id="rId982" display="https://i.ibb.co/DznB5q4/Itau.png"/>
    <hyperlink ref="I984" r:id="rId983" display="https://i.ibb.co/zX8KX6R/Santander.png"/>
    <hyperlink ref="I985" r:id="rId984" display="https://i.ibb.co/zX8KX6R/Santander.png"/>
    <hyperlink ref="I986" r:id="rId985" display="https://i.ibb.co/LpJM38D/Nubank.png"/>
    <hyperlink ref="I987" r:id="rId986" display="https://i.ibb.co/DznB5q4/Itau.png"/>
    <hyperlink ref="I988" r:id="rId987" display="https://i.ibb.co/DznB5q4/Itau.png"/>
    <hyperlink ref="I989" r:id="rId988" display="https://i.ibb.co/DznB5q4/Itau.png"/>
    <hyperlink ref="I990" r:id="rId989" display="https://i.ibb.co/zX8KX6R/Santander.png"/>
    <hyperlink ref="I991" r:id="rId990" display="https://i.ibb.co/zX8KX6R/Santander.png"/>
    <hyperlink ref="I992" r:id="rId991" display="https://i.ibb.co/LpJM38D/Nubank.png"/>
    <hyperlink ref="I993" r:id="rId992" display="https://i.ibb.co/68RXB19/Bradesco.png"/>
    <hyperlink ref="I994" r:id="rId993" display="https://i.ibb.co/LpJM38D/Nubank.png"/>
    <hyperlink ref="I995" r:id="rId994" display="https://i.ibb.co/zX8KX6R/Santander.png"/>
    <hyperlink ref="I996" r:id="rId995" display="https://i.ibb.co/zX8KX6R/Santander.png"/>
    <hyperlink ref="I997" r:id="rId996" display="https://i.ibb.co/DznB5q4/Itau.png"/>
    <hyperlink ref="I998" r:id="rId997" display="https://i.ibb.co/LpJM38D/Nubank.png"/>
    <hyperlink ref="I999" r:id="rId998" display="https://i.ibb.co/LpJM38D/Nubank.png"/>
    <hyperlink ref="I1000" r:id="rId999" display="https://i.ibb.co/68RXB19/Bradesco.png"/>
    <hyperlink ref="I1001" r:id="rId1000" display="https://i.ibb.co/LpJM38D/Nubank.png"/>
    <hyperlink ref="I1002" r:id="rId1001" display="https://i.ibb.co/LpJM38D/Nubank.png"/>
    <hyperlink ref="I1003" r:id="rId1002" display="https://i.ibb.co/zX8KX6R/Santander.png"/>
    <hyperlink ref="I1004" r:id="rId1003" display="https://i.ibb.co/FhY6B5f/Safra.png"/>
    <hyperlink ref="I1005" r:id="rId1004" display="https://i.ibb.co/LpJM38D/Nubank.png"/>
    <hyperlink ref="I1006" r:id="rId1005" display="https://i.ibb.co/68RXB19/Bradesco.png"/>
    <hyperlink ref="I1007" r:id="rId1006" display="https://i.ibb.co/DznB5q4/Itau.png"/>
    <hyperlink ref="I1008" r:id="rId1007" display="https://i.ibb.co/DznB5q4/Itau.png"/>
    <hyperlink ref="I1009" r:id="rId1008" display="https://i.ibb.co/DznB5q4/Itau.png"/>
    <hyperlink ref="I1010" r:id="rId1009" display="https://i.ibb.co/zX8KX6R/Santander.png"/>
    <hyperlink ref="I1011" r:id="rId1010" display="https://i.ibb.co/DznB5q4/Itau.png"/>
    <hyperlink ref="I1012" r:id="rId1011" display="https://i.ibb.co/zX8KX6R/Santander.png"/>
    <hyperlink ref="I1013" r:id="rId1012" display="https://i.ibb.co/DznB5q4/Itau.png"/>
    <hyperlink ref="I1014" r:id="rId1013" display="https://i.ibb.co/LpJM38D/Nubank.png"/>
    <hyperlink ref="I1015" r:id="rId1014" display="https://i.ibb.co/LpJM38D/Nubank.png"/>
    <hyperlink ref="I1016" r:id="rId1015" display="https://i.ibb.co/zX8KX6R/Santander.png"/>
    <hyperlink ref="I1017" r:id="rId1016" display="https://i.ibb.co/68RXB19/Bradesco.png"/>
    <hyperlink ref="I1018" r:id="rId1017" display="https://i.ibb.co/DznB5q4/Itau.png"/>
    <hyperlink ref="I1019" r:id="rId1018" display="https://i.ibb.co/DznB5q4/Itau.png"/>
    <hyperlink ref="I1020" r:id="rId1019" display="https://i.ibb.co/DznB5q4/Itau.png"/>
    <hyperlink ref="I1021" r:id="rId1020" display="https://i.ibb.co/zX8KX6R/Santander.png"/>
    <hyperlink ref="I1022" r:id="rId1021" display="https://i.ibb.co/DznB5q4/Itau.png"/>
    <hyperlink ref="I1023" r:id="rId1022" display="https://i.ibb.co/DznB5q4/Itau.png"/>
    <hyperlink ref="I1024" r:id="rId1023" display="https://i.ibb.co/DznB5q4/Itau.png"/>
    <hyperlink ref="I1025" r:id="rId1024" display="https://i.ibb.co/DznB5q4/Itau.png"/>
    <hyperlink ref="I1026" r:id="rId1025" display="https://i.ibb.co/zX8KX6R/Santander.png"/>
    <hyperlink ref="I1027" r:id="rId1026" display="https://i.ibb.co/68RXB19/Bradesco.png"/>
    <hyperlink ref="I1028" r:id="rId1027" display="https://i.ibb.co/DznB5q4/Itau.png"/>
    <hyperlink ref="I1029" r:id="rId1028" display="https://i.ibb.co/LpJM38D/Nubank.png"/>
    <hyperlink ref="I1030" r:id="rId1029" display="https://i.ibb.co/LpJM38D/Nubank.png"/>
    <hyperlink ref="I1031" r:id="rId1030" display="https://i.ibb.co/DznB5q4/Itau.png"/>
    <hyperlink ref="I1032" r:id="rId1031" display="https://i.ibb.co/LpJM38D/Nubank.png"/>
    <hyperlink ref="I1033" r:id="rId1032" display="https://i.ibb.co/zX8KX6R/Santander.png"/>
    <hyperlink ref="I1034" r:id="rId1033" display="https://i.ibb.co/LpJM38D/Nubank.png"/>
    <hyperlink ref="I1035" r:id="rId1034" display="https://i.ibb.co/DznB5q4/Itau.png"/>
    <hyperlink ref="I1036" r:id="rId1035" display="https://i.ibb.co/68RXB19/Bradesco.png"/>
    <hyperlink ref="I1037" r:id="rId1036" display="https://i.ibb.co/FhY6B5f/Safra.png"/>
    <hyperlink ref="I1038" r:id="rId1037" display="https://i.ibb.co/68RXB19/Bradesco.png"/>
    <hyperlink ref="I1039" r:id="rId1038" display="https://i.ibb.co/LpJM38D/Nubank.png"/>
    <hyperlink ref="I1040" r:id="rId1039" display="https://i.ibb.co/68RXB19/Bradesco.png"/>
    <hyperlink ref="I1041" r:id="rId1040" display="https://i.ibb.co/LpJM38D/Nubank.png"/>
    <hyperlink ref="I1042" r:id="rId1041" display="https://i.ibb.co/LpJM38D/Nubank.png"/>
    <hyperlink ref="I1043" r:id="rId1042" display="https://i.ibb.co/DznB5q4/Itau.png"/>
    <hyperlink ref="I1044" r:id="rId1043" display="https://i.ibb.co/DznB5q4/Itau.png"/>
    <hyperlink ref="I1045" r:id="rId1044" display="https://i.ibb.co/LpJM38D/Nubank.png"/>
    <hyperlink ref="I1046" r:id="rId1045" display="https://i.ibb.co/DznB5q4/Itau.png"/>
    <hyperlink ref="I1047" r:id="rId1046" display="https://i.ibb.co/LpJM38D/Nubank.png"/>
    <hyperlink ref="I1048" r:id="rId1047" display="https://i.ibb.co/DznB5q4/Itau.png"/>
    <hyperlink ref="I1049" r:id="rId1048" display="https://i.ibb.co/zX8KX6R/Santander.png"/>
    <hyperlink ref="I1050" r:id="rId1049" display="https://i.ibb.co/zX8KX6R/Santander.png"/>
    <hyperlink ref="I1051" r:id="rId1050" display="https://i.ibb.co/68RXB19/Bradesco.png"/>
    <hyperlink ref="I1052" r:id="rId1051" display="https://i.ibb.co/68RXB19/Bradesco.png"/>
    <hyperlink ref="I1053" r:id="rId1052" display="https://i.ibb.co/DznB5q4/Itau.png"/>
    <hyperlink ref="I1054" r:id="rId1053" display="https://i.ibb.co/DznB5q4/Itau.png"/>
    <hyperlink ref="I1055" r:id="rId1054" display="https://i.ibb.co/LpJM38D/Nubank.png"/>
    <hyperlink ref="I1056" r:id="rId1055" display="https://i.ibb.co/zX8KX6R/Santander.png"/>
    <hyperlink ref="I1057" r:id="rId1056" display="https://i.ibb.co/LpJM38D/Nubank.png"/>
    <hyperlink ref="I1058" r:id="rId1057" display="https://i.ibb.co/DznB5q4/Itau.png"/>
    <hyperlink ref="I1059" r:id="rId1058" display="https://i.ibb.co/LpJM38D/Nubank.png"/>
    <hyperlink ref="I1060" r:id="rId1059" display="https://i.ibb.co/DznB5q4/Itau.png"/>
    <hyperlink ref="I1061" r:id="rId1060" display="https://i.ibb.co/DznB5q4/Itau.png"/>
    <hyperlink ref="I1062" r:id="rId1061" display="https://i.ibb.co/zX8KX6R/Santander.png"/>
    <hyperlink ref="I1063" r:id="rId1062" display="https://i.ibb.co/DznB5q4/Itau.png"/>
    <hyperlink ref="I1064" r:id="rId1063" display="https://i.ibb.co/68RXB19/Bradesco.png"/>
    <hyperlink ref="I1065" r:id="rId1064" display="https://i.ibb.co/LpJM38D/Nubank.png"/>
    <hyperlink ref="I1066" r:id="rId1065" display="https://i.ibb.co/zX8KX6R/Santander.png"/>
    <hyperlink ref="I1067" r:id="rId1066" display="https://i.ibb.co/LpJM38D/Nubank.png"/>
    <hyperlink ref="I1068" r:id="rId1067" display="https://i.ibb.co/DznB5q4/Itau.png"/>
    <hyperlink ref="I1069" r:id="rId1068" display="https://i.ibb.co/DznB5q4/Itau.png"/>
    <hyperlink ref="I1070" r:id="rId1069" display="https://i.ibb.co/DznB5q4/Itau.png"/>
    <hyperlink ref="I1071" r:id="rId1070" display="https://i.ibb.co/68RXB19/Bradesco.png"/>
    <hyperlink ref="I1072" r:id="rId1071" display="https://i.ibb.co/68RXB19/Bradesco.png"/>
    <hyperlink ref="I1073" r:id="rId1072" display="https://i.ibb.co/FhY6B5f/Safra.png"/>
    <hyperlink ref="I1074" r:id="rId1073" display="https://i.ibb.co/68RXB19/Bradesco.png"/>
    <hyperlink ref="I1075" r:id="rId1074" display="https://i.ibb.co/zX8KX6R/Santander.png"/>
    <hyperlink ref="I1076" r:id="rId1075" display="https://i.ibb.co/LpJM38D/Nubank.png"/>
    <hyperlink ref="I1077" r:id="rId1076" display="https://i.ibb.co/DznB5q4/Itau.png"/>
    <hyperlink ref="I1078" r:id="rId1077" display="https://i.ibb.co/DznB5q4/Itau.png"/>
    <hyperlink ref="I1079" r:id="rId1078" display="https://i.ibb.co/LpJM38D/Nubank.png"/>
    <hyperlink ref="I1080" r:id="rId1079" display="https://i.ibb.co/zX8KX6R/Santander.png"/>
    <hyperlink ref="I1081" r:id="rId1080" display="https://i.ibb.co/68RXB19/Bradesco.png"/>
    <hyperlink ref="I1082" r:id="rId1081" display="https://i.ibb.co/DznB5q4/Itau.png"/>
    <hyperlink ref="I1083" r:id="rId1082" display="https://i.ibb.co/DznB5q4/Itau.png"/>
    <hyperlink ref="I1084" r:id="rId1083" display="https://i.ibb.co/68RXB19/Bradesco.png"/>
    <hyperlink ref="I1085" r:id="rId1084" display="https://i.ibb.co/68RXB19/Bradesco.png"/>
    <hyperlink ref="I1086" r:id="rId1085" display="https://i.ibb.co/zX8KX6R/Santander.png"/>
    <hyperlink ref="I1087" r:id="rId1086" display="https://i.ibb.co/68RXB19/Bradesco.png"/>
    <hyperlink ref="I1088" r:id="rId1087" display="https://i.ibb.co/DznB5q4/Itau.png"/>
    <hyperlink ref="I1089" r:id="rId1088" display="https://i.ibb.co/DznB5q4/Itau.png"/>
    <hyperlink ref="I1090" r:id="rId1089" display="https://i.ibb.co/DznB5q4/Itau.png"/>
    <hyperlink ref="I1091" r:id="rId1090" display="https://i.ibb.co/LpJM38D/Nubank.png"/>
    <hyperlink ref="I1092" r:id="rId1091" display="https://i.ibb.co/68RXB19/Bradesco.png"/>
    <hyperlink ref="I1093" r:id="rId1092" display="https://i.ibb.co/68RXB19/Bradesco.png"/>
    <hyperlink ref="I1094" r:id="rId1093" display="https://i.ibb.co/LpJM38D/Nubank.png"/>
    <hyperlink ref="I1095" r:id="rId1094" display="https://i.ibb.co/68RXB19/Bradesco.png"/>
    <hyperlink ref="I1096" r:id="rId1095" display="https://i.ibb.co/LpJM38D/Nubank.png"/>
    <hyperlink ref="I1097" r:id="rId1096" display="https://i.ibb.co/68RXB19/Bradesco.png"/>
    <hyperlink ref="I1098" r:id="rId1097" display="https://i.ibb.co/DznB5q4/Itau.png"/>
    <hyperlink ref="I1099" r:id="rId1098" display="https://i.ibb.co/FhY6B5f/Safra.png"/>
    <hyperlink ref="I1100" r:id="rId1099" display="https://i.ibb.co/68RXB19/Bradesco.png"/>
    <hyperlink ref="I1101" r:id="rId1100" display="https://i.ibb.co/DznB5q4/Itau.png"/>
    <hyperlink ref="I1102" r:id="rId1101" display="https://i.ibb.co/68RXB19/Bradesco.png"/>
    <hyperlink ref="I1103" r:id="rId1102" display="https://i.ibb.co/LpJM38D/Nubank.png"/>
    <hyperlink ref="I1104" r:id="rId1103" display="https://i.ibb.co/DznB5q4/Itau.png"/>
    <hyperlink ref="I1105" r:id="rId1104" display="https://i.ibb.co/DznB5q4/Itau.png"/>
    <hyperlink ref="I1106" r:id="rId1105" display="https://i.ibb.co/DznB5q4/Itau.png"/>
    <hyperlink ref="I1107" r:id="rId1106" display="https://i.ibb.co/DznB5q4/Itau.png"/>
    <hyperlink ref="I1108" r:id="rId1107" display="https://i.ibb.co/LpJM38D/Nubank.png"/>
    <hyperlink ref="I1109" r:id="rId1108" display="https://i.ibb.co/DznB5q4/Itau.png"/>
    <hyperlink ref="I1110" r:id="rId1109" display="https://i.ibb.co/DznB5q4/Itau.png"/>
    <hyperlink ref="I1111" r:id="rId1110" display="https://i.ibb.co/LpJM38D/Nubank.png"/>
    <hyperlink ref="I1112" r:id="rId1111" display="https://i.ibb.co/DznB5q4/Itau.png"/>
    <hyperlink ref="I1113" r:id="rId1112" display="https://i.ibb.co/DznB5q4/Itau.png"/>
    <hyperlink ref="I1114" r:id="rId1113" display="https://i.ibb.co/zX8KX6R/Santander.png"/>
    <hyperlink ref="I1115" r:id="rId1114" display="https://i.ibb.co/DznB5q4/Itau.png"/>
    <hyperlink ref="I1116" r:id="rId1115" display="https://i.ibb.co/DznB5q4/Itau.png"/>
    <hyperlink ref="I1117" r:id="rId1116" display="https://i.ibb.co/FhY6B5f/Safra.png"/>
    <hyperlink ref="I1118" r:id="rId1117" display="https://i.ibb.co/DznB5q4/Itau.png"/>
    <hyperlink ref="I1119" r:id="rId1118" display="https://i.ibb.co/LpJM38D/Nubank.png"/>
    <hyperlink ref="I1120" r:id="rId1119" display="https://i.ibb.co/DznB5q4/Itau.png"/>
    <hyperlink ref="I1121" r:id="rId1120" display="https://i.ibb.co/zX8KX6R/Santander.png"/>
    <hyperlink ref="I1122" r:id="rId1121" display="https://i.ibb.co/LpJM38D/Nubank.png"/>
    <hyperlink ref="I1123" r:id="rId1122" display="https://i.ibb.co/zX8KX6R/Santander.png"/>
    <hyperlink ref="I1124" r:id="rId1123" display="https://i.ibb.co/LpJM38D/Nubank.png"/>
    <hyperlink ref="I1125" r:id="rId1124" display="https://i.ibb.co/DznB5q4/Itau.png"/>
    <hyperlink ref="I1126" r:id="rId1125" display="https://i.ibb.co/zX8KX6R/Santander.png"/>
    <hyperlink ref="I1127" r:id="rId1126" display="https://i.ibb.co/LpJM38D/Nubank.png"/>
    <hyperlink ref="I1128" r:id="rId1127" display="https://i.ibb.co/zX8KX6R/Santander.png"/>
    <hyperlink ref="I1129" r:id="rId1128" display="https://i.ibb.co/zX8KX6R/Santander.png"/>
    <hyperlink ref="I1130" r:id="rId1129" display="https://i.ibb.co/FhY6B5f/Safra.png"/>
    <hyperlink ref="I1131" r:id="rId1130" display="https://i.ibb.co/DznB5q4/Itau.png"/>
    <hyperlink ref="I1132" r:id="rId1131" display="https://i.ibb.co/zX8KX6R/Santander.png"/>
    <hyperlink ref="I1133" r:id="rId1132" display="https://i.ibb.co/LpJM38D/Nubank.png"/>
    <hyperlink ref="I1134" r:id="rId1133" display="https://i.ibb.co/FhY6B5f/Safra.png"/>
    <hyperlink ref="I1135" r:id="rId1134" display="https://i.ibb.co/DznB5q4/Itau.png"/>
    <hyperlink ref="I1136" r:id="rId1135" display="https://i.ibb.co/FhY6B5f/Safra.png"/>
    <hyperlink ref="I1137" r:id="rId1136" display="https://i.ibb.co/LpJM38D/Nubank.png"/>
    <hyperlink ref="I1138" r:id="rId1137" display="https://i.ibb.co/DznB5q4/Itau.png"/>
    <hyperlink ref="I1139" r:id="rId1138" display="https://i.ibb.co/DznB5q4/Itau.png"/>
    <hyperlink ref="I1140" r:id="rId1139" display="https://i.ibb.co/DznB5q4/Itau.png"/>
    <hyperlink ref="I1141" r:id="rId1140" display="https://i.ibb.co/DznB5q4/Itau.png"/>
    <hyperlink ref="I1142" r:id="rId1141" display="https://i.ibb.co/DznB5q4/Itau.png"/>
    <hyperlink ref="I1143" r:id="rId1142" display="https://i.ibb.co/DznB5q4/Itau.png"/>
    <hyperlink ref="I1144" r:id="rId1143" display="https://i.ibb.co/68RXB19/Bradesco.png"/>
    <hyperlink ref="I1145" r:id="rId1144" display="https://i.ibb.co/68RXB19/Bradesco.png"/>
    <hyperlink ref="I1146" r:id="rId1145" display="https://i.ibb.co/68RXB19/Bradesco.png"/>
    <hyperlink ref="I1147" r:id="rId1146" display="https://i.ibb.co/LpJM38D/Nubank.png"/>
    <hyperlink ref="I1148" r:id="rId1147" display="https://i.ibb.co/DznB5q4/Itau.png"/>
    <hyperlink ref="I1149" r:id="rId1148" display="https://i.ibb.co/DznB5q4/Itau.png"/>
    <hyperlink ref="I1150" r:id="rId1149" display="https://i.ibb.co/68RXB19/Bradesco.png"/>
    <hyperlink ref="I1151" r:id="rId1150" display="https://i.ibb.co/DznB5q4/Itau.png"/>
    <hyperlink ref="I1152" r:id="rId1151" display="https://i.ibb.co/zX8KX6R/Santander.png"/>
    <hyperlink ref="I1153" r:id="rId1152" display="https://i.ibb.co/LpJM38D/Nubank.png"/>
    <hyperlink ref="I1154" r:id="rId1153" display="https://i.ibb.co/DznB5q4/Itau.png"/>
    <hyperlink ref="I1155" r:id="rId1154" display="https://i.ibb.co/LpJM38D/Nubank.png"/>
    <hyperlink ref="I1156" r:id="rId1155" display="https://i.ibb.co/DznB5q4/Itau.png"/>
    <hyperlink ref="I1157" r:id="rId1156" display="https://i.ibb.co/68RXB19/Bradesco.png"/>
    <hyperlink ref="I1158" r:id="rId1157" display="https://i.ibb.co/FhY6B5f/Safra.png"/>
    <hyperlink ref="I1159" r:id="rId1158" display="https://i.ibb.co/DznB5q4/Itau.png"/>
    <hyperlink ref="I1160" r:id="rId1159" display="https://i.ibb.co/DznB5q4/Itau.png"/>
    <hyperlink ref="I1161" r:id="rId1160" display="https://i.ibb.co/68RXB19/Bradesco.png"/>
    <hyperlink ref="I1162" r:id="rId1161" display="https://i.ibb.co/DznB5q4/Itau.png"/>
    <hyperlink ref="I1163" r:id="rId1162" display="https://i.ibb.co/68RXB19/Bradesco.png"/>
    <hyperlink ref="I1164" r:id="rId1163" display="https://i.ibb.co/DznB5q4/Itau.png"/>
    <hyperlink ref="I1165" r:id="rId1164" display="https://i.ibb.co/LpJM38D/Nubank.png"/>
    <hyperlink ref="I1166" r:id="rId1165" display="https://i.ibb.co/zX8KX6R/Santander.png"/>
    <hyperlink ref="I1167" r:id="rId1166" display="https://i.ibb.co/LpJM38D/Nubank.png"/>
    <hyperlink ref="I1168" r:id="rId1167" display="https://i.ibb.co/68RXB19/Bradesco.png"/>
    <hyperlink ref="I1169" r:id="rId1168" display="https://i.ibb.co/DznB5q4/Itau.png"/>
    <hyperlink ref="I1170" r:id="rId1169" display="https://i.ibb.co/zX8KX6R/Santander.png"/>
    <hyperlink ref="I1171" r:id="rId1170" display="https://i.ibb.co/zX8KX6R/Santander.png"/>
    <hyperlink ref="I1172" r:id="rId1171" display="https://i.ibb.co/FhY6B5f/Safra.png"/>
    <hyperlink ref="I1173" r:id="rId1172" display="https://i.ibb.co/DznB5q4/Itau.png"/>
    <hyperlink ref="I1174" r:id="rId1173" display="https://i.ibb.co/DznB5q4/Itau.png"/>
    <hyperlink ref="I1175" r:id="rId1174" display="https://i.ibb.co/68RXB19/Bradesco.png"/>
    <hyperlink ref="I1176" r:id="rId1175" display="https://i.ibb.co/LpJM38D/Nubank.png"/>
    <hyperlink ref="I1177" r:id="rId1176" display="https://i.ibb.co/DznB5q4/Itau.png"/>
    <hyperlink ref="I1178" r:id="rId1177" display="https://i.ibb.co/DznB5q4/Itau.png"/>
    <hyperlink ref="I1179" r:id="rId1178" display="https://i.ibb.co/DznB5q4/Itau.png"/>
    <hyperlink ref="I1180" r:id="rId1179" display="https://i.ibb.co/DznB5q4/Itau.png"/>
    <hyperlink ref="I1181" r:id="rId1180" display="https://i.ibb.co/zX8KX6R/Santander.png"/>
    <hyperlink ref="I1182" r:id="rId1181" display="https://i.ibb.co/FhY6B5f/Safra.png"/>
    <hyperlink ref="I1183" r:id="rId1182" display="https://i.ibb.co/LpJM38D/Nubank.png"/>
    <hyperlink ref="I1184" r:id="rId1183" display="https://i.ibb.co/LpJM38D/Nubank.png"/>
    <hyperlink ref="I1185" r:id="rId1184" display="https://i.ibb.co/LpJM38D/Nubank.png"/>
    <hyperlink ref="I1186" r:id="rId1185" display="https://i.ibb.co/68RXB19/Bradesco.png"/>
    <hyperlink ref="I1187" r:id="rId1186" display="https://i.ibb.co/68RXB19/Bradesco.png"/>
    <hyperlink ref="I1188" r:id="rId1187" display="https://i.ibb.co/LpJM38D/Nubank.png"/>
    <hyperlink ref="I1189" r:id="rId1188" display="https://i.ibb.co/zX8KX6R/Santander.png"/>
    <hyperlink ref="I1190" r:id="rId1189" display="https://i.ibb.co/zX8KX6R/Santander.png"/>
    <hyperlink ref="I1191" r:id="rId1190" display="https://i.ibb.co/LpJM38D/Nubank.png"/>
    <hyperlink ref="I1192" r:id="rId1191" display="https://i.ibb.co/zX8KX6R/Santander.png"/>
    <hyperlink ref="I1193" r:id="rId1192" display="https://i.ibb.co/DznB5q4/Itau.png"/>
    <hyperlink ref="I1194" r:id="rId1193" display="https://i.ibb.co/LpJM38D/Nubank.png"/>
    <hyperlink ref="I1195" r:id="rId1194" display="https://i.ibb.co/DznB5q4/Itau.png"/>
    <hyperlink ref="I1196" r:id="rId1195" display="https://i.ibb.co/LpJM38D/Nubank.png"/>
    <hyperlink ref="I1197" r:id="rId1196" display="https://i.ibb.co/DznB5q4/Itau.png"/>
    <hyperlink ref="I1198" r:id="rId1197" display="https://i.ibb.co/DznB5q4/Itau.png"/>
    <hyperlink ref="I1199" r:id="rId1198" display="https://i.ibb.co/zX8KX6R/Santander.png"/>
    <hyperlink ref="I1200" r:id="rId1199" display="https://i.ibb.co/DznB5q4/Itau.png"/>
    <hyperlink ref="I1201" r:id="rId1200" display="https://i.ibb.co/DznB5q4/Itau.png"/>
    <hyperlink ref="I1202" r:id="rId1201" display="https://i.ibb.co/DznB5q4/Itau.png"/>
    <hyperlink ref="I1203" r:id="rId1202" display="https://i.ibb.co/DznB5q4/Itau.png"/>
    <hyperlink ref="I1204" r:id="rId1203" display="https://i.ibb.co/LpJM38D/Nubank.png"/>
    <hyperlink ref="I1205" r:id="rId1204" display="https://i.ibb.co/zX8KX6R/Santander.png"/>
    <hyperlink ref="I1206" r:id="rId1205" display="https://i.ibb.co/DznB5q4/Itau.png"/>
    <hyperlink ref="I1207" r:id="rId1206" display="https://i.ibb.co/zX8KX6R/Santander.png"/>
    <hyperlink ref="I1208" r:id="rId1207" display="https://i.ibb.co/LpJM38D/Nubank.png"/>
    <hyperlink ref="I1209" r:id="rId1208" display="https://i.ibb.co/zX8KX6R/Santander.png"/>
    <hyperlink ref="I1210" r:id="rId1209" display="https://i.ibb.co/LpJM38D/Nubank.png"/>
    <hyperlink ref="I1211" r:id="rId1210" display="https://i.ibb.co/DznB5q4/Itau.png"/>
    <hyperlink ref="I1212" r:id="rId1211" display="https://i.ibb.co/zX8KX6R/Santander.png"/>
    <hyperlink ref="I1213" r:id="rId1212" display="https://i.ibb.co/zX8KX6R/Santander.png"/>
    <hyperlink ref="I1214" r:id="rId1213" display="https://i.ibb.co/DznB5q4/Itau.png"/>
    <hyperlink ref="I1215" r:id="rId1214" display="https://i.ibb.co/zX8KX6R/Santander.png"/>
    <hyperlink ref="I1216" r:id="rId1215" display="https://i.ibb.co/DznB5q4/Itau.png"/>
    <hyperlink ref="I1217" r:id="rId1216" display="https://i.ibb.co/zX8KX6R/Santander.png"/>
    <hyperlink ref="I1218" r:id="rId1217" display="https://i.ibb.co/zX8KX6R/Santander.png"/>
    <hyperlink ref="I1219" r:id="rId1218" display="https://i.ibb.co/LpJM38D/Nubank.png"/>
    <hyperlink ref="I1220" r:id="rId1219" display="https://i.ibb.co/DznB5q4/Itau.png"/>
    <hyperlink ref="I1221" r:id="rId1220" display="https://i.ibb.co/DznB5q4/Itau.png"/>
    <hyperlink ref="I1222" r:id="rId1221" display="https://i.ibb.co/DznB5q4/Itau.png"/>
    <hyperlink ref="I1223" r:id="rId1222" display="https://i.ibb.co/68RXB19/Bradesco.png"/>
    <hyperlink ref="I1224" r:id="rId1223" display="https://i.ibb.co/zX8KX6R/Santander.png"/>
    <hyperlink ref="I1225" r:id="rId1224" display="https://i.ibb.co/DznB5q4/Itau.png"/>
    <hyperlink ref="I1226" r:id="rId1225" display="https://i.ibb.co/LpJM38D/Nubank.png"/>
    <hyperlink ref="I1227" r:id="rId1226" display="https://i.ibb.co/LpJM38D/Nubank.png"/>
    <hyperlink ref="I1228" r:id="rId1227" display="https://i.ibb.co/DznB5q4/Itau.png"/>
    <hyperlink ref="I1229" r:id="rId1228" display="https://i.ibb.co/68RXB19/Bradesco.png"/>
    <hyperlink ref="I1230" r:id="rId1229" display="https://i.ibb.co/DznB5q4/Itau.png"/>
    <hyperlink ref="I1231" r:id="rId1230" display="https://i.ibb.co/DznB5q4/Itau.png"/>
    <hyperlink ref="I1232" r:id="rId1231" display="https://i.ibb.co/LpJM38D/Nubank.png"/>
    <hyperlink ref="I1233" r:id="rId1232" display="https://i.ibb.co/DznB5q4/Itau.png"/>
    <hyperlink ref="I1234" r:id="rId1233" display="https://i.ibb.co/LpJM38D/Nubank.png"/>
    <hyperlink ref="I1235" r:id="rId1234" display="https://i.ibb.co/FhY6B5f/Safra.png"/>
    <hyperlink ref="I1236" r:id="rId1235" display="https://i.ibb.co/FhY6B5f/Safra.png"/>
    <hyperlink ref="I1237" r:id="rId1236" display="https://i.ibb.co/zX8KX6R/Santander.png"/>
    <hyperlink ref="I1238" r:id="rId1237" display="https://i.ibb.co/LpJM38D/Nubank.png"/>
    <hyperlink ref="I1239" r:id="rId1238" display="https://i.ibb.co/LpJM38D/Nubank.png"/>
    <hyperlink ref="I1240" r:id="rId1239" display="https://i.ibb.co/zX8KX6R/Santander.png"/>
    <hyperlink ref="I1241" r:id="rId1240" display="https://i.ibb.co/FhY6B5f/Safra.png"/>
    <hyperlink ref="I1242" r:id="rId1241" display="https://i.ibb.co/DznB5q4/Itau.png"/>
    <hyperlink ref="I1243" r:id="rId1242" display="https://i.ibb.co/68RXB19/Bradesco.png"/>
    <hyperlink ref="I1244" r:id="rId1243" display="https://i.ibb.co/DznB5q4/Itau.png"/>
    <hyperlink ref="I1245" r:id="rId1244" display="https://i.ibb.co/68RXB19/Bradesco.png"/>
    <hyperlink ref="I1246" r:id="rId1245" display="https://i.ibb.co/DznB5q4/Itau.png"/>
    <hyperlink ref="I1247" r:id="rId1246" display="https://i.ibb.co/LpJM38D/Nubank.png"/>
    <hyperlink ref="I1248" r:id="rId1247" display="https://i.ibb.co/DznB5q4/Itau.png"/>
    <hyperlink ref="I1249" r:id="rId1248" display="https://i.ibb.co/zX8KX6R/Santander.png"/>
    <hyperlink ref="I1250" r:id="rId1249" display="https://i.ibb.co/zX8KX6R/Santander.png"/>
    <hyperlink ref="I1251" r:id="rId1250" display="https://i.ibb.co/DznB5q4/Itau.png"/>
    <hyperlink ref="I1252" r:id="rId1251" display="https://i.ibb.co/zX8KX6R/Santander.png"/>
    <hyperlink ref="I1253" r:id="rId1252" display="https://i.ibb.co/DznB5q4/Itau.png"/>
    <hyperlink ref="I1254" r:id="rId1253" display="https://i.ibb.co/DznB5q4/Itau.png"/>
    <hyperlink ref="I1255" r:id="rId1254" display="https://i.ibb.co/LpJM38D/Nubank.png"/>
    <hyperlink ref="I1256" r:id="rId1255" display="https://i.ibb.co/DznB5q4/Itau.png"/>
    <hyperlink ref="I1257" r:id="rId1256" display="https://i.ibb.co/DznB5q4/Itau.png"/>
    <hyperlink ref="I1258" r:id="rId1257" display="https://i.ibb.co/zX8KX6R/Santander.png"/>
    <hyperlink ref="I1259" r:id="rId1258" display="https://i.ibb.co/DznB5q4/Itau.png"/>
    <hyperlink ref="I1260" r:id="rId1259" display="https://i.ibb.co/LpJM38D/Nubank.png"/>
    <hyperlink ref="I1261" r:id="rId1260" display="https://i.ibb.co/DznB5q4/Itau.png"/>
    <hyperlink ref="I1262" r:id="rId1261" display="https://i.ibb.co/DznB5q4/Itau.png"/>
    <hyperlink ref="I1263" r:id="rId1262" display="https://i.ibb.co/DznB5q4/Itau.png"/>
    <hyperlink ref="I1264" r:id="rId1263" display="https://i.ibb.co/LpJM38D/Nubank.png"/>
    <hyperlink ref="I1265" r:id="rId1264" display="https://i.ibb.co/zX8KX6R/Santander.png"/>
    <hyperlink ref="I1266" r:id="rId1265" display="https://i.ibb.co/LpJM38D/Nubank.png"/>
    <hyperlink ref="I1267" r:id="rId1266" display="https://i.ibb.co/LpJM38D/Nubank.png"/>
    <hyperlink ref="I1268" r:id="rId1267" display="https://i.ibb.co/DznB5q4/Itau.png"/>
    <hyperlink ref="I1269" r:id="rId1268" display="https://i.ibb.co/DznB5q4/Itau.png"/>
    <hyperlink ref="I1270" r:id="rId1269" display="https://i.ibb.co/LpJM38D/Nubank.png"/>
    <hyperlink ref="I1271" r:id="rId1270" display="https://i.ibb.co/FhY6B5f/Safra.png"/>
    <hyperlink ref="I1272" r:id="rId1271" display="https://i.ibb.co/DznB5q4/Itau.png"/>
    <hyperlink ref="I1273" r:id="rId1272" display="https://i.ibb.co/DznB5q4/Itau.png"/>
    <hyperlink ref="I1274" r:id="rId1273" display="https://i.ibb.co/DznB5q4/Itau.png"/>
    <hyperlink ref="I1275" r:id="rId1274" display="https://i.ibb.co/LpJM38D/Nubank.png"/>
    <hyperlink ref="I1276" r:id="rId1275" display="https://i.ibb.co/zX8KX6R/Santander.png"/>
    <hyperlink ref="I1277" r:id="rId1276" display="https://i.ibb.co/DznB5q4/Itau.png"/>
    <hyperlink ref="I1278" r:id="rId1277" display="https://i.ibb.co/LpJM38D/Nubank.png"/>
    <hyperlink ref="I1279" r:id="rId1278" display="https://i.ibb.co/DznB5q4/Itau.png"/>
    <hyperlink ref="I1280" r:id="rId1279" display="https://i.ibb.co/zX8KX6R/Santander.png"/>
    <hyperlink ref="I1281" r:id="rId1280" display="https://i.ibb.co/LpJM38D/Nubank.png"/>
    <hyperlink ref="I1282" r:id="rId1281" display="https://i.ibb.co/DznB5q4/Itau.png"/>
    <hyperlink ref="I1283" r:id="rId1282" display="https://i.ibb.co/DznB5q4/Itau.png"/>
    <hyperlink ref="I1284" r:id="rId1283" display="https://i.ibb.co/DznB5q4/Itau.png"/>
    <hyperlink ref="I1285" r:id="rId1284" display="https://i.ibb.co/DznB5q4/Itau.png"/>
    <hyperlink ref="I1286" r:id="rId1285" display="https://i.ibb.co/LpJM38D/Nubank.png"/>
    <hyperlink ref="I1287" r:id="rId1286" display="https://i.ibb.co/LpJM38D/Nubank.png"/>
    <hyperlink ref="I1288" r:id="rId1287" display="https://i.ibb.co/LpJM38D/Nubank.png"/>
    <hyperlink ref="I1289" r:id="rId1288" display="https://i.ibb.co/68RXB19/Bradesco.png"/>
    <hyperlink ref="I1290" r:id="rId1289" display="https://i.ibb.co/FhY6B5f/Safra.png"/>
    <hyperlink ref="I1291" r:id="rId1290" display="https://i.ibb.co/FhY6B5f/Safra.png"/>
    <hyperlink ref="I1292" r:id="rId1291" display="https://i.ibb.co/DznB5q4/Itau.png"/>
    <hyperlink ref="I1293" r:id="rId1292" display="https://i.ibb.co/zX8KX6R/Santander.png"/>
    <hyperlink ref="I1294" r:id="rId1293" display="https://i.ibb.co/DznB5q4/Itau.png"/>
    <hyperlink ref="I1295" r:id="rId1294" display="https://i.ibb.co/zX8KX6R/Santander.png"/>
    <hyperlink ref="I1296" r:id="rId1295" display="https://i.ibb.co/DznB5q4/Itau.png"/>
    <hyperlink ref="I1297" r:id="rId1296" display="https://i.ibb.co/DznB5q4/Itau.png"/>
    <hyperlink ref="I1298" r:id="rId1297" display="https://i.ibb.co/zX8KX6R/Santander.png"/>
    <hyperlink ref="I1299" r:id="rId1298" display="https://i.ibb.co/DznB5q4/Itau.png"/>
    <hyperlink ref="I1300" r:id="rId1299" display="https://i.ibb.co/LpJM38D/Nubank.png"/>
    <hyperlink ref="I1301" r:id="rId1300" display="https://i.ibb.co/68RXB19/Bradesco.png"/>
    <hyperlink ref="I1302" r:id="rId1301" display="https://i.ibb.co/DznB5q4/Itau.png"/>
    <hyperlink ref="I1303" r:id="rId1302" display="https://i.ibb.co/LpJM38D/Nubank.png"/>
    <hyperlink ref="I1304" r:id="rId1303" display="https://i.ibb.co/DznB5q4/Itau.png"/>
    <hyperlink ref="I1305" r:id="rId1304" display="https://i.ibb.co/DznB5q4/Itau.png"/>
    <hyperlink ref="I1306" r:id="rId1305" display="https://i.ibb.co/DznB5q4/Itau.png"/>
    <hyperlink ref="I1307" r:id="rId1306" display="https://i.ibb.co/zX8KX6R/Santander.png"/>
    <hyperlink ref="I1308" r:id="rId1307" display="https://i.ibb.co/zX8KX6R/Santander.png"/>
    <hyperlink ref="I1309" r:id="rId1308" display="https://i.ibb.co/LpJM38D/Nubank.png"/>
    <hyperlink ref="I1310" r:id="rId1309" display="https://i.ibb.co/DznB5q4/Itau.png"/>
    <hyperlink ref="I1311" r:id="rId1310" display="https://i.ibb.co/LpJM38D/Nubank.png"/>
    <hyperlink ref="I1312" r:id="rId1311" display="https://i.ibb.co/DznB5q4/Itau.png"/>
    <hyperlink ref="I1313" r:id="rId1312" display="https://i.ibb.co/DznB5q4/Itau.png"/>
    <hyperlink ref="I1314" r:id="rId1313" display="https://i.ibb.co/LpJM38D/Nubank.png"/>
    <hyperlink ref="I1315" r:id="rId1314" display="https://i.ibb.co/DznB5q4/Itau.png"/>
    <hyperlink ref="I1316" r:id="rId1315" display="https://i.ibb.co/LpJM38D/Nubank.png"/>
    <hyperlink ref="I1317" r:id="rId1316" display="https://i.ibb.co/LpJM38D/Nubank.png"/>
    <hyperlink ref="I1318" r:id="rId1317" display="https://i.ibb.co/DznB5q4/Itau.png"/>
    <hyperlink ref="I1319" r:id="rId1318" display="https://i.ibb.co/LpJM38D/Nubank.png"/>
    <hyperlink ref="I1320" r:id="rId1319" display="https://i.ibb.co/DznB5q4/Itau.png"/>
    <hyperlink ref="I1321" r:id="rId1320" display="https://i.ibb.co/FhY6B5f/Safra.png"/>
    <hyperlink ref="I1322" r:id="rId1321" display="https://i.ibb.co/FhY6B5f/Safra.png"/>
    <hyperlink ref="I1323" r:id="rId1322" display="https://i.ibb.co/FhY6B5f/Safra.png"/>
    <hyperlink ref="I1324" r:id="rId1323" display="https://i.ibb.co/DznB5q4/Itau.png"/>
    <hyperlink ref="I1325" r:id="rId1324" display="https://i.ibb.co/DznB5q4/Itau.png"/>
    <hyperlink ref="I1326" r:id="rId1325" display="https://i.ibb.co/zX8KX6R/Santander.png"/>
    <hyperlink ref="I1327" r:id="rId1326" display="https://i.ibb.co/DznB5q4/Itau.png"/>
    <hyperlink ref="I1328" r:id="rId1327" display="https://i.ibb.co/DznB5q4/Itau.png"/>
    <hyperlink ref="I1329" r:id="rId1328" display="https://i.ibb.co/zX8KX6R/Santander.png"/>
    <hyperlink ref="I1330" r:id="rId1329" display="https://i.ibb.co/FhY6B5f/Safra.png"/>
    <hyperlink ref="I1331" r:id="rId1330" display="https://i.ibb.co/DznB5q4/Itau.png"/>
    <hyperlink ref="I1332" r:id="rId1331" display="https://i.ibb.co/DznB5q4/Itau.png"/>
    <hyperlink ref="I1333" r:id="rId1332" display="https://i.ibb.co/LpJM38D/Nubank.png"/>
    <hyperlink ref="I1334" r:id="rId1333" display="https://i.ibb.co/DznB5q4/Itau.png"/>
    <hyperlink ref="I1335" r:id="rId1334" display="https://i.ibb.co/zX8KX6R/Santander.png"/>
    <hyperlink ref="I1336" r:id="rId1335" display="https://i.ibb.co/LpJM38D/Nubank.png"/>
    <hyperlink ref="I1337" r:id="rId1336" display="https://i.ibb.co/LpJM38D/Nubank.png"/>
    <hyperlink ref="I1338" r:id="rId1337" display="https://i.ibb.co/zX8KX6R/Santander.png"/>
    <hyperlink ref="I1339" r:id="rId1338" display="https://i.ibb.co/zX8KX6R/Santander.png"/>
    <hyperlink ref="I1340" r:id="rId1339" display="https://i.ibb.co/DznB5q4/Itau.png"/>
    <hyperlink ref="I1341" r:id="rId1340" display="https://i.ibb.co/DznB5q4/Itau.png"/>
    <hyperlink ref="I1342" r:id="rId1341" display="https://i.ibb.co/68RXB19/Bradesco.png"/>
    <hyperlink ref="I1343" r:id="rId1342" display="https://i.ibb.co/LpJM38D/Nubank.png"/>
    <hyperlink ref="I1344" r:id="rId1343" display="https://i.ibb.co/zX8KX6R/Santander.png"/>
    <hyperlink ref="I1345" r:id="rId1344" display="https://i.ibb.co/68RXB19/Bradesco.png"/>
    <hyperlink ref="I1346" r:id="rId1345" display="https://i.ibb.co/FhY6B5f/Safra.png"/>
    <hyperlink ref="I1347" r:id="rId1346" display="https://i.ibb.co/DznB5q4/Itau.png"/>
    <hyperlink ref="I1348" r:id="rId1347" display="https://i.ibb.co/DznB5q4/Itau.png"/>
    <hyperlink ref="I1349" r:id="rId1348" display="https://i.ibb.co/zX8KX6R/Santander.png"/>
    <hyperlink ref="I1350" r:id="rId1349" display="https://i.ibb.co/zX8KX6R/Santander.png"/>
    <hyperlink ref="I1351" r:id="rId1350" display="https://i.ibb.co/68RXB19/Bradesco.png"/>
    <hyperlink ref="I1352" r:id="rId1351" display="https://i.ibb.co/DznB5q4/Itau.png"/>
    <hyperlink ref="I1353" r:id="rId1352" display="https://i.ibb.co/DznB5q4/Itau.png"/>
    <hyperlink ref="I1354" r:id="rId1353" display="https://i.ibb.co/68RXB19/Bradesco.png"/>
    <hyperlink ref="I1355" r:id="rId1354" display="https://i.ibb.co/LpJM38D/Nubank.png"/>
    <hyperlink ref="I1356" r:id="rId1355" display="https://i.ibb.co/LpJM38D/Nubank.png"/>
    <hyperlink ref="I1357" r:id="rId1356" display="https://i.ibb.co/68RXB19/Bradesco.png"/>
    <hyperlink ref="I1358" r:id="rId1357" display="https://i.ibb.co/FhY6B5f/Safra.png"/>
    <hyperlink ref="I1359" r:id="rId1358" display="https://i.ibb.co/LpJM38D/Nubank.png"/>
    <hyperlink ref="I1360" r:id="rId1359" display="https://i.ibb.co/zX8KX6R/Santander.png"/>
    <hyperlink ref="I1361" r:id="rId1360" display="https://i.ibb.co/DznB5q4/Itau.png"/>
    <hyperlink ref="I1362" r:id="rId1361" display="https://i.ibb.co/LpJM38D/Nubank.png"/>
    <hyperlink ref="I1363" r:id="rId1362" display="https://i.ibb.co/DznB5q4/Itau.png"/>
    <hyperlink ref="I1364" r:id="rId1363" display="https://i.ibb.co/DznB5q4/Itau.png"/>
    <hyperlink ref="I1365" r:id="rId1364" display="https://i.ibb.co/DznB5q4/Itau.png"/>
    <hyperlink ref="I1366" r:id="rId1365" display="https://i.ibb.co/68RXB19/Bradesco.png"/>
    <hyperlink ref="I1367" r:id="rId1366" display="https://i.ibb.co/LpJM38D/Nubank.png"/>
    <hyperlink ref="I1368" r:id="rId1367" display="https://i.ibb.co/DznB5q4/Itau.png"/>
    <hyperlink ref="I1369" r:id="rId1368" display="https://i.ibb.co/FhY6B5f/Safra.png"/>
    <hyperlink ref="I1370" r:id="rId1369" display="https://i.ibb.co/DznB5q4/Itau.png"/>
    <hyperlink ref="I1371" r:id="rId1370" display="https://i.ibb.co/LpJM38D/Nubank.png"/>
    <hyperlink ref="I1372" r:id="rId1371" display="https://i.ibb.co/DznB5q4/Itau.png"/>
    <hyperlink ref="I1373" r:id="rId1372" display="https://i.ibb.co/68RXB19/Bradesco.png"/>
    <hyperlink ref="I1374" r:id="rId1373" display="https://i.ibb.co/LpJM38D/Nubank.png"/>
    <hyperlink ref="I1375" r:id="rId1374" display="https://i.ibb.co/DznB5q4/Itau.png"/>
    <hyperlink ref="I1376" r:id="rId1375" display="https://i.ibb.co/DznB5q4/Itau.png"/>
    <hyperlink ref="I1377" r:id="rId1376" display="https://i.ibb.co/FhY6B5f/Safra.png"/>
    <hyperlink ref="I1378" r:id="rId1377" display="https://i.ibb.co/DznB5q4/Itau.png"/>
    <hyperlink ref="I1379" r:id="rId1378" display="https://i.ibb.co/DznB5q4/Itau.png"/>
    <hyperlink ref="I1380" r:id="rId1379" display="https://i.ibb.co/FhY6B5f/Safra.png"/>
    <hyperlink ref="I1381" r:id="rId1380" display="https://i.ibb.co/DznB5q4/Itau.png"/>
    <hyperlink ref="I1382" r:id="rId1381" display="https://i.ibb.co/LpJM38D/Nubank.png"/>
    <hyperlink ref="I1383" r:id="rId1382" display="https://i.ibb.co/DznB5q4/Itau.png"/>
    <hyperlink ref="I1384" r:id="rId1383" display="https://i.ibb.co/zX8KX6R/Santander.png"/>
    <hyperlink ref="I1385" r:id="rId1384" display="https://i.ibb.co/LpJM38D/Nubank.png"/>
    <hyperlink ref="I1386" r:id="rId1385" display="https://i.ibb.co/DznB5q4/Itau.png"/>
    <hyperlink ref="I1387" r:id="rId1386" display="https://i.ibb.co/FhY6B5f/Safra.png"/>
    <hyperlink ref="I1388" r:id="rId1387" display="https://i.ibb.co/DznB5q4/Itau.png"/>
    <hyperlink ref="I1389" r:id="rId1388" display="https://i.ibb.co/LpJM38D/Nubank.png"/>
    <hyperlink ref="I1390" r:id="rId1389" display="https://i.ibb.co/zX8KX6R/Santander.png"/>
    <hyperlink ref="I1391" r:id="rId1390" display="https://i.ibb.co/zX8KX6R/Santander.png"/>
    <hyperlink ref="I1392" r:id="rId1391" display="https://i.ibb.co/zX8KX6R/Santander.png"/>
    <hyperlink ref="I1393" r:id="rId1392" display="https://i.ibb.co/DznB5q4/Itau.png"/>
    <hyperlink ref="I1394" r:id="rId1393" display="https://i.ibb.co/DznB5q4/Itau.png"/>
    <hyperlink ref="I1395" r:id="rId1394" display="https://i.ibb.co/DznB5q4/Itau.png"/>
    <hyperlink ref="I1396" r:id="rId1395" display="https://i.ibb.co/LpJM38D/Nubank.png"/>
    <hyperlink ref="I1397" r:id="rId1396" display="https://i.ibb.co/DznB5q4/Itau.png"/>
    <hyperlink ref="I1398" r:id="rId1397" display="https://i.ibb.co/FhY6B5f/Safra.png"/>
    <hyperlink ref="I1399" r:id="rId1398" display="https://i.ibb.co/LpJM38D/Nubank.png"/>
    <hyperlink ref="I1400" r:id="rId1399" display="https://i.ibb.co/DznB5q4/Itau.png"/>
    <hyperlink ref="I1401" r:id="rId1400" display="https://i.ibb.co/LpJM38D/Nubank.png"/>
    <hyperlink ref="I1402" r:id="rId1401" display="https://i.ibb.co/DznB5q4/Itau.png"/>
    <hyperlink ref="I1403" r:id="rId1402" display="https://i.ibb.co/zX8KX6R/Santander.png"/>
    <hyperlink ref="I1404" r:id="rId1403" display="https://i.ibb.co/68RXB19/Bradesco.png"/>
    <hyperlink ref="I1405" r:id="rId1404" display="https://i.ibb.co/FhY6B5f/Safra.png"/>
    <hyperlink ref="I1406" r:id="rId1405" display="https://i.ibb.co/68RXB19/Bradesco.png"/>
    <hyperlink ref="I1407" r:id="rId1406" display="https://i.ibb.co/zX8KX6R/Santander.png"/>
    <hyperlink ref="I1408" r:id="rId1407" display="https://i.ibb.co/LpJM38D/Nubank.png"/>
    <hyperlink ref="I1409" r:id="rId1408" display="https://i.ibb.co/LpJM38D/Nubank.png"/>
    <hyperlink ref="I1410" r:id="rId1409" display="https://i.ibb.co/LpJM38D/Nubank.png"/>
    <hyperlink ref="I1411" r:id="rId1410" display="https://i.ibb.co/DznB5q4/Itau.png"/>
    <hyperlink ref="I1412" r:id="rId1411" display="https://i.ibb.co/LpJM38D/Nubank.png"/>
    <hyperlink ref="I1413" r:id="rId1412" display="https://i.ibb.co/68RXB19/Bradesco.png"/>
    <hyperlink ref="I1414" r:id="rId1413" display="https://i.ibb.co/LpJM38D/Nubank.png"/>
    <hyperlink ref="I1415" r:id="rId1414" display="https://i.ibb.co/DznB5q4/Itau.png"/>
    <hyperlink ref="I1416" r:id="rId1415" display="https://i.ibb.co/DznB5q4/Itau.png"/>
    <hyperlink ref="I1417" r:id="rId1416" display="https://i.ibb.co/DznB5q4/Itau.png"/>
    <hyperlink ref="I1418" r:id="rId1417" display="https://i.ibb.co/zX8KX6R/Santander.png"/>
    <hyperlink ref="I1419" r:id="rId1418" display="https://i.ibb.co/LpJM38D/Nubank.png"/>
    <hyperlink ref="I1420" r:id="rId1419" display="https://i.ibb.co/LpJM38D/Nubank.png"/>
    <hyperlink ref="I1421" r:id="rId1420" display="https://i.ibb.co/LpJM38D/Nubank.png"/>
    <hyperlink ref="I1422" r:id="rId1421" display="https://i.ibb.co/68RXB19/Bradesco.png"/>
    <hyperlink ref="I1423" r:id="rId1422" display="https://i.ibb.co/zX8KX6R/Santander.png"/>
    <hyperlink ref="I1424" r:id="rId1423" display="https://i.ibb.co/LpJM38D/Nubank.png"/>
    <hyperlink ref="I1425" r:id="rId1424" display="https://i.ibb.co/zX8KX6R/Santander.png"/>
    <hyperlink ref="I1426" r:id="rId1425" display="https://i.ibb.co/DznB5q4/Itau.png"/>
    <hyperlink ref="I1427" r:id="rId1426" display="https://i.ibb.co/zX8KX6R/Santander.png"/>
    <hyperlink ref="I1428" r:id="rId1427" display="https://i.ibb.co/LpJM38D/Nubank.png"/>
    <hyperlink ref="I1429" r:id="rId1428" display="https://i.ibb.co/zX8KX6R/Santander.png"/>
    <hyperlink ref="I1430" r:id="rId1429" display="https://i.ibb.co/LpJM38D/Nubank.png"/>
    <hyperlink ref="I1431" r:id="rId1430" display="https://i.ibb.co/DznB5q4/Itau.png"/>
    <hyperlink ref="I1432" r:id="rId1431" display="https://i.ibb.co/DznB5q4/Itau.png"/>
    <hyperlink ref="I1433" r:id="rId1432" display="https://i.ibb.co/DznB5q4/Itau.png"/>
    <hyperlink ref="I1434" r:id="rId1433" display="https://i.ibb.co/zX8KX6R/Santander.png"/>
    <hyperlink ref="I1435" r:id="rId1434" display="https://i.ibb.co/LpJM38D/Nubank.png"/>
    <hyperlink ref="I1436" r:id="rId1435" display="https://i.ibb.co/LpJM38D/Nubank.png"/>
    <hyperlink ref="I1437" r:id="rId1436" display="https://i.ibb.co/DznB5q4/Itau.png"/>
    <hyperlink ref="I1438" r:id="rId1437" display="https://i.ibb.co/68RXB19/Bradesco.png"/>
    <hyperlink ref="I1439" r:id="rId1438" display="https://i.ibb.co/zX8KX6R/Santander.png"/>
    <hyperlink ref="I1440" r:id="rId1439" display="https://i.ibb.co/DznB5q4/Itau.png"/>
    <hyperlink ref="I1441" r:id="rId1440" display="https://i.ibb.co/FhY6B5f/Safra.png"/>
    <hyperlink ref="I1442" r:id="rId1441" display="https://i.ibb.co/LpJM38D/Nubank.png"/>
    <hyperlink ref="I1443" r:id="rId1442" display="https://i.ibb.co/DznB5q4/Itau.png"/>
    <hyperlink ref="I1444" r:id="rId1443" display="https://i.ibb.co/zX8KX6R/Santander.png"/>
    <hyperlink ref="I1445" r:id="rId1444" display="https://i.ibb.co/LpJM38D/Nubank.png"/>
    <hyperlink ref="I1446" r:id="rId1445" display="https://i.ibb.co/DznB5q4/Itau.png"/>
    <hyperlink ref="I1447" r:id="rId1446" display="https://i.ibb.co/DznB5q4/Itau.png"/>
    <hyperlink ref="I1448" r:id="rId1447" display="https://i.ibb.co/LpJM38D/Nubank.png"/>
    <hyperlink ref="I1449" r:id="rId1448" display="https://i.ibb.co/zX8KX6R/Santander.png"/>
    <hyperlink ref="I1450" r:id="rId1449" display="https://i.ibb.co/68RXB19/Bradesco.png"/>
    <hyperlink ref="I1451" r:id="rId1450" display="https://i.ibb.co/zX8KX6R/Santander.png"/>
    <hyperlink ref="I1452" r:id="rId1451" display="https://i.ibb.co/zX8KX6R/Santander.png"/>
    <hyperlink ref="I1453" r:id="rId1452" display="https://i.ibb.co/zX8KX6R/Santander.png"/>
    <hyperlink ref="I1454" r:id="rId1453" display="https://i.ibb.co/LpJM38D/Nubank.png"/>
    <hyperlink ref="I1455" r:id="rId1454" display="https://i.ibb.co/zX8KX6R/Santander.png"/>
    <hyperlink ref="I1456" r:id="rId1455" display="https://i.ibb.co/DznB5q4/Itau.png"/>
    <hyperlink ref="I1457" r:id="rId1456" display="https://i.ibb.co/LpJM38D/Nubank.png"/>
    <hyperlink ref="I1458" r:id="rId1457" display="https://i.ibb.co/DznB5q4/Itau.png"/>
    <hyperlink ref="I1459" r:id="rId1458" display="https://i.ibb.co/DznB5q4/Itau.png"/>
    <hyperlink ref="I1460" r:id="rId1459" display="https://i.ibb.co/DznB5q4/Itau.png"/>
    <hyperlink ref="I1461" r:id="rId1460" display="https://i.ibb.co/LpJM38D/Nubank.png"/>
    <hyperlink ref="I1462" r:id="rId1461" display="https://i.ibb.co/DznB5q4/Itau.png"/>
    <hyperlink ref="I1463" r:id="rId1462" display="https://i.ibb.co/LpJM38D/Nubank.png"/>
    <hyperlink ref="I1464" r:id="rId1463" display="https://i.ibb.co/zX8KX6R/Santander.png"/>
    <hyperlink ref="I1465" r:id="rId1464" display="https://i.ibb.co/LpJM38D/Nubank.png"/>
    <hyperlink ref="I1466" r:id="rId1465" display="https://i.ibb.co/LpJM38D/Nubank.png"/>
    <hyperlink ref="I1467" r:id="rId1466" display="https://i.ibb.co/LpJM38D/Nubank.png"/>
    <hyperlink ref="I1468" r:id="rId1467" display="https://i.ibb.co/LpJM38D/Nubank.png"/>
    <hyperlink ref="I1469" r:id="rId1468" display="https://i.ibb.co/FhY6B5f/Safra.png"/>
    <hyperlink ref="I1470" r:id="rId1469" display="https://i.ibb.co/LpJM38D/Nubank.png"/>
    <hyperlink ref="I1471" r:id="rId1470" display="https://i.ibb.co/DznB5q4/Itau.png"/>
    <hyperlink ref="I1472" r:id="rId1471" display="https://i.ibb.co/68RXB19/Bradesco.png"/>
    <hyperlink ref="I1473" r:id="rId1472" display="https://i.ibb.co/DznB5q4/Itau.png"/>
    <hyperlink ref="I1474" r:id="rId1473" display="https://i.ibb.co/LpJM38D/Nubank.png"/>
    <hyperlink ref="I1475" r:id="rId1474" display="https://i.ibb.co/68RXB19/Bradesco.png"/>
    <hyperlink ref="I1476" r:id="rId1475" display="https://i.ibb.co/DznB5q4/Itau.png"/>
    <hyperlink ref="I1477" r:id="rId1476" display="https://i.ibb.co/zX8KX6R/Santander.png"/>
    <hyperlink ref="I1478" r:id="rId1477" display="https://i.ibb.co/68RXB19/Bradesco.png"/>
    <hyperlink ref="I1479" r:id="rId1478" display="https://i.ibb.co/68RXB19/Bradesco.png"/>
    <hyperlink ref="I1480" r:id="rId1479" display="https://i.ibb.co/DznB5q4/Itau.png"/>
    <hyperlink ref="I1481" r:id="rId1480" display="https://i.ibb.co/DznB5q4/Itau.png"/>
    <hyperlink ref="I1482" r:id="rId1481" display="https://i.ibb.co/DznB5q4/Itau.png"/>
    <hyperlink ref="I1483" r:id="rId1482" display="https://i.ibb.co/FhY6B5f/Safra.png"/>
    <hyperlink ref="I1484" r:id="rId1483" display="https://i.ibb.co/LpJM38D/Nubank.png"/>
    <hyperlink ref="I1485" r:id="rId1484" display="https://i.ibb.co/DznB5q4/Itau.png"/>
    <hyperlink ref="I1486" r:id="rId1485" display="https://i.ibb.co/68RXB19/Bradesco.png"/>
    <hyperlink ref="I1487" r:id="rId1486" display="https://i.ibb.co/LpJM38D/Nubank.png"/>
    <hyperlink ref="I1488" r:id="rId1487" display="https://i.ibb.co/FhY6B5f/Safra.png"/>
    <hyperlink ref="I1489" r:id="rId1488" display="https://i.ibb.co/FhY6B5f/Safra.png"/>
    <hyperlink ref="I1490" r:id="rId1489" display="https://i.ibb.co/zX8KX6R/Santander.png"/>
    <hyperlink ref="I1491" r:id="rId1490" display="https://i.ibb.co/DznB5q4/Itau.png"/>
    <hyperlink ref="I1492" r:id="rId1491" display="https://i.ibb.co/68RXB19/Bradesco.png"/>
    <hyperlink ref="I1493" r:id="rId1492" display="https://i.ibb.co/zX8KX6R/Santander.png"/>
    <hyperlink ref="I1494" r:id="rId1493" display="https://i.ibb.co/LpJM38D/Nubank.png"/>
    <hyperlink ref="I1495" r:id="rId1494" display="https://i.ibb.co/DznB5q4/Itau.png"/>
    <hyperlink ref="I1496" r:id="rId1495" display="https://i.ibb.co/zX8KX6R/Santander.png"/>
    <hyperlink ref="I1497" r:id="rId1496" display="https://i.ibb.co/zX8KX6R/Santander.png"/>
    <hyperlink ref="I1498" r:id="rId1497" display="https://i.ibb.co/DznB5q4/Itau.png"/>
    <hyperlink ref="I1499" r:id="rId1498" display="https://i.ibb.co/DznB5q4/Itau.png"/>
    <hyperlink ref="I1500" r:id="rId1499" display="https://i.ibb.co/68RXB19/Bradesco.png"/>
    <hyperlink ref="I1501" r:id="rId1500" display="https://i.ibb.co/68RXB19/Bradesco.png"/>
    <hyperlink ref="I1502" r:id="rId1501" display="https://i.ibb.co/FhY6B5f/Safra.png"/>
    <hyperlink ref="I1503" r:id="rId1502" display="https://i.ibb.co/68RXB19/Bradesco.png"/>
    <hyperlink ref="I1504" r:id="rId1503" display="https://i.ibb.co/LpJM38D/Nubank.png"/>
    <hyperlink ref="I1505" r:id="rId1504" display="https://i.ibb.co/zX8KX6R/Santander.png"/>
    <hyperlink ref="I1506" r:id="rId1505" display="https://i.ibb.co/LpJM38D/Nubank.png"/>
    <hyperlink ref="I1507" r:id="rId1506" display="https://i.ibb.co/68RXB19/Bradesco.png"/>
    <hyperlink ref="I1508" r:id="rId1507" display="https://i.ibb.co/LpJM38D/Nubank.png"/>
    <hyperlink ref="I1509" r:id="rId1508" display="https://i.ibb.co/LpJM38D/Nubank.png"/>
    <hyperlink ref="I1510" r:id="rId1509" display="https://i.ibb.co/DznB5q4/Itau.png"/>
    <hyperlink ref="I1511" r:id="rId1510" display="https://i.ibb.co/DznB5q4/Itau.png"/>
    <hyperlink ref="I1512" r:id="rId1511" display="https://i.ibb.co/LpJM38D/Nubank.png"/>
    <hyperlink ref="I1513" r:id="rId1512" display="https://i.ibb.co/DznB5q4/Itau.png"/>
    <hyperlink ref="I1514" r:id="rId1513" display="https://i.ibb.co/LpJM38D/Nubank.png"/>
    <hyperlink ref="I1515" r:id="rId1514" display="https://i.ibb.co/LpJM38D/Nubank.png"/>
    <hyperlink ref="I1516" r:id="rId1515" display="https://i.ibb.co/DznB5q4/Itau.png"/>
    <hyperlink ref="I1517" r:id="rId1516" display="https://i.ibb.co/LpJM38D/Nubank.png"/>
    <hyperlink ref="I1518" r:id="rId1517" display="https://i.ibb.co/DznB5q4/Itau.png"/>
    <hyperlink ref="I1519" r:id="rId1518" display="https://i.ibb.co/DznB5q4/Itau.png"/>
    <hyperlink ref="I1520" r:id="rId1519" display="https://i.ibb.co/DznB5q4/Itau.png"/>
    <hyperlink ref="I1521" r:id="rId1520" display="https://i.ibb.co/DznB5q4/Itau.png"/>
    <hyperlink ref="I1522" r:id="rId1521" display="https://i.ibb.co/FhY6B5f/Safra.png"/>
    <hyperlink ref="I1523" r:id="rId1522" display="https://i.ibb.co/DznB5q4/Itau.png"/>
    <hyperlink ref="I1524" r:id="rId1523" display="https://i.ibb.co/zX8KX6R/Santander.png"/>
    <hyperlink ref="I1525" r:id="rId1524" display="https://i.ibb.co/DznB5q4/Itau.png"/>
    <hyperlink ref="I1526" r:id="rId1525" display="https://i.ibb.co/68RXB19/Bradesco.png"/>
    <hyperlink ref="I1527" r:id="rId1526" display="https://i.ibb.co/DznB5q4/Itau.png"/>
    <hyperlink ref="I1528" r:id="rId1527" display="https://i.ibb.co/zX8KX6R/Santander.png"/>
    <hyperlink ref="I1529" r:id="rId1528" display="https://i.ibb.co/zX8KX6R/Santander.png"/>
    <hyperlink ref="I1530" r:id="rId1529" display="https://i.ibb.co/DznB5q4/Itau.png"/>
    <hyperlink ref="I1531" r:id="rId1530" display="https://i.ibb.co/LpJM38D/Nubank.png"/>
    <hyperlink ref="I1532" r:id="rId1531" display="https://i.ibb.co/DznB5q4/Itau.png"/>
    <hyperlink ref="I1533" r:id="rId1532" display="https://i.ibb.co/LpJM38D/Nubank.png"/>
    <hyperlink ref="I1534" r:id="rId1533" display="https://i.ibb.co/DznB5q4/Itau.png"/>
    <hyperlink ref="I1535" r:id="rId1534" display="https://i.ibb.co/DznB5q4/Itau.png"/>
    <hyperlink ref="I1536" r:id="rId1535" display="https://i.ibb.co/LpJM38D/Nubank.png"/>
    <hyperlink ref="I1537" r:id="rId1536" display="https://i.ibb.co/DznB5q4/Itau.png"/>
    <hyperlink ref="I1538" r:id="rId1537" display="https://i.ibb.co/zX8KX6R/Santander.png"/>
    <hyperlink ref="I1539" r:id="rId1538" display="https://i.ibb.co/DznB5q4/Itau.png"/>
    <hyperlink ref="I1540" r:id="rId1539" display="https://i.ibb.co/DznB5q4/Itau.png"/>
    <hyperlink ref="I1541" r:id="rId1540" display="https://i.ibb.co/DznB5q4/Itau.png"/>
    <hyperlink ref="I1542" r:id="rId1541" display="https://i.ibb.co/DznB5q4/Itau.png"/>
    <hyperlink ref="I1543" r:id="rId1542" display="https://i.ibb.co/LpJM38D/Nubank.png"/>
    <hyperlink ref="I1544" r:id="rId1543" display="https://i.ibb.co/LpJM38D/Nubank.png"/>
    <hyperlink ref="I1545" r:id="rId1544" display="https://i.ibb.co/LpJM38D/Nubank.png"/>
    <hyperlink ref="I1546" r:id="rId1545" display="https://i.ibb.co/FhY6B5f/Safra.png"/>
    <hyperlink ref="I1547" r:id="rId1546" display="https://i.ibb.co/DznB5q4/Itau.png"/>
    <hyperlink ref="I1548" r:id="rId1547" display="https://i.ibb.co/FhY6B5f/Safra.png"/>
    <hyperlink ref="I1549" r:id="rId1548" display="https://i.ibb.co/DznB5q4/Itau.png"/>
    <hyperlink ref="I1550" r:id="rId1549" display="https://i.ibb.co/LpJM38D/Nubank.png"/>
    <hyperlink ref="I1551" r:id="rId1550" display="https://i.ibb.co/DznB5q4/Itau.png"/>
    <hyperlink ref="I1552" r:id="rId1551" display="https://i.ibb.co/68RXB19/Bradesco.png"/>
    <hyperlink ref="I1553" r:id="rId1552" display="https://i.ibb.co/DznB5q4/Itau.png"/>
    <hyperlink ref="I1554" r:id="rId1553" display="https://i.ibb.co/LpJM38D/Nubank.png"/>
    <hyperlink ref="I1555" r:id="rId1554" display="https://i.ibb.co/zX8KX6R/Santander.png"/>
    <hyperlink ref="I1556" r:id="rId1555" display="https://i.ibb.co/68RXB19/Bradesco.png"/>
    <hyperlink ref="I1557" r:id="rId1556" display="https://i.ibb.co/DznB5q4/Itau.png"/>
    <hyperlink ref="I1558" r:id="rId1557" display="https://i.ibb.co/zX8KX6R/Santander.png"/>
    <hyperlink ref="I1559" r:id="rId1558" display="https://i.ibb.co/LpJM38D/Nubank.png"/>
    <hyperlink ref="I1560" r:id="rId1559" display="https://i.ibb.co/DznB5q4/Itau.png"/>
    <hyperlink ref="I1561" r:id="rId1560" display="https://i.ibb.co/DznB5q4/Itau.png"/>
    <hyperlink ref="I1562" r:id="rId1561" display="https://i.ibb.co/DznB5q4/Itau.png"/>
    <hyperlink ref="I1563" r:id="rId1562" display="https://i.ibb.co/zX8KX6R/Santander.png"/>
    <hyperlink ref="I1564" r:id="rId1563" display="https://i.ibb.co/DznB5q4/Itau.png"/>
    <hyperlink ref="I1565" r:id="rId1564" display="https://i.ibb.co/DznB5q4/Itau.png"/>
    <hyperlink ref="I1566" r:id="rId1565" display="https://i.ibb.co/LpJM38D/Nubank.png"/>
    <hyperlink ref="I1567" r:id="rId1566" display="https://i.ibb.co/LpJM38D/Nubank.png"/>
    <hyperlink ref="I1568" r:id="rId1567" display="https://i.ibb.co/LpJM38D/Nubank.png"/>
    <hyperlink ref="I1569" r:id="rId1568" display="https://i.ibb.co/68RXB19/Bradesco.png"/>
    <hyperlink ref="I1570" r:id="rId1569" display="https://i.ibb.co/DznB5q4/Itau.png"/>
    <hyperlink ref="I1571" r:id="rId1570" display="https://i.ibb.co/zX8KX6R/Santander.png"/>
    <hyperlink ref="I1572" r:id="rId1571" display="https://i.ibb.co/DznB5q4/Itau.png"/>
    <hyperlink ref="I1573" r:id="rId1572" display="https://i.ibb.co/DznB5q4/Itau.png"/>
    <hyperlink ref="I1574" r:id="rId1573" display="https://i.ibb.co/DznB5q4/Itau.png"/>
    <hyperlink ref="I1575" r:id="rId1574" display="https://i.ibb.co/DznB5q4/Itau.png"/>
    <hyperlink ref="I1576" r:id="rId1575" display="https://i.ibb.co/DznB5q4/Itau.png"/>
    <hyperlink ref="I1577" r:id="rId1576" display="https://i.ibb.co/zX8KX6R/Santander.png"/>
    <hyperlink ref="I1578" r:id="rId1577" display="https://i.ibb.co/DznB5q4/Itau.png"/>
    <hyperlink ref="I1579" r:id="rId1578" display="https://i.ibb.co/DznB5q4/Itau.png"/>
    <hyperlink ref="I1580" r:id="rId1579" display="https://i.ibb.co/FhY6B5f/Safra.png"/>
    <hyperlink ref="I1581" r:id="rId1580" display="https://i.ibb.co/DznB5q4/Itau.png"/>
    <hyperlink ref="I1582" r:id="rId1581" display="https://i.ibb.co/DznB5q4/Itau.png"/>
    <hyperlink ref="I1583" r:id="rId1582" display="https://i.ibb.co/LpJM38D/Nubank.png"/>
    <hyperlink ref="I1584" r:id="rId1583" display="https://i.ibb.co/LpJM38D/Nubank.png"/>
    <hyperlink ref="I1585" r:id="rId1584" display="https://i.ibb.co/zX8KX6R/Santander.png"/>
    <hyperlink ref="I1586" r:id="rId1585" display="https://i.ibb.co/zX8KX6R/Santander.png"/>
    <hyperlink ref="I1587" r:id="rId1586" display="https://i.ibb.co/DznB5q4/Itau.png"/>
    <hyperlink ref="I1588" r:id="rId1587" display="https://i.ibb.co/DznB5q4/Itau.png"/>
    <hyperlink ref="I1589" r:id="rId1588" display="https://i.ibb.co/68RXB19/Bradesco.png"/>
    <hyperlink ref="I1590" r:id="rId1589" display="https://i.ibb.co/DznB5q4/Itau.png"/>
    <hyperlink ref="I1591" r:id="rId1590" display="https://i.ibb.co/68RXB19/Bradesco.png"/>
    <hyperlink ref="I1592" r:id="rId1591" display="https://i.ibb.co/zX8KX6R/Santander.png"/>
    <hyperlink ref="I1593" r:id="rId1592" display="https://i.ibb.co/DznB5q4/Itau.png"/>
    <hyperlink ref="I1594" r:id="rId1593" display="https://i.ibb.co/zX8KX6R/Santander.png"/>
    <hyperlink ref="I1595" r:id="rId1594" display="https://i.ibb.co/LpJM38D/Nubank.png"/>
    <hyperlink ref="I1596" r:id="rId1595" display="https://i.ibb.co/68RXB19/Bradesco.png"/>
    <hyperlink ref="I1597" r:id="rId1596" display="https://i.ibb.co/DznB5q4/Itau.png"/>
    <hyperlink ref="I1598" r:id="rId1597" display="https://i.ibb.co/68RXB19/Bradesco.png"/>
    <hyperlink ref="I1599" r:id="rId1598" display="https://i.ibb.co/68RXB19/Bradesco.png"/>
    <hyperlink ref="I1600" r:id="rId1599" display="https://i.ibb.co/68RXB19/Bradesco.png"/>
    <hyperlink ref="I1601" r:id="rId1600" display="https://i.ibb.co/DznB5q4/Itau.png"/>
    <hyperlink ref="I1602" r:id="rId1601" display="https://i.ibb.co/DznB5q4/Itau.png"/>
    <hyperlink ref="I1603" r:id="rId1602" display="https://i.ibb.co/DznB5q4/Itau.png"/>
    <hyperlink ref="I1604" r:id="rId1603" display="https://i.ibb.co/DznB5q4/Itau.png"/>
    <hyperlink ref="I1605" r:id="rId1604" display="https://i.ibb.co/LpJM38D/Nubank.png"/>
    <hyperlink ref="I1606" r:id="rId1605" display="https://i.ibb.co/LpJM38D/Nubank.png"/>
    <hyperlink ref="I1607" r:id="rId1606" display="https://i.ibb.co/DznB5q4/Itau.png"/>
    <hyperlink ref="I1608" r:id="rId1607" display="https://i.ibb.co/FhY6B5f/Safra.png"/>
    <hyperlink ref="I1609" r:id="rId1608" display="https://i.ibb.co/DznB5q4/Itau.png"/>
    <hyperlink ref="I1610" r:id="rId1609" display="https://i.ibb.co/zX8KX6R/Santander.png"/>
    <hyperlink ref="I1611" r:id="rId1610" display="https://i.ibb.co/DznB5q4/Itau.png"/>
    <hyperlink ref="I1612" r:id="rId1611" display="https://i.ibb.co/68RXB19/Bradesco.png"/>
    <hyperlink ref="I1613" r:id="rId1612" display="https://i.ibb.co/FhY6B5f/Safra.png"/>
    <hyperlink ref="I1614" r:id="rId1613" display="https://i.ibb.co/DznB5q4/Itau.png"/>
    <hyperlink ref="I1615" r:id="rId1614" display="https://i.ibb.co/DznB5q4/Itau.png"/>
    <hyperlink ref="I1616" r:id="rId1615" display="https://i.ibb.co/LpJM38D/Nubank.png"/>
    <hyperlink ref="I1617" r:id="rId1616" display="https://i.ibb.co/DznB5q4/Itau.png"/>
    <hyperlink ref="I1618" r:id="rId1617" display="https://i.ibb.co/LpJM38D/Nubank.png"/>
    <hyperlink ref="I1619" r:id="rId1618" display="https://i.ibb.co/LpJM38D/Nubank.png"/>
    <hyperlink ref="I1620" r:id="rId1619" display="https://i.ibb.co/68RXB19/Bradesco.png"/>
    <hyperlink ref="I1621" r:id="rId1620" display="https://i.ibb.co/DznB5q4/Itau.png"/>
    <hyperlink ref="I1622" r:id="rId1621" display="https://i.ibb.co/DznB5q4/Itau.png"/>
    <hyperlink ref="I1623" r:id="rId1622" display="https://i.ibb.co/DznB5q4/Itau.png"/>
    <hyperlink ref="I1624" r:id="rId1623" display="https://i.ibb.co/DznB5q4/Itau.png"/>
    <hyperlink ref="I1625" r:id="rId1624" display="https://i.ibb.co/LpJM38D/Nubank.png"/>
    <hyperlink ref="I1626" r:id="rId1625" display="https://i.ibb.co/LpJM38D/Nubank.png"/>
    <hyperlink ref="I1627" r:id="rId1626" display="https://i.ibb.co/DznB5q4/Itau.png"/>
    <hyperlink ref="I1628" r:id="rId1627" display="https://i.ibb.co/LpJM38D/Nubank.png"/>
    <hyperlink ref="I1629" r:id="rId1628" display="https://i.ibb.co/68RXB19/Bradesco.png"/>
    <hyperlink ref="I1630" r:id="rId1629" display="https://i.ibb.co/DznB5q4/Itau.png"/>
    <hyperlink ref="I1631" r:id="rId1630" display="https://i.ibb.co/DznB5q4/Itau.png"/>
    <hyperlink ref="I1632" r:id="rId1631" display="https://i.ibb.co/68RXB19/Bradesco.png"/>
    <hyperlink ref="I1633" r:id="rId1632" display="https://i.ibb.co/LpJM38D/Nubank.png"/>
    <hyperlink ref="I1634" r:id="rId1633" display="https://i.ibb.co/FhY6B5f/Safra.png"/>
    <hyperlink ref="I1635" r:id="rId1634" display="https://i.ibb.co/DznB5q4/Itau.png"/>
    <hyperlink ref="I1636" r:id="rId1635" display="https://i.ibb.co/68RXB19/Bradesco.png"/>
    <hyperlink ref="I1637" r:id="rId1636" display="https://i.ibb.co/LpJM38D/Nubank.png"/>
    <hyperlink ref="I1638" r:id="rId1637" display="https://i.ibb.co/68RXB19/Bradesco.png"/>
    <hyperlink ref="I1639" r:id="rId1638" display="https://i.ibb.co/zX8KX6R/Santander.png"/>
    <hyperlink ref="I1640" r:id="rId1639" display="https://i.ibb.co/DznB5q4/Itau.png"/>
    <hyperlink ref="I1641" r:id="rId1640" display="https://i.ibb.co/68RXB19/Bradesco.png"/>
    <hyperlink ref="I1642" r:id="rId1641" display="https://i.ibb.co/68RXB19/Bradesco.png"/>
    <hyperlink ref="I1643" r:id="rId1642" display="https://i.ibb.co/LpJM38D/Nubank.png"/>
    <hyperlink ref="I1644" r:id="rId1643" display="https://i.ibb.co/DznB5q4/Itau.png"/>
    <hyperlink ref="I1645" r:id="rId1644" display="https://i.ibb.co/zX8KX6R/Santander.png"/>
    <hyperlink ref="I1646" r:id="rId1645" display="https://i.ibb.co/LpJM38D/Nubank.png"/>
    <hyperlink ref="I1647" r:id="rId1646" display="https://i.ibb.co/DznB5q4/Itau.png"/>
    <hyperlink ref="I1648" r:id="rId1647" display="https://i.ibb.co/LpJM38D/Nubank.png"/>
    <hyperlink ref="I1649" r:id="rId1648" display="https://i.ibb.co/FhY6B5f/Safra.png"/>
    <hyperlink ref="I1650" r:id="rId1649" display="https://i.ibb.co/DznB5q4/Itau.png"/>
    <hyperlink ref="I1651" r:id="rId1650" display="https://i.ibb.co/DznB5q4/Itau.png"/>
    <hyperlink ref="I1652" r:id="rId1651" display="https://i.ibb.co/DznB5q4/Itau.png"/>
    <hyperlink ref="I1653" r:id="rId1652" display="https://i.ibb.co/68RXB19/Bradesco.png"/>
    <hyperlink ref="I1654" r:id="rId1653" display="https://i.ibb.co/DznB5q4/Itau.png"/>
    <hyperlink ref="I1655" r:id="rId1654" display="https://i.ibb.co/DznB5q4/Itau.png"/>
    <hyperlink ref="I1656" r:id="rId1655" display="https://i.ibb.co/LpJM38D/Nubank.png"/>
    <hyperlink ref="I1657" r:id="rId1656" display="https://i.ibb.co/zX8KX6R/Santander.png"/>
    <hyperlink ref="I1658" r:id="rId1657" display="https://i.ibb.co/68RXB19/Bradesco.png"/>
    <hyperlink ref="I1659" r:id="rId1658" display="https://i.ibb.co/DznB5q4/Itau.png"/>
    <hyperlink ref="I1660" r:id="rId1659" display="https://i.ibb.co/DznB5q4/Itau.png"/>
    <hyperlink ref="I1661" r:id="rId1660" display="https://i.ibb.co/68RXB19/Bradesco.png"/>
    <hyperlink ref="I1662" r:id="rId1661" display="https://i.ibb.co/zX8KX6R/Santander.png"/>
    <hyperlink ref="I1663" r:id="rId1662" display="https://i.ibb.co/FhY6B5f/Safra.png"/>
    <hyperlink ref="I1664" r:id="rId1663" display="https://i.ibb.co/DznB5q4/Itau.png"/>
    <hyperlink ref="I1665" r:id="rId1664" display="https://i.ibb.co/LpJM38D/Nubank.png"/>
    <hyperlink ref="I1666" r:id="rId1665" display="https://i.ibb.co/68RXB19/Bradesco.png"/>
    <hyperlink ref="I1667" r:id="rId1666" display="https://i.ibb.co/LpJM38D/Nubank.png"/>
    <hyperlink ref="I1668" r:id="rId1667" display="https://i.ibb.co/LpJM38D/Nubank.png"/>
    <hyperlink ref="I1669" r:id="rId1668" display="https://i.ibb.co/68RXB19/Bradesco.png"/>
    <hyperlink ref="I1670" r:id="rId1669" display="https://i.ibb.co/DznB5q4/Itau.png"/>
    <hyperlink ref="I1671" r:id="rId1670" display="https://i.ibb.co/zX8KX6R/Santander.png"/>
    <hyperlink ref="I1672" r:id="rId1671" display="https://i.ibb.co/zX8KX6R/Santander.png"/>
    <hyperlink ref="I1673" r:id="rId1672" display="https://i.ibb.co/DznB5q4/Itau.png"/>
    <hyperlink ref="I1674" r:id="rId1673" display="https://i.ibb.co/DznB5q4/Itau.png"/>
    <hyperlink ref="I1675" r:id="rId1674" display="https://i.ibb.co/FhY6B5f/Safra.png"/>
    <hyperlink ref="I1676" r:id="rId1675" display="https://i.ibb.co/LpJM38D/Nubank.png"/>
    <hyperlink ref="I1677" r:id="rId1676" display="https://i.ibb.co/DznB5q4/Itau.png"/>
    <hyperlink ref="I1678" r:id="rId1677" display="https://i.ibb.co/LpJM38D/Nubank.png"/>
    <hyperlink ref="I1679" r:id="rId1678" display="https://i.ibb.co/DznB5q4/Itau.png"/>
    <hyperlink ref="I1680" r:id="rId1679" display="https://i.ibb.co/zX8KX6R/Santander.png"/>
    <hyperlink ref="I1681" r:id="rId1680" display="https://i.ibb.co/DznB5q4/Itau.png"/>
    <hyperlink ref="I1682" r:id="rId1681" display="https://i.ibb.co/DznB5q4/Itau.png"/>
    <hyperlink ref="I1683" r:id="rId1682" display="https://i.ibb.co/LpJM38D/Nubank.png"/>
    <hyperlink ref="I1684" r:id="rId1683" display="https://i.ibb.co/DznB5q4/Itau.png"/>
    <hyperlink ref="I1685" r:id="rId1684" display="https://i.ibb.co/zX8KX6R/Santander.png"/>
    <hyperlink ref="I1686" r:id="rId1685" display="https://i.ibb.co/zX8KX6R/Santander.png"/>
    <hyperlink ref="I1687" r:id="rId1686" display="https://i.ibb.co/zX8KX6R/Santander.png"/>
    <hyperlink ref="I1688" r:id="rId1687" display="https://i.ibb.co/zX8KX6R/Santander.png"/>
    <hyperlink ref="I1689" r:id="rId1688" display="https://i.ibb.co/LpJM38D/Nubank.png"/>
    <hyperlink ref="I1690" r:id="rId1689" display="https://i.ibb.co/zX8KX6R/Santander.png"/>
    <hyperlink ref="I1691" r:id="rId1690" display="https://i.ibb.co/DznB5q4/Itau.png"/>
    <hyperlink ref="I1692" r:id="rId1691" display="https://i.ibb.co/zX8KX6R/Santander.png"/>
    <hyperlink ref="I1693" r:id="rId1692" display="https://i.ibb.co/DznB5q4/Itau.png"/>
    <hyperlink ref="I1694" r:id="rId1693" display="https://i.ibb.co/LpJM38D/Nubank.png"/>
    <hyperlink ref="I1695" r:id="rId1694" display="https://i.ibb.co/LpJM38D/Nubank.png"/>
    <hyperlink ref="I1696" r:id="rId1695" display="https://i.ibb.co/LpJM38D/Nubank.png"/>
    <hyperlink ref="I1697" r:id="rId1696" display="https://i.ibb.co/DznB5q4/Itau.png"/>
    <hyperlink ref="I1698" r:id="rId1697" display="https://i.ibb.co/68RXB19/Bradesco.png"/>
    <hyperlink ref="I1699" r:id="rId1698" display="https://i.ibb.co/LpJM38D/Nubank.png"/>
    <hyperlink ref="I1700" r:id="rId1699" display="https://i.ibb.co/DznB5q4/Itau.png"/>
    <hyperlink ref="I1701" r:id="rId1700" display="https://i.ibb.co/zX8KX6R/Santander.png"/>
    <hyperlink ref="I1702" r:id="rId1701" display="https://i.ibb.co/68RXB19/Bradesco.png"/>
    <hyperlink ref="I1703" r:id="rId1702" display="https://i.ibb.co/DznB5q4/Itau.png"/>
    <hyperlink ref="I1704" r:id="rId1703" display="https://i.ibb.co/LpJM38D/Nubank.png"/>
    <hyperlink ref="I1705" r:id="rId1704" display="https://i.ibb.co/LpJM38D/Nubank.png"/>
    <hyperlink ref="I1706" r:id="rId1705" display="https://i.ibb.co/DznB5q4/Itau.png"/>
    <hyperlink ref="I1707" r:id="rId1706" display="https://i.ibb.co/LpJM38D/Nubank.png"/>
    <hyperlink ref="I1708" r:id="rId1707" display="https://i.ibb.co/zX8KX6R/Santander.png"/>
    <hyperlink ref="I1709" r:id="rId1708" display="https://i.ibb.co/DznB5q4/Itau.png"/>
    <hyperlink ref="I1710" r:id="rId1709" display="https://i.ibb.co/68RXB19/Bradesco.png"/>
    <hyperlink ref="I1711" r:id="rId1710" display="https://i.ibb.co/DznB5q4/Itau.png"/>
    <hyperlink ref="I1712" r:id="rId1711" display="https://i.ibb.co/LpJM38D/Nubank.png"/>
    <hyperlink ref="I1713" r:id="rId1712" display="https://i.ibb.co/68RXB19/Bradesco.png"/>
    <hyperlink ref="I1714" r:id="rId1713" display="https://i.ibb.co/DznB5q4/Itau.png"/>
    <hyperlink ref="I1715" r:id="rId1714" display="https://i.ibb.co/zX8KX6R/Santander.png"/>
    <hyperlink ref="I1716" r:id="rId1715" display="https://i.ibb.co/68RXB19/Bradesco.png"/>
    <hyperlink ref="I1717" r:id="rId1716" display="https://i.ibb.co/DznB5q4/Itau.png"/>
    <hyperlink ref="I1718" r:id="rId1717" display="https://i.ibb.co/LpJM38D/Nubank.png"/>
    <hyperlink ref="I1719" r:id="rId1718" display="https://i.ibb.co/DznB5q4/Itau.png"/>
    <hyperlink ref="I1720" r:id="rId1719" display="https://i.ibb.co/DznB5q4/Itau.png"/>
    <hyperlink ref="I1721" r:id="rId1720" display="https://i.ibb.co/zX8KX6R/Santander.png"/>
    <hyperlink ref="I1722" r:id="rId1721" display="https://i.ibb.co/LpJM38D/Nubank.png"/>
    <hyperlink ref="I1723" r:id="rId1722" display="https://i.ibb.co/zX8KX6R/Santander.png"/>
    <hyperlink ref="I1724" r:id="rId1723" display="https://i.ibb.co/DznB5q4/Itau.png"/>
    <hyperlink ref="I1725" r:id="rId1724" display="https://i.ibb.co/DznB5q4/Itau.png"/>
    <hyperlink ref="I1726" r:id="rId1725" display="https://i.ibb.co/zX8KX6R/Santander.png"/>
    <hyperlink ref="I1727" r:id="rId1726" display="https://i.ibb.co/DznB5q4/Itau.png"/>
    <hyperlink ref="I1728" r:id="rId1727" display="https://i.ibb.co/FhY6B5f/Safra.png"/>
    <hyperlink ref="I1729" r:id="rId1728" display="https://i.ibb.co/DznB5q4/Itau.png"/>
    <hyperlink ref="I1730" r:id="rId1729" display="https://i.ibb.co/LpJM38D/Nubank.png"/>
    <hyperlink ref="I1731" r:id="rId1730" display="https://i.ibb.co/DznB5q4/Itau.png"/>
    <hyperlink ref="I1732" r:id="rId1731" display="https://i.ibb.co/DznB5q4/Itau.png"/>
    <hyperlink ref="I1733" r:id="rId1732" display="https://i.ibb.co/DznB5q4/Itau.png"/>
    <hyperlink ref="I1734" r:id="rId1733" display="https://i.ibb.co/68RXB19/Bradesco.png"/>
    <hyperlink ref="I1735" r:id="rId1734" display="https://i.ibb.co/LpJM38D/Nubank.png"/>
    <hyperlink ref="I1736" r:id="rId1735" display="https://i.ibb.co/DznB5q4/Itau.png"/>
    <hyperlink ref="I1737" r:id="rId1736" display="https://i.ibb.co/DznB5q4/Itau.png"/>
    <hyperlink ref="I1738" r:id="rId1737" display="https://i.ibb.co/DznB5q4/Itau.png"/>
    <hyperlink ref="I1739" r:id="rId1738" display="https://i.ibb.co/LpJM38D/Nubank.png"/>
    <hyperlink ref="I1740" r:id="rId1739" display="https://i.ibb.co/DznB5q4/Itau.png"/>
    <hyperlink ref="I1741" r:id="rId1740" display="https://i.ibb.co/zX8KX6R/Santander.png"/>
    <hyperlink ref="I1742" r:id="rId1741" display="https://i.ibb.co/DznB5q4/Itau.png"/>
    <hyperlink ref="I1743" r:id="rId1742" display="https://i.ibb.co/DznB5q4/Itau.png"/>
    <hyperlink ref="I1744" r:id="rId1743" display="https://i.ibb.co/zX8KX6R/Santander.png"/>
    <hyperlink ref="I1745" r:id="rId1744" display="https://i.ibb.co/DznB5q4/Itau.png"/>
    <hyperlink ref="I1746" r:id="rId1745" display="https://i.ibb.co/DznB5q4/Itau.png"/>
    <hyperlink ref="I1747" r:id="rId1746" display="https://i.ibb.co/DznB5q4/Itau.png"/>
    <hyperlink ref="I1748" r:id="rId1747" display="https://i.ibb.co/DznB5q4/Itau.png"/>
    <hyperlink ref="I1749" r:id="rId1748" display="https://i.ibb.co/LpJM38D/Nubank.png"/>
    <hyperlink ref="I1750" r:id="rId1749" display="https://i.ibb.co/FhY6B5f/Safra.png"/>
    <hyperlink ref="I1751" r:id="rId1750" display="https://i.ibb.co/DznB5q4/Itau.png"/>
    <hyperlink ref="I1752" r:id="rId1751" display="https://i.ibb.co/DznB5q4/Itau.png"/>
    <hyperlink ref="I1753" r:id="rId1752" display="https://i.ibb.co/zX8KX6R/Santander.png"/>
    <hyperlink ref="I1754" r:id="rId1753" display="https://i.ibb.co/zX8KX6R/Santander.png"/>
    <hyperlink ref="I1755" r:id="rId1754" display="https://i.ibb.co/LpJM38D/Nubank.png"/>
    <hyperlink ref="I1756" r:id="rId1755" display="https://i.ibb.co/LpJM38D/Nubank.png"/>
    <hyperlink ref="I1757" r:id="rId1756" display="https://i.ibb.co/LpJM38D/Nubank.png"/>
    <hyperlink ref="I1758" r:id="rId1757" display="https://i.ibb.co/68RXB19/Bradesco.png"/>
    <hyperlink ref="I1759" r:id="rId1758" display="https://i.ibb.co/LpJM38D/Nubank.png"/>
    <hyperlink ref="I1760" r:id="rId1759" display="https://i.ibb.co/DznB5q4/Itau.png"/>
    <hyperlink ref="I1761" r:id="rId1760" display="https://i.ibb.co/DznB5q4/Itau.png"/>
    <hyperlink ref="I1762" r:id="rId1761" display="https://i.ibb.co/LpJM38D/Nubank.png"/>
    <hyperlink ref="I1763" r:id="rId1762" display="https://i.ibb.co/zX8KX6R/Santander.png"/>
    <hyperlink ref="I1764" r:id="rId1763" display="https://i.ibb.co/DznB5q4/Itau.png"/>
    <hyperlink ref="I1765" r:id="rId1764" display="https://i.ibb.co/LpJM38D/Nubank.png"/>
    <hyperlink ref="I1766" r:id="rId1765" display="https://i.ibb.co/LpJM38D/Nubank.png"/>
    <hyperlink ref="I1767" r:id="rId1766" display="https://i.ibb.co/DznB5q4/Itau.png"/>
    <hyperlink ref="I1768" r:id="rId1767" display="https://i.ibb.co/zX8KX6R/Santander.png"/>
    <hyperlink ref="I1769" r:id="rId1768" display="https://i.ibb.co/DznB5q4/Itau.png"/>
    <hyperlink ref="I1770" r:id="rId1769" display="https://i.ibb.co/LpJM38D/Nubank.png"/>
    <hyperlink ref="I1771" r:id="rId1770" display="https://i.ibb.co/68RXB19/Bradesco.png"/>
    <hyperlink ref="I1772" r:id="rId1771" display="https://i.ibb.co/DznB5q4/Itau.png"/>
    <hyperlink ref="I1773" r:id="rId1772" display="https://i.ibb.co/DznB5q4/Itau.png"/>
    <hyperlink ref="I1774" r:id="rId1773" display="https://i.ibb.co/DznB5q4/Itau.png"/>
    <hyperlink ref="I1775" r:id="rId1774" display="https://i.ibb.co/LpJM38D/Nubank.png"/>
    <hyperlink ref="I1776" r:id="rId1775" display="https://i.ibb.co/LpJM38D/Nubank.png"/>
    <hyperlink ref="I1777" r:id="rId1776" display="https://i.ibb.co/DznB5q4/Itau.png"/>
    <hyperlink ref="I1778" r:id="rId1777" display="https://i.ibb.co/DznB5q4/Itau.png"/>
    <hyperlink ref="I1779" r:id="rId1778" display="https://i.ibb.co/LpJM38D/Nubank.png"/>
    <hyperlink ref="I1780" r:id="rId1779" display="https://i.ibb.co/DznB5q4/Itau.png"/>
    <hyperlink ref="I1781" r:id="rId1780" display="https://i.ibb.co/LpJM38D/Nubank.png"/>
    <hyperlink ref="I1782" r:id="rId1781" display="https://i.ibb.co/LpJM38D/Nubank.png"/>
    <hyperlink ref="I1783" r:id="rId1782" display="https://i.ibb.co/LpJM38D/Nubank.png"/>
    <hyperlink ref="I1784" r:id="rId1783" display="https://i.ibb.co/FhY6B5f/Safra.png"/>
    <hyperlink ref="I1785" r:id="rId1784" display="https://i.ibb.co/DznB5q4/Itau.png"/>
    <hyperlink ref="I1786" r:id="rId1785" display="https://i.ibb.co/LpJM38D/Nubank.png"/>
    <hyperlink ref="I1787" r:id="rId1786" display="https://i.ibb.co/DznB5q4/Itau.png"/>
    <hyperlink ref="I1788" r:id="rId1787" display="https://i.ibb.co/68RXB19/Bradesco.png"/>
    <hyperlink ref="I1789" r:id="rId1788" display="https://i.ibb.co/DznB5q4/Itau.png"/>
    <hyperlink ref="I1790" r:id="rId1789" display="https://i.ibb.co/LpJM38D/Nubank.png"/>
    <hyperlink ref="I1791" r:id="rId1790" display="https://i.ibb.co/DznB5q4/Itau.png"/>
    <hyperlink ref="I1792" r:id="rId1791" display="https://i.ibb.co/DznB5q4/Itau.png"/>
    <hyperlink ref="I1793" r:id="rId1792" display="https://i.ibb.co/68RXB19/Bradesco.png"/>
    <hyperlink ref="I1794" r:id="rId1793" display="https://i.ibb.co/zX8KX6R/Santander.png"/>
    <hyperlink ref="I1795" r:id="rId1794" display="https://i.ibb.co/DznB5q4/Itau.png"/>
    <hyperlink ref="I1796" r:id="rId1795" display="https://i.ibb.co/DznB5q4/Itau.png"/>
    <hyperlink ref="I1797" r:id="rId1796" display="https://i.ibb.co/DznB5q4/Itau.png"/>
    <hyperlink ref="I1798" r:id="rId1797" display="https://i.ibb.co/DznB5q4/Itau.png"/>
    <hyperlink ref="I1799" r:id="rId1798" display="https://i.ibb.co/68RXB19/Bradesco.png"/>
    <hyperlink ref="I1800" r:id="rId1799" display="https://i.ibb.co/DznB5q4/Itau.png"/>
    <hyperlink ref="I1801" r:id="rId1800" display="https://i.ibb.co/LpJM38D/Nubank.png"/>
    <hyperlink ref="I1802" r:id="rId1801" display="https://i.ibb.co/DznB5q4/Itau.png"/>
    <hyperlink ref="I1803" r:id="rId1802" display="https://i.ibb.co/DznB5q4/Itau.png"/>
    <hyperlink ref="I1804" r:id="rId1803" display="https://i.ibb.co/zX8KX6R/Santander.png"/>
    <hyperlink ref="I1805" r:id="rId1804" display="https://i.ibb.co/DznB5q4/Itau.png"/>
    <hyperlink ref="I1806" r:id="rId1805" display="https://i.ibb.co/DznB5q4/Itau.png"/>
    <hyperlink ref="I1807" r:id="rId1806" display="https://i.ibb.co/DznB5q4/Itau.png"/>
    <hyperlink ref="I1808" r:id="rId1807" display="https://i.ibb.co/68RXB19/Bradesco.png"/>
    <hyperlink ref="I1809" r:id="rId1808" display="https://i.ibb.co/DznB5q4/Itau.png"/>
    <hyperlink ref="I1810" r:id="rId1809" display="https://i.ibb.co/DznB5q4/Itau.png"/>
    <hyperlink ref="I1811" r:id="rId1810" display="https://i.ibb.co/LpJM38D/Nubank.png"/>
    <hyperlink ref="I1812" r:id="rId1811" display="https://i.ibb.co/DznB5q4/Itau.png"/>
    <hyperlink ref="I1813" r:id="rId1812" display="https://i.ibb.co/LpJM38D/Nubank.png"/>
    <hyperlink ref="I1814" r:id="rId1813" display="https://i.ibb.co/DznB5q4/Itau.png"/>
    <hyperlink ref="I1815" r:id="rId1814" display="https://i.ibb.co/zX8KX6R/Santander.png"/>
    <hyperlink ref="I1816" r:id="rId1815" display="https://i.ibb.co/DznB5q4/Itau.png"/>
    <hyperlink ref="I1817" r:id="rId1816" display="https://i.ibb.co/FhY6B5f/Safra.png"/>
    <hyperlink ref="I1818" r:id="rId1817" display="https://i.ibb.co/DznB5q4/Itau.png"/>
    <hyperlink ref="I1819" r:id="rId1818" display="https://i.ibb.co/DznB5q4/Itau.png"/>
    <hyperlink ref="I1820" r:id="rId1819" display="https://i.ibb.co/DznB5q4/Itau.png"/>
    <hyperlink ref="I1821" r:id="rId1820" display="https://i.ibb.co/LpJM38D/Nubank.png"/>
    <hyperlink ref="I1822" r:id="rId1821" display="https://i.ibb.co/DznB5q4/Itau.png"/>
    <hyperlink ref="I1823" r:id="rId1822" display="https://i.ibb.co/DznB5q4/Itau.png"/>
    <hyperlink ref="I1824" r:id="rId1823" display="https://i.ibb.co/zX8KX6R/Santander.png"/>
    <hyperlink ref="I1825" r:id="rId1824" display="https://i.ibb.co/LpJM38D/Nubank.png"/>
    <hyperlink ref="I1826" r:id="rId1825" display="https://i.ibb.co/LpJM38D/Nubank.png"/>
    <hyperlink ref="I1827" r:id="rId1826" display="https://i.ibb.co/DznB5q4/Itau.png"/>
    <hyperlink ref="I1828" r:id="rId1827" display="https://i.ibb.co/zX8KX6R/Santander.png"/>
    <hyperlink ref="I1829" r:id="rId1828" display="https://i.ibb.co/DznB5q4/Itau.png"/>
    <hyperlink ref="I1830" r:id="rId1829" display="https://i.ibb.co/LpJM38D/Nubank.png"/>
    <hyperlink ref="I1831" r:id="rId1830" display="https://i.ibb.co/LpJM38D/Nubank.png"/>
    <hyperlink ref="I1832" r:id="rId1831" display="https://i.ibb.co/LpJM38D/Nubank.png"/>
    <hyperlink ref="I1833" r:id="rId1832" display="https://i.ibb.co/DznB5q4/Itau.png"/>
    <hyperlink ref="I1834" r:id="rId1833" display="https://i.ibb.co/68RXB19/Bradesco.png"/>
    <hyperlink ref="I1835" r:id="rId1834" display="https://i.ibb.co/DznB5q4/Itau.png"/>
    <hyperlink ref="I1836" r:id="rId1835" display="https://i.ibb.co/68RXB19/Bradesco.png"/>
    <hyperlink ref="I1837" r:id="rId1836" display="https://i.ibb.co/DznB5q4/Itau.png"/>
    <hyperlink ref="I1838" r:id="rId1837" display="https://i.ibb.co/DznB5q4/Itau.png"/>
    <hyperlink ref="I1839" r:id="rId1838" display="https://i.ibb.co/DznB5q4/Itau.png"/>
    <hyperlink ref="I1840" r:id="rId1839" display="https://i.ibb.co/FhY6B5f/Safra.png"/>
    <hyperlink ref="I1841" r:id="rId1840" display="https://i.ibb.co/zX8KX6R/Santander.png"/>
    <hyperlink ref="I1842" r:id="rId1841" display="https://i.ibb.co/LpJM38D/Nubank.png"/>
    <hyperlink ref="I1843" r:id="rId1842" display="https://i.ibb.co/DznB5q4/Itau.png"/>
    <hyperlink ref="I1844" r:id="rId1843" display="https://i.ibb.co/DznB5q4/Itau.png"/>
    <hyperlink ref="I1845" r:id="rId1844" display="https://i.ibb.co/zX8KX6R/Santander.png"/>
    <hyperlink ref="I1846" r:id="rId1845" display="https://i.ibb.co/zX8KX6R/Santander.png"/>
    <hyperlink ref="I1847" r:id="rId1846" display="https://i.ibb.co/DznB5q4/Itau.png"/>
    <hyperlink ref="I1848" r:id="rId1847" display="https://i.ibb.co/DznB5q4/Itau.png"/>
    <hyperlink ref="I1849" r:id="rId1848" display="https://i.ibb.co/LpJM38D/Nubank.png"/>
    <hyperlink ref="I1850" r:id="rId1849" display="https://i.ibb.co/DznB5q4/Itau.png"/>
    <hyperlink ref="I1851" r:id="rId1850" display="https://i.ibb.co/zX8KX6R/Santander.png"/>
    <hyperlink ref="I1852" r:id="rId1851" display="https://i.ibb.co/DznB5q4/Itau.png"/>
    <hyperlink ref="I1853" r:id="rId1852" display="https://i.ibb.co/68RXB19/Bradesco.png"/>
    <hyperlink ref="I1854" r:id="rId1853" display="https://i.ibb.co/LpJM38D/Nubank.png"/>
    <hyperlink ref="I1855" r:id="rId1854" display="https://i.ibb.co/DznB5q4/Itau.png"/>
    <hyperlink ref="I1856" r:id="rId1855" display="https://i.ibb.co/LpJM38D/Nubank.png"/>
    <hyperlink ref="I1857" r:id="rId1856" display="https://i.ibb.co/LpJM38D/Nubank.png"/>
    <hyperlink ref="I1858" r:id="rId1857" display="https://i.ibb.co/DznB5q4/Itau.png"/>
    <hyperlink ref="I1859" r:id="rId1858" display="https://i.ibb.co/DznB5q4/Itau.png"/>
    <hyperlink ref="I1860" r:id="rId1859" display="https://i.ibb.co/zX8KX6R/Santander.png"/>
    <hyperlink ref="I1861" r:id="rId1860" display="https://i.ibb.co/DznB5q4/Itau.png"/>
    <hyperlink ref="I1862" r:id="rId1861" display="https://i.ibb.co/LpJM38D/Nubank.png"/>
    <hyperlink ref="I1863" r:id="rId1862" display="https://i.ibb.co/DznB5q4/Itau.png"/>
    <hyperlink ref="I1864" r:id="rId1863" display="https://i.ibb.co/68RXB19/Bradesco.png"/>
    <hyperlink ref="I1865" r:id="rId1864" display="https://i.ibb.co/LpJM38D/Nubank.png"/>
    <hyperlink ref="I1866" r:id="rId1865" display="https://i.ibb.co/DznB5q4/Itau.png"/>
    <hyperlink ref="I1867" r:id="rId1866" display="https://i.ibb.co/DznB5q4/Itau.png"/>
    <hyperlink ref="I1868" r:id="rId1867" display="https://i.ibb.co/68RXB19/Bradesco.png"/>
    <hyperlink ref="I1869" r:id="rId1868" display="https://i.ibb.co/zX8KX6R/Santander.png"/>
    <hyperlink ref="I1870" r:id="rId1869" display="https://i.ibb.co/LpJM38D/Nubank.png"/>
    <hyperlink ref="I1871" r:id="rId1870" display="https://i.ibb.co/LpJM38D/Nubank.png"/>
    <hyperlink ref="I1872" r:id="rId1871" display="https://i.ibb.co/LpJM38D/Nubank.png"/>
    <hyperlink ref="I1873" r:id="rId1872" display="https://i.ibb.co/DznB5q4/Itau.png"/>
    <hyperlink ref="I1874" r:id="rId1873" display="https://i.ibb.co/68RXB19/Bradesco.png"/>
    <hyperlink ref="I1875" r:id="rId1874" display="https://i.ibb.co/68RXB19/Bradesco.png"/>
    <hyperlink ref="I1876" r:id="rId1875" display="https://i.ibb.co/LpJM38D/Nubank.png"/>
    <hyperlink ref="I1877" r:id="rId1876" display="https://i.ibb.co/LpJM38D/Nubank.png"/>
    <hyperlink ref="I1878" r:id="rId1877" display="https://i.ibb.co/68RXB19/Bradesco.png"/>
    <hyperlink ref="I1879" r:id="rId1878" display="https://i.ibb.co/zX8KX6R/Santander.png"/>
    <hyperlink ref="I1880" r:id="rId1879" display="https://i.ibb.co/LpJM38D/Nubank.png"/>
    <hyperlink ref="I1881" r:id="rId1880" display="https://i.ibb.co/zX8KX6R/Santander.png"/>
    <hyperlink ref="I1882" r:id="rId1881" display="https://i.ibb.co/DznB5q4/Itau.png"/>
    <hyperlink ref="I1883" r:id="rId1882" display="https://i.ibb.co/68RXB19/Bradesco.png"/>
    <hyperlink ref="I1884" r:id="rId1883" display="https://i.ibb.co/FhY6B5f/Safra.png"/>
    <hyperlink ref="I1885" r:id="rId1884" display="https://i.ibb.co/LpJM38D/Nubank.png"/>
    <hyperlink ref="I1886" r:id="rId1885" display="https://i.ibb.co/DznB5q4/Itau.png"/>
    <hyperlink ref="I1887" r:id="rId1886" display="https://i.ibb.co/DznB5q4/Itau.png"/>
    <hyperlink ref="I1888" r:id="rId1887" display="https://i.ibb.co/DznB5q4/Itau.png"/>
    <hyperlink ref="I1889" r:id="rId1888" display="https://i.ibb.co/LpJM38D/Nubank.png"/>
    <hyperlink ref="I1890" r:id="rId1889" display="https://i.ibb.co/DznB5q4/Itau.png"/>
    <hyperlink ref="I1891" r:id="rId1890" display="https://i.ibb.co/LpJM38D/Nubank.png"/>
    <hyperlink ref="I1892" r:id="rId1891" display="https://i.ibb.co/LpJM38D/Nubank.png"/>
    <hyperlink ref="I1893" r:id="rId1892" display="https://i.ibb.co/LpJM38D/Nubank.png"/>
    <hyperlink ref="I1894" r:id="rId1893" display="https://i.ibb.co/DznB5q4/Itau.png"/>
    <hyperlink ref="I1895" r:id="rId1894" display="https://i.ibb.co/DznB5q4/Itau.png"/>
    <hyperlink ref="I1896" r:id="rId1895" display="https://i.ibb.co/LpJM38D/Nubank.png"/>
    <hyperlink ref="I1897" r:id="rId1896" display="https://i.ibb.co/zX8KX6R/Santander.png"/>
    <hyperlink ref="I1898" r:id="rId1897" display="https://i.ibb.co/68RXB19/Bradesco.png"/>
    <hyperlink ref="I1899" r:id="rId1898" display="https://i.ibb.co/zX8KX6R/Santander.png"/>
    <hyperlink ref="I1900" r:id="rId1899" display="https://i.ibb.co/DznB5q4/Itau.png"/>
    <hyperlink ref="I1901" r:id="rId1900" display="https://i.ibb.co/LpJM38D/Nubank.png"/>
    <hyperlink ref="I1902" r:id="rId1901" display="https://i.ibb.co/DznB5q4/Itau.png"/>
    <hyperlink ref="I1903" r:id="rId1902" display="https://i.ibb.co/68RXB19/Bradesco.png"/>
    <hyperlink ref="I1904" r:id="rId1903" display="https://i.ibb.co/LpJM38D/Nubank.png"/>
    <hyperlink ref="I1905" r:id="rId1904" display="https://i.ibb.co/DznB5q4/Itau.png"/>
    <hyperlink ref="I1906" r:id="rId1905" display="https://i.ibb.co/68RXB19/Bradesco.png"/>
    <hyperlink ref="I1907" r:id="rId1906" display="https://i.ibb.co/DznB5q4/Itau.png"/>
    <hyperlink ref="I1908" r:id="rId1907" display="https://i.ibb.co/FhY6B5f/Safra.png"/>
    <hyperlink ref="I1909" r:id="rId1908" display="https://i.ibb.co/DznB5q4/Itau.png"/>
    <hyperlink ref="I1910" r:id="rId1909" display="https://i.ibb.co/FhY6B5f/Safra.png"/>
    <hyperlink ref="I1911" r:id="rId1910" display="https://i.ibb.co/LpJM38D/Nubank.png"/>
    <hyperlink ref="I1912" r:id="rId1911" display="https://i.ibb.co/LpJM38D/Nubank.png"/>
    <hyperlink ref="I1913" r:id="rId1912" display="https://i.ibb.co/LpJM38D/Nubank.png"/>
    <hyperlink ref="I1914" r:id="rId1913" display="https://i.ibb.co/LpJM38D/Nubank.png"/>
    <hyperlink ref="I1915" r:id="rId1914" display="https://i.ibb.co/DznB5q4/Itau.png"/>
    <hyperlink ref="I1916" r:id="rId1915" display="https://i.ibb.co/DznB5q4/Itau.png"/>
    <hyperlink ref="I1917" r:id="rId1916" display="https://i.ibb.co/68RXB19/Bradesco.png"/>
    <hyperlink ref="I1918" r:id="rId1917" display="https://i.ibb.co/zX8KX6R/Santander.png"/>
    <hyperlink ref="I1919" r:id="rId1918" display="https://i.ibb.co/DznB5q4/Itau.png"/>
    <hyperlink ref="I1920" r:id="rId1919" display="https://i.ibb.co/zX8KX6R/Santander.png"/>
    <hyperlink ref="I1921" r:id="rId1920" display="https://i.ibb.co/DznB5q4/Itau.png"/>
    <hyperlink ref="I1922" r:id="rId1921" display="https://i.ibb.co/LpJM38D/Nubank.png"/>
    <hyperlink ref="I1923" r:id="rId1922" display="https://i.ibb.co/68RXB19/Bradesco.png"/>
    <hyperlink ref="I1924" r:id="rId1923" display="https://i.ibb.co/68RXB19/Bradesco.png"/>
    <hyperlink ref="I1925" r:id="rId1924" display="https://i.ibb.co/68RXB19/Bradesco.png"/>
    <hyperlink ref="I1926" r:id="rId1925" display="https://i.ibb.co/DznB5q4/Itau.png"/>
    <hyperlink ref="I1927" r:id="rId1926" display="https://i.ibb.co/LpJM38D/Nubank.png"/>
    <hyperlink ref="I1928" r:id="rId1927" display="https://i.ibb.co/DznB5q4/Itau.png"/>
    <hyperlink ref="I1929" r:id="rId1928" display="https://i.ibb.co/DznB5q4/Itau.png"/>
    <hyperlink ref="I1930" r:id="rId1929" display="https://i.ibb.co/DznB5q4/Itau.png"/>
    <hyperlink ref="I1931" r:id="rId1930" display="https://i.ibb.co/zX8KX6R/Santander.png"/>
    <hyperlink ref="I1932" r:id="rId1931" display="https://i.ibb.co/DznB5q4/Itau.png"/>
    <hyperlink ref="I1933" r:id="rId1932" display="https://i.ibb.co/zX8KX6R/Santander.png"/>
    <hyperlink ref="I1934" r:id="rId1933" display="https://i.ibb.co/zX8KX6R/Santander.png"/>
    <hyperlink ref="I1935" r:id="rId1934" display="https://i.ibb.co/DznB5q4/Itau.png"/>
    <hyperlink ref="I1936" r:id="rId1935" display="https://i.ibb.co/zX8KX6R/Santander.png"/>
    <hyperlink ref="I1937" r:id="rId1936" display="https://i.ibb.co/DznB5q4/Itau.png"/>
    <hyperlink ref="I1938" r:id="rId1937" display="https://i.ibb.co/zX8KX6R/Santander.png"/>
    <hyperlink ref="I1939" r:id="rId1938" display="https://i.ibb.co/DznB5q4/Itau.png"/>
    <hyperlink ref="I1940" r:id="rId1939" display="https://i.ibb.co/zX8KX6R/Santander.png"/>
    <hyperlink ref="I1941" r:id="rId1940" display="https://i.ibb.co/DznB5q4/Itau.png"/>
    <hyperlink ref="I1942" r:id="rId1941" display="https://i.ibb.co/DznB5q4/Itau.png"/>
    <hyperlink ref="I1943" r:id="rId1942" display="https://i.ibb.co/zX8KX6R/Santander.png"/>
    <hyperlink ref="I1944" r:id="rId1943" display="https://i.ibb.co/LpJM38D/Nubank.png"/>
    <hyperlink ref="I1945" r:id="rId1944" display="https://i.ibb.co/DznB5q4/Itau.png"/>
    <hyperlink ref="I1946" r:id="rId1945" display="https://i.ibb.co/DznB5q4/Itau.png"/>
    <hyperlink ref="I1947" r:id="rId1946" display="https://i.ibb.co/68RXB19/Bradesco.png"/>
    <hyperlink ref="I1948" r:id="rId1947" display="https://i.ibb.co/68RXB19/Bradesco.png"/>
    <hyperlink ref="I1949" r:id="rId1948" display="https://i.ibb.co/FhY6B5f/Safra.png"/>
    <hyperlink ref="I1950" r:id="rId1949" display="https://i.ibb.co/DznB5q4/Itau.png"/>
    <hyperlink ref="I1951" r:id="rId1950" display="https://i.ibb.co/DznB5q4/Itau.png"/>
    <hyperlink ref="I1952" r:id="rId1951" display="https://i.ibb.co/LpJM38D/Nubank.png"/>
    <hyperlink ref="I1953" r:id="rId1952" display="https://i.ibb.co/LpJM38D/Nubank.png"/>
    <hyperlink ref="I1954" r:id="rId1953" display="https://i.ibb.co/LpJM38D/Nubank.png"/>
    <hyperlink ref="I1955" r:id="rId1954" display="https://i.ibb.co/DznB5q4/Itau.png"/>
    <hyperlink ref="I1956" r:id="rId1955" display="https://i.ibb.co/DznB5q4/Itau.png"/>
    <hyperlink ref="I1957" r:id="rId1956" display="https://i.ibb.co/DznB5q4/Itau.png"/>
    <hyperlink ref="I1958" r:id="rId1957" display="https://i.ibb.co/DznB5q4/Itau.png"/>
    <hyperlink ref="I1959" r:id="rId1958" display="https://i.ibb.co/DznB5q4/Itau.png"/>
    <hyperlink ref="I1960" r:id="rId1959" display="https://i.ibb.co/LpJM38D/Nubank.png"/>
    <hyperlink ref="I1961" r:id="rId1960" display="https://i.ibb.co/LpJM38D/Nubank.png"/>
    <hyperlink ref="I1962" r:id="rId1961" display="https://i.ibb.co/68RXB19/Bradesco.png"/>
    <hyperlink ref="I1963" r:id="rId1962" display="https://i.ibb.co/zX8KX6R/Santander.png"/>
    <hyperlink ref="I1964" r:id="rId1963" display="https://i.ibb.co/DznB5q4/Itau.png"/>
    <hyperlink ref="I1965" r:id="rId1964" display="https://i.ibb.co/zX8KX6R/Santander.png"/>
    <hyperlink ref="I1966" r:id="rId1965" display="https://i.ibb.co/zX8KX6R/Santander.png"/>
    <hyperlink ref="I1967" r:id="rId1966" display="https://i.ibb.co/DznB5q4/Itau.png"/>
    <hyperlink ref="I1968" r:id="rId1967" display="https://i.ibb.co/DznB5q4/Itau.png"/>
    <hyperlink ref="I1969" r:id="rId1968" display="https://i.ibb.co/DznB5q4/Itau.png"/>
    <hyperlink ref="I1970" r:id="rId1969" display="https://i.ibb.co/68RXB19/Bradesco.png"/>
    <hyperlink ref="I1971" r:id="rId1970" display="https://i.ibb.co/LpJM38D/Nubank.png"/>
    <hyperlink ref="I1972" r:id="rId1971" display="https://i.ibb.co/zX8KX6R/Santander.png"/>
    <hyperlink ref="I1973" r:id="rId1972" display="https://i.ibb.co/FhY6B5f/Safra.png"/>
    <hyperlink ref="I1974" r:id="rId1973" display="https://i.ibb.co/FhY6B5f/Safra.png"/>
    <hyperlink ref="I1975" r:id="rId1974" display="https://i.ibb.co/LpJM38D/Nubank.png"/>
    <hyperlink ref="I1976" r:id="rId1975" display="https://i.ibb.co/DznB5q4/Itau.png"/>
    <hyperlink ref="I1977" r:id="rId1976" display="https://i.ibb.co/zX8KX6R/Santander.png"/>
    <hyperlink ref="I1978" r:id="rId1977" display="https://i.ibb.co/DznB5q4/Itau.png"/>
    <hyperlink ref="I1979" r:id="rId1978" display="https://i.ibb.co/LpJM38D/Nubank.png"/>
    <hyperlink ref="I1980" r:id="rId1979" display="https://i.ibb.co/zX8KX6R/Santander.png"/>
    <hyperlink ref="I1981" r:id="rId1980" display="https://i.ibb.co/68RXB19/Bradesco.png"/>
    <hyperlink ref="I1982" r:id="rId1981" display="https://i.ibb.co/FhY6B5f/Safra.png"/>
    <hyperlink ref="I1983" r:id="rId1982" display="https://i.ibb.co/DznB5q4/Itau.png"/>
    <hyperlink ref="I1984" r:id="rId1983" display="https://i.ibb.co/68RXB19/Bradesco.png"/>
    <hyperlink ref="I1985" r:id="rId1984" display="https://i.ibb.co/LpJM38D/Nubank.png"/>
    <hyperlink ref="I1986" r:id="rId1985" display="https://i.ibb.co/LpJM38D/Nubank.png"/>
    <hyperlink ref="I1987" r:id="rId1986" display="https://i.ibb.co/LpJM38D/Nubank.png"/>
    <hyperlink ref="I1988" r:id="rId1987" display="https://i.ibb.co/DznB5q4/Itau.png"/>
    <hyperlink ref="I1989" r:id="rId1988" display="https://i.ibb.co/zX8KX6R/Santander.png"/>
    <hyperlink ref="I1990" r:id="rId1989" display="https://i.ibb.co/zX8KX6R/Santander.png"/>
    <hyperlink ref="I1991" r:id="rId1990" display="https://i.ibb.co/LpJM38D/Nubank.png"/>
    <hyperlink ref="I1992" r:id="rId1991" display="https://i.ibb.co/DznB5q4/Itau.png"/>
    <hyperlink ref="I1993" r:id="rId1992" display="https://i.ibb.co/LpJM38D/Nubank.png"/>
    <hyperlink ref="I1994" r:id="rId1993" display="https://i.ibb.co/zX8KX6R/Santander.png"/>
    <hyperlink ref="I1995" r:id="rId1994" display="https://i.ibb.co/DznB5q4/Itau.png"/>
    <hyperlink ref="I1996" r:id="rId1995" display="https://i.ibb.co/DznB5q4/Itau.png"/>
    <hyperlink ref="I1997" r:id="rId1996" display="https://i.ibb.co/LpJM38D/Nubank.png"/>
    <hyperlink ref="I1998" r:id="rId1997" display="https://i.ibb.co/DznB5q4/Itau.png"/>
    <hyperlink ref="I1999" r:id="rId1998" display="https://i.ibb.co/FhY6B5f/Safra.png"/>
    <hyperlink ref="I2000" r:id="rId1999" display="https://i.ibb.co/68RXB19/Bradesco.png"/>
    <hyperlink ref="I2001" r:id="rId2000" display="https://i.ibb.co/LpJM38D/Nubank.png"/>
    <hyperlink ref="I2002" r:id="rId2001" display="https://i.ibb.co/FhY6B5f/Safra.png"/>
    <hyperlink ref="I2003" r:id="rId2002" display="https://i.ibb.co/68RXB19/Bradesco.png"/>
    <hyperlink ref="I2004" r:id="rId2003" display="https://i.ibb.co/LpJM38D/Nubank.png"/>
    <hyperlink ref="I2005" r:id="rId2004" display="https://i.ibb.co/LpJM38D/Nubank.png"/>
    <hyperlink ref="I2006" r:id="rId2005" display="https://i.ibb.co/DznB5q4/Itau.png"/>
    <hyperlink ref="I2007" r:id="rId2006" display="https://i.ibb.co/DznB5q4/Itau.png"/>
    <hyperlink ref="I2008" r:id="rId2007" display="https://i.ibb.co/zX8KX6R/Santander.png"/>
    <hyperlink ref="I2009" r:id="rId2008" display="https://i.ibb.co/LpJM38D/Nubank.png"/>
    <hyperlink ref="I2010" r:id="rId2009" display="https://i.ibb.co/zX8KX6R/Santander.png"/>
    <hyperlink ref="I2011" r:id="rId2010" display="https://i.ibb.co/DznB5q4/Itau.png"/>
    <hyperlink ref="I2012" r:id="rId2011" display="https://i.ibb.co/zX8KX6R/Santander.png"/>
    <hyperlink ref="I2013" r:id="rId2012" display="https://i.ibb.co/DznB5q4/Itau.png"/>
    <hyperlink ref="I2014" r:id="rId2013" display="https://i.ibb.co/DznB5q4/Itau.png"/>
    <hyperlink ref="I2015" r:id="rId2014" display="https://i.ibb.co/LpJM38D/Nubank.png"/>
    <hyperlink ref="I2016" r:id="rId2015" display="https://i.ibb.co/LpJM38D/Nubank.png"/>
    <hyperlink ref="I2017" r:id="rId2016" display="https://i.ibb.co/FhY6B5f/Safra.png"/>
    <hyperlink ref="I2018" r:id="rId2017" display="https://i.ibb.co/DznB5q4/Itau.png"/>
    <hyperlink ref="I2019" r:id="rId2018" display="https://i.ibb.co/zX8KX6R/Santander.png"/>
    <hyperlink ref="I2020" r:id="rId2019" display="https://i.ibb.co/DznB5q4/Itau.png"/>
    <hyperlink ref="I2021" r:id="rId2020" display="https://i.ibb.co/DznB5q4/Itau.png"/>
    <hyperlink ref="I2022" r:id="rId2021" display="https://i.ibb.co/LpJM38D/Nubank.png"/>
    <hyperlink ref="I2023" r:id="rId2022" display="https://i.ibb.co/DznB5q4/Itau.png"/>
    <hyperlink ref="I2024" r:id="rId2023" display="https://i.ibb.co/zX8KX6R/Santander.png"/>
    <hyperlink ref="I2025" r:id="rId2024" display="https://i.ibb.co/zX8KX6R/Santander.png"/>
    <hyperlink ref="I2026" r:id="rId2025" display="https://i.ibb.co/zX8KX6R/Santander.png"/>
    <hyperlink ref="I2027" r:id="rId2026" display="https://i.ibb.co/LpJM38D/Nubank.png"/>
    <hyperlink ref="I2028" r:id="rId2027" display="https://i.ibb.co/DznB5q4/Itau.png"/>
    <hyperlink ref="I2029" r:id="rId2028" display="https://i.ibb.co/LpJM38D/Nubank.png"/>
    <hyperlink ref="I2030" r:id="rId2029" display="https://i.ibb.co/LpJM38D/Nubank.png"/>
    <hyperlink ref="I2031" r:id="rId2030" display="https://i.ibb.co/DznB5q4/Itau.png"/>
    <hyperlink ref="I2032" r:id="rId2031" display="https://i.ibb.co/DznB5q4/Itau.png"/>
    <hyperlink ref="I2033" r:id="rId2032" display="https://i.ibb.co/DznB5q4/Itau.png"/>
    <hyperlink ref="I2034" r:id="rId2033" display="https://i.ibb.co/68RXB19/Bradesco.png"/>
    <hyperlink ref="I2035" r:id="rId2034" display="https://i.ibb.co/DznB5q4/Itau.png"/>
    <hyperlink ref="I2036" r:id="rId2035" display="https://i.ibb.co/zX8KX6R/Santander.png"/>
    <hyperlink ref="I2037" r:id="rId2036" display="https://i.ibb.co/LpJM38D/Nubank.png"/>
    <hyperlink ref="I2038" r:id="rId2037" display="https://i.ibb.co/zX8KX6R/Santander.png"/>
    <hyperlink ref="I2039" r:id="rId2038" display="https://i.ibb.co/DznB5q4/Itau.png"/>
    <hyperlink ref="I2040" r:id="rId2039" display="https://i.ibb.co/DznB5q4/Itau.png"/>
    <hyperlink ref="I2041" r:id="rId2040" display="https://i.ibb.co/FhY6B5f/Safra.png"/>
    <hyperlink ref="I2042" r:id="rId2041" display="https://i.ibb.co/LpJM38D/Nubank.png"/>
    <hyperlink ref="I2043" r:id="rId2042" display="https://i.ibb.co/DznB5q4/Itau.png"/>
    <hyperlink ref="I2044" r:id="rId2043" display="https://i.ibb.co/LpJM38D/Nubank.png"/>
    <hyperlink ref="I2045" r:id="rId2044" display="https://i.ibb.co/DznB5q4/Itau.png"/>
    <hyperlink ref="I2046" r:id="rId2045" display="https://i.ibb.co/DznB5q4/Itau.png"/>
    <hyperlink ref="I2047" r:id="rId2046" display="https://i.ibb.co/LpJM38D/Nubank.png"/>
    <hyperlink ref="I2048" r:id="rId2047" display="https://i.ibb.co/zX8KX6R/Santander.png"/>
    <hyperlink ref="I2049" r:id="rId2048" display="https://i.ibb.co/zX8KX6R/Santander.png"/>
    <hyperlink ref="I2050" r:id="rId2049" display="https://i.ibb.co/zX8KX6R/Santander.png"/>
    <hyperlink ref="I2051" r:id="rId2050" display="https://i.ibb.co/zX8KX6R/Santander.png"/>
    <hyperlink ref="I2052" r:id="rId2051" display="https://i.ibb.co/zX8KX6R/Santander.png"/>
    <hyperlink ref="I2053" r:id="rId2052" display="https://i.ibb.co/FhY6B5f/Safra.png"/>
    <hyperlink ref="I2054" r:id="rId2053" display="https://i.ibb.co/LpJM38D/Nubank.png"/>
    <hyperlink ref="I2055" r:id="rId2054" display="https://i.ibb.co/DznB5q4/Itau.png"/>
    <hyperlink ref="I2056" r:id="rId2055" display="https://i.ibb.co/DznB5q4/Itau.png"/>
    <hyperlink ref="I2057" r:id="rId2056" display="https://i.ibb.co/FhY6B5f/Safra.png"/>
    <hyperlink ref="I2058" r:id="rId2057" display="https://i.ibb.co/DznB5q4/Itau.png"/>
    <hyperlink ref="I2059" r:id="rId2058" display="https://i.ibb.co/LpJM38D/Nubank.png"/>
    <hyperlink ref="I2060" r:id="rId2059" display="https://i.ibb.co/DznB5q4/Itau.png"/>
    <hyperlink ref="I2061" r:id="rId2060" display="https://i.ibb.co/DznB5q4/Itau.png"/>
    <hyperlink ref="I2062" r:id="rId2061" display="https://i.ibb.co/DznB5q4/Itau.png"/>
    <hyperlink ref="I2063" r:id="rId2062" display="https://i.ibb.co/68RXB19/Bradesco.png"/>
    <hyperlink ref="I2064" r:id="rId2063" display="https://i.ibb.co/DznB5q4/Itau.png"/>
    <hyperlink ref="I2065" r:id="rId2064" display="https://i.ibb.co/FhY6B5f/Safra.png"/>
    <hyperlink ref="I2066" r:id="rId2065" display="https://i.ibb.co/FhY6B5f/Safra.png"/>
    <hyperlink ref="I2067" r:id="rId2066" display="https://i.ibb.co/zX8KX6R/Santander.png"/>
    <hyperlink ref="I2068" r:id="rId2067" display="https://i.ibb.co/FhY6B5f/Safra.png"/>
    <hyperlink ref="I2069" r:id="rId2068" display="https://i.ibb.co/DznB5q4/Itau.png"/>
    <hyperlink ref="I2070" r:id="rId2069" display="https://i.ibb.co/LpJM38D/Nubank.png"/>
    <hyperlink ref="I2071" r:id="rId2070" display="https://i.ibb.co/LpJM38D/Nubank.png"/>
    <hyperlink ref="I2072" r:id="rId2071" display="https://i.ibb.co/zX8KX6R/Santander.png"/>
    <hyperlink ref="I2073" r:id="rId2072" display="https://i.ibb.co/DznB5q4/Itau.png"/>
    <hyperlink ref="I2074" r:id="rId2073" display="https://i.ibb.co/DznB5q4/Itau.png"/>
    <hyperlink ref="I2075" r:id="rId2074" display="https://i.ibb.co/LpJM38D/Nubank.png"/>
    <hyperlink ref="I2076" r:id="rId2075" display="https://i.ibb.co/LpJM38D/Nubank.png"/>
    <hyperlink ref="I2077" r:id="rId2076" display="https://i.ibb.co/DznB5q4/Itau.png"/>
    <hyperlink ref="I2078" r:id="rId2077" display="https://i.ibb.co/zX8KX6R/Santander.png"/>
    <hyperlink ref="I2079" r:id="rId2078" display="https://i.ibb.co/DznB5q4/Itau.png"/>
    <hyperlink ref="I2080" r:id="rId2079" display="https://i.ibb.co/zX8KX6R/Santander.png"/>
    <hyperlink ref="I2081" r:id="rId2080" display="https://i.ibb.co/zX8KX6R/Santander.png"/>
    <hyperlink ref="I2082" r:id="rId2081" display="https://i.ibb.co/LpJM38D/Nubank.png"/>
    <hyperlink ref="I2083" r:id="rId2082" display="https://i.ibb.co/DznB5q4/Itau.png"/>
    <hyperlink ref="I2084" r:id="rId2083" display="https://i.ibb.co/DznB5q4/Itau.png"/>
    <hyperlink ref="I2085" r:id="rId2084" display="https://i.ibb.co/68RXB19/Bradesco.png"/>
    <hyperlink ref="I2086" r:id="rId2085" display="https://i.ibb.co/zX8KX6R/Santander.png"/>
    <hyperlink ref="I2087" r:id="rId2086" display="https://i.ibb.co/DznB5q4/Itau.png"/>
    <hyperlink ref="I2088" r:id="rId2087" display="https://i.ibb.co/68RXB19/Bradesco.png"/>
    <hyperlink ref="I2089" r:id="rId2088" display="https://i.ibb.co/DznB5q4/Itau.png"/>
    <hyperlink ref="I2090" r:id="rId2089" display="https://i.ibb.co/DznB5q4/Itau.png"/>
    <hyperlink ref="I2091" r:id="rId2090" display="https://i.ibb.co/DznB5q4/Itau.png"/>
    <hyperlink ref="I2092" r:id="rId2091" display="https://i.ibb.co/FhY6B5f/Safra.png"/>
    <hyperlink ref="I2093" r:id="rId2092" display="https://i.ibb.co/DznB5q4/Itau.png"/>
    <hyperlink ref="I2094" r:id="rId2093" display="https://i.ibb.co/zX8KX6R/Santander.png"/>
    <hyperlink ref="I2095" r:id="rId2094" display="https://i.ibb.co/DznB5q4/Itau.png"/>
    <hyperlink ref="I2096" r:id="rId2095" display="https://i.ibb.co/DznB5q4/Itau.png"/>
    <hyperlink ref="I2097" r:id="rId2096" display="https://i.ibb.co/zX8KX6R/Santander.png"/>
    <hyperlink ref="I2098" r:id="rId2097" display="https://i.ibb.co/DznB5q4/Itau.png"/>
    <hyperlink ref="I2099" r:id="rId2098" display="https://i.ibb.co/LpJM38D/Nubank.png"/>
    <hyperlink ref="I2100" r:id="rId2099" display="https://i.ibb.co/zX8KX6R/Santander.png"/>
    <hyperlink ref="I2101" r:id="rId2100" display="https://i.ibb.co/DznB5q4/Itau.png"/>
    <hyperlink ref="I2102" r:id="rId2101" display="https://i.ibb.co/68RXB19/Bradesco.png"/>
    <hyperlink ref="I2103" r:id="rId2102" display="https://i.ibb.co/DznB5q4/Itau.png"/>
    <hyperlink ref="I2104" r:id="rId2103" display="https://i.ibb.co/zX8KX6R/Santander.png"/>
    <hyperlink ref="I2105" r:id="rId2104" display="https://i.ibb.co/LpJM38D/Nubank.png"/>
    <hyperlink ref="I2106" r:id="rId2105" display="https://i.ibb.co/DznB5q4/Itau.png"/>
    <hyperlink ref="I2107" r:id="rId2106" display="https://i.ibb.co/DznB5q4/Itau.png"/>
    <hyperlink ref="I2108" r:id="rId2107" display="https://i.ibb.co/zX8KX6R/Santander.png"/>
    <hyperlink ref="I2109" r:id="rId2108" display="https://i.ibb.co/DznB5q4/Itau.png"/>
    <hyperlink ref="I2110" r:id="rId2109" display="https://i.ibb.co/DznB5q4/Itau.png"/>
    <hyperlink ref="I2111" r:id="rId2110" display="https://i.ibb.co/zX8KX6R/Santander.png"/>
    <hyperlink ref="I2112" r:id="rId2111" display="https://i.ibb.co/zX8KX6R/Santander.png"/>
    <hyperlink ref="I2113" r:id="rId2112" display="https://i.ibb.co/FhY6B5f/Safra.png"/>
    <hyperlink ref="I2114" r:id="rId2113" display="https://i.ibb.co/DznB5q4/Itau.png"/>
    <hyperlink ref="I2115" r:id="rId2114" display="https://i.ibb.co/zX8KX6R/Santander.png"/>
    <hyperlink ref="I2116" r:id="rId2115" display="https://i.ibb.co/DznB5q4/Itau.png"/>
    <hyperlink ref="I2117" r:id="rId2116" display="https://i.ibb.co/DznB5q4/Itau.png"/>
    <hyperlink ref="I2118" r:id="rId2117" display="https://i.ibb.co/DznB5q4/Itau.png"/>
    <hyperlink ref="I2119" r:id="rId2118" display="https://i.ibb.co/LpJM38D/Nubank.png"/>
    <hyperlink ref="I2120" r:id="rId2119" display="https://i.ibb.co/DznB5q4/Itau.png"/>
    <hyperlink ref="I2121" r:id="rId2120" display="https://i.ibb.co/LpJM38D/Nubank.png"/>
    <hyperlink ref="I2122" r:id="rId2121" display="https://i.ibb.co/DznB5q4/Itau.png"/>
    <hyperlink ref="I2123" r:id="rId2122" display="https://i.ibb.co/zX8KX6R/Santander.png"/>
    <hyperlink ref="I2124" r:id="rId2123" display="https://i.ibb.co/zX8KX6R/Santander.png"/>
    <hyperlink ref="I2125" r:id="rId2124" display="https://i.ibb.co/68RXB19/Bradesco.png"/>
    <hyperlink ref="I2126" r:id="rId2125" display="https://i.ibb.co/zX8KX6R/Santander.png"/>
    <hyperlink ref="I2127" r:id="rId2126" display="https://i.ibb.co/68RXB19/Bradesco.png"/>
    <hyperlink ref="I2128" r:id="rId2127" display="https://i.ibb.co/LpJM38D/Nubank.png"/>
    <hyperlink ref="I2129" r:id="rId2128" display="https://i.ibb.co/LpJM38D/Nubank.png"/>
    <hyperlink ref="I2130" r:id="rId2129" display="https://i.ibb.co/DznB5q4/Itau.png"/>
    <hyperlink ref="I2131" r:id="rId2130" display="https://i.ibb.co/zX8KX6R/Santander.png"/>
    <hyperlink ref="I2132" r:id="rId2131" display="https://i.ibb.co/DznB5q4/Itau.png"/>
    <hyperlink ref="I2133" r:id="rId2132" display="https://i.ibb.co/68RXB19/Bradesco.png"/>
    <hyperlink ref="I2134" r:id="rId2133" display="https://i.ibb.co/DznB5q4/Itau.png"/>
    <hyperlink ref="I2135" r:id="rId2134" display="https://i.ibb.co/DznB5q4/Itau.png"/>
    <hyperlink ref="I2136" r:id="rId2135" display="https://i.ibb.co/DznB5q4/Itau.png"/>
    <hyperlink ref="I2137" r:id="rId2136" display="https://i.ibb.co/LpJM38D/Nubank.png"/>
    <hyperlink ref="I2138" r:id="rId2137" display="https://i.ibb.co/LpJM38D/Nubank.png"/>
    <hyperlink ref="I2139" r:id="rId2138" display="https://i.ibb.co/LpJM38D/Nubank.png"/>
    <hyperlink ref="I2140" r:id="rId2139" display="https://i.ibb.co/68RXB19/Bradesco.png"/>
    <hyperlink ref="I2141" r:id="rId2140" display="https://i.ibb.co/DznB5q4/Itau.png"/>
    <hyperlink ref="I2142" r:id="rId2141" display="https://i.ibb.co/DznB5q4/Itau.png"/>
    <hyperlink ref="I2143" r:id="rId2142" display="https://i.ibb.co/68RXB19/Bradesco.png"/>
    <hyperlink ref="I2144" r:id="rId2143" display="https://i.ibb.co/zX8KX6R/Santander.png"/>
    <hyperlink ref="I2145" r:id="rId2144" display="https://i.ibb.co/LpJM38D/Nubank.png"/>
    <hyperlink ref="I2146" r:id="rId2145" display="https://i.ibb.co/zX8KX6R/Santander.png"/>
    <hyperlink ref="I2147" r:id="rId2146" display="https://i.ibb.co/68RXB19/Bradesco.png"/>
    <hyperlink ref="I2148" r:id="rId2147" display="https://i.ibb.co/68RXB19/Bradesco.png"/>
    <hyperlink ref="I2149" r:id="rId2148" display="https://i.ibb.co/zX8KX6R/Santander.png"/>
    <hyperlink ref="I2150" r:id="rId2149" display="https://i.ibb.co/LpJM38D/Nubank.png"/>
    <hyperlink ref="I2151" r:id="rId2150" display="https://i.ibb.co/68RXB19/Bradesco.png"/>
    <hyperlink ref="I2152" r:id="rId2151" display="https://i.ibb.co/DznB5q4/Itau.png"/>
    <hyperlink ref="I2153" r:id="rId2152" display="https://i.ibb.co/DznB5q4/Itau.png"/>
    <hyperlink ref="I2154" r:id="rId2153" display="https://i.ibb.co/zX8KX6R/Santander.png"/>
    <hyperlink ref="I2155" r:id="rId2154" display="https://i.ibb.co/LpJM38D/Nubank.png"/>
    <hyperlink ref="I2156" r:id="rId2155" display="https://i.ibb.co/LpJM38D/Nubank.png"/>
    <hyperlink ref="I2157" r:id="rId2156" display="https://i.ibb.co/zX8KX6R/Santander.png"/>
    <hyperlink ref="I2158" r:id="rId2157" display="https://i.ibb.co/68RXB19/Bradesco.png"/>
    <hyperlink ref="I2159" r:id="rId2158" display="https://i.ibb.co/DznB5q4/Itau.png"/>
    <hyperlink ref="I2160" r:id="rId2159" display="https://i.ibb.co/DznB5q4/Itau.png"/>
    <hyperlink ref="I2161" r:id="rId2160" display="https://i.ibb.co/DznB5q4/Itau.png"/>
    <hyperlink ref="I2162" r:id="rId2161" display="https://i.ibb.co/LpJM38D/Nubank.png"/>
    <hyperlink ref="I2163" r:id="rId2162" display="https://i.ibb.co/DznB5q4/Itau.png"/>
    <hyperlink ref="I2164" r:id="rId2163" display="https://i.ibb.co/LpJM38D/Nubank.png"/>
    <hyperlink ref="I2165" r:id="rId2164" display="https://i.ibb.co/LpJM38D/Nubank.png"/>
    <hyperlink ref="I2166" r:id="rId2165" display="https://i.ibb.co/zX8KX6R/Santander.png"/>
    <hyperlink ref="I2167" r:id="rId2166" display="https://i.ibb.co/LpJM38D/Nubank.png"/>
    <hyperlink ref="I2168" r:id="rId2167" display="https://i.ibb.co/LpJM38D/Nubank.png"/>
    <hyperlink ref="I2169" r:id="rId2168" display="https://i.ibb.co/DznB5q4/Itau.png"/>
    <hyperlink ref="I2170" r:id="rId2169" display="https://i.ibb.co/LpJM38D/Nubank.png"/>
    <hyperlink ref="I2171" r:id="rId2170" display="https://i.ibb.co/DznB5q4/Itau.png"/>
    <hyperlink ref="I2172" r:id="rId2171" display="https://i.ibb.co/LpJM38D/Nubank.png"/>
    <hyperlink ref="I2173" r:id="rId2172" display="https://i.ibb.co/zX8KX6R/Santander.png"/>
    <hyperlink ref="I2174" r:id="rId2173" display="https://i.ibb.co/DznB5q4/Itau.png"/>
    <hyperlink ref="I2175" r:id="rId2174" display="https://i.ibb.co/LpJM38D/Nubank.png"/>
    <hyperlink ref="I2176" r:id="rId2175" display="https://i.ibb.co/FhY6B5f/Safra.png"/>
    <hyperlink ref="I2177" r:id="rId2176" display="https://i.ibb.co/DznB5q4/Itau.png"/>
    <hyperlink ref="I2178" r:id="rId2177" display="https://i.ibb.co/DznB5q4/Itau.png"/>
    <hyperlink ref="I2179" r:id="rId2178" display="https://i.ibb.co/DznB5q4/Itau.png"/>
    <hyperlink ref="I2180" r:id="rId2179" display="https://i.ibb.co/DznB5q4/Itau.png"/>
    <hyperlink ref="I2181" r:id="rId2180" display="https://i.ibb.co/DznB5q4/Itau.png"/>
    <hyperlink ref="I2182" r:id="rId2181" display="https://i.ibb.co/DznB5q4/Itau.png"/>
    <hyperlink ref="I2183" r:id="rId2182" display="https://i.ibb.co/LpJM38D/Nubank.png"/>
    <hyperlink ref="I2184" r:id="rId2183" display="https://i.ibb.co/DznB5q4/Itau.png"/>
    <hyperlink ref="I2185" r:id="rId2184" display="https://i.ibb.co/zX8KX6R/Santander.png"/>
    <hyperlink ref="I2186" r:id="rId2185" display="https://i.ibb.co/68RXB19/Bradesco.png"/>
    <hyperlink ref="I2187" r:id="rId2186" display="https://i.ibb.co/LpJM38D/Nubank.png"/>
    <hyperlink ref="I2188" r:id="rId2187" display="https://i.ibb.co/DznB5q4/Itau.png"/>
    <hyperlink ref="I2189" r:id="rId2188" display="https://i.ibb.co/LpJM38D/Nubank.png"/>
    <hyperlink ref="I2190" r:id="rId2189" display="https://i.ibb.co/LpJM38D/Nubank.png"/>
    <hyperlink ref="I2191" r:id="rId2190" display="https://i.ibb.co/DznB5q4/Itau.png"/>
    <hyperlink ref="I2192" r:id="rId2191" display="https://i.ibb.co/LpJM38D/Nubank.png"/>
    <hyperlink ref="I2193" r:id="rId2192" display="https://i.ibb.co/DznB5q4/Itau.png"/>
    <hyperlink ref="I2194" r:id="rId2193" display="https://i.ibb.co/DznB5q4/Itau.png"/>
    <hyperlink ref="I2195" r:id="rId2194" display="https://i.ibb.co/LpJM38D/Nubank.png"/>
    <hyperlink ref="I2196" r:id="rId2195" display="https://i.ibb.co/DznB5q4/Itau.png"/>
    <hyperlink ref="I2197" r:id="rId2196" display="https://i.ibb.co/DznB5q4/Itau.png"/>
    <hyperlink ref="I2198" r:id="rId2197" display="https://i.ibb.co/zX8KX6R/Santander.png"/>
    <hyperlink ref="I2199" r:id="rId2198" display="https://i.ibb.co/DznB5q4/Itau.png"/>
    <hyperlink ref="I2200" r:id="rId2199" display="https://i.ibb.co/DznB5q4/Itau.png"/>
    <hyperlink ref="I2201" r:id="rId2200" display="https://i.ibb.co/DznB5q4/Itau.png"/>
    <hyperlink ref="I2202" r:id="rId2201" display="https://i.ibb.co/zX8KX6R/Santander.png"/>
    <hyperlink ref="I2203" r:id="rId2202" display="https://i.ibb.co/FhY6B5f/Safra.png"/>
    <hyperlink ref="I2204" r:id="rId2203" display="https://i.ibb.co/zX8KX6R/Santander.png"/>
    <hyperlink ref="I2205" r:id="rId2204" display="https://i.ibb.co/zX8KX6R/Santander.png"/>
    <hyperlink ref="I2206" r:id="rId2205" display="https://i.ibb.co/DznB5q4/Itau.png"/>
    <hyperlink ref="I2207" r:id="rId2206" display="https://i.ibb.co/DznB5q4/Itau.png"/>
    <hyperlink ref="I2208" r:id="rId2207" display="https://i.ibb.co/zX8KX6R/Santander.png"/>
    <hyperlink ref="I2209" r:id="rId2208" display="https://i.ibb.co/DznB5q4/Itau.png"/>
    <hyperlink ref="I2210" r:id="rId2209" display="https://i.ibb.co/FhY6B5f/Safra.png"/>
    <hyperlink ref="I2211" r:id="rId2210" display="https://i.ibb.co/FhY6B5f/Safra.png"/>
    <hyperlink ref="I2212" r:id="rId2211" display="https://i.ibb.co/zX8KX6R/Santander.png"/>
    <hyperlink ref="I2213" r:id="rId2212" display="https://i.ibb.co/LpJM38D/Nubank.png"/>
    <hyperlink ref="I2214" r:id="rId2213" display="https://i.ibb.co/LpJM38D/Nubank.png"/>
    <hyperlink ref="I2215" r:id="rId2214" display="https://i.ibb.co/LpJM38D/Nubank.png"/>
    <hyperlink ref="I2216" r:id="rId2215" display="https://i.ibb.co/DznB5q4/Itau.png"/>
    <hyperlink ref="I2217" r:id="rId2216" display="https://i.ibb.co/68RXB19/Bradesco.png"/>
    <hyperlink ref="I2218" r:id="rId2217" display="https://i.ibb.co/68RXB19/Bradesco.png"/>
    <hyperlink ref="I2219" r:id="rId2218" display="https://i.ibb.co/DznB5q4/Itau.png"/>
    <hyperlink ref="I2220" r:id="rId2219" display="https://i.ibb.co/FhY6B5f/Safra.png"/>
    <hyperlink ref="I2221" r:id="rId2220" display="https://i.ibb.co/zX8KX6R/Santander.png"/>
    <hyperlink ref="I2222" r:id="rId2221" display="https://i.ibb.co/LpJM38D/Nubank.png"/>
    <hyperlink ref="I2223" r:id="rId2222" display="https://i.ibb.co/DznB5q4/Itau.png"/>
    <hyperlink ref="I2224" r:id="rId2223" display="https://i.ibb.co/zX8KX6R/Santander.png"/>
    <hyperlink ref="I2225" r:id="rId2224" display="https://i.ibb.co/FhY6B5f/Safra.png"/>
    <hyperlink ref="I2226" r:id="rId2225" display="https://i.ibb.co/DznB5q4/Itau.png"/>
    <hyperlink ref="I2227" r:id="rId2226" display="https://i.ibb.co/zX8KX6R/Santander.png"/>
    <hyperlink ref="I2228" r:id="rId2227" display="https://i.ibb.co/DznB5q4/Itau.png"/>
    <hyperlink ref="I2229" r:id="rId2228" display="https://i.ibb.co/DznB5q4/Itau.png"/>
    <hyperlink ref="I2230" r:id="rId2229" display="https://i.ibb.co/DznB5q4/Itau.png"/>
    <hyperlink ref="I2231" r:id="rId2230" display="https://i.ibb.co/DznB5q4/Itau.png"/>
    <hyperlink ref="I2232" r:id="rId2231" display="https://i.ibb.co/zX8KX6R/Santander.png"/>
    <hyperlink ref="I2233" r:id="rId2232" display="https://i.ibb.co/DznB5q4/Itau.png"/>
    <hyperlink ref="I2234" r:id="rId2233" display="https://i.ibb.co/LpJM38D/Nubank.png"/>
    <hyperlink ref="I2235" r:id="rId2234" display="https://i.ibb.co/68RXB19/Bradesco.png"/>
    <hyperlink ref="I2236" r:id="rId2235" display="https://i.ibb.co/zX8KX6R/Santander.png"/>
    <hyperlink ref="I2237" r:id="rId2236" display="https://i.ibb.co/DznB5q4/Itau.png"/>
    <hyperlink ref="I2238" r:id="rId2237" display="https://i.ibb.co/DznB5q4/Itau.png"/>
    <hyperlink ref="I2239" r:id="rId2238" display="https://i.ibb.co/zX8KX6R/Santander.png"/>
    <hyperlink ref="I2240" r:id="rId2239" display="https://i.ibb.co/FhY6B5f/Safra.png"/>
    <hyperlink ref="I2241" r:id="rId2240" display="https://i.ibb.co/FhY6B5f/Safra.png"/>
    <hyperlink ref="I2242" r:id="rId2241" display="https://i.ibb.co/zX8KX6R/Santander.png"/>
    <hyperlink ref="I2243" r:id="rId2242" display="https://i.ibb.co/zX8KX6R/Santander.png"/>
    <hyperlink ref="I2244" r:id="rId2243" display="https://i.ibb.co/DznB5q4/Itau.png"/>
    <hyperlink ref="I2245" r:id="rId2244" display="https://i.ibb.co/LpJM38D/Nubank.png"/>
    <hyperlink ref="I2246" r:id="rId2245" display="https://i.ibb.co/68RXB19/Bradesco.png"/>
    <hyperlink ref="I2247" r:id="rId2246" display="https://i.ibb.co/DznB5q4/Itau.png"/>
    <hyperlink ref="I2248" r:id="rId2247" display="https://i.ibb.co/68RXB19/Bradesco.png"/>
    <hyperlink ref="I2249" r:id="rId2248" display="https://i.ibb.co/68RXB19/Bradesco.png"/>
    <hyperlink ref="I2250" r:id="rId2249" display="https://i.ibb.co/LpJM38D/Nubank.png"/>
    <hyperlink ref="I2251" r:id="rId2250" display="https://i.ibb.co/LpJM38D/Nubank.png"/>
    <hyperlink ref="I2252" r:id="rId2251" display="https://i.ibb.co/FhY6B5f/Safra.png"/>
    <hyperlink ref="I2253" r:id="rId2252" display="https://i.ibb.co/68RXB19/Bradesco.png"/>
    <hyperlink ref="I2254" r:id="rId2253" display="https://i.ibb.co/LpJM38D/Nubank.png"/>
    <hyperlink ref="I2255" r:id="rId2254" display="https://i.ibb.co/68RXB19/Bradesco.png"/>
    <hyperlink ref="I2256" r:id="rId2255" display="https://i.ibb.co/DznB5q4/Itau.png"/>
    <hyperlink ref="I2257" r:id="rId2256" display="https://i.ibb.co/LpJM38D/Nubank.png"/>
    <hyperlink ref="I2258" r:id="rId2257" display="https://i.ibb.co/LpJM38D/Nubank.png"/>
    <hyperlink ref="I2259" r:id="rId2258" display="https://i.ibb.co/DznB5q4/Itau.png"/>
    <hyperlink ref="I2260" r:id="rId2259" display="https://i.ibb.co/LpJM38D/Nubank.png"/>
    <hyperlink ref="I2261" r:id="rId2260" display="https://i.ibb.co/zX8KX6R/Santander.png"/>
    <hyperlink ref="I2262" r:id="rId2261" display="https://i.ibb.co/DznB5q4/Itau.png"/>
    <hyperlink ref="I2263" r:id="rId2262" display="https://i.ibb.co/LpJM38D/Nubank.png"/>
    <hyperlink ref="I2264" r:id="rId2263" display="https://i.ibb.co/DznB5q4/Itau.png"/>
    <hyperlink ref="I2265" r:id="rId2264" display="https://i.ibb.co/LpJM38D/Nubank.png"/>
    <hyperlink ref="I2266" r:id="rId2265" display="https://i.ibb.co/68RXB19/Bradesco.png"/>
    <hyperlink ref="I2267" r:id="rId2266" display="https://i.ibb.co/LpJM38D/Nubank.png"/>
    <hyperlink ref="I2268" r:id="rId2267" display="https://i.ibb.co/LpJM38D/Nubank.png"/>
    <hyperlink ref="I2269" r:id="rId2268" display="https://i.ibb.co/DznB5q4/Itau.png"/>
    <hyperlink ref="I2270" r:id="rId2269" display="https://i.ibb.co/FhY6B5f/Safra.png"/>
    <hyperlink ref="I2271" r:id="rId2270" display="https://i.ibb.co/LpJM38D/Nubank.png"/>
    <hyperlink ref="I2272" r:id="rId2271" display="https://i.ibb.co/DznB5q4/Itau.png"/>
    <hyperlink ref="I2273" r:id="rId2272" display="https://i.ibb.co/DznB5q4/Itau.png"/>
    <hyperlink ref="I2274" r:id="rId2273" display="https://i.ibb.co/LpJM38D/Nubank.png"/>
    <hyperlink ref="I2275" r:id="rId2274" display="https://i.ibb.co/LpJM38D/Nubank.png"/>
    <hyperlink ref="I2276" r:id="rId2275" display="https://i.ibb.co/DznB5q4/Itau.png"/>
    <hyperlink ref="I2277" r:id="rId2276" display="https://i.ibb.co/DznB5q4/Itau.png"/>
    <hyperlink ref="I2278" r:id="rId2277" display="https://i.ibb.co/zX8KX6R/Santander.png"/>
    <hyperlink ref="I2279" r:id="rId2278" display="https://i.ibb.co/LpJM38D/Nubank.png"/>
    <hyperlink ref="I2280" r:id="rId2279" display="https://i.ibb.co/FhY6B5f/Safra.png"/>
    <hyperlink ref="I2281" r:id="rId2280" display="https://i.ibb.co/LpJM38D/Nubank.png"/>
    <hyperlink ref="I2282" r:id="rId2281" display="https://i.ibb.co/DznB5q4/Itau.png"/>
    <hyperlink ref="I2283" r:id="rId2282" display="https://i.ibb.co/LpJM38D/Nubank.png"/>
    <hyperlink ref="I2284" r:id="rId2283" display="https://i.ibb.co/DznB5q4/Itau.png"/>
    <hyperlink ref="I2285" r:id="rId2284" display="https://i.ibb.co/LpJM38D/Nubank.png"/>
    <hyperlink ref="I2286" r:id="rId2285" display="https://i.ibb.co/DznB5q4/Itau.png"/>
    <hyperlink ref="I2287" r:id="rId2286" display="https://i.ibb.co/DznB5q4/Itau.png"/>
    <hyperlink ref="I2288" r:id="rId2287" display="https://i.ibb.co/DznB5q4/Itau.png"/>
    <hyperlink ref="I2289" r:id="rId2288" display="https://i.ibb.co/DznB5q4/Itau.png"/>
    <hyperlink ref="I2290" r:id="rId2289" display="https://i.ibb.co/DznB5q4/Itau.png"/>
    <hyperlink ref="I2291" r:id="rId2290" display="https://i.ibb.co/zX8KX6R/Santander.png"/>
    <hyperlink ref="I2292" r:id="rId2291" display="https://i.ibb.co/DznB5q4/Itau.png"/>
    <hyperlink ref="I2293" r:id="rId2292" display="https://i.ibb.co/LpJM38D/Nubank.png"/>
    <hyperlink ref="I2294" r:id="rId2293" display="https://i.ibb.co/FhY6B5f/Safra.png"/>
    <hyperlink ref="I2295" r:id="rId2294" display="https://i.ibb.co/DznB5q4/Itau.png"/>
    <hyperlink ref="I2296" r:id="rId2295" display="https://i.ibb.co/zX8KX6R/Santander.png"/>
    <hyperlink ref="I2297" r:id="rId2296" display="https://i.ibb.co/FhY6B5f/Safra.png"/>
    <hyperlink ref="I2298" r:id="rId2297" display="https://i.ibb.co/DznB5q4/Itau.png"/>
    <hyperlink ref="I2299" r:id="rId2298" display="https://i.ibb.co/FhY6B5f/Safra.png"/>
    <hyperlink ref="I2300" r:id="rId2299" display="https://i.ibb.co/LpJM38D/Nubank.png"/>
    <hyperlink ref="I2301" r:id="rId2300" display="https://i.ibb.co/DznB5q4/Itau.png"/>
    <hyperlink ref="I2302" r:id="rId2301" display="https://i.ibb.co/DznB5q4/Itau.png"/>
    <hyperlink ref="I2303" r:id="rId2302" display="https://i.ibb.co/DznB5q4/Itau.png"/>
    <hyperlink ref="I2304" r:id="rId2303" display="https://i.ibb.co/LpJM38D/Nubank.png"/>
    <hyperlink ref="I2305" r:id="rId2304" display="https://i.ibb.co/DznB5q4/Itau.png"/>
    <hyperlink ref="I2306" r:id="rId2305" display="https://i.ibb.co/LpJM38D/Nubank.png"/>
    <hyperlink ref="I2307" r:id="rId2306" display="https://i.ibb.co/LpJM38D/Nubank.png"/>
    <hyperlink ref="I2308" r:id="rId2307" display="https://i.ibb.co/68RXB19/Bradesco.png"/>
    <hyperlink ref="I2309" r:id="rId2308" display="https://i.ibb.co/FhY6B5f/Safra.png"/>
    <hyperlink ref="I2310" r:id="rId2309" display="https://i.ibb.co/DznB5q4/Itau.png"/>
    <hyperlink ref="I2311" r:id="rId2310" display="https://i.ibb.co/LpJM38D/Nubank.png"/>
    <hyperlink ref="I2312" r:id="rId2311" display="https://i.ibb.co/DznB5q4/Itau.png"/>
    <hyperlink ref="I2313" r:id="rId2312" display="https://i.ibb.co/DznB5q4/Itau.png"/>
    <hyperlink ref="I2314" r:id="rId2313" display="https://i.ibb.co/DznB5q4/Itau.png"/>
    <hyperlink ref="I2315" r:id="rId2314" display="https://i.ibb.co/DznB5q4/Itau.png"/>
    <hyperlink ref="I2316" r:id="rId2315" display="https://i.ibb.co/DznB5q4/Itau.png"/>
    <hyperlink ref="I2317" r:id="rId2316" display="https://i.ibb.co/68RXB19/Bradesco.png"/>
    <hyperlink ref="I2318" r:id="rId2317" display="https://i.ibb.co/DznB5q4/Itau.png"/>
    <hyperlink ref="I2319" r:id="rId2318" display="https://i.ibb.co/DznB5q4/Itau.png"/>
    <hyperlink ref="I2320" r:id="rId2319" display="https://i.ibb.co/DznB5q4/Itau.png"/>
    <hyperlink ref="I2321" r:id="rId2320" display="https://i.ibb.co/LpJM38D/Nubank.png"/>
    <hyperlink ref="I2322" r:id="rId2321" display="https://i.ibb.co/DznB5q4/Itau.png"/>
    <hyperlink ref="I2323" r:id="rId2322" display="https://i.ibb.co/DznB5q4/Itau.png"/>
    <hyperlink ref="I2324" r:id="rId2323" display="https://i.ibb.co/LpJM38D/Nubank.png"/>
    <hyperlink ref="I2325" r:id="rId2324" display="https://i.ibb.co/LpJM38D/Nubank.png"/>
    <hyperlink ref="I2326" r:id="rId2325" display="https://i.ibb.co/FhY6B5f/Safra.png"/>
    <hyperlink ref="I2327" r:id="rId2326" display="https://i.ibb.co/DznB5q4/Itau.png"/>
    <hyperlink ref="I2328" r:id="rId2327" display="https://i.ibb.co/DznB5q4/Itau.png"/>
    <hyperlink ref="I2329" r:id="rId2328" display="https://i.ibb.co/DznB5q4/Itau.png"/>
    <hyperlink ref="I2330" r:id="rId2329" display="https://i.ibb.co/68RXB19/Bradesco.png"/>
    <hyperlink ref="I2331" r:id="rId2330" display="https://i.ibb.co/zX8KX6R/Santander.png"/>
    <hyperlink ref="I2332" r:id="rId2331" display="https://i.ibb.co/DznB5q4/Itau.png"/>
    <hyperlink ref="I2333" r:id="rId2332" display="https://i.ibb.co/FhY6B5f/Safra.png"/>
    <hyperlink ref="I2334" r:id="rId2333" display="https://i.ibb.co/DznB5q4/Itau.png"/>
    <hyperlink ref="I2335" r:id="rId2334" display="https://i.ibb.co/LpJM38D/Nubank.png"/>
    <hyperlink ref="I2336" r:id="rId2335" display="https://i.ibb.co/DznB5q4/Itau.png"/>
    <hyperlink ref="I2337" r:id="rId2336" display="https://i.ibb.co/LpJM38D/Nubank.png"/>
    <hyperlink ref="I2338" r:id="rId2337" display="https://i.ibb.co/DznB5q4/Itau.png"/>
    <hyperlink ref="I2339" r:id="rId2338" display="https://i.ibb.co/DznB5q4/Itau.png"/>
    <hyperlink ref="I2340" r:id="rId2339" display="https://i.ibb.co/DznB5q4/Itau.png"/>
    <hyperlink ref="I2341" r:id="rId2340" display="https://i.ibb.co/FhY6B5f/Safra.png"/>
    <hyperlink ref="I2342" r:id="rId2341" display="https://i.ibb.co/LpJM38D/Nubank.png"/>
    <hyperlink ref="I2343" r:id="rId2342" display="https://i.ibb.co/zX8KX6R/Santander.png"/>
    <hyperlink ref="I2344" r:id="rId2343" display="https://i.ibb.co/68RXB19/Bradesco.png"/>
    <hyperlink ref="I2345" r:id="rId2344" display="https://i.ibb.co/LpJM38D/Nubank.png"/>
    <hyperlink ref="I2346" r:id="rId2345" display="https://i.ibb.co/DznB5q4/Itau.png"/>
    <hyperlink ref="I2347" r:id="rId2346" display="https://i.ibb.co/68RXB19/Bradesco.png"/>
    <hyperlink ref="I2348" r:id="rId2347" display="https://i.ibb.co/LpJM38D/Nubank.png"/>
    <hyperlink ref="I2349" r:id="rId2348" display="https://i.ibb.co/zX8KX6R/Santander.png"/>
    <hyperlink ref="I2350" r:id="rId2349" display="https://i.ibb.co/LpJM38D/Nubank.png"/>
    <hyperlink ref="I2351" r:id="rId2350" display="https://i.ibb.co/LpJM38D/Nubank.png"/>
    <hyperlink ref="I2352" r:id="rId2351" display="https://i.ibb.co/LpJM38D/Nubank.png"/>
    <hyperlink ref="I2353" r:id="rId2352" display="https://i.ibb.co/DznB5q4/Itau.png"/>
    <hyperlink ref="I2354" r:id="rId2353" display="https://i.ibb.co/LpJM38D/Nubank.png"/>
    <hyperlink ref="I2355" r:id="rId2354" display="https://i.ibb.co/zX8KX6R/Santander.png"/>
    <hyperlink ref="I2356" r:id="rId2355" display="https://i.ibb.co/DznB5q4/Itau.png"/>
    <hyperlink ref="I2357" r:id="rId2356" display="https://i.ibb.co/LpJM38D/Nubank.png"/>
    <hyperlink ref="I2358" r:id="rId2357" display="https://i.ibb.co/DznB5q4/Itau.png"/>
    <hyperlink ref="I2359" r:id="rId2358" display="https://i.ibb.co/DznB5q4/Itau.png"/>
    <hyperlink ref="I2360" r:id="rId2359" display="https://i.ibb.co/LpJM38D/Nubank.png"/>
    <hyperlink ref="I2361" r:id="rId2360" display="https://i.ibb.co/DznB5q4/Itau.png"/>
    <hyperlink ref="I2362" r:id="rId2361" display="https://i.ibb.co/68RXB19/Bradesco.png"/>
    <hyperlink ref="I2363" r:id="rId2362" display="https://i.ibb.co/LpJM38D/Nubank.png"/>
    <hyperlink ref="I2364" r:id="rId2363" display="https://i.ibb.co/68RXB19/Bradesco.png"/>
    <hyperlink ref="I2365" r:id="rId2364" display="https://i.ibb.co/LpJM38D/Nubank.png"/>
    <hyperlink ref="I2366" r:id="rId2365" display="https://i.ibb.co/DznB5q4/Itau.png"/>
    <hyperlink ref="I2367" r:id="rId2366" display="https://i.ibb.co/DznB5q4/Itau.png"/>
    <hyperlink ref="I2368" r:id="rId2367" display="https://i.ibb.co/zX8KX6R/Santander.png"/>
    <hyperlink ref="I2369" r:id="rId2368" display="https://i.ibb.co/LpJM38D/Nubank.png"/>
    <hyperlink ref="I2370" r:id="rId2369" display="https://i.ibb.co/DznB5q4/Itau.png"/>
    <hyperlink ref="I2371" r:id="rId2370" display="https://i.ibb.co/zX8KX6R/Santander.png"/>
    <hyperlink ref="I2372" r:id="rId2371" display="https://i.ibb.co/FhY6B5f/Safra.png"/>
    <hyperlink ref="I2373" r:id="rId2372" display="https://i.ibb.co/zX8KX6R/Santander.png"/>
    <hyperlink ref="I2374" r:id="rId2373" display="https://i.ibb.co/zX8KX6R/Santander.png"/>
    <hyperlink ref="I2375" r:id="rId2374" display="https://i.ibb.co/zX8KX6R/Santander.png"/>
    <hyperlink ref="I2376" r:id="rId2375" display="https://i.ibb.co/DznB5q4/Itau.png"/>
    <hyperlink ref="I2377" r:id="rId2376" display="https://i.ibb.co/FhY6B5f/Safra.png"/>
    <hyperlink ref="I2378" r:id="rId2377" display="https://i.ibb.co/LpJM38D/Nubank.png"/>
    <hyperlink ref="I2379" r:id="rId2378" display="https://i.ibb.co/68RXB19/Bradesco.png"/>
    <hyperlink ref="I2380" r:id="rId2379" display="https://i.ibb.co/DznB5q4/Itau.png"/>
    <hyperlink ref="I2381" r:id="rId2380" display="https://i.ibb.co/LpJM38D/Nubank.png"/>
    <hyperlink ref="I2382" r:id="rId2381" display="https://i.ibb.co/DznB5q4/Itau.png"/>
    <hyperlink ref="I2383" r:id="rId2382" display="https://i.ibb.co/LpJM38D/Nubank.png"/>
    <hyperlink ref="I2384" r:id="rId2383" display="https://i.ibb.co/DznB5q4/Itau.png"/>
    <hyperlink ref="I2385" r:id="rId2384" display="https://i.ibb.co/LpJM38D/Nubank.png"/>
    <hyperlink ref="I2386" r:id="rId2385" display="https://i.ibb.co/LpJM38D/Nubank.png"/>
    <hyperlink ref="I2387" r:id="rId2386" display="https://i.ibb.co/68RXB19/Bradesco.png"/>
    <hyperlink ref="I2388" r:id="rId2387" display="https://i.ibb.co/zX8KX6R/Santander.png"/>
    <hyperlink ref="I2389" r:id="rId2388" display="https://i.ibb.co/zX8KX6R/Santander.png"/>
    <hyperlink ref="I2390" r:id="rId2389" display="https://i.ibb.co/DznB5q4/Itau.png"/>
    <hyperlink ref="I2391" r:id="rId2390" display="https://i.ibb.co/DznB5q4/Itau.png"/>
    <hyperlink ref="I2392" r:id="rId2391" display="https://i.ibb.co/LpJM38D/Nubank.png"/>
    <hyperlink ref="I2393" r:id="rId2392" display="https://i.ibb.co/FhY6B5f/Safra.png"/>
    <hyperlink ref="I2394" r:id="rId2393" display="https://i.ibb.co/DznB5q4/Itau.png"/>
    <hyperlink ref="I2395" r:id="rId2394" display="https://i.ibb.co/DznB5q4/Itau.png"/>
    <hyperlink ref="I2396" r:id="rId2395" display="https://i.ibb.co/DznB5q4/Itau.png"/>
    <hyperlink ref="I2397" r:id="rId2396" display="https://i.ibb.co/DznB5q4/Itau.png"/>
    <hyperlink ref="I2398" r:id="rId2397" display="https://i.ibb.co/DznB5q4/Itau.png"/>
    <hyperlink ref="I2399" r:id="rId2398" display="https://i.ibb.co/DznB5q4/Itau.png"/>
    <hyperlink ref="I2400" r:id="rId2399" display="https://i.ibb.co/zX8KX6R/Santander.png"/>
    <hyperlink ref="I2401" r:id="rId2400" display="https://i.ibb.co/DznB5q4/Itau.png"/>
    <hyperlink ref="I2402" r:id="rId2401" display="https://i.ibb.co/LpJM38D/Nubank.png"/>
    <hyperlink ref="I2403" r:id="rId2402" display="https://i.ibb.co/zX8KX6R/Santander.png"/>
    <hyperlink ref="I2404" r:id="rId2403" display="https://i.ibb.co/68RXB19/Bradesco.png"/>
    <hyperlink ref="I2405" r:id="rId2404" display="https://i.ibb.co/zX8KX6R/Santander.png"/>
    <hyperlink ref="I2406" r:id="rId2405" display="https://i.ibb.co/DznB5q4/Itau.png"/>
    <hyperlink ref="I2407" r:id="rId2406" display="https://i.ibb.co/zX8KX6R/Santander.png"/>
    <hyperlink ref="I2408" r:id="rId2407" display="https://i.ibb.co/LpJM38D/Nubank.png"/>
    <hyperlink ref="I2409" r:id="rId2408" display="https://i.ibb.co/DznB5q4/Itau.png"/>
    <hyperlink ref="I2410" r:id="rId2409" display="https://i.ibb.co/DznB5q4/Itau.png"/>
    <hyperlink ref="I2411" r:id="rId2410" display="https://i.ibb.co/zX8KX6R/Santander.png"/>
    <hyperlink ref="I2412" r:id="rId2411" display="https://i.ibb.co/DznB5q4/Itau.png"/>
    <hyperlink ref="I2413" r:id="rId2412" display="https://i.ibb.co/zX8KX6R/Santander.png"/>
    <hyperlink ref="I2414" r:id="rId2413" display="https://i.ibb.co/DznB5q4/Itau.png"/>
    <hyperlink ref="I2415" r:id="rId2414" display="https://i.ibb.co/DznB5q4/Itau.png"/>
    <hyperlink ref="I2416" r:id="rId2415" display="https://i.ibb.co/DznB5q4/Itau.png"/>
    <hyperlink ref="I2417" r:id="rId2416" display="https://i.ibb.co/DznB5q4/Itau.png"/>
    <hyperlink ref="I2418" r:id="rId2417" display="https://i.ibb.co/68RXB19/Bradesco.png"/>
    <hyperlink ref="I2419" r:id="rId2418" display="https://i.ibb.co/FhY6B5f/Safra.png"/>
    <hyperlink ref="I2420" r:id="rId2419" display="https://i.ibb.co/DznB5q4/Itau.png"/>
    <hyperlink ref="I2421" r:id="rId2420" display="https://i.ibb.co/LpJM38D/Nubank.png"/>
    <hyperlink ref="I2422" r:id="rId2421" display="https://i.ibb.co/zX8KX6R/Santander.png"/>
    <hyperlink ref="I2423" r:id="rId2422" display="https://i.ibb.co/FhY6B5f/Safra.png"/>
    <hyperlink ref="I2424" r:id="rId2423" display="https://i.ibb.co/LpJM38D/Nubank.png"/>
    <hyperlink ref="I2425" r:id="rId2424" display="https://i.ibb.co/DznB5q4/Itau.png"/>
    <hyperlink ref="I2426" r:id="rId2425" display="https://i.ibb.co/DznB5q4/Itau.png"/>
    <hyperlink ref="I2427" r:id="rId2426" display="https://i.ibb.co/FhY6B5f/Safra.png"/>
    <hyperlink ref="I2428" r:id="rId2427" display="https://i.ibb.co/DznB5q4/Itau.png"/>
    <hyperlink ref="I2429" r:id="rId2428" display="https://i.ibb.co/DznB5q4/Itau.png"/>
    <hyperlink ref="I2430" r:id="rId2429" display="https://i.ibb.co/DznB5q4/Itau.png"/>
    <hyperlink ref="I2431" r:id="rId2430" display="https://i.ibb.co/DznB5q4/Itau.png"/>
    <hyperlink ref="I2432" r:id="rId2431" display="https://i.ibb.co/DznB5q4/Itau.png"/>
    <hyperlink ref="I2433" r:id="rId2432" display="https://i.ibb.co/zX8KX6R/Santander.png"/>
    <hyperlink ref="I2434" r:id="rId2433" display="https://i.ibb.co/LpJM38D/Nubank.png"/>
    <hyperlink ref="I2435" r:id="rId2434" display="https://i.ibb.co/68RXB19/Bradesco.png"/>
    <hyperlink ref="I2436" r:id="rId2435" display="https://i.ibb.co/DznB5q4/Itau.png"/>
    <hyperlink ref="I2437" r:id="rId2436" display="https://i.ibb.co/DznB5q4/Itau.png"/>
    <hyperlink ref="I2438" r:id="rId2437" display="https://i.ibb.co/DznB5q4/Itau.png"/>
    <hyperlink ref="I2439" r:id="rId2438" display="https://i.ibb.co/zX8KX6R/Santander.png"/>
    <hyperlink ref="I2440" r:id="rId2439" display="https://i.ibb.co/DznB5q4/Itau.png"/>
    <hyperlink ref="I2441" r:id="rId2440" display="https://i.ibb.co/zX8KX6R/Santander.png"/>
    <hyperlink ref="I2442" r:id="rId2441" display="https://i.ibb.co/DznB5q4/Itau.png"/>
    <hyperlink ref="I2443" r:id="rId2442" display="https://i.ibb.co/68RXB19/Bradesco.png"/>
    <hyperlink ref="I2444" r:id="rId2443" display="https://i.ibb.co/DznB5q4/Itau.png"/>
    <hyperlink ref="I2445" r:id="rId2444" display="https://i.ibb.co/DznB5q4/Itau.png"/>
    <hyperlink ref="I2446" r:id="rId2445" display="https://i.ibb.co/DznB5q4/Itau.png"/>
    <hyperlink ref="I2447" r:id="rId2446" display="https://i.ibb.co/DznB5q4/Itau.png"/>
    <hyperlink ref="I2448" r:id="rId2447" display="https://i.ibb.co/DznB5q4/Itau.png"/>
    <hyperlink ref="I2449" r:id="rId2448" display="https://i.ibb.co/FhY6B5f/Safra.png"/>
    <hyperlink ref="I2450" r:id="rId2449" display="https://i.ibb.co/LpJM38D/Nubank.png"/>
    <hyperlink ref="I2451" r:id="rId2450" display="https://i.ibb.co/DznB5q4/Itau.png"/>
    <hyperlink ref="I2452" r:id="rId2451" display="https://i.ibb.co/68RXB19/Bradesco.png"/>
    <hyperlink ref="I2453" r:id="rId2452" display="https://i.ibb.co/LpJM38D/Nubank.png"/>
    <hyperlink ref="I2454" r:id="rId2453" display="https://i.ibb.co/LpJM38D/Nubank.png"/>
    <hyperlink ref="I2455" r:id="rId2454" display="https://i.ibb.co/68RXB19/Bradesco.png"/>
    <hyperlink ref="I2456" r:id="rId2455" display="https://i.ibb.co/FhY6B5f/Safra.png"/>
    <hyperlink ref="I2457" r:id="rId2456" display="https://i.ibb.co/68RXB19/Bradesco.png"/>
    <hyperlink ref="I2458" r:id="rId2457" display="https://i.ibb.co/zX8KX6R/Santander.png"/>
    <hyperlink ref="I2459" r:id="rId2458" display="https://i.ibb.co/LpJM38D/Nubank.png"/>
    <hyperlink ref="I2460" r:id="rId2459" display="https://i.ibb.co/DznB5q4/Itau.png"/>
    <hyperlink ref="I2461" r:id="rId2460" display="https://i.ibb.co/LpJM38D/Nubank.png"/>
    <hyperlink ref="I2462" r:id="rId2461" display="https://i.ibb.co/LpJM38D/Nubank.png"/>
    <hyperlink ref="I2463" r:id="rId2462" display="https://i.ibb.co/LpJM38D/Nubank.png"/>
    <hyperlink ref="I2464" r:id="rId2463" display="https://i.ibb.co/LpJM38D/Nubank.png"/>
    <hyperlink ref="I2465" r:id="rId2464" display="https://i.ibb.co/zX8KX6R/Santander.png"/>
    <hyperlink ref="I2466" r:id="rId2465" display="https://i.ibb.co/LpJM38D/Nubank.png"/>
    <hyperlink ref="I2467" r:id="rId2466" display="https://i.ibb.co/68RXB19/Bradesco.png"/>
    <hyperlink ref="I2468" r:id="rId2467" display="https://i.ibb.co/FhY6B5f/Safra.png"/>
    <hyperlink ref="I2469" r:id="rId2468" display="https://i.ibb.co/DznB5q4/Itau.png"/>
    <hyperlink ref="I2470" r:id="rId2469" display="https://i.ibb.co/DznB5q4/Itau.png"/>
    <hyperlink ref="I2471" r:id="rId2470" display="https://i.ibb.co/DznB5q4/Itau.png"/>
    <hyperlink ref="I2472" r:id="rId2471" display="https://i.ibb.co/LpJM38D/Nubank.png"/>
    <hyperlink ref="I2473" r:id="rId2472" display="https://i.ibb.co/FhY6B5f/Safra.png"/>
    <hyperlink ref="I2474" r:id="rId2473" display="https://i.ibb.co/LpJM38D/Nubank.png"/>
    <hyperlink ref="I2475" r:id="rId2474" display="https://i.ibb.co/68RXB19/Bradesco.png"/>
    <hyperlink ref="I2476" r:id="rId2475" display="https://i.ibb.co/68RXB19/Bradesco.png"/>
    <hyperlink ref="I2477" r:id="rId2476" display="https://i.ibb.co/zX8KX6R/Santander.png"/>
    <hyperlink ref="I2478" r:id="rId2477" display="https://i.ibb.co/FhY6B5f/Safra.png"/>
    <hyperlink ref="I2479" r:id="rId2478" display="https://i.ibb.co/FhY6B5f/Safra.png"/>
    <hyperlink ref="I2480" r:id="rId2479" display="https://i.ibb.co/DznB5q4/Itau.png"/>
    <hyperlink ref="I2481" r:id="rId2480" display="https://i.ibb.co/zX8KX6R/Santander.png"/>
    <hyperlink ref="I2482" r:id="rId2481" display="https://i.ibb.co/LpJM38D/Nubank.png"/>
    <hyperlink ref="I2483" r:id="rId2482" display="https://i.ibb.co/zX8KX6R/Santander.png"/>
    <hyperlink ref="I2484" r:id="rId2483" display="https://i.ibb.co/zX8KX6R/Santander.png"/>
    <hyperlink ref="I2485" r:id="rId2484" display="https://i.ibb.co/68RXB19/Bradesco.png"/>
    <hyperlink ref="I2486" r:id="rId2485" display="https://i.ibb.co/LpJM38D/Nubank.png"/>
    <hyperlink ref="I2487" r:id="rId2486" display="https://i.ibb.co/LpJM38D/Nubank.png"/>
    <hyperlink ref="I2488" r:id="rId2487" display="https://i.ibb.co/DznB5q4/Itau.png"/>
    <hyperlink ref="I2489" r:id="rId2488" display="https://i.ibb.co/LpJM38D/Nubank.png"/>
    <hyperlink ref="I2490" r:id="rId2489" display="https://i.ibb.co/LpJM38D/Nubank.png"/>
    <hyperlink ref="I2491" r:id="rId2490" display="https://i.ibb.co/DznB5q4/Itau.png"/>
    <hyperlink ref="I2492" r:id="rId2491" display="https://i.ibb.co/DznB5q4/Itau.png"/>
    <hyperlink ref="I2493" r:id="rId2492" display="https://i.ibb.co/zX8KX6R/Santander.png"/>
    <hyperlink ref="I2494" r:id="rId2493" display="https://i.ibb.co/LpJM38D/Nubank.png"/>
    <hyperlink ref="I2495" r:id="rId2494" display="https://i.ibb.co/LpJM38D/Nubank.png"/>
    <hyperlink ref="I2496" r:id="rId2495" display="https://i.ibb.co/DznB5q4/Itau.png"/>
    <hyperlink ref="I2497" r:id="rId2496" display="https://i.ibb.co/LpJM38D/Nubank.png"/>
    <hyperlink ref="I2498" r:id="rId2497" display="https://i.ibb.co/LpJM38D/Nubank.png"/>
    <hyperlink ref="I2499" r:id="rId2498" display="https://i.ibb.co/zX8KX6R/Santander.png"/>
    <hyperlink ref="I2500" r:id="rId2499" display="https://i.ibb.co/zX8KX6R/Santander.png"/>
    <hyperlink ref="I2501" r:id="rId2500" display="https://i.ibb.co/DznB5q4/Itau.png"/>
    <hyperlink ref="I2502" r:id="rId2501" display="https://i.ibb.co/DznB5q4/Itau.png"/>
    <hyperlink ref="I2503" r:id="rId2502" display="https://i.ibb.co/LpJM38D/Nubank.png"/>
    <hyperlink ref="I2504" r:id="rId2503" display="https://i.ibb.co/DznB5q4/Itau.png"/>
    <hyperlink ref="I2505" r:id="rId2504" display="https://i.ibb.co/DznB5q4/Itau.png"/>
    <hyperlink ref="I2506" r:id="rId2505" display="https://i.ibb.co/DznB5q4/Itau.png"/>
    <hyperlink ref="I2507" r:id="rId2506" display="https://i.ibb.co/zX8KX6R/Santander.png"/>
    <hyperlink ref="I2508" r:id="rId2507" display="https://i.ibb.co/DznB5q4/Itau.png"/>
    <hyperlink ref="I2509" r:id="rId2508" display="https://i.ibb.co/LpJM38D/Nubank.png"/>
    <hyperlink ref="I2510" r:id="rId2509" display="https://i.ibb.co/DznB5q4/Itau.png"/>
    <hyperlink ref="I2511" r:id="rId2510" display="https://i.ibb.co/DznB5q4/Itau.png"/>
    <hyperlink ref="I2512" r:id="rId2511" display="https://i.ibb.co/zX8KX6R/Santander.png"/>
    <hyperlink ref="I2513" r:id="rId2512" display="https://i.ibb.co/LpJM38D/Nubank.png"/>
    <hyperlink ref="I2514" r:id="rId2513" display="https://i.ibb.co/DznB5q4/Itau.png"/>
    <hyperlink ref="I2515" r:id="rId2514" display="https://i.ibb.co/DznB5q4/Itau.png"/>
    <hyperlink ref="I2516" r:id="rId2515" display="https://i.ibb.co/DznB5q4/Itau.png"/>
    <hyperlink ref="I2517" r:id="rId2516" display="https://i.ibb.co/DznB5q4/Itau.png"/>
    <hyperlink ref="I2518" r:id="rId2517" display="https://i.ibb.co/DznB5q4/Itau.png"/>
    <hyperlink ref="I2519" r:id="rId2518" display="https://i.ibb.co/DznB5q4/Itau.png"/>
    <hyperlink ref="I2520" r:id="rId2519" display="https://i.ibb.co/LpJM38D/Nubank.png"/>
    <hyperlink ref="I2521" r:id="rId2520" display="https://i.ibb.co/zX8KX6R/Santander.png"/>
    <hyperlink ref="I2522" r:id="rId2521" display="https://i.ibb.co/LpJM38D/Nubank.png"/>
    <hyperlink ref="I2523" r:id="rId2522" display="https://i.ibb.co/FhY6B5f/Safra.png"/>
    <hyperlink ref="I2524" r:id="rId2523" display="https://i.ibb.co/DznB5q4/Itau.png"/>
    <hyperlink ref="I2525" r:id="rId2524" display="https://i.ibb.co/DznB5q4/Itau.png"/>
    <hyperlink ref="I2526" r:id="rId2525" display="https://i.ibb.co/zX8KX6R/Santander.png"/>
    <hyperlink ref="I2527" r:id="rId2526" display="https://i.ibb.co/DznB5q4/Itau.png"/>
    <hyperlink ref="I2528" r:id="rId2527" display="https://i.ibb.co/LpJM38D/Nubank.png"/>
    <hyperlink ref="I2529" r:id="rId2528" display="https://i.ibb.co/DznB5q4/Itau.png"/>
    <hyperlink ref="I2530" r:id="rId2529" display="https://i.ibb.co/LpJM38D/Nubank.png"/>
    <hyperlink ref="I2531" r:id="rId2530" display="https://i.ibb.co/LpJM38D/Nubank.png"/>
    <hyperlink ref="I2532" r:id="rId2531" display="https://i.ibb.co/zX8KX6R/Santander.png"/>
    <hyperlink ref="I2533" r:id="rId2532" display="https://i.ibb.co/LpJM38D/Nubank.png"/>
    <hyperlink ref="I2534" r:id="rId2533" display="https://i.ibb.co/68RXB19/Bradesco.png"/>
    <hyperlink ref="I2535" r:id="rId2534" display="https://i.ibb.co/DznB5q4/Itau.png"/>
    <hyperlink ref="I2536" r:id="rId2535" display="https://i.ibb.co/68RXB19/Bradesco.png"/>
    <hyperlink ref="I2537" r:id="rId2536" display="https://i.ibb.co/zX8KX6R/Santander.png"/>
    <hyperlink ref="I2538" r:id="rId2537" display="https://i.ibb.co/LpJM38D/Nubank.png"/>
    <hyperlink ref="I2539" r:id="rId2538" display="https://i.ibb.co/DznB5q4/Itau.png"/>
    <hyperlink ref="I2540" r:id="rId2539" display="https://i.ibb.co/zX8KX6R/Santander.png"/>
    <hyperlink ref="I2541" r:id="rId2540" display="https://i.ibb.co/DznB5q4/Itau.png"/>
    <hyperlink ref="I2542" r:id="rId2541" display="https://i.ibb.co/DznB5q4/Itau.png"/>
    <hyperlink ref="I2543" r:id="rId2542" display="https://i.ibb.co/DznB5q4/Itau.png"/>
    <hyperlink ref="I2544" r:id="rId2543" display="https://i.ibb.co/DznB5q4/Itau.png"/>
    <hyperlink ref="I2545" r:id="rId2544" display="https://i.ibb.co/zX8KX6R/Santander.png"/>
    <hyperlink ref="I2546" r:id="rId2545" display="https://i.ibb.co/FhY6B5f/Safra.png"/>
    <hyperlink ref="I2547" r:id="rId2546" display="https://i.ibb.co/68RXB19/Bradesco.png"/>
    <hyperlink ref="I2548" r:id="rId2547" display="https://i.ibb.co/LpJM38D/Nubank.png"/>
    <hyperlink ref="I2549" r:id="rId2548" display="https://i.ibb.co/DznB5q4/Itau.png"/>
    <hyperlink ref="I2550" r:id="rId2549" display="https://i.ibb.co/DznB5q4/Itau.png"/>
    <hyperlink ref="I2551" r:id="rId2550" display="https://i.ibb.co/DznB5q4/Itau.png"/>
    <hyperlink ref="I2552" r:id="rId2551" display="https://i.ibb.co/LpJM38D/Nubank.png"/>
    <hyperlink ref="I2553" r:id="rId2552" display="https://i.ibb.co/zX8KX6R/Santander.png"/>
    <hyperlink ref="I2554" r:id="rId2553" display="https://i.ibb.co/LpJM38D/Nubank.png"/>
    <hyperlink ref="I2555" r:id="rId2554" display="https://i.ibb.co/DznB5q4/Itau.png"/>
    <hyperlink ref="I2556" r:id="rId2555" display="https://i.ibb.co/DznB5q4/Itau.png"/>
    <hyperlink ref="I2557" r:id="rId2556" display="https://i.ibb.co/68RXB19/Bradesco.png"/>
    <hyperlink ref="I2558" r:id="rId2557" display="https://i.ibb.co/FhY6B5f/Safra.png"/>
    <hyperlink ref="I2559" r:id="rId2558" display="https://i.ibb.co/zX8KX6R/Santander.png"/>
    <hyperlink ref="I2560" r:id="rId2559" display="https://i.ibb.co/DznB5q4/Itau.png"/>
    <hyperlink ref="I2561" r:id="rId2560" display="https://i.ibb.co/DznB5q4/Itau.png"/>
    <hyperlink ref="I2562" r:id="rId2561" display="https://i.ibb.co/LpJM38D/Nubank.png"/>
    <hyperlink ref="I2563" r:id="rId2562" display="https://i.ibb.co/FhY6B5f/Safra.png"/>
    <hyperlink ref="I2564" r:id="rId2563" display="https://i.ibb.co/DznB5q4/Itau.png"/>
    <hyperlink ref="I2565" r:id="rId2564" display="https://i.ibb.co/LpJM38D/Nubank.png"/>
    <hyperlink ref="I2566" r:id="rId2565" display="https://i.ibb.co/DznB5q4/Itau.png"/>
    <hyperlink ref="I2567" r:id="rId2566" display="https://i.ibb.co/zX8KX6R/Santander.png"/>
    <hyperlink ref="I2568" r:id="rId2567" display="https://i.ibb.co/LpJM38D/Nubank.png"/>
    <hyperlink ref="I2569" r:id="rId2568" display="https://i.ibb.co/zX8KX6R/Santander.png"/>
    <hyperlink ref="I2570" r:id="rId2569" display="https://i.ibb.co/DznB5q4/Itau.png"/>
    <hyperlink ref="I2571" r:id="rId2570" display="https://i.ibb.co/LpJM38D/Nubank.png"/>
    <hyperlink ref="I2572" r:id="rId2571" display="https://i.ibb.co/DznB5q4/Itau.png"/>
    <hyperlink ref="I2573" r:id="rId2572" display="https://i.ibb.co/LpJM38D/Nubank.png"/>
    <hyperlink ref="I2574" r:id="rId2573" display="https://i.ibb.co/DznB5q4/Itau.png"/>
    <hyperlink ref="I2575" r:id="rId2574" display="https://i.ibb.co/LpJM38D/Nubank.png"/>
    <hyperlink ref="I2576" r:id="rId2575" display="https://i.ibb.co/68RXB19/Bradesco.png"/>
    <hyperlink ref="I2577" r:id="rId2576" display="https://i.ibb.co/DznB5q4/Itau.png"/>
    <hyperlink ref="I2578" r:id="rId2577" display="https://i.ibb.co/DznB5q4/Itau.png"/>
    <hyperlink ref="I2579" r:id="rId2578" display="https://i.ibb.co/DznB5q4/Itau.png"/>
    <hyperlink ref="I2580" r:id="rId2579" display="https://i.ibb.co/zX8KX6R/Santander.png"/>
    <hyperlink ref="I2581" r:id="rId2580" display="https://i.ibb.co/DznB5q4/Itau.png"/>
    <hyperlink ref="I2582" r:id="rId2581" display="https://i.ibb.co/LpJM38D/Nubank.png"/>
    <hyperlink ref="I2583" r:id="rId2582" display="https://i.ibb.co/LpJM38D/Nubank.png"/>
    <hyperlink ref="I2584" r:id="rId2583" display="https://i.ibb.co/LpJM38D/Nubank.png"/>
    <hyperlink ref="I2585" r:id="rId2584" display="https://i.ibb.co/LpJM38D/Nubank.png"/>
    <hyperlink ref="I2586" r:id="rId2585" display="https://i.ibb.co/LpJM38D/Nubank.png"/>
    <hyperlink ref="I2587" r:id="rId2586" display="https://i.ibb.co/DznB5q4/Itau.png"/>
    <hyperlink ref="I2588" r:id="rId2587" display="https://i.ibb.co/DznB5q4/Itau.png"/>
    <hyperlink ref="I2589" r:id="rId2588" display="https://i.ibb.co/DznB5q4/Itau.png"/>
    <hyperlink ref="I2590" r:id="rId2589" display="https://i.ibb.co/DznB5q4/Itau.png"/>
    <hyperlink ref="I2591" r:id="rId2590" display="https://i.ibb.co/LpJM38D/Nubank.png"/>
    <hyperlink ref="I2592" r:id="rId2591" display="https://i.ibb.co/DznB5q4/Itau.png"/>
    <hyperlink ref="I2593" r:id="rId2592" display="https://i.ibb.co/DznB5q4/Itau.png"/>
    <hyperlink ref="I2594" r:id="rId2593" display="https://i.ibb.co/zX8KX6R/Santander.png"/>
    <hyperlink ref="I2595" r:id="rId2594" display="https://i.ibb.co/FhY6B5f/Safra.png"/>
    <hyperlink ref="I2596" r:id="rId2595" display="https://i.ibb.co/zX8KX6R/Santander.png"/>
    <hyperlink ref="I2597" r:id="rId2596" display="https://i.ibb.co/DznB5q4/Itau.png"/>
    <hyperlink ref="I2598" r:id="rId2597" display="https://i.ibb.co/zX8KX6R/Santander.png"/>
    <hyperlink ref="I2599" r:id="rId2598" display="https://i.ibb.co/zX8KX6R/Santander.png"/>
    <hyperlink ref="I2600" r:id="rId2599" display="https://i.ibb.co/DznB5q4/Itau.png"/>
    <hyperlink ref="I2601" r:id="rId2600" display="https://i.ibb.co/DznB5q4/Itau.png"/>
    <hyperlink ref="I2602" r:id="rId2601" display="https://i.ibb.co/LpJM38D/Nubank.png"/>
    <hyperlink ref="I2603" r:id="rId2602" display="https://i.ibb.co/DznB5q4/Itau.png"/>
    <hyperlink ref="I2604" r:id="rId2603" display="https://i.ibb.co/LpJM38D/Nubank.png"/>
    <hyperlink ref="I2605" r:id="rId2604" display="https://i.ibb.co/68RXB19/Bradesco.png"/>
    <hyperlink ref="I2606" r:id="rId2605" display="https://i.ibb.co/FhY6B5f/Safra.png"/>
    <hyperlink ref="I2607" r:id="rId2606" display="https://i.ibb.co/68RXB19/Bradesco.png"/>
    <hyperlink ref="I2608" r:id="rId2607" display="https://i.ibb.co/DznB5q4/Itau.png"/>
    <hyperlink ref="I2609" r:id="rId2608" display="https://i.ibb.co/DznB5q4/Itau.png"/>
    <hyperlink ref="I2610" r:id="rId2609" display="https://i.ibb.co/FhY6B5f/Safra.png"/>
    <hyperlink ref="I2611" r:id="rId2610" display="https://i.ibb.co/DznB5q4/Itau.png"/>
    <hyperlink ref="I2612" r:id="rId2611" display="https://i.ibb.co/DznB5q4/Itau.png"/>
    <hyperlink ref="I2613" r:id="rId2612" display="https://i.ibb.co/zX8KX6R/Santander.png"/>
    <hyperlink ref="I2614" r:id="rId2613" display="https://i.ibb.co/68RXB19/Bradesco.png"/>
    <hyperlink ref="I2615" r:id="rId2614" display="https://i.ibb.co/DznB5q4/Itau.png"/>
    <hyperlink ref="I2616" r:id="rId2615" display="https://i.ibb.co/DznB5q4/Itau.png"/>
    <hyperlink ref="I2617" r:id="rId2616" display="https://i.ibb.co/DznB5q4/Itau.png"/>
    <hyperlink ref="I2618" r:id="rId2617" display="https://i.ibb.co/zX8KX6R/Santander.png"/>
    <hyperlink ref="I2619" r:id="rId2618" display="https://i.ibb.co/zX8KX6R/Santander.png"/>
    <hyperlink ref="I2620" r:id="rId2619" display="https://i.ibb.co/DznB5q4/Itau.png"/>
    <hyperlink ref="I2621" r:id="rId2620" display="https://i.ibb.co/zX8KX6R/Santander.png"/>
    <hyperlink ref="I2622" r:id="rId2621" display="https://i.ibb.co/FhY6B5f/Safra.png"/>
    <hyperlink ref="I2623" r:id="rId2622" display="https://i.ibb.co/DznB5q4/Itau.png"/>
    <hyperlink ref="I2624" r:id="rId2623" display="https://i.ibb.co/FhY6B5f/Safra.png"/>
    <hyperlink ref="I2625" r:id="rId2624" display="https://i.ibb.co/DznB5q4/Itau.png"/>
    <hyperlink ref="I2626" r:id="rId2625" display="https://i.ibb.co/FhY6B5f/Safra.png"/>
    <hyperlink ref="I2627" r:id="rId2626" display="https://i.ibb.co/68RXB19/Bradesco.png"/>
    <hyperlink ref="I2628" r:id="rId2627" display="https://i.ibb.co/DznB5q4/Itau.png"/>
    <hyperlink ref="I2629" r:id="rId2628" display="https://i.ibb.co/LpJM38D/Nubank.png"/>
    <hyperlink ref="I2630" r:id="rId2629" display="https://i.ibb.co/DznB5q4/Itau.png"/>
    <hyperlink ref="I2631" r:id="rId2630" display="https://i.ibb.co/LpJM38D/Nubank.png"/>
    <hyperlink ref="I2632" r:id="rId2631" display="https://i.ibb.co/FhY6B5f/Safra.png"/>
    <hyperlink ref="I2633" r:id="rId2632" display="https://i.ibb.co/LpJM38D/Nubank.png"/>
    <hyperlink ref="I2634" r:id="rId2633" display="https://i.ibb.co/zX8KX6R/Santander.png"/>
    <hyperlink ref="I2635" r:id="rId2634" display="https://i.ibb.co/LpJM38D/Nubank.png"/>
    <hyperlink ref="I2636" r:id="rId2635" display="https://i.ibb.co/DznB5q4/Itau.png"/>
    <hyperlink ref="I2637" r:id="rId2636" display="https://i.ibb.co/DznB5q4/Itau.png"/>
    <hyperlink ref="I2638" r:id="rId2637" display="https://i.ibb.co/LpJM38D/Nubank.png"/>
    <hyperlink ref="I2639" r:id="rId2638" display="https://i.ibb.co/LpJM38D/Nubank.png"/>
    <hyperlink ref="I2640" r:id="rId2639" display="https://i.ibb.co/FhY6B5f/Safra.png"/>
    <hyperlink ref="I2641" r:id="rId2640" display="https://i.ibb.co/LpJM38D/Nubank.png"/>
    <hyperlink ref="I2642" r:id="rId2641" display="https://i.ibb.co/DznB5q4/Itau.png"/>
    <hyperlink ref="I2643" r:id="rId2642" display="https://i.ibb.co/LpJM38D/Nubank.png"/>
    <hyperlink ref="I2644" r:id="rId2643" display="https://i.ibb.co/DznB5q4/Itau.png"/>
    <hyperlink ref="I2645" r:id="rId2644" display="https://i.ibb.co/LpJM38D/Nubank.png"/>
    <hyperlink ref="I2646" r:id="rId2645" display="https://i.ibb.co/LpJM38D/Nubank.png"/>
    <hyperlink ref="I2647" r:id="rId2646" display="https://i.ibb.co/DznB5q4/Itau.png"/>
    <hyperlink ref="I2648" r:id="rId2647" display="https://i.ibb.co/68RXB19/Bradesco.png"/>
    <hyperlink ref="I2649" r:id="rId2648" display="https://i.ibb.co/DznB5q4/Itau.png"/>
    <hyperlink ref="I2650" r:id="rId2649" display="https://i.ibb.co/FhY6B5f/Safra.png"/>
    <hyperlink ref="I2651" r:id="rId2650" display="https://i.ibb.co/DznB5q4/Itau.png"/>
    <hyperlink ref="I2652" r:id="rId2651" display="https://i.ibb.co/LpJM38D/Nubank.png"/>
    <hyperlink ref="I2653" r:id="rId2652" display="https://i.ibb.co/LpJM38D/Nubank.png"/>
    <hyperlink ref="I2654" r:id="rId2653" display="https://i.ibb.co/DznB5q4/Itau.png"/>
    <hyperlink ref="I2655" r:id="rId2654" display="https://i.ibb.co/68RXB19/Bradesco.png"/>
    <hyperlink ref="I2656" r:id="rId2655" display="https://i.ibb.co/DznB5q4/Itau.png"/>
    <hyperlink ref="I2657" r:id="rId2656" display="https://i.ibb.co/LpJM38D/Nubank.png"/>
    <hyperlink ref="I2658" r:id="rId2657" display="https://i.ibb.co/zX8KX6R/Santander.png"/>
    <hyperlink ref="I2659" r:id="rId2658" display="https://i.ibb.co/LpJM38D/Nubank.png"/>
    <hyperlink ref="I2660" r:id="rId2659" display="https://i.ibb.co/zX8KX6R/Santander.png"/>
    <hyperlink ref="I2661" r:id="rId2660" display="https://i.ibb.co/LpJM38D/Nubank.png"/>
    <hyperlink ref="I2662" r:id="rId2661" display="https://i.ibb.co/DznB5q4/Itau.png"/>
    <hyperlink ref="I2663" r:id="rId2662" display="https://i.ibb.co/DznB5q4/Itau.png"/>
    <hyperlink ref="I2664" r:id="rId2663" display="https://i.ibb.co/zX8KX6R/Santander.png"/>
    <hyperlink ref="I2665" r:id="rId2664" display="https://i.ibb.co/LpJM38D/Nubank.png"/>
    <hyperlink ref="I2666" r:id="rId2665" display="https://i.ibb.co/DznB5q4/Itau.png"/>
    <hyperlink ref="I2667" r:id="rId2666" display="https://i.ibb.co/68RXB19/Bradesco.png"/>
    <hyperlink ref="I2668" r:id="rId2667" display="https://i.ibb.co/DznB5q4/Itau.png"/>
    <hyperlink ref="I2669" r:id="rId2668" display="https://i.ibb.co/LpJM38D/Nubank.png"/>
    <hyperlink ref="I2670" r:id="rId2669" display="https://i.ibb.co/LpJM38D/Nubank.png"/>
    <hyperlink ref="I2671" r:id="rId2670" display="https://i.ibb.co/DznB5q4/Itau.png"/>
    <hyperlink ref="I2672" r:id="rId2671" display="https://i.ibb.co/LpJM38D/Nubank.png"/>
    <hyperlink ref="I2673" r:id="rId2672" display="https://i.ibb.co/LpJM38D/Nubank.png"/>
    <hyperlink ref="I2674" r:id="rId2673" display="https://i.ibb.co/DznB5q4/Itau.png"/>
    <hyperlink ref="I2675" r:id="rId2674" display="https://i.ibb.co/68RXB19/Bradesco.png"/>
    <hyperlink ref="I2676" r:id="rId2675" display="https://i.ibb.co/LpJM38D/Nubank.png"/>
    <hyperlink ref="I2677" r:id="rId2676" display="https://i.ibb.co/LpJM38D/Nubank.png"/>
    <hyperlink ref="I2678" r:id="rId2677" display="https://i.ibb.co/LpJM38D/Nubank.png"/>
    <hyperlink ref="I2679" r:id="rId2678" display="https://i.ibb.co/FhY6B5f/Safra.png"/>
    <hyperlink ref="I2680" r:id="rId2679" display="https://i.ibb.co/68RXB19/Bradesco.png"/>
    <hyperlink ref="I2681" r:id="rId2680" display="https://i.ibb.co/68RXB19/Bradesco.png"/>
    <hyperlink ref="I2682" r:id="rId2681" display="https://i.ibb.co/68RXB19/Bradesco.png"/>
    <hyperlink ref="I2683" r:id="rId2682" display="https://i.ibb.co/zX8KX6R/Santander.png"/>
    <hyperlink ref="I2684" r:id="rId2683" display="https://i.ibb.co/68RXB19/Bradesco.png"/>
    <hyperlink ref="I2685" r:id="rId2684" display="https://i.ibb.co/DznB5q4/Itau.png"/>
    <hyperlink ref="I2686" r:id="rId2685" display="https://i.ibb.co/DznB5q4/Itau.png"/>
    <hyperlink ref="I2687" r:id="rId2686" display="https://i.ibb.co/LpJM38D/Nubank.png"/>
    <hyperlink ref="I2688" r:id="rId2687" display="https://i.ibb.co/DznB5q4/Itau.png"/>
    <hyperlink ref="I2689" r:id="rId2688" display="https://i.ibb.co/68RXB19/Bradesco.png"/>
    <hyperlink ref="I2690" r:id="rId2689" display="https://i.ibb.co/zX8KX6R/Santander.png"/>
    <hyperlink ref="I2691" r:id="rId2690" display="https://i.ibb.co/LpJM38D/Nubank.png"/>
    <hyperlink ref="I2692" r:id="rId2691" display="https://i.ibb.co/DznB5q4/Itau.png"/>
    <hyperlink ref="I2693" r:id="rId2692" display="https://i.ibb.co/LpJM38D/Nubank.png"/>
    <hyperlink ref="I2694" r:id="rId2693" display="https://i.ibb.co/FhY6B5f/Safra.png"/>
    <hyperlink ref="I2695" r:id="rId2694" display="https://i.ibb.co/LpJM38D/Nubank.png"/>
    <hyperlink ref="I2696" r:id="rId2695" display="https://i.ibb.co/DznB5q4/Itau.png"/>
    <hyperlink ref="I2697" r:id="rId2696" display="https://i.ibb.co/68RXB19/Bradesco.png"/>
    <hyperlink ref="I2698" r:id="rId2697" display="https://i.ibb.co/DznB5q4/Itau.png"/>
    <hyperlink ref="I2699" r:id="rId2698" display="https://i.ibb.co/DznB5q4/Itau.png"/>
    <hyperlink ref="I2700" r:id="rId2699" display="https://i.ibb.co/DznB5q4/Itau.png"/>
    <hyperlink ref="I2701" r:id="rId2700" display="https://i.ibb.co/LpJM38D/Nubank.png"/>
    <hyperlink ref="I2702" r:id="rId2701" display="https://i.ibb.co/68RXB19/Bradesco.png"/>
    <hyperlink ref="I2703" r:id="rId2702" display="https://i.ibb.co/DznB5q4/Itau.png"/>
    <hyperlink ref="I2704" r:id="rId2703" display="https://i.ibb.co/LpJM38D/Nubank.png"/>
    <hyperlink ref="I2705" r:id="rId2704" display="https://i.ibb.co/DznB5q4/Itau.png"/>
    <hyperlink ref="I2706" r:id="rId2705" display="https://i.ibb.co/68RXB19/Bradesco.png"/>
    <hyperlink ref="I2707" r:id="rId2706" display="https://i.ibb.co/DznB5q4/Itau.png"/>
    <hyperlink ref="I2708" r:id="rId2707" display="https://i.ibb.co/zX8KX6R/Santander.png"/>
    <hyperlink ref="I2709" r:id="rId2708" display="https://i.ibb.co/DznB5q4/Itau.png"/>
    <hyperlink ref="I2710" r:id="rId2709" display="https://i.ibb.co/DznB5q4/Itau.png"/>
    <hyperlink ref="I2711" r:id="rId2710" display="https://i.ibb.co/LpJM38D/Nubank.png"/>
    <hyperlink ref="I2712" r:id="rId2711" display="https://i.ibb.co/DznB5q4/Itau.png"/>
    <hyperlink ref="I2713" r:id="rId2712" display="https://i.ibb.co/DznB5q4/Itau.png"/>
    <hyperlink ref="I2714" r:id="rId2713" display="https://i.ibb.co/DznB5q4/Itau.png"/>
    <hyperlink ref="I2715" r:id="rId2714" display="https://i.ibb.co/DznB5q4/Itau.png"/>
    <hyperlink ref="I2716" r:id="rId2715" display="https://i.ibb.co/FhY6B5f/Safra.png"/>
    <hyperlink ref="I2717" r:id="rId2716" display="https://i.ibb.co/DznB5q4/Itau.png"/>
    <hyperlink ref="I2718" r:id="rId2717" display="https://i.ibb.co/LpJM38D/Nubank.png"/>
    <hyperlink ref="I2719" r:id="rId2718" display="https://i.ibb.co/68RXB19/Bradesco.png"/>
    <hyperlink ref="I2720" r:id="rId2719" display="https://i.ibb.co/DznB5q4/Itau.png"/>
    <hyperlink ref="I2721" r:id="rId2720" display="https://i.ibb.co/LpJM38D/Nubank.png"/>
    <hyperlink ref="I2722" r:id="rId2721" display="https://i.ibb.co/DznB5q4/Itau.png"/>
    <hyperlink ref="I2723" r:id="rId2722" display="https://i.ibb.co/DznB5q4/Itau.png"/>
    <hyperlink ref="I2724" r:id="rId2723" display="https://i.ibb.co/68RXB19/Bradesco.png"/>
    <hyperlink ref="I2725" r:id="rId2724" display="https://i.ibb.co/LpJM38D/Nubank.png"/>
    <hyperlink ref="I2726" r:id="rId2725" display="https://i.ibb.co/zX8KX6R/Santander.png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2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26.06"/>
    <col collapsed="false" customWidth="true" hidden="false" outlineLevel="0" max="4" min="3" style="1" width="15.32"/>
    <col collapsed="false" customWidth="true" hidden="false" outlineLevel="0" max="5" min="5" style="1" width="26.06"/>
    <col collapsed="false" customWidth="true" hidden="false" outlineLevel="0" max="6" min="6" style="1" width="15.22"/>
    <col collapsed="false" customWidth="true" hidden="false" outlineLevel="0" max="7" min="7" style="1" width="32.78"/>
    <col collapsed="false" customWidth="true" hidden="false" outlineLevel="0" max="8" min="8" style="1" width="18.54"/>
    <col collapsed="false" customWidth="true" hidden="false" outlineLevel="0" max="9" min="9" style="1" width="27.54"/>
  </cols>
  <sheetData>
    <row r="1" customFormat="false" ht="13.8" hidden="false" customHeight="false" outlineLevel="0" collapsed="false">
      <c r="A1" s="13" t="s">
        <v>5</v>
      </c>
      <c r="B1" s="14" t="s">
        <v>294</v>
      </c>
      <c r="D1" s="13" t="s">
        <v>5</v>
      </c>
      <c r="E1" s="14" t="s">
        <v>294</v>
      </c>
      <c r="G1" s="1" t="s">
        <v>295</v>
      </c>
      <c r="I1" s="1" t="s">
        <v>296</v>
      </c>
    </row>
    <row r="2" customFormat="false" ht="13.8" hidden="false" customHeight="false" outlineLevel="0" collapsed="false">
      <c r="A2" s="15" t="s">
        <v>11</v>
      </c>
      <c r="B2" s="16" t="n">
        <v>94602866.94</v>
      </c>
      <c r="D2" s="15" t="s">
        <v>34</v>
      </c>
      <c r="E2" s="16" t="n">
        <v>-44863840.92</v>
      </c>
      <c r="G2" s="17" t="n">
        <f aca="false">E6/B3</f>
        <v>0.375766582227852</v>
      </c>
      <c r="I2" s="17" t="n">
        <f aca="false">1 - G2</f>
        <v>0.624233417772148</v>
      </c>
    </row>
    <row r="3" customFormat="false" ht="13.8" hidden="false" customHeight="false" outlineLevel="0" collapsed="false">
      <c r="A3" s="18" t="s">
        <v>297</v>
      </c>
      <c r="B3" s="19" t="n">
        <v>94602866.94</v>
      </c>
      <c r="D3" s="18" t="s">
        <v>297</v>
      </c>
      <c r="E3" s="19" t="n">
        <v>-44863840.92</v>
      </c>
      <c r="F3" s="20" t="n">
        <f aca="false">-(E3)</f>
        <v>44863840.92</v>
      </c>
    </row>
    <row r="4" customFormat="false" ht="13.8" hidden="false" customHeight="false" outlineLevel="0" collapsed="false"/>
    <row r="5" customFormat="false" ht="13.8" hidden="false" customHeight="false" outlineLevel="0" collapsed="false">
      <c r="B5" s="21" t="s">
        <v>298</v>
      </c>
      <c r="E5" s="21" t="s">
        <v>299</v>
      </c>
    </row>
    <row r="6" customFormat="false" ht="13.8" hidden="false" customHeight="false" outlineLevel="0" collapsed="false">
      <c r="B6" s="20" t="n">
        <f aca="false">B3*0.15</f>
        <v>14190430.041</v>
      </c>
      <c r="E6" s="20" t="n">
        <f aca="false">-(B6-B3-E3)</f>
        <v>35548595.979</v>
      </c>
      <c r="G6" s="13" t="s">
        <v>7</v>
      </c>
      <c r="H6" s="14" t="s">
        <v>300</v>
      </c>
    </row>
    <row r="7" customFormat="false" ht="13.8" hidden="false" customHeight="false" outlineLevel="0" collapsed="false">
      <c r="G7" s="15" t="s">
        <v>23</v>
      </c>
      <c r="H7" s="22"/>
    </row>
    <row r="8" customFormat="false" ht="13.8" hidden="false" customHeight="false" outlineLevel="0" collapsed="false">
      <c r="A8" s="23" t="s">
        <v>294</v>
      </c>
      <c r="B8" s="24" t="s">
        <v>5</v>
      </c>
      <c r="C8" s="25"/>
      <c r="G8" s="26" t="s">
        <v>13</v>
      </c>
      <c r="H8" s="27"/>
    </row>
    <row r="9" customFormat="false" ht="13.8" hidden="false" customHeight="false" outlineLevel="0" collapsed="false">
      <c r="A9" s="28" t="s">
        <v>293</v>
      </c>
      <c r="B9" s="29" t="s">
        <v>34</v>
      </c>
      <c r="C9" s="30" t="s">
        <v>11</v>
      </c>
      <c r="D9" s="21" t="s">
        <v>301</v>
      </c>
      <c r="E9" s="21" t="s">
        <v>302</v>
      </c>
      <c r="G9" s="26" t="s">
        <v>31</v>
      </c>
      <c r="H9" s="27"/>
    </row>
    <row r="10" customFormat="false" ht="13.8" hidden="false" customHeight="false" outlineLevel="0" collapsed="false">
      <c r="A10" s="15" t="s">
        <v>303</v>
      </c>
      <c r="B10" s="31" t="n">
        <v>-2704018.08</v>
      </c>
      <c r="C10" s="32" t="n">
        <v>8714901.95</v>
      </c>
      <c r="D10" s="20" t="n">
        <f aca="false">C10*0.15</f>
        <v>1307235.2925</v>
      </c>
      <c r="E10" s="20" t="n">
        <f aca="false">-(D10-C10-B10)</f>
        <v>4703648.5775</v>
      </c>
      <c r="F10" s="20"/>
      <c r="G10" s="26" t="s">
        <v>18</v>
      </c>
      <c r="H10" s="27"/>
    </row>
    <row r="11" customFormat="false" ht="13.8" hidden="false" customHeight="false" outlineLevel="0" collapsed="false">
      <c r="A11" s="26" t="s">
        <v>304</v>
      </c>
      <c r="B11" s="33" t="n">
        <v>-1871936.32</v>
      </c>
      <c r="C11" s="34" t="n">
        <v>9839798.25000001</v>
      </c>
      <c r="D11" s="20" t="n">
        <f aca="false">C11*0.15</f>
        <v>1475969.7375</v>
      </c>
      <c r="E11" s="20" t="n">
        <f aca="false">-(D11-C11-B11)</f>
        <v>6491892.19250001</v>
      </c>
      <c r="G11" s="35" t="s">
        <v>37</v>
      </c>
      <c r="H11" s="36"/>
    </row>
    <row r="12" customFormat="false" ht="13.8" hidden="false" customHeight="false" outlineLevel="0" collapsed="false">
      <c r="A12" s="26" t="s">
        <v>305</v>
      </c>
      <c r="B12" s="33" t="n">
        <v>-1746141.87</v>
      </c>
      <c r="C12" s="34" t="n">
        <v>13545041.69</v>
      </c>
      <c r="D12" s="20" t="n">
        <f aca="false">C12*0.15</f>
        <v>2031756.2535</v>
      </c>
      <c r="E12" s="20" t="n">
        <f aca="false">-(D12-C12-B12)</f>
        <v>9767143.56650001</v>
      </c>
    </row>
    <row r="13" customFormat="false" ht="13.8" hidden="false" customHeight="false" outlineLevel="0" collapsed="false">
      <c r="A13" s="26" t="s">
        <v>306</v>
      </c>
      <c r="B13" s="33" t="n">
        <v>-9004149.46</v>
      </c>
      <c r="C13" s="34" t="n">
        <v>7062871.65</v>
      </c>
      <c r="D13" s="20" t="n">
        <f aca="false">C13*0.15</f>
        <v>1059430.7475</v>
      </c>
      <c r="E13" s="20" t="n">
        <f aca="false">-(D13-C13-B13)</f>
        <v>-3000708.55749999</v>
      </c>
    </row>
    <row r="14" customFormat="false" ht="13.8" hidden="false" customHeight="false" outlineLevel="0" collapsed="false">
      <c r="A14" s="26" t="s">
        <v>307</v>
      </c>
      <c r="B14" s="33" t="n">
        <v>-924971.28</v>
      </c>
      <c r="C14" s="34" t="n">
        <v>6645410.59</v>
      </c>
      <c r="D14" s="20" t="n">
        <f aca="false">C14*0.15</f>
        <v>996811.5885</v>
      </c>
      <c r="E14" s="20" t="n">
        <f aca="false">-(D14-C14-B14)</f>
        <v>4723627.7215</v>
      </c>
    </row>
    <row r="15" customFormat="false" ht="13.8" hidden="false" customHeight="false" outlineLevel="0" collapsed="false">
      <c r="A15" s="26" t="s">
        <v>308</v>
      </c>
      <c r="B15" s="33" t="n">
        <v>-9682075.21</v>
      </c>
      <c r="C15" s="34" t="n">
        <v>5367923.7</v>
      </c>
      <c r="D15" s="20" t="n">
        <f aca="false">C15*0.15</f>
        <v>805188.555</v>
      </c>
      <c r="E15" s="20" t="n">
        <f aca="false">-(D15-C15-B15)</f>
        <v>-5119340.065</v>
      </c>
      <c r="G15" s="1" t="s">
        <v>309</v>
      </c>
    </row>
    <row r="16" customFormat="false" ht="13.8" hidden="false" customHeight="false" outlineLevel="0" collapsed="false">
      <c r="A16" s="26" t="s">
        <v>310</v>
      </c>
      <c r="B16" s="33" t="n">
        <v>-2950657.05</v>
      </c>
      <c r="C16" s="34" t="n">
        <v>4558223.68</v>
      </c>
      <c r="D16" s="20" t="n">
        <f aca="false">C16*0.15</f>
        <v>683733.552</v>
      </c>
      <c r="E16" s="20" t="n">
        <f aca="false">-(D16-C16-B16)</f>
        <v>923833.077999998</v>
      </c>
      <c r="G16" s="1" t="n">
        <f aca="false">COUNTA('Base de Dados'!F2:F2726)</f>
        <v>2725</v>
      </c>
    </row>
    <row r="17" customFormat="false" ht="13.8" hidden="false" customHeight="false" outlineLevel="0" collapsed="false">
      <c r="A17" s="26" t="s">
        <v>311</v>
      </c>
      <c r="B17" s="33" t="n">
        <v>-8145846.97</v>
      </c>
      <c r="C17" s="34" t="n">
        <v>5483890.5</v>
      </c>
      <c r="D17" s="20" t="n">
        <f aca="false">C17*0.15</f>
        <v>822583.575</v>
      </c>
      <c r="E17" s="20" t="n">
        <f aca="false">-(D17-C17-B17)</f>
        <v>-3484540.045</v>
      </c>
    </row>
    <row r="18" customFormat="false" ht="13.8" hidden="false" customHeight="false" outlineLevel="0" collapsed="false">
      <c r="A18" s="26" t="s">
        <v>312</v>
      </c>
      <c r="B18" s="33" t="n">
        <v>-3255770.73</v>
      </c>
      <c r="C18" s="34" t="n">
        <v>18567194.33</v>
      </c>
      <c r="D18" s="20" t="n">
        <f aca="false">C18*0.15</f>
        <v>2785079.1495</v>
      </c>
      <c r="E18" s="20" t="n">
        <f aca="false">-(D18-C18-B18)</f>
        <v>12526344.4505</v>
      </c>
      <c r="G18" s="37" t="s">
        <v>313</v>
      </c>
    </row>
    <row r="19" customFormat="false" ht="13.8" hidden="false" customHeight="false" outlineLevel="0" collapsed="false">
      <c r="A19" s="26" t="s">
        <v>314</v>
      </c>
      <c r="B19" s="33" t="n">
        <v>-1553847.77</v>
      </c>
      <c r="C19" s="34" t="n">
        <v>5332314.08</v>
      </c>
      <c r="D19" s="20" t="n">
        <f aca="false">C19*0.15</f>
        <v>799847.112</v>
      </c>
      <c r="E19" s="20" t="n">
        <f aca="false">-(D19-C19-B19)</f>
        <v>2978619.198</v>
      </c>
      <c r="G19" s="1" t="n">
        <f aca="false">COUNTIF('Base de Dados'!J2:J2726, "PIX")</f>
        <v>1200</v>
      </c>
    </row>
    <row r="20" customFormat="false" ht="13.8" hidden="false" customHeight="false" outlineLevel="0" collapsed="false">
      <c r="A20" s="26" t="s">
        <v>315</v>
      </c>
      <c r="B20" s="33" t="n">
        <v>-1566919.77</v>
      </c>
      <c r="C20" s="34" t="n">
        <v>5834003.01</v>
      </c>
      <c r="D20" s="20" t="n">
        <f aca="false">C20*0.15</f>
        <v>875100.4515</v>
      </c>
      <c r="E20" s="20" t="n">
        <f aca="false">-(D20-C20-B20)</f>
        <v>3391982.7885</v>
      </c>
    </row>
    <row r="21" customFormat="false" ht="13.8" hidden="false" customHeight="false" outlineLevel="0" collapsed="false">
      <c r="A21" s="26" t="s">
        <v>316</v>
      </c>
      <c r="B21" s="38" t="n">
        <v>-1457506.41</v>
      </c>
      <c r="C21" s="39" t="n">
        <v>3651293.51</v>
      </c>
      <c r="D21" s="20" t="n">
        <f aca="false">C21*0.15</f>
        <v>547694.0265</v>
      </c>
      <c r="E21" s="20" t="n">
        <f aca="false">-(D21-C21-B21)</f>
        <v>1646093.0735</v>
      </c>
      <c r="G21" s="1" t="s">
        <v>317</v>
      </c>
    </row>
    <row r="22" customFormat="false" ht="13.8" hidden="false" customHeight="false" outlineLevel="0" collapsed="false">
      <c r="A22" s="18" t="s">
        <v>297</v>
      </c>
      <c r="B22" s="40" t="n">
        <v>-44863840.92</v>
      </c>
      <c r="C22" s="41" t="n">
        <v>94602866.94</v>
      </c>
      <c r="D22" s="20" t="n">
        <f aca="false">C22*0.15</f>
        <v>14190430.041</v>
      </c>
      <c r="E22" s="20" t="n">
        <f aca="false">-(D22-C22-B22)</f>
        <v>35548595.979</v>
      </c>
      <c r="G22" s="17" t="n">
        <f aca="false">G19/G16</f>
        <v>0.440366972477064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.7"/>
    <col collapsed="false" customWidth="true" hidden="false" outlineLevel="0" max="2" min="2" style="1" width="13.12"/>
    <col collapsed="false" customWidth="true" hidden="false" outlineLevel="0" max="3" min="3" style="1" width="29.42"/>
    <col collapsed="false" customWidth="true" hidden="false" outlineLevel="0" max="5" min="5" style="1" width="33.4"/>
    <col collapsed="false" customWidth="true" hidden="false" outlineLevel="0" max="6" min="6" style="1" width="13.12"/>
    <col collapsed="false" customWidth="true" hidden="false" outlineLevel="0" max="7" min="7" style="1" width="29.42"/>
    <col collapsed="false" customWidth="true" hidden="false" outlineLevel="0" max="8" min="8" style="0" width="12.36"/>
    <col collapsed="false" customWidth="true" hidden="false" outlineLevel="0" max="9" min="9" style="1" width="31.55"/>
    <col collapsed="false" customWidth="true" hidden="false" outlineLevel="0" max="10" min="10" style="1" width="7.16"/>
  </cols>
  <sheetData>
    <row r="1" customFormat="false" ht="13.8" hidden="false" customHeight="false" outlineLevel="0" collapsed="false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</row>
    <row r="2" customFormat="false" ht="17.35" hidden="false" customHeight="false" outlineLevel="0" collapsed="false">
      <c r="A2" s="42"/>
      <c r="B2" s="42"/>
      <c r="C2" s="43" t="s">
        <v>318</v>
      </c>
      <c r="D2" s="42"/>
      <c r="E2" s="43" t="s">
        <v>319</v>
      </c>
      <c r="F2" s="42"/>
      <c r="G2" s="43" t="s">
        <v>301</v>
      </c>
      <c r="H2" s="42"/>
      <c r="I2" s="43" t="s">
        <v>299</v>
      </c>
      <c r="J2" s="42"/>
      <c r="K2" s="42"/>
    </row>
    <row r="3" customFormat="false" ht="13.8" hidden="false" customHeight="false" outlineLevel="0" collapsed="false">
      <c r="A3" s="42"/>
      <c r="B3" s="42"/>
      <c r="C3" s="44" t="n">
        <f aca="false">'Analise de Dados'!B3</f>
        <v>94602866.94</v>
      </c>
      <c r="D3" s="42"/>
      <c r="E3" s="44" t="n">
        <f aca="false">'Analise de Dados'!F3</f>
        <v>44863840.92</v>
      </c>
      <c r="F3" s="42"/>
      <c r="G3" s="45" t="n">
        <f aca="false">'Analise de Dados'!B6</f>
        <v>14190430.041</v>
      </c>
      <c r="H3" s="42"/>
      <c r="I3" s="45" t="n">
        <f aca="false">'Analise de Dados'!E6</f>
        <v>35548595.979</v>
      </c>
      <c r="J3" s="42"/>
      <c r="K3" s="42"/>
    </row>
    <row r="4" customFormat="false" ht="13.8" hidden="false" customHeight="false" outlineLevel="0" collapsed="false">
      <c r="A4" s="42"/>
      <c r="B4" s="42"/>
      <c r="C4" s="44"/>
      <c r="D4" s="42"/>
      <c r="E4" s="44"/>
      <c r="F4" s="42"/>
      <c r="G4" s="45"/>
      <c r="H4" s="42"/>
      <c r="I4" s="45"/>
      <c r="J4" s="42"/>
      <c r="K4" s="42"/>
    </row>
    <row r="5" customFormat="false" ht="13.8" hidden="false" customHeight="false" outlineLevel="0" collapsed="false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</row>
    <row r="6" customFormat="false" ht="13.8" hidden="false" customHeight="false" outlineLevel="0" collapsed="false">
      <c r="A6" s="42"/>
      <c r="B6" s="42"/>
      <c r="C6" s="42"/>
      <c r="D6" s="42"/>
      <c r="E6" s="42"/>
      <c r="F6" s="42"/>
      <c r="G6" s="42"/>
      <c r="H6" s="46" t="s">
        <v>320</v>
      </c>
      <c r="I6" s="47" t="n">
        <f aca="false">'Analise de Dados'!G16</f>
        <v>2725</v>
      </c>
      <c r="J6" s="42"/>
      <c r="K6" s="42"/>
    </row>
    <row r="7" customFormat="false" ht="13.8" hidden="false" customHeight="false" outlineLevel="0" collapsed="false">
      <c r="A7" s="42"/>
      <c r="B7" s="42"/>
      <c r="C7" s="42"/>
      <c r="D7" s="42"/>
      <c r="E7" s="42"/>
      <c r="F7" s="42"/>
      <c r="G7" s="42"/>
      <c r="H7" s="46" t="s">
        <v>321</v>
      </c>
      <c r="I7" s="47" t="n">
        <f aca="false">'Analise de Dados'!G19</f>
        <v>1200</v>
      </c>
      <c r="J7" s="42"/>
      <c r="K7" s="42"/>
    </row>
    <row r="8" customFormat="false" ht="13.8" hidden="false" customHeight="false" outlineLevel="0" collapsed="false">
      <c r="A8" s="42"/>
      <c r="B8" s="42"/>
      <c r="C8" s="42"/>
      <c r="D8" s="42"/>
      <c r="E8" s="42"/>
      <c r="F8" s="42"/>
      <c r="G8" s="42"/>
      <c r="H8" s="48" t="s">
        <v>322</v>
      </c>
      <c r="I8" s="49" t="n">
        <f aca="false">'Analise de Dados'!G22</f>
        <v>0.440366972477064</v>
      </c>
      <c r="J8" s="42"/>
      <c r="K8" s="42"/>
    </row>
    <row r="9" customFormat="false" ht="13.8" hidden="false" customHeight="false" outlineLevel="0" collapsed="false">
      <c r="A9" s="42"/>
      <c r="B9" s="42"/>
      <c r="C9" s="42"/>
      <c r="D9" s="42"/>
      <c r="E9" s="42"/>
      <c r="F9" s="42"/>
      <c r="G9" s="42"/>
      <c r="H9" s="42"/>
      <c r="I9" s="50"/>
      <c r="J9" s="42"/>
      <c r="K9" s="42"/>
    </row>
    <row r="10" customFormat="false" ht="13.8" hidden="false" customHeight="fals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</row>
    <row r="11" customFormat="false" ht="13.8" hidden="false" customHeight="false" outlineLevel="0" collapsed="false">
      <c r="A11" s="42"/>
      <c r="B11" s="42"/>
      <c r="C11" s="42"/>
      <c r="D11" s="42"/>
      <c r="E11" s="42"/>
      <c r="F11" s="51" t="s">
        <v>323</v>
      </c>
      <c r="G11" s="42"/>
      <c r="H11" s="42"/>
      <c r="I11" s="42"/>
      <c r="J11" s="42"/>
      <c r="K11" s="42"/>
    </row>
    <row r="12" customFormat="false" ht="24.45" hidden="false" customHeight="false" outlineLevel="0" collapsed="false">
      <c r="A12" s="42"/>
      <c r="B12" s="42"/>
      <c r="C12" s="42"/>
      <c r="D12" s="42"/>
      <c r="E12" s="42"/>
      <c r="F12" s="52" t="n">
        <f aca="false">'Analise de Dados'!G2</f>
        <v>0.375766582227852</v>
      </c>
      <c r="G12" s="42"/>
      <c r="H12" s="42"/>
      <c r="I12" s="42"/>
      <c r="J12" s="42"/>
      <c r="K12" s="42"/>
    </row>
    <row r="13" customFormat="false" ht="13.8" hidden="false" customHeight="fals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customFormat="false" ht="13.8" hidden="false" customHeight="fals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</row>
    <row r="15" customFormat="false" ht="13.8" hidden="false" customHeight="fals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 customFormat="false" ht="13.8" hidden="false" customHeight="fals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</row>
    <row r="17" customFormat="false" ht="13.8" hidden="false" customHeight="fals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 customFormat="false" ht="13.8" hidden="false" customHeight="fals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</row>
    <row r="19" customFormat="false" ht="13.8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</row>
    <row r="20" customFormat="false" ht="13.8" hidden="false" customHeight="fals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customFormat="false" ht="13.8" hidden="false" customHeight="fals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customFormat="false" ht="13.8" hidden="false" customHeight="fals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</row>
    <row r="23" customFormat="false" ht="13.8" hidden="false" customHeight="fals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</row>
    <row r="24" customFormat="false" ht="13.8" hidden="false" customHeight="fals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</row>
    <row r="25" customFormat="false" ht="13.8" hidden="false" customHeight="fals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</row>
    <row r="26" customFormat="false" ht="13.8" hidden="false" customHeight="fals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</row>
    <row r="27" customFormat="false" ht="13.8" hidden="false" customHeight="fals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</row>
    <row r="28" customFormat="false" ht="13.8" hidden="false" customHeight="fals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</row>
    <row r="29" customFormat="false" ht="13.8" hidden="false" customHeight="fals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</row>
  </sheetData>
  <mergeCells count="4">
    <mergeCell ref="C3:C4"/>
    <mergeCell ref="E3:E4"/>
    <mergeCell ref="G3:G4"/>
    <mergeCell ref="I3:I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2019-10-30T17:55:13Z</dcterms:created>
  <dc:creator>Leonardo Karpinski</dc:creator>
  <dc:description/>
  <dc:language>pt-BR</dc:language>
  <cp:lastModifiedBy/>
  <dcterms:modified xsi:type="dcterms:W3CDTF">2026-10-01T11:08:37Z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